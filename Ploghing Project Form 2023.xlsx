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ies" sheetId="1" r:id="rId4"/>
    <sheet state="visible" name="Bulunga" sheetId="2" r:id="rId5"/>
    <sheet state="visible" name="Gebeni" sheetId="3" r:id="rId6"/>
    <sheet state="visible" name="Gundvwini" sheetId="4" r:id="rId7"/>
    <sheet state="visible" name="Hawane" sheetId="5" r:id="rId8"/>
    <sheet state="visible" name="Jubukweni" sheetId="6" r:id="rId9"/>
    <sheet state="visible" name="Kaliba" sheetId="7" r:id="rId10"/>
    <sheet state="visible" name="Lavumisa" sheetId="8" r:id="rId11"/>
    <sheet state="visible" name="Lundzi" sheetId="9" r:id="rId12"/>
    <sheet state="visible" name="Lonhlalane" sheetId="10" r:id="rId13"/>
    <sheet state="visible" name="Lushikishini" sheetId="11" r:id="rId14"/>
    <sheet state="visible" name="Mangcongco" sheetId="12" r:id="rId15"/>
    <sheet state="visible" name="Mbowane" sheetId="13" r:id="rId16"/>
    <sheet state="visible" name="Mcuba" sheetId="14" r:id="rId17"/>
    <sheet state="visible" name="Mlindazwe" sheetId="15" r:id="rId18"/>
    <sheet state="visible" name="Mhlangatane" sheetId="16" r:id="rId19"/>
    <sheet state="visible" name="Mpuluzi" sheetId="17" r:id="rId20"/>
    <sheet state="visible" name="Msahweni" sheetId="18" r:id="rId21"/>
    <sheet state="visible" name="Nyathela " sheetId="19" r:id="rId22"/>
    <sheet state="visible" name="Ngwempisi" sheetId="20" r:id="rId23"/>
    <sheet state="visible" name="Nsubane" sheetId="21" r:id="rId24"/>
    <sheet state="visible" name="Sibovini" sheetId="22" r:id="rId25"/>
    <sheet state="visible" name="Sigangeni" sheetId="23" r:id="rId26"/>
    <sheet state="visible" name="Sigengeni" sheetId="24" r:id="rId27"/>
    <sheet state="visible" name="Sigombeni" sheetId="25" r:id="rId28"/>
    <sheet state="visible" name="Sigcaweni" sheetId="26" r:id="rId29"/>
    <sheet state="visible" name="Zondwako" sheetId="27" r:id="rId30"/>
  </sheets>
  <definedNames/>
  <calcPr/>
  <extLst>
    <ext uri="GoogleSheetsCustomDataVersion2">
      <go:sheetsCustomData xmlns:go="http://customooxmlschemas.google.com/" r:id="rId31" roundtripDataChecksum="izsPBEdo2F5pmXpTL8axUrLvTB28XA+Sv/VDS55OWPQ="/>
    </ext>
  </extLst>
</workbook>
</file>

<file path=xl/sharedStrings.xml><?xml version="1.0" encoding="utf-8"?>
<sst xmlns="http://schemas.openxmlformats.org/spreadsheetml/2006/main" count="2473" uniqueCount="1251">
  <si>
    <t>Ploughing Summaries</t>
  </si>
  <si>
    <t>-</t>
  </si>
  <si>
    <t>ICBC</t>
  </si>
  <si>
    <t>Total Hours Complete</t>
  </si>
  <si>
    <t>Families Impacted</t>
  </si>
  <si>
    <t>Hectares</t>
  </si>
  <si>
    <t>Status</t>
  </si>
  <si>
    <t>Payment</t>
  </si>
  <si>
    <t>Contractor</t>
  </si>
  <si>
    <t>Complete</t>
  </si>
  <si>
    <t>Paid</t>
  </si>
  <si>
    <t>Norman's Tractor Services</t>
  </si>
  <si>
    <t>Hawane</t>
  </si>
  <si>
    <t>Hillside Enterprise</t>
  </si>
  <si>
    <t>Tiyane Investments</t>
  </si>
  <si>
    <t>Dumelitje Farming and Cattle Store</t>
  </si>
  <si>
    <t>Thamsanqa Ntshalintshali</t>
  </si>
  <si>
    <t xml:space="preserve">Vuyisile Mndzebele	</t>
  </si>
  <si>
    <t>Lavumisa</t>
  </si>
  <si>
    <t>Sunboy Sithembiso Msibi</t>
  </si>
  <si>
    <t>Lundzi</t>
  </si>
  <si>
    <t>Ganbarou Investments</t>
  </si>
  <si>
    <t>RDA Tractor</t>
  </si>
  <si>
    <t>July Mhlanga</t>
  </si>
  <si>
    <t>Mangcongco ICBC</t>
  </si>
  <si>
    <t>Sum Investments PTY LTD and Umnotfo Farmers Association</t>
  </si>
  <si>
    <t>Mbowane ICBC</t>
  </si>
  <si>
    <t>Samkelisiwe Hlophe</t>
  </si>
  <si>
    <t>Sakhile Mabuza</t>
  </si>
  <si>
    <t>Mfanukhona Magagula</t>
  </si>
  <si>
    <t>Sum Investments PTY LTD</t>
  </si>
  <si>
    <t>Thulani Fakudze</t>
  </si>
  <si>
    <t>Xolani Abel Ndzinisa</t>
  </si>
  <si>
    <t>Machuzu</t>
  </si>
  <si>
    <t xml:space="preserve">Hezekiel S. Dlamini		</t>
  </si>
  <si>
    <t>Sibovini</t>
  </si>
  <si>
    <t>Sandile Sibandze</t>
  </si>
  <si>
    <t>Asibambaneni Multi Purpose</t>
  </si>
  <si>
    <t>Nonkhululeko Ngwenya</t>
  </si>
  <si>
    <t>Doctor Banda</t>
  </si>
  <si>
    <t>Mfanasibili Shongwe</t>
  </si>
  <si>
    <t>Total</t>
  </si>
  <si>
    <t>ICBC Ploughing Project</t>
  </si>
  <si>
    <t>COMPLETE</t>
  </si>
  <si>
    <t>Name of ICBC:</t>
  </si>
  <si>
    <t>Bulunga ICBC</t>
  </si>
  <si>
    <t>Name of Pastor</t>
  </si>
  <si>
    <t>Ndumiso Gwebu</t>
  </si>
  <si>
    <t>Contractor's Full Name</t>
  </si>
  <si>
    <t>Noman Gamedze</t>
  </si>
  <si>
    <t>ID Number</t>
  </si>
  <si>
    <t>Bank</t>
  </si>
  <si>
    <t>Standard Bank</t>
  </si>
  <si>
    <t>Account Holder's Name</t>
  </si>
  <si>
    <t>Branch Code</t>
  </si>
  <si>
    <t>Account Number</t>
  </si>
  <si>
    <t>Community Member’s Name &amp; Surname</t>
  </si>
  <si>
    <t>Contact details</t>
  </si>
  <si>
    <t>Date</t>
  </si>
  <si>
    <t>Start Time (Date &amp; Time)</t>
  </si>
  <si>
    <t>Completion time (Date &amp; Time)</t>
  </si>
  <si>
    <t>Number of Hours</t>
  </si>
  <si>
    <t>Actual Number of Hours</t>
  </si>
  <si>
    <t>Amount</t>
  </si>
  <si>
    <t>Location</t>
  </si>
  <si>
    <t>Pastor Gwebu</t>
  </si>
  <si>
    <t>21/10/23</t>
  </si>
  <si>
    <t>Make Ndlovu</t>
  </si>
  <si>
    <t>Babe Dlamini</t>
  </si>
  <si>
    <t>Make Mamba</t>
  </si>
  <si>
    <t>Make Gwebu</t>
  </si>
  <si>
    <t>Dorah</t>
  </si>
  <si>
    <t>27/10/23</t>
  </si>
  <si>
    <t>Make Sikhondze</t>
  </si>
  <si>
    <t>Make Motsa</t>
  </si>
  <si>
    <t>Babe Gwebu</t>
  </si>
  <si>
    <t>Bhekane</t>
  </si>
  <si>
    <t>Sikhandzabantfu Primary School</t>
  </si>
  <si>
    <t>Shongwe</t>
  </si>
  <si>
    <t>28/10/23</t>
  </si>
  <si>
    <t>Lukhele</t>
  </si>
  <si>
    <t>No Cellphone</t>
  </si>
  <si>
    <t>Mhlabelo</t>
  </si>
  <si>
    <t>mhlanga</t>
  </si>
  <si>
    <t>Make Tiba</t>
  </si>
  <si>
    <t xml:space="preserve">Make mngometulu </t>
  </si>
  <si>
    <t xml:space="preserve">Babe Shongwe </t>
  </si>
  <si>
    <t xml:space="preserve">Babe Mamba  </t>
  </si>
  <si>
    <t xml:space="preserve">Babe Mamba </t>
  </si>
  <si>
    <t xml:space="preserve">Babe Gideon </t>
  </si>
  <si>
    <t xml:space="preserve">Pastor Gwebu </t>
  </si>
  <si>
    <t>Thabo</t>
  </si>
  <si>
    <t>Make LaDladla</t>
  </si>
  <si>
    <t>Babe Ngwenya</t>
  </si>
  <si>
    <t>Mehlaphi</t>
  </si>
  <si>
    <t>Mazayifane</t>
  </si>
  <si>
    <t>Mdupoint</t>
  </si>
  <si>
    <t>Mamba</t>
  </si>
  <si>
    <t>Make Gamedze</t>
  </si>
  <si>
    <t xml:space="preserve">Total </t>
  </si>
  <si>
    <t>Total number of fields ploughed</t>
  </si>
  <si>
    <t>Checked By</t>
  </si>
  <si>
    <t>Signature</t>
  </si>
  <si>
    <t>Gebeni ICBC</t>
  </si>
  <si>
    <t>Sipho Mdluli</t>
  </si>
  <si>
    <t>Contractor's ID Number</t>
  </si>
  <si>
    <t>Building Society</t>
  </si>
  <si>
    <t>Contact Details</t>
  </si>
  <si>
    <t xml:space="preserve">Machawe Mndzebele </t>
  </si>
  <si>
    <t xml:space="preserve">Bongane Mndzebele </t>
  </si>
  <si>
    <t xml:space="preserve">Make nkambule </t>
  </si>
  <si>
    <t>Mancoba ndlovu</t>
  </si>
  <si>
    <t xml:space="preserve">Mr Titus Dlamini </t>
  </si>
  <si>
    <t>Mary Ntshalintshali </t>
  </si>
  <si>
    <t xml:space="preserve">Fundo Dlamini </t>
  </si>
  <si>
    <t xml:space="preserve">Letta mdluli </t>
  </si>
  <si>
    <t xml:space="preserve">Scelo Mndzebele </t>
  </si>
  <si>
    <t>Phindile Dlamini </t>
  </si>
  <si>
    <t>Nicholas mabuza</t>
  </si>
  <si>
    <t>13/11/23</t>
  </si>
  <si>
    <t>Mazwi manyatsi</t>
  </si>
  <si>
    <t>Sikelelo manyatsi</t>
  </si>
  <si>
    <t>Anna Nhlabatsi</t>
  </si>
  <si>
    <t>Siphiwe nhlabatsi </t>
  </si>
  <si>
    <t>Thulani Dlamini</t>
  </si>
  <si>
    <t>15/11/23</t>
  </si>
  <si>
    <t>Mhlonishwa Skhondze</t>
  </si>
  <si>
    <t>Mumcy Magagula</t>
  </si>
  <si>
    <t xml:space="preserve">Moses Mndzebele </t>
  </si>
  <si>
    <t>16/11/23</t>
  </si>
  <si>
    <t xml:space="preserve">Maphindi Nzima </t>
  </si>
  <si>
    <t>Mkhey Nzima</t>
  </si>
  <si>
    <t xml:space="preserve">Make shlongonyane </t>
  </si>
  <si>
    <t xml:space="preserve">John ndwandwa </t>
  </si>
  <si>
    <t xml:space="preserve">Nomvula Mndzebele </t>
  </si>
  <si>
    <t>Bitiwe Mndzebele</t>
  </si>
  <si>
    <t>Nomvula Mndzebele</t>
  </si>
  <si>
    <t>18/11/23</t>
  </si>
  <si>
    <t xml:space="preserve">Anastasia mavimbela </t>
  </si>
  <si>
    <t xml:space="preserve">Make maziya </t>
  </si>
  <si>
    <t>Mduduzi hlophe</t>
  </si>
  <si>
    <t>20/11/23</t>
  </si>
  <si>
    <t>Clc church</t>
  </si>
  <si>
    <t>Sketi ngwenya</t>
  </si>
  <si>
    <t>Titus Dlamini</t>
  </si>
  <si>
    <t>Sipho mdluli</t>
  </si>
  <si>
    <t>Make Msibi</t>
  </si>
  <si>
    <t>21/11/23</t>
  </si>
  <si>
    <t>Make Maphalala</t>
  </si>
  <si>
    <t>Shilesh Mabuza</t>
  </si>
  <si>
    <t>Gogo Hlophe</t>
  </si>
  <si>
    <t>Gundvwini ICBC</t>
  </si>
  <si>
    <t>Dumisani Mdluli</t>
  </si>
  <si>
    <t>Vuyisile Mndzebele</t>
  </si>
  <si>
    <t>Nedbank</t>
  </si>
  <si>
    <t>Mphumaphi Dlamini</t>
  </si>
  <si>
    <t>23/10/23</t>
  </si>
  <si>
    <t>Vusi Shongwe</t>
  </si>
  <si>
    <t>Mtetfwa Sifiso</t>
  </si>
  <si>
    <t>Owen Dlamini</t>
  </si>
  <si>
    <t>Sphendulo Dlamini</t>
  </si>
  <si>
    <t>Themba Nhleko</t>
  </si>
  <si>
    <t>Ndoda Nhleko</t>
  </si>
  <si>
    <t>Lizzy Shongwe</t>
  </si>
  <si>
    <t>Sambulo Nxumalo</t>
  </si>
  <si>
    <t>25/10/23</t>
  </si>
  <si>
    <t>Losengela Sihlongonyane</t>
  </si>
  <si>
    <t>Jabulane Nhleko</t>
  </si>
  <si>
    <t>Tobe Sihlongonyane</t>
  </si>
  <si>
    <t>Khefa Mavuso</t>
  </si>
  <si>
    <t>Mashumi Gwebu</t>
  </si>
  <si>
    <t>30/10/23</t>
  </si>
  <si>
    <t xml:space="preserve">Hhayiva Mkhabela </t>
  </si>
  <si>
    <t>Winile Dlamini</t>
  </si>
  <si>
    <t>Mduduzi Shongwe</t>
  </si>
  <si>
    <t>Menzi Gwebu</t>
  </si>
  <si>
    <t>Sifiso Dlamini</t>
  </si>
  <si>
    <t>Dada Gwebu</t>
  </si>
  <si>
    <t>make Gwebu</t>
  </si>
  <si>
    <t>14/12/23</t>
  </si>
  <si>
    <t>skhebesi Nxumalo</t>
  </si>
  <si>
    <t>make Owen</t>
  </si>
  <si>
    <t>make Khumalo</t>
  </si>
  <si>
    <t>Linda Nxumalo</t>
  </si>
  <si>
    <t>Mveli Nxumalo</t>
  </si>
  <si>
    <t>Make Mndzebele</t>
  </si>
  <si>
    <t>Hawane ICBC</t>
  </si>
  <si>
    <t>Timothy Makhanya</t>
  </si>
  <si>
    <t>Wilton Nkhambule</t>
  </si>
  <si>
    <t>NEDBANK</t>
  </si>
  <si>
    <t>200 000 66185</t>
  </si>
  <si>
    <t>Make Maziya</t>
  </si>
  <si>
    <t>Mbali Lukhuleni</t>
  </si>
  <si>
    <t>Make Bill</t>
  </si>
  <si>
    <t>Samuel Makhanya</t>
  </si>
  <si>
    <t>78728911/79389242</t>
  </si>
  <si>
    <t>Make Dudu Shongwe</t>
  </si>
  <si>
    <t>Jabulile Mlotjwa</t>
  </si>
  <si>
    <t>Kufakwakhe Masina</t>
  </si>
  <si>
    <t>KaBhembe</t>
  </si>
  <si>
    <t>Make N. Dlamini</t>
  </si>
  <si>
    <t>Babe Nkambule</t>
  </si>
  <si>
    <t>Babe Masuku</t>
  </si>
  <si>
    <t>Siboniso Ntjangase</t>
  </si>
  <si>
    <t>Sifiso Hlatswako</t>
  </si>
  <si>
    <t>Make G. Mndzebele</t>
  </si>
  <si>
    <t>Portia Mhlanga</t>
  </si>
  <si>
    <t>M. Mkhwanazi</t>
  </si>
  <si>
    <t>Make Sibandze</t>
  </si>
  <si>
    <t>Make Manzini</t>
  </si>
  <si>
    <t>Beauty Hlophe</t>
  </si>
  <si>
    <t>Happy Dlamini</t>
  </si>
  <si>
    <t>Make Dlamini</t>
  </si>
  <si>
    <t>Simangele Mabuza</t>
  </si>
  <si>
    <t>Mpendulo Mlotjwa</t>
  </si>
  <si>
    <t>Mcolisi Bhembe</t>
  </si>
  <si>
    <t>Tsela</t>
  </si>
  <si>
    <t>Khuba Dlamini</t>
  </si>
  <si>
    <t>Mangwe</t>
  </si>
  <si>
    <t>Make Mhlanga</t>
  </si>
  <si>
    <t>Make Matsenjwa</t>
  </si>
  <si>
    <t>Kagogo Dladla</t>
  </si>
  <si>
    <t>KaMsibi</t>
  </si>
  <si>
    <t>KaShongwe</t>
  </si>
  <si>
    <t>KaNdlangamandla</t>
  </si>
  <si>
    <t>KaDlamini Gubhezela</t>
  </si>
  <si>
    <t>KaMasuku</t>
  </si>
  <si>
    <t>KaHlatjwako</t>
  </si>
  <si>
    <t>Jubukweni ICBC</t>
  </si>
  <si>
    <t>Sipho Kunene</t>
  </si>
  <si>
    <t>Wendy Matsoe Makhubela Tfumbatsa</t>
  </si>
  <si>
    <t>First National Bank</t>
  </si>
  <si>
    <t xml:space="preserve">Make Nkhambule (Skhondze) </t>
  </si>
  <si>
    <t xml:space="preserve">Sambulo  </t>
  </si>
  <si>
    <t xml:space="preserve">Babe Mbingo </t>
  </si>
  <si>
    <t xml:space="preserve">Sthole </t>
  </si>
  <si>
    <t xml:space="preserve">Make Maziya </t>
  </si>
  <si>
    <t xml:space="preserve">Mandla </t>
  </si>
  <si>
    <t xml:space="preserve">Babe Dlamini </t>
  </si>
  <si>
    <t xml:space="preserve">Mngometulu </t>
  </si>
  <si>
    <t xml:space="preserve">Babe Ngwenya </t>
  </si>
  <si>
    <t xml:space="preserve">Mkhulu Mnisi </t>
  </si>
  <si>
    <t>Mabuza</t>
  </si>
  <si>
    <t>Make Gumedze</t>
  </si>
  <si>
    <t>Babe Gama</t>
  </si>
  <si>
    <t>Zakhele Mthembu</t>
  </si>
  <si>
    <t>Make Masilela</t>
  </si>
  <si>
    <t>Musa Mnisi</t>
  </si>
  <si>
    <t>Make Skhondze </t>
  </si>
  <si>
    <t>Make Maseko Ka, Sikhinde</t>
  </si>
  <si>
    <t>Make Zwane</t>
  </si>
  <si>
    <t>Mkhulu Mabuza</t>
  </si>
  <si>
    <t>No Phone Numbr</t>
  </si>
  <si>
    <t>KaMnisi</t>
  </si>
  <si>
    <t>KaLaKunene</t>
  </si>
  <si>
    <t>KaMaseko</t>
  </si>
  <si>
    <t>KaSithole</t>
  </si>
  <si>
    <t>Dlamini</t>
  </si>
  <si>
    <t>Mahlalela</t>
  </si>
  <si>
    <t>Thabani Mnisi</t>
  </si>
  <si>
    <t>Esontfweni</t>
  </si>
  <si>
    <t>Gogo Mnisi</t>
  </si>
  <si>
    <t>KaLiba ICBC</t>
  </si>
  <si>
    <t xml:space="preserve">Majahonkhe Tsabedze </t>
  </si>
  <si>
    <t xml:space="preserve">Stanford S Dlamini  </t>
  </si>
  <si>
    <t>Nokulunga Mthembu</t>
  </si>
  <si>
    <t>0555hrs</t>
  </si>
  <si>
    <t>0801hrs</t>
  </si>
  <si>
    <t>Mambiwa Dlamini</t>
  </si>
  <si>
    <t>0807hrs</t>
  </si>
  <si>
    <t>1013hrs</t>
  </si>
  <si>
    <t>Jabulani Malindzisa</t>
  </si>
  <si>
    <t>1028hrs</t>
  </si>
  <si>
    <t>1131hrs</t>
  </si>
  <si>
    <t>Khaya Mabuza</t>
  </si>
  <si>
    <t>1155hrs</t>
  </si>
  <si>
    <t>1258hrs</t>
  </si>
  <si>
    <t>Jethro Zungu</t>
  </si>
  <si>
    <t>1415hrs</t>
  </si>
  <si>
    <t>1521hrs</t>
  </si>
  <si>
    <t>Rose Mhlanga</t>
  </si>
  <si>
    <t>1537hrs</t>
  </si>
  <si>
    <t>1643hrs</t>
  </si>
  <si>
    <t>Ndlaleni Mabuza</t>
  </si>
  <si>
    <t>0700hrs</t>
  </si>
  <si>
    <t>0909hrs</t>
  </si>
  <si>
    <t>Lomsombuluko Fakudze</t>
  </si>
  <si>
    <t>0935hrs</t>
  </si>
  <si>
    <t>1033hrs</t>
  </si>
  <si>
    <t>Felicia Myeni</t>
  </si>
  <si>
    <t>1050hrs</t>
  </si>
  <si>
    <t>1159hrs</t>
  </si>
  <si>
    <t>Ester Malindzisa</t>
  </si>
  <si>
    <t>1300hrs</t>
  </si>
  <si>
    <t>1455hrs</t>
  </si>
  <si>
    <t>Norah Fakudze</t>
  </si>
  <si>
    <t>1515hrs</t>
  </si>
  <si>
    <t>1717hrs</t>
  </si>
  <si>
    <t xml:space="preserve">Sambane Fakudze </t>
  </si>
  <si>
    <t>0607hrs</t>
  </si>
  <si>
    <t>0711hrs</t>
  </si>
  <si>
    <t>Ndaba Malindzisa</t>
  </si>
  <si>
    <t>0749hrs</t>
  </si>
  <si>
    <t>0855hrs</t>
  </si>
  <si>
    <t>Ezekiel Mabuza</t>
  </si>
  <si>
    <t>0904hrs</t>
  </si>
  <si>
    <t>1002hrs</t>
  </si>
  <si>
    <t>Prince Thobile</t>
  </si>
  <si>
    <t>1209hrs</t>
  </si>
  <si>
    <t>Pauline Dlamini</t>
  </si>
  <si>
    <t>1226hrs</t>
  </si>
  <si>
    <t>1325hrs</t>
  </si>
  <si>
    <t>Takhona Malindzisa</t>
  </si>
  <si>
    <t>1344hrs</t>
  </si>
  <si>
    <t>1438hrs</t>
  </si>
  <si>
    <t>Gcwalisile Dlamini</t>
  </si>
  <si>
    <t>1516hrs</t>
  </si>
  <si>
    <t>1621hrs</t>
  </si>
  <si>
    <t>Gweyevu Fafudze</t>
  </si>
  <si>
    <t>1025hrs</t>
  </si>
  <si>
    <t>1331hrs</t>
  </si>
  <si>
    <t>Bheki Fakudze</t>
  </si>
  <si>
    <t>1340hrs</t>
  </si>
  <si>
    <t>1441hrs</t>
  </si>
  <si>
    <t>Sifiso Fakudze</t>
  </si>
  <si>
    <t>1501hrs</t>
  </si>
  <si>
    <t>1600hrs</t>
  </si>
  <si>
    <t>Pardon Mabuza</t>
  </si>
  <si>
    <t>1607hrs</t>
  </si>
  <si>
    <t>1807hrs</t>
  </si>
  <si>
    <t>Mr Simelane</t>
  </si>
  <si>
    <t>0549hrs</t>
  </si>
  <si>
    <t>0755hrs</t>
  </si>
  <si>
    <t>Girly Dlamini</t>
  </si>
  <si>
    <t>0812hrs</t>
  </si>
  <si>
    <t>0916hrs</t>
  </si>
  <si>
    <t>Lungile Ntjakala</t>
  </si>
  <si>
    <t>0924hrs</t>
  </si>
  <si>
    <t>1031hrs</t>
  </si>
  <si>
    <t>Sandile Mkhweli</t>
  </si>
  <si>
    <t>1147hrs</t>
  </si>
  <si>
    <t>1259hrs</t>
  </si>
  <si>
    <t>Sendzeleni Fakudze</t>
  </si>
  <si>
    <t>0511hrs</t>
  </si>
  <si>
    <t>0717hrs</t>
  </si>
  <si>
    <t>0731hrs</t>
  </si>
  <si>
    <t>0829hrs</t>
  </si>
  <si>
    <t>Pastor Mtsetfwa</t>
  </si>
  <si>
    <t>0847hrs</t>
  </si>
  <si>
    <t>0955hrs</t>
  </si>
  <si>
    <t>Khulile Mabuza</t>
  </si>
  <si>
    <t>1011hrs</t>
  </si>
  <si>
    <t>1115hrs</t>
  </si>
  <si>
    <t>Khosikhona Zwane</t>
  </si>
  <si>
    <t>1308hrs</t>
  </si>
  <si>
    <t>Magawu Zwane</t>
  </si>
  <si>
    <t>1444hrs</t>
  </si>
  <si>
    <t>Gcwali Dlamini</t>
  </si>
  <si>
    <t>1519hrs</t>
  </si>
  <si>
    <t>1628hrs</t>
  </si>
  <si>
    <t>Nonhlanhla Simelane</t>
  </si>
  <si>
    <t>17/11/23</t>
  </si>
  <si>
    <t>0714hrs</t>
  </si>
  <si>
    <t>Makhosazane Malindzisa</t>
  </si>
  <si>
    <t>0821hrs</t>
  </si>
  <si>
    <t>0930hrs</t>
  </si>
  <si>
    <t>Bongiwe Mabelesa</t>
  </si>
  <si>
    <t>Fikile Malindzisa</t>
  </si>
  <si>
    <t>0931hrs</t>
  </si>
  <si>
    <t>1138hrs</t>
  </si>
  <si>
    <t>Phylas Shongwe</t>
  </si>
  <si>
    <t>1150hrs</t>
  </si>
  <si>
    <t>1257hrs</t>
  </si>
  <si>
    <t>Lavumisa ICBC</t>
  </si>
  <si>
    <t>Sabelo Gina</t>
  </si>
  <si>
    <t>Fist National Bank</t>
  </si>
  <si>
    <t>E- Wallet 76122450</t>
  </si>
  <si>
    <t>ID</t>
  </si>
  <si>
    <t>Bonisile Makhanya</t>
  </si>
  <si>
    <t>Lungelo Mngometulu</t>
  </si>
  <si>
    <t>Sisana Gina</t>
  </si>
  <si>
    <t>Lundzi ICBC</t>
  </si>
  <si>
    <t>Bongiswa Ntshali</t>
  </si>
  <si>
    <t>Ganbarou Investments Pty Ltd</t>
  </si>
  <si>
    <t xml:space="preserve">Swazi Bank </t>
  </si>
  <si>
    <t>Nkhambule</t>
  </si>
  <si>
    <t xml:space="preserve">Mdluli </t>
  </si>
  <si>
    <t>Masuku</t>
  </si>
  <si>
    <t xml:space="preserve">Zama  </t>
  </si>
  <si>
    <t xml:space="preserve">Sibongile </t>
  </si>
  <si>
    <t xml:space="preserve">Mkhonta </t>
  </si>
  <si>
    <t xml:space="preserve">Maseko </t>
  </si>
  <si>
    <t xml:space="preserve">Mtsetfwa </t>
  </si>
  <si>
    <t xml:space="preserve">Gogo Nkhosi </t>
  </si>
  <si>
    <t xml:space="preserve">Shongwe </t>
  </si>
  <si>
    <t xml:space="preserve">Mdolly  </t>
  </si>
  <si>
    <t xml:space="preserve">Njakala </t>
  </si>
  <si>
    <t xml:space="preserve">Mayisela </t>
  </si>
  <si>
    <t xml:space="preserve">Myeni  </t>
  </si>
  <si>
    <t xml:space="preserve">Dludlu  </t>
  </si>
  <si>
    <t xml:space="preserve">Mphaphu  </t>
  </si>
  <si>
    <t xml:space="preserve">Makhosini  </t>
  </si>
  <si>
    <t xml:space="preserve">Kunene </t>
  </si>
  <si>
    <t xml:space="preserve">Ginindza  </t>
  </si>
  <si>
    <t xml:space="preserve">Gugu </t>
  </si>
  <si>
    <t>Lonhlalane ICBC</t>
  </si>
  <si>
    <t>Johannes Ndwandwe</t>
  </si>
  <si>
    <t xml:space="preserve">Vusumuzi Mhlanga  </t>
  </si>
  <si>
    <t xml:space="preserve">July Vusumuzi Mhlanga  </t>
  </si>
  <si>
    <t>Solomon Dlamini</t>
  </si>
  <si>
    <t>Veni Vilane</t>
  </si>
  <si>
    <t>Nabo Sentani</t>
  </si>
  <si>
    <t>Ntfulintfuli</t>
  </si>
  <si>
    <t>LaNkhosi Makanana</t>
  </si>
  <si>
    <t>LaMatibuko</t>
  </si>
  <si>
    <t>Mphatsu Magagula</t>
  </si>
  <si>
    <t>LaMabuza Magagula</t>
  </si>
  <si>
    <t>Lamakhabane</t>
  </si>
  <si>
    <t>Mbonane</t>
  </si>
  <si>
    <t>Make Ndzabandzaba</t>
  </si>
  <si>
    <t>LaMtutu</t>
  </si>
  <si>
    <t>Boy Vilane</t>
  </si>
  <si>
    <t>Make Shabangu Mavuso</t>
  </si>
  <si>
    <t>Gogo Ndzimandze</t>
  </si>
  <si>
    <t>LaShabangu Tsabedze</t>
  </si>
  <si>
    <t>Welile shabangu</t>
  </si>
  <si>
    <t>Colani Kunene</t>
  </si>
  <si>
    <t>Kunene Lamtolo</t>
  </si>
  <si>
    <t>Hlengiwe Ndwandwe</t>
  </si>
  <si>
    <t>Make Shabangu BUcopho</t>
  </si>
  <si>
    <t>Make Wayuyu</t>
  </si>
  <si>
    <t>Make tsabedze</t>
  </si>
  <si>
    <t>Seveni Magagula</t>
  </si>
  <si>
    <t>Jabulani Manye</t>
  </si>
  <si>
    <t>Babe Ndwandwe</t>
  </si>
  <si>
    <t>Majaha Masilela</t>
  </si>
  <si>
    <t>LaMyeni</t>
  </si>
  <si>
    <t>Madonsela Kunene</t>
  </si>
  <si>
    <t>Kweti Kunene</t>
  </si>
  <si>
    <t>Giji Mtsetfwwa</t>
  </si>
  <si>
    <t>Nabo Gcinaphi</t>
  </si>
  <si>
    <t>Gogo Shabangu</t>
  </si>
  <si>
    <t>Siphiwe Tsabedze</t>
  </si>
  <si>
    <t>Lushikishini ICBC</t>
  </si>
  <si>
    <t>Phumzile Dlamini</t>
  </si>
  <si>
    <t>Rural Development Agency(RDA)  Government</t>
  </si>
  <si>
    <t>Phumzile Melinda Dlamini</t>
  </si>
  <si>
    <t>Sibongile Hlophe</t>
  </si>
  <si>
    <t>26°46'20.6"S 30°52'53.2"E</t>
  </si>
  <si>
    <t>Moses Hlophe</t>
  </si>
  <si>
    <t>26°46'20.7"S 30°53'00.5"E</t>
  </si>
  <si>
    <t>Vusi Maseko</t>
  </si>
  <si>
    <t>26°47'09.1"S 30°52'19.4"E</t>
  </si>
  <si>
    <t>Mfanasibili Dlamini</t>
  </si>
  <si>
    <t>26°47'05.7"S 30°52'04.4"E</t>
  </si>
  <si>
    <t>Gladice Mdluli</t>
  </si>
  <si>
    <t>26°46'36.0"S 30°52'55.8"E</t>
  </si>
  <si>
    <t>Vinnah Motsa</t>
  </si>
  <si>
    <t>26°46'52.6"S 30°53'10.5"E</t>
  </si>
  <si>
    <t>Ngingi Motsa</t>
  </si>
  <si>
    <t>26°46'41.1"S 30°52'43.4"E</t>
  </si>
  <si>
    <t>Ndumiso Dlamini</t>
  </si>
  <si>
    <t>Sum Investments</t>
  </si>
  <si>
    <t>ONE BOY ZIKALALA</t>
  </si>
  <si>
    <t>Simunye</t>
  </si>
  <si>
    <t>Umnotfo Association</t>
  </si>
  <si>
    <t>Eswatini Building society</t>
  </si>
  <si>
    <t xml:space="preserve">Daniel Zikalala </t>
  </si>
  <si>
    <t>Forgive Zikalala</t>
  </si>
  <si>
    <t>Hlengiwe Mhlanga</t>
  </si>
  <si>
    <t>sifiso kunene</t>
  </si>
  <si>
    <t>Glory Hlophe</t>
  </si>
  <si>
    <t xml:space="preserve">Mbutwana Dlamini </t>
  </si>
  <si>
    <t>Roy Mbetse</t>
  </si>
  <si>
    <t xml:space="preserve">Mayibongwe Ndlangamandla </t>
  </si>
  <si>
    <t xml:space="preserve">Enoch Dlamini </t>
  </si>
  <si>
    <t>Dumsani Dlamini</t>
  </si>
  <si>
    <t>maltha Dvuba</t>
  </si>
  <si>
    <t xml:space="preserve">Bethina Dlamini </t>
  </si>
  <si>
    <t xml:space="preserve">mavela Dlamini </t>
  </si>
  <si>
    <t>Delsile Dlamini</t>
  </si>
  <si>
    <t>Evelyn Dlamini</t>
  </si>
  <si>
    <t>lulu maseko</t>
  </si>
  <si>
    <t xml:space="preserve">Elizabeth Dlamini </t>
  </si>
  <si>
    <t xml:space="preserve">Evelyn Shongwe </t>
  </si>
  <si>
    <t xml:space="preserve">Nelsiwe Bhembe </t>
  </si>
  <si>
    <t xml:space="preserve">Thembi Dlamini </t>
  </si>
  <si>
    <t xml:space="preserve">Rose Dlamini </t>
  </si>
  <si>
    <t xml:space="preserve">Bongani Sibisi </t>
  </si>
  <si>
    <t xml:space="preserve">Elder zwane </t>
  </si>
  <si>
    <t xml:space="preserve">Sindi Zikalala </t>
  </si>
  <si>
    <t xml:space="preserve">Ntokozo Zikalala </t>
  </si>
  <si>
    <t xml:space="preserve">Ruben Zwane </t>
  </si>
  <si>
    <t xml:space="preserve">Elizabeth Zikalala </t>
  </si>
  <si>
    <t xml:space="preserve">Nkhosinathi zwane </t>
  </si>
  <si>
    <t xml:space="preserve">Jabulane Zikalala </t>
  </si>
  <si>
    <t xml:space="preserve">Ellen mbuli </t>
  </si>
  <si>
    <t xml:space="preserve">Mebra zikalala </t>
  </si>
  <si>
    <t xml:space="preserve">Mphohlo mabuza </t>
  </si>
  <si>
    <t xml:space="preserve">Sabathia mamba </t>
  </si>
  <si>
    <t xml:space="preserve">Bheki kunene </t>
  </si>
  <si>
    <t xml:space="preserve">Joseph Zikalala </t>
  </si>
  <si>
    <t>Bongani Mngometulu</t>
  </si>
  <si>
    <t>Samkelisiwe Pertunia Hlophe</t>
  </si>
  <si>
    <t>Nhlangano code</t>
  </si>
  <si>
    <t>Jame Simelane</t>
  </si>
  <si>
    <t>25/11/23</t>
  </si>
  <si>
    <t>Mkhetsile Mkhaliphi</t>
  </si>
  <si>
    <t>Josephina Nzima</t>
  </si>
  <si>
    <t>Elizabeth Nzima</t>
  </si>
  <si>
    <t xml:space="preserve">Lindiwe Mlotshwa </t>
  </si>
  <si>
    <t>Khayalethu Nzima</t>
  </si>
  <si>
    <t>Sibongile Magagula</t>
  </si>
  <si>
    <t>Sipho Simelane</t>
  </si>
  <si>
    <t>Senteni Lukhele</t>
  </si>
  <si>
    <t>Lomvimbi Nhlengethwa</t>
  </si>
  <si>
    <t>Sabelo Nzima</t>
  </si>
  <si>
    <t>Sandile Nzima</t>
  </si>
  <si>
    <t>Khangezile Nzima</t>
  </si>
  <si>
    <t>Samkelo Masuku</t>
  </si>
  <si>
    <t>MadlenkosiNhlengethwa</t>
  </si>
  <si>
    <t>27/11/23</t>
  </si>
  <si>
    <t>Bonginkosi Nhlengethwa</t>
  </si>
  <si>
    <t>Bandile Masuku</t>
  </si>
  <si>
    <t>Sfiso Khumalo</t>
  </si>
  <si>
    <t>Fana Mbhamali</t>
  </si>
  <si>
    <t>Winile Nhleko</t>
  </si>
  <si>
    <t>Khulekani Dlamini</t>
  </si>
  <si>
    <t>Gugu Mkhabela</t>
  </si>
  <si>
    <t>Nothando Mkhaliphi</t>
  </si>
  <si>
    <t>Gcinekile Dlamini</t>
  </si>
  <si>
    <t>Gcebile Dlamini</t>
  </si>
  <si>
    <t>28/11/23</t>
  </si>
  <si>
    <t>Augastine Manana</t>
  </si>
  <si>
    <t>Phila Nzima</t>
  </si>
  <si>
    <t>Gcinaphi Shabangu</t>
  </si>
  <si>
    <t>Nelsiwe Shabangu</t>
  </si>
  <si>
    <t>Victor Dlamini</t>
  </si>
  <si>
    <t>Mbowane Primary schoo</t>
  </si>
  <si>
    <t>29/11/23</t>
  </si>
  <si>
    <t>Jabulile Mkhwanazi</t>
  </si>
  <si>
    <t>Mcuba ICBC</t>
  </si>
  <si>
    <t>Make LaZika</t>
  </si>
  <si>
    <t>Makwa Sizolwethu</t>
  </si>
  <si>
    <t>Makwa Sisi</t>
  </si>
  <si>
    <t>LaTfwala</t>
  </si>
  <si>
    <t>Bhoyi</t>
  </si>
  <si>
    <t>Landzimandze</t>
  </si>
  <si>
    <t>Nigros</t>
  </si>
  <si>
    <t>Make LaBhembhe</t>
  </si>
  <si>
    <t>Make LaMasuku</t>
  </si>
  <si>
    <t>Make LaMatsaba</t>
  </si>
  <si>
    <t>Erick Tsabedze</t>
  </si>
  <si>
    <t>Simphiwe Tsabedze</t>
  </si>
  <si>
    <t>Giny Shongwe</t>
  </si>
  <si>
    <t>Make LaNdzimandze</t>
  </si>
  <si>
    <t>Mahamba Kancane</t>
  </si>
  <si>
    <t xml:space="preserve">Sizakele </t>
  </si>
  <si>
    <t>Makwa Lethu</t>
  </si>
  <si>
    <t>Makwa Melusi</t>
  </si>
  <si>
    <t>Juu Shabangu</t>
  </si>
  <si>
    <t>Mlungisi Kunene</t>
  </si>
  <si>
    <t>Msehleni Magagula</t>
  </si>
  <si>
    <t>Wandile Dlamini</t>
  </si>
  <si>
    <t>Makwa SIhle</t>
  </si>
  <si>
    <t>Gogo Phindile</t>
  </si>
  <si>
    <t>Makwa Mkhulisi</t>
  </si>
  <si>
    <t>Makwa Sdudla</t>
  </si>
  <si>
    <t>Gogo Mdluli</t>
  </si>
  <si>
    <t>MaChawe Kunene</t>
  </si>
  <si>
    <t>14/11/23</t>
  </si>
  <si>
    <t>Makwa MdaMara</t>
  </si>
  <si>
    <t>LaMaphanga</t>
  </si>
  <si>
    <t>Makwa Sibonelo</t>
  </si>
  <si>
    <t>Makwa Dudla</t>
  </si>
  <si>
    <t>LaMavuso</t>
  </si>
  <si>
    <t>Makwa Mthokwane</t>
  </si>
  <si>
    <t>Fanono Shongwe</t>
  </si>
  <si>
    <t>Mbhekeleni Matsebula</t>
  </si>
  <si>
    <t>Mlungisi Matsebula</t>
  </si>
  <si>
    <t>Ncobile Shongwe</t>
  </si>
  <si>
    <t>13/10/23</t>
  </si>
  <si>
    <t>Makwe titfombi</t>
  </si>
  <si>
    <t>Make LaMabuza</t>
  </si>
  <si>
    <t>Gogo fakudze</t>
  </si>
  <si>
    <t>Mlindazwe ICBC</t>
  </si>
  <si>
    <t>Phendulile Mlangeni</t>
  </si>
  <si>
    <t xml:space="preserve">Ewallet: 76576977 </t>
  </si>
  <si>
    <t>Church Field</t>
  </si>
  <si>
    <t>18.10.23</t>
  </si>
  <si>
    <t>1700hrs</t>
  </si>
  <si>
    <t>26°29'26.1"S 30°53'29.5"E</t>
  </si>
  <si>
    <t>Dolane Masuku-Dlamini</t>
  </si>
  <si>
    <t>No cellphone</t>
  </si>
  <si>
    <t>19.10.23</t>
  </si>
  <si>
    <t>0838hrs</t>
  </si>
  <si>
    <t>1038hrs</t>
  </si>
  <si>
    <t>26°29'23.1"S 30°52'14.1"E</t>
  </si>
  <si>
    <t>Umphakatsi</t>
  </si>
  <si>
    <t>1142hrs</t>
  </si>
  <si>
    <t>1242hrs</t>
  </si>
  <si>
    <t>26°29'08.2"S 30°53'00.9"E</t>
  </si>
  <si>
    <t>Zwane Lucky esitolo</t>
  </si>
  <si>
    <t>20.10.23</t>
  </si>
  <si>
    <t>0616hrs</t>
  </si>
  <si>
    <t>0818hrs</t>
  </si>
  <si>
    <t>26°29'02.8"S 30°53'45.9"E</t>
  </si>
  <si>
    <t>Zwane Thobisani</t>
  </si>
  <si>
    <t>1040hrs</t>
  </si>
  <si>
    <t>1140hrs</t>
  </si>
  <si>
    <t>26°29'55.1"S 30°53'04.7"E</t>
  </si>
  <si>
    <t>Masuku Ndoda</t>
  </si>
  <si>
    <t>1256hrs</t>
  </si>
  <si>
    <t>1556hrs</t>
  </si>
  <si>
    <t>26°28'54.0"S 30°53'42.0"E</t>
  </si>
  <si>
    <t>LaNkhosi kaZwane</t>
  </si>
  <si>
    <t>1650hrs</t>
  </si>
  <si>
    <t>1750hrs</t>
  </si>
  <si>
    <t>26°29'02.4"S 30°53'48.2"E</t>
  </si>
  <si>
    <t>Zwane Mgcobela</t>
  </si>
  <si>
    <t>21.10.23</t>
  </si>
  <si>
    <t>0926hrs</t>
  </si>
  <si>
    <t>1126hrs</t>
  </si>
  <si>
    <t>26°29'35.6"S 31°01'00.4"E</t>
  </si>
  <si>
    <t>Zwane Mphumulo</t>
  </si>
  <si>
    <t>1230hrs</t>
  </si>
  <si>
    <t>1530hrs</t>
  </si>
  <si>
    <t>26°29'02.9"S 30°53'52.4"E</t>
  </si>
  <si>
    <t>Makhubu Nelly</t>
  </si>
  <si>
    <t>1950hrs</t>
  </si>
  <si>
    <t>LaMndzebele Ka Zwane</t>
  </si>
  <si>
    <t>23.10.23</t>
  </si>
  <si>
    <t>1310hrs</t>
  </si>
  <si>
    <t>Gogo Makhubu</t>
  </si>
  <si>
    <t>0957hrs</t>
  </si>
  <si>
    <t>1057hrs</t>
  </si>
  <si>
    <t>Gogo Phakathi</t>
  </si>
  <si>
    <t>1200hrs</t>
  </si>
  <si>
    <t>Seyama Mfanzile</t>
  </si>
  <si>
    <t>1330hrs</t>
  </si>
  <si>
    <t>Lokotfwako Khalebusuku</t>
  </si>
  <si>
    <t>01.11.23</t>
  </si>
  <si>
    <t>0940hrs</t>
  </si>
  <si>
    <t>Lokotfwako Lomathemba</t>
  </si>
  <si>
    <t>1106hrs</t>
  </si>
  <si>
    <t>1206hrs</t>
  </si>
  <si>
    <t>Lokotfwako Khabo Sibahle</t>
  </si>
  <si>
    <t>01.01.23</t>
  </si>
  <si>
    <t>1211hrs</t>
  </si>
  <si>
    <t>1311hrs</t>
  </si>
  <si>
    <t>Nkhambule Majority</t>
  </si>
  <si>
    <t>1334hrs</t>
  </si>
  <si>
    <t>1434hrs</t>
  </si>
  <si>
    <t>Shabangu Lucky</t>
  </si>
  <si>
    <t>1450hrs</t>
  </si>
  <si>
    <t>1550hrs</t>
  </si>
  <si>
    <t>Shabangu KhaboLucky</t>
  </si>
  <si>
    <t>1559hrs</t>
  </si>
  <si>
    <t>1659hrs</t>
  </si>
  <si>
    <t>Zodwa Mahlaba</t>
  </si>
  <si>
    <t>1704hrs</t>
  </si>
  <si>
    <t>1804hrs</t>
  </si>
  <si>
    <t>1820hrs</t>
  </si>
  <si>
    <t>1920hrs</t>
  </si>
  <si>
    <t>Make Makhanya ka Sacolo</t>
  </si>
  <si>
    <t>02.11.23</t>
  </si>
  <si>
    <t>0835hrs</t>
  </si>
  <si>
    <t>1035hrs</t>
  </si>
  <si>
    <t>Mr Magutjwa</t>
  </si>
  <si>
    <t>1336hrs</t>
  </si>
  <si>
    <t>1337hrs</t>
  </si>
  <si>
    <t>Gogo Seyama</t>
  </si>
  <si>
    <t>1326hrs</t>
  </si>
  <si>
    <t>1526hrs</t>
  </si>
  <si>
    <t>Peggy Ngwenya</t>
  </si>
  <si>
    <t>03.11.23</t>
  </si>
  <si>
    <t>0900hrs</t>
  </si>
  <si>
    <t>1100hrs</t>
  </si>
  <si>
    <t>Mr Dladla</t>
  </si>
  <si>
    <t>04.11.23</t>
  </si>
  <si>
    <t>Zwane Gogo Dludlu</t>
  </si>
  <si>
    <t>06.11.23</t>
  </si>
  <si>
    <t>0800hrs</t>
  </si>
  <si>
    <t>1000hrs</t>
  </si>
  <si>
    <t>Zwane LaMkhonta</t>
  </si>
  <si>
    <t>09.11.23</t>
  </si>
  <si>
    <t>1030hrs</t>
  </si>
  <si>
    <t>Gogo Zwane kaNgwenya</t>
  </si>
  <si>
    <t>10.11.23</t>
  </si>
  <si>
    <t>0825hrs</t>
  </si>
  <si>
    <t>0925hrs</t>
  </si>
  <si>
    <t>KaDlamini KhaboMumcy</t>
  </si>
  <si>
    <t>15.11.23</t>
  </si>
  <si>
    <t>Mhlangatane ICBC</t>
  </si>
  <si>
    <t>Nhlanhla Tfwala</t>
  </si>
  <si>
    <t xml:space="preserve">Sincengile Dlamini  </t>
  </si>
  <si>
    <t>Make Sibongile Makhabane</t>
  </si>
  <si>
    <t>25°51'19.1"S 31°35'55.8"E</t>
  </si>
  <si>
    <t>Bhaleni Makhabane</t>
  </si>
  <si>
    <t>Make Thembi Makhabane</t>
  </si>
  <si>
    <t>25°51'35.1"S 31°34'50.5"E</t>
  </si>
  <si>
    <t>Babe Lusongo Magagula</t>
  </si>
  <si>
    <t>Babe Sibhayane</t>
  </si>
  <si>
    <t>Babe Bhekithemba Sibule</t>
  </si>
  <si>
    <t>26°01'00.1"S 31°32'44.7"E</t>
  </si>
  <si>
    <t>Babe Lusentfo Sibule</t>
  </si>
  <si>
    <t>26°01'29.2"S 31°37'56.7"E</t>
  </si>
  <si>
    <t xml:space="preserve">Babe Ngisane Makhabane </t>
  </si>
  <si>
    <t xml:space="preserve">Bongiwe Gumedze </t>
  </si>
  <si>
    <t>Sithembiso Ndwandwa</t>
  </si>
  <si>
    <t>Sibusiso Ntjalintjali</t>
  </si>
  <si>
    <t>25°52'03.5"S 31°34'36.4"E</t>
  </si>
  <si>
    <t>Make Magagula (LaTsabedze)</t>
  </si>
  <si>
    <t>25°52'43.0"S 31°34'15.9"E</t>
  </si>
  <si>
    <t>Gogo Sehlephi Magagula</t>
  </si>
  <si>
    <t>Make Magagula</t>
  </si>
  <si>
    <t>25°48'54.2"S 31°24'51.3"E</t>
  </si>
  <si>
    <t>Make Simangele Matsaba</t>
  </si>
  <si>
    <t xml:space="preserve">Gogo Silawula(laLuhlanga) </t>
  </si>
  <si>
    <t>25°51'11.2"S 31°33'56.6"E</t>
  </si>
  <si>
    <t>Gogo Rose Sibiya</t>
  </si>
  <si>
    <t xml:space="preserve">Babe Themba Gina </t>
  </si>
  <si>
    <t>Gogo Gumedze(laHlebeya)</t>
  </si>
  <si>
    <t>25°51'57.2"S 31°34'48.0"E</t>
  </si>
  <si>
    <t>Babe Aaron Matsaba</t>
  </si>
  <si>
    <t>Make Thabitha Malambe</t>
  </si>
  <si>
    <t>Babe Vusi Mabila</t>
  </si>
  <si>
    <t>Babe Mfanawendlela Silawula</t>
  </si>
  <si>
    <t>25°51'58.0"S 31°34'49.2"E</t>
  </si>
  <si>
    <t>Make Zodwa Gumedze</t>
  </si>
  <si>
    <t>Make Cinisile Magagula</t>
  </si>
  <si>
    <t>Make Siphiwe Kunene</t>
  </si>
  <si>
    <t>Make Nonhlanla Sigudla</t>
  </si>
  <si>
    <t>Babe Dumisa Ndzimandze</t>
  </si>
  <si>
    <t>Make Khulile Genge</t>
  </si>
  <si>
    <t>Make Delisile Ndzinisa</t>
  </si>
  <si>
    <t>Make Phumzile Manana</t>
  </si>
  <si>
    <t xml:space="preserve">Babe Ndukwane Matsaba </t>
  </si>
  <si>
    <t>Babe Mpumelelo Mlambo</t>
  </si>
  <si>
    <t>25°50'59.8"S 31°34'09.4"E</t>
  </si>
  <si>
    <t>Make Miriam Masuku</t>
  </si>
  <si>
    <t>25°52'02.6"S 31°34'35.1"E</t>
  </si>
  <si>
    <t>Make Zodwa Dlamini</t>
  </si>
  <si>
    <t>Make Dumsile Mahlalela</t>
  </si>
  <si>
    <t>25°52'49.0"S 31°34'15.9"E</t>
  </si>
  <si>
    <t>Babe Sidumo Luhlanga</t>
  </si>
  <si>
    <t>Make Lindiwe Mahlalela</t>
  </si>
  <si>
    <t>Gogo Phatsane Shongwe</t>
  </si>
  <si>
    <t>Babe Samson Solombo</t>
  </si>
  <si>
    <t>25°51'59.2"S 31°34'49.2"E</t>
  </si>
  <si>
    <t>Make Nelisiwe Methula</t>
  </si>
  <si>
    <t xml:space="preserve">Make Nelisiwe Methula </t>
  </si>
  <si>
    <t xml:space="preserve">Make Evelyn Dlamini </t>
  </si>
  <si>
    <t>Babe Hezekiah Gumedze</t>
  </si>
  <si>
    <t xml:space="preserve">Babe Nelson Dlamini </t>
  </si>
  <si>
    <t>25°54'08.1"S 31°34'48.0"E</t>
  </si>
  <si>
    <t>Pastor Nhlanhla Tfwala</t>
  </si>
  <si>
    <t>7612 2360</t>
  </si>
  <si>
    <t>25°50'59.7"S 31°34'09.4"E</t>
  </si>
  <si>
    <t>Mpuluzi ICBC</t>
  </si>
  <si>
    <t>Sibusiso Ndlangamandla</t>
  </si>
  <si>
    <t>Mr Jan Dube</t>
  </si>
  <si>
    <t>16:00PM</t>
  </si>
  <si>
    <t>Gogo Simelane</t>
  </si>
  <si>
    <t>Make Dlamini laMkhonta</t>
  </si>
  <si>
    <t>Make Zwane laSimelane</t>
  </si>
  <si>
    <t>Make Nhlengetfwa</t>
  </si>
  <si>
    <t>Make Magongo</t>
  </si>
  <si>
    <t>Babe Mkhonta</t>
  </si>
  <si>
    <t>Babe Mnisi</t>
  </si>
  <si>
    <t>Make Dludlu</t>
  </si>
  <si>
    <t>Babe Nhlengetfwa</t>
  </si>
  <si>
    <t>Mkhulu Nhlebeya</t>
  </si>
  <si>
    <t>Babe Ngozo</t>
  </si>
  <si>
    <t>Babe Ngozo 2</t>
  </si>
  <si>
    <t xml:space="preserve"> Gogo Sithole</t>
  </si>
  <si>
    <t>Babe Dludlu</t>
  </si>
  <si>
    <t>23/11/23</t>
  </si>
  <si>
    <t>Mkhulu Dludlu</t>
  </si>
  <si>
    <t>Sibongeleni Nhlengetfwa</t>
  </si>
  <si>
    <t>Babe Mhlongo</t>
  </si>
  <si>
    <t>Babe Maseko</t>
  </si>
  <si>
    <t>Msahweni ICBC</t>
  </si>
  <si>
    <t>Themba Shabangu</t>
  </si>
  <si>
    <t xml:space="preserve">Standard Bank </t>
  </si>
  <si>
    <t>CHC mission field</t>
  </si>
  <si>
    <t>25°49'57.3"S 31°23'33.7"E</t>
  </si>
  <si>
    <t>Mrs Gumedze</t>
  </si>
  <si>
    <t>Mbongiseni Tfwala</t>
  </si>
  <si>
    <t>Zwelithini Tfwala</t>
  </si>
  <si>
    <t>Happy Mavuso</t>
  </si>
  <si>
    <t>Make Ndwandwe</t>
  </si>
  <si>
    <t>Zakhele Madonsela</t>
  </si>
  <si>
    <t>25°48'54.5"S 31°24'50.7"E</t>
  </si>
  <si>
    <t>Mancoba Gwebu</t>
  </si>
  <si>
    <t>25°48'54.1"S 31°24'51.3"E</t>
  </si>
  <si>
    <t>Gogo Shongwe</t>
  </si>
  <si>
    <t>Gogo Ndlela</t>
  </si>
  <si>
    <t>Johaness Dzimba</t>
  </si>
  <si>
    <t>13:25 PM</t>
  </si>
  <si>
    <t xml:space="preserve">14: 30PM </t>
  </si>
  <si>
    <t>25°48'22.8"S 31°28'31.1"E</t>
  </si>
  <si>
    <t>Gogo LaFofo</t>
  </si>
  <si>
    <t>14:50 PM</t>
  </si>
  <si>
    <t>15:51 PM</t>
  </si>
  <si>
    <t>25°48'28.9"S 31°28'33.5"E</t>
  </si>
  <si>
    <t>Mzwandile Kunene</t>
  </si>
  <si>
    <t>19:40 PM</t>
  </si>
  <si>
    <t>20:50 PM</t>
  </si>
  <si>
    <t>25°50'26.8"S 31°23'38.2"E</t>
  </si>
  <si>
    <t>Make Malambe</t>
  </si>
  <si>
    <t>25°48'33.1"S 31°28'33.3"E</t>
  </si>
  <si>
    <t>Make Kunene</t>
  </si>
  <si>
    <t>25°48'33.0"S 31°28'33.3"E</t>
  </si>
  <si>
    <t>Wandile Mdluli</t>
  </si>
  <si>
    <t>25°49'53.8"S 31°23'35.3"E</t>
  </si>
  <si>
    <t>Mandla Mdluli</t>
  </si>
  <si>
    <t>Joseph Dube</t>
  </si>
  <si>
    <t>25°49'36.4"S 31°23'44.9"E</t>
  </si>
  <si>
    <t>Gogo Khelina</t>
  </si>
  <si>
    <t>Gogo Gwadze</t>
  </si>
  <si>
    <t>25°50'12.4"S 31°23'43.8"E</t>
  </si>
  <si>
    <t>Gogo Luhlanga</t>
  </si>
  <si>
    <t>25°48'36.6"S 31°25'27.4"E</t>
  </si>
  <si>
    <t>Elliot Mamba</t>
  </si>
  <si>
    <t>25°46'09.2"S 31°35'13.6"E</t>
  </si>
  <si>
    <t>Joyce Gwebu</t>
  </si>
  <si>
    <t>Simangele Shongwe</t>
  </si>
  <si>
    <t>Thandi Dlamini</t>
  </si>
  <si>
    <t>25°50'12.3"S 31°23'43.6"E</t>
  </si>
  <si>
    <t>Zweli mamba</t>
  </si>
  <si>
    <t>25°49'54.0"S 31°23'35.4"E</t>
  </si>
  <si>
    <t>Gogo Vilakati</t>
  </si>
  <si>
    <t>25°50'08.4"S 31°23'43.5"E</t>
  </si>
  <si>
    <t>Babe Magagula</t>
  </si>
  <si>
    <t>18:10 PM</t>
  </si>
  <si>
    <t>19:10 PM</t>
  </si>
  <si>
    <t>Make Tfwala</t>
  </si>
  <si>
    <t>25°48'54.1"S 31°24'51.5"E</t>
  </si>
  <si>
    <t>Nkizane Tfwala</t>
  </si>
  <si>
    <t>25°48'53.8"S 31°24'52.0"E</t>
  </si>
  <si>
    <t>T.N Masilela</t>
  </si>
  <si>
    <t>25°47'30.9"S 31°27'50.6"E</t>
  </si>
  <si>
    <t>Celiwe Masilela</t>
  </si>
  <si>
    <t>25°46'57.0"S 31°28'27.8"E</t>
  </si>
  <si>
    <t>Alias Vilane</t>
  </si>
  <si>
    <t>25°49'33.8"S 31°23'46.8"E</t>
  </si>
  <si>
    <t>James Vilane</t>
  </si>
  <si>
    <t>25°49'35.3"S 31°23'45.4"E</t>
  </si>
  <si>
    <t>Gogo Magongo</t>
  </si>
  <si>
    <t>25°50'10.9"S 31°23'37.3"E</t>
  </si>
  <si>
    <t>Babe Masilela</t>
  </si>
  <si>
    <t>25°46'46.4"S 31°27'58.3"E</t>
  </si>
  <si>
    <t>Babe Matfunjwa</t>
  </si>
  <si>
    <t>25°48'44.8"S 31°24'56.1"E</t>
  </si>
  <si>
    <t>Gogo Mndzawe</t>
  </si>
  <si>
    <t>25°47'17.3"S 31°28'17.4"E</t>
  </si>
  <si>
    <t>Gogo Lasimuka</t>
  </si>
  <si>
    <t>T.Z Shabangu</t>
  </si>
  <si>
    <t>Nyathela ICBC</t>
  </si>
  <si>
    <t xml:space="preserve">Velaphi Sithole </t>
  </si>
  <si>
    <t>E-wallet: 7695 8978</t>
  </si>
  <si>
    <t xml:space="preserve">Make Vilane </t>
  </si>
  <si>
    <t>Babe Simelane</t>
  </si>
  <si>
    <t>Make Mayisela</t>
  </si>
  <si>
    <t>13:23PM</t>
  </si>
  <si>
    <t>Gelane Shiba</t>
  </si>
  <si>
    <t>22/10/23 0800hrs</t>
  </si>
  <si>
    <t>22/10/23 1000hrs</t>
  </si>
  <si>
    <t xml:space="preserve">Bonsile Longwe </t>
  </si>
  <si>
    <t>22/10/23  0630hrs</t>
  </si>
  <si>
    <t>22/10/23  0730hrs</t>
  </si>
  <si>
    <t xml:space="preserve">Make Shiba </t>
  </si>
  <si>
    <t xml:space="preserve">Make LaMathonsi </t>
  </si>
  <si>
    <t xml:space="preserve">LaZungu kaMatsenjwa </t>
  </si>
  <si>
    <t>21/10/32  0830hr</t>
  </si>
  <si>
    <t>21/10/23  1230hrs</t>
  </si>
  <si>
    <t xml:space="preserve">Sibongile Ndzinisa </t>
  </si>
  <si>
    <t xml:space="preserve">Zinhle Vilane </t>
  </si>
  <si>
    <t>13:45 PM</t>
  </si>
  <si>
    <t>14:47PM</t>
  </si>
  <si>
    <t>Maria Shongwe</t>
  </si>
  <si>
    <t xml:space="preserve">Linda Magongo </t>
  </si>
  <si>
    <t xml:space="preserve">Phindile Matfonsi </t>
  </si>
  <si>
    <t>King Ndzinisa</t>
  </si>
  <si>
    <t xml:space="preserve">Mr Dlamini </t>
  </si>
  <si>
    <t xml:space="preserve"> LaMalwane kaShiba</t>
  </si>
  <si>
    <t>Phindile Matfonsi</t>
  </si>
  <si>
    <t>Zinhle Vilane</t>
  </si>
  <si>
    <t>1130hrs</t>
  </si>
  <si>
    <t>1234hrs</t>
  </si>
  <si>
    <t>Make Tsabedze</t>
  </si>
  <si>
    <t>Make Shongwe</t>
  </si>
  <si>
    <t>Make Vilane</t>
  </si>
  <si>
    <t xml:space="preserve"> Gogo Matsaba</t>
  </si>
  <si>
    <t>Make Mkhwanazi</t>
  </si>
  <si>
    <t>Mr Matsenjwa</t>
  </si>
  <si>
    <t>Gogo Matsebula Dlamini</t>
  </si>
  <si>
    <t>Themba Matsebula</t>
  </si>
  <si>
    <t>Zandile Ndzinisa</t>
  </si>
  <si>
    <t>Sibongile Ndzinisa</t>
  </si>
  <si>
    <t>Make La Dupont</t>
  </si>
  <si>
    <t xml:space="preserve">15:00 PM
</t>
  </si>
  <si>
    <t xml:space="preserve">16:07 PM
</t>
  </si>
  <si>
    <t>Ngwempisi ICBC</t>
  </si>
  <si>
    <t xml:space="preserve">Thulani Mngometulu </t>
  </si>
  <si>
    <t>Machuzu Hlwatsane Dlamini</t>
  </si>
  <si>
    <t>Tekuphela Beauty Thwala</t>
  </si>
  <si>
    <t>Hlophe Nkhinkho</t>
  </si>
  <si>
    <t>24/10/23</t>
  </si>
  <si>
    <t>Hlophe Gamalakhe</t>
  </si>
  <si>
    <t xml:space="preserve">Vilakati Sindi </t>
  </si>
  <si>
    <t>Manyatsi Zikhanya</t>
  </si>
  <si>
    <t>Hlophe Andile</t>
  </si>
  <si>
    <t>Mavimbela Thandi</t>
  </si>
  <si>
    <t xml:space="preserve">MalingaEllen </t>
  </si>
  <si>
    <t>Mavimbela Eunice</t>
  </si>
  <si>
    <t>Simelane Madzandza</t>
  </si>
  <si>
    <t>Mthunzi Hlophe</t>
  </si>
  <si>
    <t>Ndwandwe Lencane</t>
  </si>
  <si>
    <t>Hlophe Nomcebo</t>
  </si>
  <si>
    <t>Ndzima Cebi</t>
  </si>
  <si>
    <t xml:space="preserve">Magagula Sihle </t>
  </si>
  <si>
    <t>Dlamini Mgalajelwa</t>
  </si>
  <si>
    <t>Lindoh Dlamini</t>
  </si>
  <si>
    <t>Lankosh Dlamini</t>
  </si>
  <si>
    <t>Nosipho Dlamini</t>
  </si>
  <si>
    <t xml:space="preserve">Manana Ellie </t>
  </si>
  <si>
    <t>Vilakati Sandziso</t>
  </si>
  <si>
    <t>Dlamini Bulelo</t>
  </si>
  <si>
    <t>Bhembe Nothando</t>
  </si>
  <si>
    <t>Manyatsi Madzandza</t>
  </si>
  <si>
    <t>Ellen Hlophe</t>
  </si>
  <si>
    <t>Gcina Matsebula</t>
  </si>
  <si>
    <t>Nsubane ICBC</t>
  </si>
  <si>
    <t>Ncamsile Ndwandwe</t>
  </si>
  <si>
    <t>Hezekiel S. Dlamini</t>
  </si>
  <si>
    <t xml:space="preserve">Khanyisile </t>
  </si>
  <si>
    <t>13:35 PM</t>
  </si>
  <si>
    <t>16:44 PM</t>
  </si>
  <si>
    <t>Thulisile</t>
  </si>
  <si>
    <t>Regina</t>
  </si>
  <si>
    <t>Bongani</t>
  </si>
  <si>
    <t>Skhumbuzo</t>
  </si>
  <si>
    <t>Doris</t>
  </si>
  <si>
    <t>Nombuso</t>
  </si>
  <si>
    <t>Thulile</t>
  </si>
  <si>
    <t>Fikile</t>
  </si>
  <si>
    <t>Mthembeni</t>
  </si>
  <si>
    <t>Lindani</t>
  </si>
  <si>
    <t>Roster</t>
  </si>
  <si>
    <t>Sibonelo</t>
  </si>
  <si>
    <t>Winile</t>
  </si>
  <si>
    <t>Nombuso Gina</t>
  </si>
  <si>
    <t>Khanyisille Gina</t>
  </si>
  <si>
    <t>22/11/23</t>
  </si>
  <si>
    <t>Tobhi Gina</t>
  </si>
  <si>
    <t>Khanyisile Ndwandwe</t>
  </si>
  <si>
    <t>Martha Dlamini</t>
  </si>
  <si>
    <t>24/11/23</t>
  </si>
  <si>
    <t>Thoko Nhleko</t>
  </si>
  <si>
    <t>Thulisile Mabaso</t>
  </si>
  <si>
    <t>Maggie Gina</t>
  </si>
  <si>
    <t>Rejoice Mkhatshwa</t>
  </si>
  <si>
    <t>Sibovini ICBC</t>
  </si>
  <si>
    <t>Nhlakanipho Sandile Sibandze</t>
  </si>
  <si>
    <r>
      <rPr>
        <rFont val="Times New Roman"/>
        <color theme="1"/>
        <sz val="11.0"/>
      </rPr>
      <t xml:space="preserve">E-wallet: </t>
    </r>
    <r>
      <rPr>
        <rFont val="Times New Roman"/>
        <b/>
        <color theme="1"/>
        <sz val="11.0"/>
      </rPr>
      <t>+268 7641 7244</t>
    </r>
  </si>
  <si>
    <t>Ntombiyezulu Lukhele</t>
  </si>
  <si>
    <t>Nkosinathi Ntjangasi</t>
  </si>
  <si>
    <t>Khanyisile Gwebu</t>
  </si>
  <si>
    <t>Regina Gwebu</t>
  </si>
  <si>
    <t>Ruth Lukhele</t>
  </si>
  <si>
    <t>Gogo Mkhwanazi</t>
  </si>
  <si>
    <t>Gogo Nkhambule</t>
  </si>
  <si>
    <t>Macrestu Gamedze</t>
  </si>
  <si>
    <t>Cebile Gamedze</t>
  </si>
  <si>
    <t>Babe Matsenjwa</t>
  </si>
  <si>
    <t>Babe Nkhambule</t>
  </si>
  <si>
    <t>Lindiwe Mkoko</t>
  </si>
  <si>
    <t>Siboni Nyjangasi</t>
  </si>
  <si>
    <t>Sipho Vilakati</t>
  </si>
  <si>
    <t>Beauty Vilakati</t>
  </si>
  <si>
    <t>Thulile Gwebu</t>
  </si>
  <si>
    <t>Mahawukela Gamedze</t>
  </si>
  <si>
    <t>Phindile Matsenjwa</t>
  </si>
  <si>
    <t>Gogo Nkhosi</t>
  </si>
  <si>
    <t>Eliot Myeni</t>
  </si>
  <si>
    <t>Gugu Dlamini</t>
  </si>
  <si>
    <t>Babe Mdluli</t>
  </si>
  <si>
    <t>Dudu Maziya</t>
  </si>
  <si>
    <t>LaManyatsi</t>
  </si>
  <si>
    <t>Make LaNdlovu</t>
  </si>
  <si>
    <t>Nobuhle Maziya</t>
  </si>
  <si>
    <t>Ayida maziya</t>
  </si>
  <si>
    <t>Siphiwe Maziya</t>
  </si>
  <si>
    <t>Dudu Ndzabandzaba</t>
  </si>
  <si>
    <t>Siyaya Msutfu</t>
  </si>
  <si>
    <t>Sigangeni ICBC</t>
  </si>
  <si>
    <t>Bongani Masombuka</t>
  </si>
  <si>
    <t>Asibambaneni Multipurpose co-Operation Society Ltd</t>
  </si>
  <si>
    <t xml:space="preserve"> Building Society</t>
  </si>
  <si>
    <t xml:space="preserve">Umphakatsi </t>
  </si>
  <si>
    <t xml:space="preserve">Timothy Makhanya </t>
  </si>
  <si>
    <t xml:space="preserve">Bagezile Shongwe </t>
  </si>
  <si>
    <t xml:space="preserve">Sicelo Lokotfwako </t>
  </si>
  <si>
    <t xml:space="preserve">Make N Shongwe </t>
  </si>
  <si>
    <t xml:space="preserve">Sam Shongwe </t>
  </si>
  <si>
    <t xml:space="preserve">Sipho Sihlongonyane </t>
  </si>
  <si>
    <t xml:space="preserve">Sipho Shongwe </t>
  </si>
  <si>
    <t xml:space="preserve">Sihwane Ndumiso </t>
  </si>
  <si>
    <t xml:space="preserve">Lindiwe Ginindza </t>
  </si>
  <si>
    <t xml:space="preserve">Shongwe Musa </t>
  </si>
  <si>
    <t xml:space="preserve">Bakangwane Shongwe </t>
  </si>
  <si>
    <t xml:space="preserve">Phephile Mngometulu </t>
  </si>
  <si>
    <t xml:space="preserve">Majaha Shongwe </t>
  </si>
  <si>
    <t xml:space="preserve">Gogo Thandi </t>
  </si>
  <si>
    <t xml:space="preserve">Mbusi Dlamini </t>
  </si>
  <si>
    <t xml:space="preserve">Gogo Bhembhe </t>
  </si>
  <si>
    <t xml:space="preserve">Gcina Zwane </t>
  </si>
  <si>
    <t xml:space="preserve">Phindile Shongwe </t>
  </si>
  <si>
    <t xml:space="preserve">Thamie Shongwe </t>
  </si>
  <si>
    <t xml:space="preserve">Engelina Motsa </t>
  </si>
  <si>
    <t xml:space="preserve">Ivy Masuku </t>
  </si>
  <si>
    <t xml:space="preserve">Makhosonkhe Shongwe </t>
  </si>
  <si>
    <t xml:space="preserve">Melusi Shongwe </t>
  </si>
  <si>
    <t xml:space="preserve">Sonto Maziya </t>
  </si>
  <si>
    <t xml:space="preserve">Shongwe mcondisi </t>
  </si>
  <si>
    <t xml:space="preserve">Zephaniya Dlamini </t>
  </si>
  <si>
    <t xml:space="preserve">Mpile Shongwe </t>
  </si>
  <si>
    <t xml:space="preserve">Tholakele Shongwe </t>
  </si>
  <si>
    <t>Masombuka </t>
  </si>
  <si>
    <t>Sigengeni ICBC</t>
  </si>
  <si>
    <t>Samkeliso Fakudze</t>
  </si>
  <si>
    <t>Nonkululeko Ngwenya</t>
  </si>
  <si>
    <t>Eswatini building society</t>
  </si>
  <si>
    <t xml:space="preserve">Philile Dlamini </t>
  </si>
  <si>
    <t>Sniketiwe Dlamini</t>
  </si>
  <si>
    <t>Phephile Simelane</t>
  </si>
  <si>
    <t>Mathobhi Simelane</t>
  </si>
  <si>
    <t>Lomasontfo Simelane</t>
  </si>
  <si>
    <t>Simile Simelane</t>
  </si>
  <si>
    <t>Nkosi Simelane</t>
  </si>
  <si>
    <t>Phumzile Dvuba</t>
  </si>
  <si>
    <t>Philile Sithole</t>
  </si>
  <si>
    <t>Zandile Mdziniso</t>
  </si>
  <si>
    <t>Phumzile Mndziniso</t>
  </si>
  <si>
    <t>13:50 PM</t>
  </si>
  <si>
    <t>Mduduzi Siziba</t>
  </si>
  <si>
    <t>13/11/2023</t>
  </si>
  <si>
    <t>26°59'27.1"S 31°24'32.0"E</t>
  </si>
  <si>
    <t>Wendy Hlatshwako</t>
  </si>
  <si>
    <t>26°59'28.7"S 31°24'24.5"E</t>
  </si>
  <si>
    <t>Mandla Vilakati</t>
  </si>
  <si>
    <t>Khetsiwe Vilakati</t>
  </si>
  <si>
    <t>Lungile Mdziniso</t>
  </si>
  <si>
    <t>16/11/2023</t>
  </si>
  <si>
    <t>27°00'12.2"S 31°24'08.7"E</t>
  </si>
  <si>
    <t xml:space="preserve">Khetsiwe Vilakati </t>
  </si>
  <si>
    <t>27°00'07.7"S 31°23'46.9"E</t>
  </si>
  <si>
    <t>Thabsile Simelane</t>
  </si>
  <si>
    <t>Sitsabile Dlamini</t>
  </si>
  <si>
    <t xml:space="preserve">Siphiwe Dlamini </t>
  </si>
  <si>
    <t>27°00'06.7"S 31°23'48.4"E</t>
  </si>
  <si>
    <t>Thando Simelane</t>
  </si>
  <si>
    <t xml:space="preserve">Sibongile Mdziniso </t>
  </si>
  <si>
    <t>26°59'58.2"S 31°23'57.5"E</t>
  </si>
  <si>
    <t>Lisaya Vilakati</t>
  </si>
  <si>
    <t>06.00AM</t>
  </si>
  <si>
    <t>26°59'57.9"S 31°24'06.4"E</t>
  </si>
  <si>
    <t>Sehlephi Vilakati</t>
  </si>
  <si>
    <t>27°00'00.1"S 31°24'03.3"E</t>
  </si>
  <si>
    <t>Sibongile Mdziniso</t>
  </si>
  <si>
    <t>Phindile Simelane</t>
  </si>
  <si>
    <t>Dorah Ndlangamandla</t>
  </si>
  <si>
    <t>13:02 PM</t>
  </si>
  <si>
    <t>15:02 PM</t>
  </si>
  <si>
    <t>26°59'59.3"S 31°24'13.1"E</t>
  </si>
  <si>
    <t>Sizakele Gwebu</t>
  </si>
  <si>
    <t>Ntombi Vilakati</t>
  </si>
  <si>
    <t>Sigombeni ICBC</t>
  </si>
  <si>
    <t>Sabelo Molefe</t>
  </si>
  <si>
    <t>Doctor Banda Dlamini</t>
  </si>
  <si>
    <t> 628 241 10879</t>
  </si>
  <si>
    <t xml:space="preserve">Npendulo Jele </t>
  </si>
  <si>
    <t>13.30hrs</t>
  </si>
  <si>
    <t>14.30hrs</t>
  </si>
  <si>
    <t xml:space="preserve">Kukula Gama </t>
  </si>
  <si>
    <t>14.40hrs</t>
  </si>
  <si>
    <t>16.40hrs</t>
  </si>
  <si>
    <t xml:space="preserve">Zenzele Khumalo </t>
  </si>
  <si>
    <t>12.00hrs</t>
  </si>
  <si>
    <t xml:space="preserve">Alex Gama </t>
  </si>
  <si>
    <t>1315hrs</t>
  </si>
  <si>
    <t xml:space="preserve">Make Ti Jele </t>
  </si>
  <si>
    <t>1520hrs</t>
  </si>
  <si>
    <t>1620hrs</t>
  </si>
  <si>
    <t xml:space="preserve">Make Lushaba </t>
  </si>
  <si>
    <t>1720hrs</t>
  </si>
  <si>
    <t>1725hrs</t>
  </si>
  <si>
    <t>1825hrs</t>
  </si>
  <si>
    <t xml:space="preserve">Mfundisi Zanele Dlamini </t>
  </si>
  <si>
    <t xml:space="preserve">Make Dlamini LaShongwe </t>
  </si>
  <si>
    <t>1205hrs</t>
  </si>
  <si>
    <t>1305hrs</t>
  </si>
  <si>
    <t xml:space="preserve">Salebona Simelane </t>
  </si>
  <si>
    <t>0730hrs</t>
  </si>
  <si>
    <t>0830hrs</t>
  </si>
  <si>
    <t xml:space="preserve">Ncobile Simelane </t>
  </si>
  <si>
    <t>0845hrs</t>
  </si>
  <si>
    <t>0945hrs</t>
  </si>
  <si>
    <t xml:space="preserve">Fana Simelane </t>
  </si>
  <si>
    <t>0950hrs</t>
  </si>
  <si>
    <t>Make Simelane</t>
  </si>
  <si>
    <t>1055hrs</t>
  </si>
  <si>
    <t>1355hrs</t>
  </si>
  <si>
    <t xml:space="preserve">Lumbi Dlamini </t>
  </si>
  <si>
    <t>1400hrs</t>
  </si>
  <si>
    <t>Bhekithemba Dlamini</t>
  </si>
  <si>
    <t>1605hrs</t>
  </si>
  <si>
    <t>1705hrs</t>
  </si>
  <si>
    <t>Mabidi  Jele</t>
  </si>
  <si>
    <t>1405hrs</t>
  </si>
  <si>
    <t>1505 hrs</t>
  </si>
  <si>
    <t xml:space="preserve">Lindiwe Jele </t>
  </si>
  <si>
    <t>1510hrs</t>
  </si>
  <si>
    <t>1610hrs</t>
  </si>
  <si>
    <t>Thulani conco</t>
  </si>
  <si>
    <t>1615hrs</t>
  </si>
  <si>
    <t>1815hrs</t>
  </si>
  <si>
    <t xml:space="preserve">Celiwe Kunene </t>
  </si>
  <si>
    <t>Babe Thenasi Dlamini</t>
  </si>
  <si>
    <t>0810hrs</t>
  </si>
  <si>
    <t>0910hrs</t>
  </si>
  <si>
    <t xml:space="preserve">Busi Jele </t>
  </si>
  <si>
    <t>0920hrs</t>
  </si>
  <si>
    <t xml:space="preserve">Bob Jele </t>
  </si>
  <si>
    <t xml:space="preserve">Babe Telegile Hlatjwako </t>
  </si>
  <si>
    <t>1110hrs</t>
  </si>
  <si>
    <t>1210hrs</t>
  </si>
  <si>
    <t xml:space="preserve">Gogo Matse </t>
  </si>
  <si>
    <t>1215hrs</t>
  </si>
  <si>
    <t>1500hrs</t>
  </si>
  <si>
    <t>Babe Boy Dlamini</t>
  </si>
  <si>
    <t>kithemba Dlamini</t>
  </si>
  <si>
    <t>1020hrs</t>
  </si>
  <si>
    <t xml:space="preserve">Dingane Mthethwa </t>
  </si>
  <si>
    <t xml:space="preserve">Mesuli Madzinane </t>
  </si>
  <si>
    <t>1135hrs</t>
  </si>
  <si>
    <t>1235hrs</t>
  </si>
  <si>
    <t xml:space="preserve">Make Malaza </t>
  </si>
  <si>
    <t xml:space="preserve">Mawa Mafisa </t>
  </si>
  <si>
    <t xml:space="preserve">Make Mtsetfwa </t>
  </si>
  <si>
    <t>1525hrs</t>
  </si>
  <si>
    <t>1625hrs</t>
  </si>
  <si>
    <t>1630hrs</t>
  </si>
  <si>
    <t>1730hrs</t>
  </si>
  <si>
    <t xml:space="preserve">Baba Jana </t>
  </si>
  <si>
    <t xml:space="preserve">Nathi Makhukhula </t>
  </si>
  <si>
    <t>1005hrs</t>
  </si>
  <si>
    <t>1105hrs</t>
  </si>
  <si>
    <t xml:space="preserve">Gogo Mamba </t>
  </si>
  <si>
    <t>1220hrs</t>
  </si>
  <si>
    <t xml:space="preserve">Make Mdluli </t>
  </si>
  <si>
    <t>1335hrs</t>
  </si>
  <si>
    <t>1535hrs</t>
  </si>
  <si>
    <t>Phopho Zwane</t>
  </si>
  <si>
    <t>1540hrs</t>
  </si>
  <si>
    <t>1640hrs</t>
  </si>
  <si>
    <t>Babe Mbhiva</t>
  </si>
  <si>
    <t>1645hrs</t>
  </si>
  <si>
    <t>1745hrs</t>
  </si>
  <si>
    <t>1850hrs</t>
  </si>
  <si>
    <t>Esigcaweni ICBC</t>
  </si>
  <si>
    <t xml:space="preserve">Zwelithini Mamba </t>
  </si>
  <si>
    <t>Mfanasibili shongwe</t>
  </si>
  <si>
    <t>Ntsetselelo maseko</t>
  </si>
  <si>
    <t>20/10/23</t>
  </si>
  <si>
    <t>Zanele mkhatjwa</t>
  </si>
  <si>
    <t>Sindi shongwe</t>
  </si>
  <si>
    <t>Phindile Fakudze</t>
  </si>
  <si>
    <t>Thekithemba Ndlandla</t>
  </si>
  <si>
    <t>Mgeja Nkhambule</t>
  </si>
  <si>
    <t>Nkhosinathi Nkhambule</t>
  </si>
  <si>
    <t>Molisi Dlamini</t>
  </si>
  <si>
    <t>Vusimuzi Dlamini</t>
  </si>
  <si>
    <t>Temhlanga sihlongonyane</t>
  </si>
  <si>
    <t>Fikile tfwala</t>
  </si>
  <si>
    <t>Fikelephi shongwe</t>
  </si>
  <si>
    <t>Fodomane Shongwe</t>
  </si>
  <si>
    <t>Maphiwe shongwe</t>
  </si>
  <si>
    <t>Bhelina shongwe</t>
  </si>
  <si>
    <t>Lungile dlamini</t>
  </si>
  <si>
    <t>Nomile dlamini</t>
  </si>
  <si>
    <t>Sandile tfwala</t>
  </si>
  <si>
    <t>Tholakele mawelela</t>
  </si>
  <si>
    <t>Lomagugu hlophe</t>
  </si>
  <si>
    <t>Khalosi hlophe</t>
  </si>
  <si>
    <t>Bhazuka nkhambule</t>
  </si>
  <si>
    <t>Sihle nkhambule</t>
  </si>
  <si>
    <t>Fikile ndzimandze</t>
  </si>
  <si>
    <t>Zwelithini Mamba</t>
  </si>
  <si>
    <t xml:space="preserve">Bonface Mamba  </t>
  </si>
  <si>
    <t xml:space="preserve">Sibongile ndzinisa </t>
  </si>
  <si>
    <t xml:space="preserve">Nonvula tfwala </t>
  </si>
  <si>
    <t xml:space="preserve">Khululiwe nkhambule </t>
  </si>
  <si>
    <t xml:space="preserve">Phumzile Mamba </t>
  </si>
  <si>
    <t xml:space="preserve">Simyon ndlandla </t>
  </si>
  <si>
    <t xml:space="preserve">Phindile ndlandla </t>
  </si>
  <si>
    <t xml:space="preserve">Mabuya ndlandla 1 hour </t>
  </si>
  <si>
    <t xml:space="preserve">Sibongile maseko 1 hour </t>
  </si>
  <si>
    <t xml:space="preserve">Nonhlanhla maseko </t>
  </si>
  <si>
    <t xml:space="preserve">Fana ndlandla 1 hour </t>
  </si>
  <si>
    <t xml:space="preserve">Danyela maseko 1 hour </t>
  </si>
  <si>
    <t xml:space="preserve">Lindiwe maseko 1 hour </t>
  </si>
  <si>
    <t xml:space="preserve">Pristina shongwe 1 hour </t>
  </si>
  <si>
    <t>Zondwako ICBC</t>
  </si>
  <si>
    <t>Jan Dube</t>
  </si>
  <si>
    <t>Babe Nxumalo</t>
  </si>
  <si>
    <t>Make Khumalo</t>
  </si>
  <si>
    <t>Make Bhembe</t>
  </si>
  <si>
    <t>Make Manda</t>
  </si>
  <si>
    <t>Make shabangu</t>
  </si>
  <si>
    <r>
      <rPr>
        <rFont val="Times New Roman"/>
        <color theme="1"/>
        <sz val="9.0"/>
      </rPr>
      <t>79671080</t>
    </r>
    <r>
      <rPr>
        <rFont val="Times New Roman"/>
        <b/>
        <color rgb="FFFF0000"/>
        <sz val="11.0"/>
      </rPr>
      <t>/</t>
    </r>
    <r>
      <rPr>
        <rFont val="Times New Roman"/>
        <color theme="1"/>
        <sz val="9.0"/>
      </rPr>
      <t>78160751</t>
    </r>
  </si>
  <si>
    <t>Make LaSimelane</t>
  </si>
  <si>
    <t>Make Hlophe</t>
  </si>
  <si>
    <t xml:space="preserve">Make Bhila </t>
  </si>
  <si>
    <t>Mfundisi Thwala</t>
  </si>
  <si>
    <t>Make Bhisha</t>
  </si>
  <si>
    <t>Make Ginindza</t>
  </si>
  <si>
    <t>Phiwa Gule</t>
  </si>
  <si>
    <t>Make waCompton</t>
  </si>
  <si>
    <t>Babe Sibandze</t>
  </si>
  <si>
    <t>Zweli Zwane</t>
  </si>
  <si>
    <t>Babe Nkonde</t>
  </si>
  <si>
    <t>Babe Gule</t>
  </si>
  <si>
    <t>Nkosinathi Pro Vilakati</t>
  </si>
  <si>
    <t>Babe Motsa</t>
  </si>
  <si>
    <t>Make Mthembu</t>
  </si>
  <si>
    <t>Make Maseko (Ntolo)</t>
  </si>
  <si>
    <t>Make Matsebula</t>
  </si>
  <si>
    <t>Babe Tsela</t>
  </si>
  <si>
    <t>Babe Taala  (water)</t>
  </si>
  <si>
    <t>Jean Taala</t>
  </si>
  <si>
    <t>Make waMduduzi</t>
  </si>
  <si>
    <t>Nokukhanya Mangwe</t>
  </si>
  <si>
    <t>76706310 / 76342602</t>
  </si>
  <si>
    <t>Mzamo (Dorah Maseko)</t>
  </si>
  <si>
    <t>Chirlies motsa</t>
  </si>
  <si>
    <t>Simangele Mkhonta</t>
  </si>
  <si>
    <t>Umfundisi Bhembe</t>
  </si>
  <si>
    <t>Tiny Dlamini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</si>
</sst>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.00;(#,##0.00)"/>
    <numFmt numFmtId="165" formatCode="dd/mm/yyyy/hh:mm"/>
    <numFmt numFmtId="166" formatCode="h:mm am/pm"/>
    <numFmt numFmtId="167" formatCode="mm/dd/yy"/>
    <numFmt numFmtId="168" formatCode="h:mm:ss am/pm"/>
    <numFmt numFmtId="169" formatCode="m/d/yy"/>
    <numFmt numFmtId="170" formatCode="m/d/yyyy"/>
    <numFmt numFmtId="171" formatCode="M/d/yyyy"/>
    <numFmt numFmtId="172" formatCode="mm/dd/yyyy"/>
    <numFmt numFmtId="173" formatCode="h:mm:ss\ AM/PM"/>
    <numFmt numFmtId="174" formatCode="m/d"/>
  </numFmts>
  <fonts count="48">
    <font>
      <sz val="11.0"/>
      <color theme="1"/>
      <name val="Calibri"/>
      <scheme val="minor"/>
    </font>
    <font>
      <b/>
      <sz val="19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i/>
      <color theme="1"/>
      <name val="Calibri"/>
      <scheme val="minor"/>
    </font>
    <font>
      <sz val="24.0"/>
      <color theme="1"/>
      <name val="Calibri"/>
    </font>
    <font>
      <b/>
      <sz val="16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Arial"/>
    </font>
    <font>
      <sz val="11.0"/>
      <color rgb="FF000000"/>
      <name val="Docs-Calibri"/>
    </font>
    <font>
      <b/>
      <sz val="15.0"/>
      <color theme="1"/>
      <name val="Calibri"/>
    </font>
    <font>
      <b/>
      <sz val="15.0"/>
      <color theme="1"/>
      <name val="Calibri"/>
      <scheme val="minor"/>
    </font>
    <font/>
    <font>
      <sz val="11.0"/>
      <color theme="1"/>
      <name val="Times New Roman"/>
    </font>
    <font>
      <sz val="11.0"/>
      <color rgb="FF000000"/>
      <name val="&quot;Times New Roman&quot;"/>
    </font>
    <font>
      <color theme="1"/>
      <name val="Times New Roman"/>
    </font>
    <font>
      <b/>
      <sz val="18.0"/>
      <color theme="1"/>
      <name val="Times New Roman"/>
    </font>
    <font>
      <sz val="11.0"/>
      <color theme="1"/>
      <name val="Arial"/>
    </font>
    <font>
      <sz val="9.0"/>
      <color theme="1"/>
      <name val="Arial"/>
    </font>
    <font>
      <sz val="11.0"/>
      <color rgb="FF000000"/>
      <name val="Arial"/>
    </font>
    <font>
      <b/>
      <color theme="1"/>
      <name val="Calibri"/>
      <scheme val="minor"/>
    </font>
    <font>
      <sz val="12.0"/>
      <color theme="1"/>
      <name val="Arial"/>
    </font>
    <font>
      <sz val="24.0"/>
      <color theme="1"/>
      <name val="Times New Roman"/>
    </font>
    <font>
      <b/>
      <sz val="16.0"/>
      <color theme="1"/>
      <name val="Times New Roman"/>
    </font>
    <font>
      <b/>
      <sz val="11.0"/>
      <color theme="1"/>
      <name val="Times New Roman"/>
    </font>
    <font>
      <sz val="9.0"/>
      <color theme="1"/>
      <name val="Times New Roman"/>
    </font>
    <font>
      <sz val="9.0"/>
      <color rgb="FF000000"/>
      <name val="Times New Roman"/>
    </font>
    <font>
      <color rgb="FF000000"/>
      <name val="Times New Roman"/>
    </font>
    <font>
      <b/>
      <sz val="15.0"/>
      <color theme="1"/>
      <name val="Times New Roman"/>
    </font>
    <font>
      <color rgb="FF202124"/>
      <name val="&quot;Google Sans&quot;"/>
    </font>
    <font>
      <color rgb="FF000000"/>
      <name val="Docs-Calibri"/>
    </font>
    <font>
      <b/>
      <sz val="22.0"/>
      <color theme="1"/>
      <name val="Calibri"/>
      <scheme val="minor"/>
    </font>
    <font>
      <b/>
      <color theme="1"/>
      <name val="Times New Roman"/>
    </font>
    <font>
      <sz val="11.0"/>
      <color rgb="FF000000"/>
      <name val="Calibri"/>
    </font>
    <font>
      <sz val="11.0"/>
      <color rgb="FF202124"/>
      <name val="Calibri"/>
    </font>
    <font>
      <color rgb="FF202124"/>
      <name val="Calibri"/>
    </font>
    <font>
      <sz val="9.0"/>
      <color rgb="FF000000"/>
      <name val="Arial"/>
    </font>
    <font>
      <sz val="10.0"/>
      <color theme="1"/>
      <name val="Arial"/>
    </font>
    <font>
      <sz val="11.0"/>
      <color rgb="FF202124"/>
      <name val="Times New Roman"/>
    </font>
    <font>
      <sz val="11.0"/>
      <color rgb="FF202124"/>
      <name val="&quot;Google Sans&quot;"/>
    </font>
    <font>
      <sz val="10.0"/>
      <color theme="1"/>
      <name val="Times New Roman"/>
    </font>
    <font>
      <sz val="10.0"/>
      <color theme="1"/>
      <name val="Calibri"/>
      <scheme val="minor"/>
    </font>
    <font>
      <b/>
      <sz val="9.0"/>
      <color theme="1"/>
      <name val="Times New Roman"/>
    </font>
    <font>
      <sz val="11.0"/>
      <color rgb="FF000000"/>
      <name val="Times New Roman"/>
    </font>
    <font>
      <color rgb="FF202124"/>
      <name val="Times New Roman"/>
    </font>
    <font>
      <sz val="9.0"/>
      <color rgb="FF000000"/>
      <name val="&quot;Times New Roman&quot;"/>
    </font>
    <font>
      <sz val="8.0"/>
      <color rgb="FF000000"/>
      <name val="&quot;Times New Roman&quot;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2" fontId="3" numFmtId="0" xfId="0" applyAlignment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0" fillId="5" fontId="5" numFmtId="0" xfId="0" applyAlignment="1" applyFill="1" applyFont="1">
      <alignment horizontal="center"/>
    </xf>
    <xf borderId="0" fillId="0" fontId="2" numFmtId="164" xfId="0" applyFont="1" applyNumberFormat="1"/>
    <xf borderId="0" fillId="6" fontId="6" numFmtId="0" xfId="0" applyAlignment="1" applyFill="1" applyFont="1">
      <alignment horizontal="center" readingOrder="0"/>
    </xf>
    <xf borderId="0" fillId="0" fontId="7" numFmtId="0" xfId="0" applyFont="1"/>
    <xf borderId="0" fillId="0" fontId="8" numFmtId="0" xfId="0" applyFont="1"/>
    <xf borderId="0" fillId="0" fontId="7" numFmtId="0" xfId="0" applyAlignment="1" applyFont="1">
      <alignment horizontal="left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/>
    </xf>
    <xf borderId="0" fillId="0" fontId="2" numFmtId="0" xfId="0" applyAlignment="1" applyFont="1">
      <alignment horizontal="left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164" xfId="0" applyAlignment="1" applyBorder="1" applyFont="1" applyNumberFormat="1">
      <alignment readingOrder="0" shrinkToFit="0" vertical="center" wrapText="1"/>
    </xf>
    <xf borderId="1" fillId="0" fontId="8" numFmtId="0" xfId="0" applyBorder="1" applyFont="1"/>
    <xf borderId="1" fillId="0" fontId="8" numFmtId="0" xfId="0" applyAlignment="1" applyBorder="1" applyFont="1">
      <alignment horizontal="left"/>
    </xf>
    <xf borderId="1" fillId="0" fontId="8" numFmtId="165" xfId="0" applyAlignment="1" applyBorder="1" applyFont="1" applyNumberFormat="1">
      <alignment horizontal="left"/>
    </xf>
    <xf borderId="1" fillId="0" fontId="8" numFmtId="0" xfId="0" applyAlignment="1" applyBorder="1" applyFont="1">
      <alignment horizontal="center"/>
    </xf>
    <xf borderId="1" fillId="0" fontId="8" numFmtId="164" xfId="0" applyBorder="1" applyFont="1" applyNumberFormat="1"/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center" readingOrder="0"/>
    </xf>
    <xf borderId="1" fillId="0" fontId="8" numFmtId="166" xfId="0" applyAlignment="1" applyBorder="1" applyFont="1" applyNumberFormat="1">
      <alignment horizontal="left" readingOrder="0"/>
    </xf>
    <xf borderId="2" fillId="7" fontId="9" numFmtId="0" xfId="0" applyAlignment="1" applyBorder="1" applyFill="1" applyFont="1">
      <alignment horizontal="center" readingOrder="0" vertical="center"/>
    </xf>
    <xf borderId="1" fillId="0" fontId="8" numFmtId="167" xfId="0" applyAlignment="1" applyBorder="1" applyFont="1" applyNumberFormat="1">
      <alignment horizontal="left" readingOrder="0"/>
    </xf>
    <xf borderId="1" fillId="0" fontId="2" numFmtId="164" xfId="0" applyBorder="1" applyFont="1" applyNumberFormat="1"/>
    <xf borderId="0" fillId="8" fontId="10" numFmtId="0" xfId="0" applyAlignment="1" applyFill="1" applyFont="1">
      <alignment horizontal="left" readingOrder="0"/>
    </xf>
    <xf borderId="1" fillId="8" fontId="10" numFmtId="0" xfId="0" applyAlignment="1" applyBorder="1" applyFont="1">
      <alignment horizontal="left" readingOrder="0"/>
    </xf>
    <xf borderId="1" fillId="0" fontId="8" numFmtId="20" xfId="0" applyAlignment="1" applyBorder="1" applyFont="1" applyNumberForma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9" fontId="12" numFmtId="0" xfId="0" applyAlignment="1" applyBorder="1" applyFill="1" applyFont="1">
      <alignment horizontal="center"/>
    </xf>
    <xf borderId="1" fillId="9" fontId="11" numFmtId="0" xfId="0" applyAlignment="1" applyBorder="1" applyFont="1">
      <alignment horizontal="center"/>
    </xf>
    <xf borderId="1" fillId="9" fontId="11" numFmtId="164" xfId="0" applyBorder="1" applyFont="1" applyNumberFormat="1"/>
    <xf borderId="1" fillId="9" fontId="1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/>
    </xf>
    <xf borderId="3" fillId="9" fontId="12" numFmtId="0" xfId="0" applyAlignment="1" applyBorder="1" applyFont="1">
      <alignment horizontal="center"/>
    </xf>
    <xf borderId="4" fillId="0" fontId="13" numFmtId="0" xfId="0" applyBorder="1" applyFont="1"/>
    <xf borderId="5" fillId="0" fontId="13" numFmtId="0" xfId="0" applyBorder="1" applyFont="1"/>
    <xf borderId="0" fillId="0" fontId="14" numFmtId="0" xfId="0" applyAlignment="1" applyFont="1">
      <alignment readingOrder="0"/>
    </xf>
    <xf borderId="6" fillId="0" fontId="14" numFmtId="168" xfId="0" applyBorder="1" applyFont="1" applyNumberFormat="1"/>
    <xf borderId="0" fillId="8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6" fillId="0" fontId="16" numFmtId="168" xfId="0" applyAlignment="1" applyBorder="1" applyFont="1" applyNumberFormat="1">
      <alignment horizontal="left"/>
    </xf>
    <xf borderId="0" fillId="6" fontId="17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8" numFmtId="0" xfId="0" applyAlignment="1" applyFont="1">
      <alignment horizontal="left" readingOrder="0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left" readingOrder="0"/>
    </xf>
    <xf borderId="2" fillId="0" fontId="19" numFmtId="0" xfId="0" applyAlignment="1" applyBorder="1" applyFont="1">
      <alignment horizontal="center" readingOrder="0"/>
    </xf>
    <xf borderId="1" fillId="0" fontId="8" numFmtId="169" xfId="0" applyAlignment="1" applyBorder="1" applyFont="1" applyNumberFormat="1">
      <alignment horizontal="left" readingOrder="0"/>
    </xf>
    <xf borderId="1" fillId="0" fontId="8" numFmtId="165" xfId="0" applyBorder="1" applyFont="1" applyNumberFormat="1"/>
    <xf borderId="1" fillId="0" fontId="19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left" readingOrder="0"/>
    </xf>
    <xf borderId="0" fillId="8" fontId="20" numFmtId="0" xfId="0" applyAlignment="1" applyFont="1">
      <alignment horizontal="left" readingOrder="0"/>
    </xf>
    <xf borderId="1" fillId="0" fontId="18" numFmtId="0" xfId="0" applyAlignment="1" applyBorder="1" applyFont="1">
      <alignment horizontal="left" readingOrder="0" vertical="top"/>
    </xf>
    <xf borderId="2" fillId="0" fontId="18" numFmtId="0" xfId="0" applyAlignment="1" applyBorder="1" applyFont="1">
      <alignment horizontal="left" readingOrder="0" vertical="top"/>
    </xf>
    <xf borderId="2" fillId="0" fontId="8" numFmtId="169" xfId="0" applyAlignment="1" applyBorder="1" applyFont="1" applyNumberFormat="1">
      <alignment horizontal="left" readingOrder="0"/>
    </xf>
    <xf borderId="2" fillId="0" fontId="19" numFmtId="0" xfId="0" applyAlignment="1" applyBorder="1" applyFont="1">
      <alignment horizontal="center" readingOrder="0" vertical="top"/>
    </xf>
    <xf borderId="2" fillId="0" fontId="8" numFmtId="0" xfId="0" applyAlignment="1" applyBorder="1" applyFont="1">
      <alignment horizontal="left" readingOrder="0"/>
    </xf>
    <xf borderId="2" fillId="0" fontId="18" numFmtId="0" xfId="0" applyAlignment="1" applyBorder="1" applyFont="1">
      <alignment horizontal="left"/>
    </xf>
    <xf borderId="2" fillId="0" fontId="8" numFmtId="0" xfId="0" applyAlignment="1" applyBorder="1" applyFont="1">
      <alignment horizontal="left"/>
    </xf>
    <xf borderId="1" fillId="0" fontId="11" numFmtId="0" xfId="0" applyAlignment="1" applyBorder="1" applyFont="1">
      <alignment horizontal="center"/>
    </xf>
    <xf borderId="1" fillId="9" fontId="11" numFmtId="164" xfId="0" applyAlignment="1" applyBorder="1" applyFont="1" applyNumberFormat="1">
      <alignment horizontal="center"/>
    </xf>
    <xf borderId="1" fillId="0" fontId="11" numFmtId="0" xfId="0" applyAlignment="1" applyBorder="1" applyFont="1">
      <alignment horizontal="left"/>
    </xf>
    <xf borderId="1" fillId="0" fontId="11" numFmtId="0" xfId="0" applyAlignment="1" applyBorder="1" applyFont="1">
      <alignment readingOrder="0" vertical="bottom"/>
    </xf>
    <xf borderId="0" fillId="0" fontId="14" numFmtId="168" xfId="0" applyFont="1" applyNumberFormat="1"/>
    <xf borderId="0" fillId="0" fontId="16" numFmtId="168" xfId="0" applyAlignment="1" applyFont="1" applyNumberFormat="1">
      <alignment horizontal="left"/>
    </xf>
    <xf borderId="0" fillId="6" fontId="1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left" readingOrder="0"/>
    </xf>
    <xf borderId="2" fillId="0" fontId="19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readingOrder="0"/>
    </xf>
    <xf borderId="2" fillId="0" fontId="19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2" fillId="0" fontId="19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8" numFmtId="167" xfId="0" applyAlignment="1" applyBorder="1" applyFont="1" applyNumberFormat="1">
      <alignment horizontal="left" readingOrder="0"/>
    </xf>
    <xf borderId="2" fillId="0" fontId="19" numFmtId="0" xfId="0" applyAlignment="1" applyBorder="1" applyFont="1">
      <alignment horizontal="left"/>
    </xf>
    <xf borderId="2" fillId="0" fontId="18" numFmtId="0" xfId="0" applyAlignment="1" applyBorder="1" applyFont="1">
      <alignment horizontal="left" vertical="top"/>
    </xf>
    <xf borderId="1" fillId="0" fontId="19" numFmtId="0" xfId="0" applyAlignment="1" applyBorder="1" applyFont="1">
      <alignment horizontal="center"/>
    </xf>
    <xf borderId="1" fillId="9" fontId="8" numFmtId="0" xfId="0" applyBorder="1" applyFont="1"/>
    <xf borderId="1" fillId="0" fontId="21" numFmtId="0" xfId="0" applyAlignment="1" applyBorder="1" applyFont="1">
      <alignment horizontal="left" readingOrder="0"/>
    </xf>
    <xf borderId="1" fillId="0" fontId="11" numFmtId="0" xfId="0" applyAlignment="1" applyBorder="1" applyFont="1">
      <alignment readingOrder="0"/>
    </xf>
    <xf borderId="3" fillId="9" fontId="6" numFmtId="0" xfId="0" applyAlignment="1" applyBorder="1" applyFont="1">
      <alignment horizontal="center"/>
    </xf>
    <xf borderId="1" fillId="0" fontId="22" numFmtId="0" xfId="0" applyAlignment="1" applyBorder="1" applyFont="1">
      <alignment readingOrder="0" vertical="top"/>
    </xf>
    <xf borderId="1" fillId="0" fontId="22" numFmtId="0" xfId="0" applyAlignment="1" applyBorder="1" applyFont="1">
      <alignment horizontal="left" readingOrder="0" vertical="top"/>
    </xf>
    <xf borderId="1" fillId="0" fontId="22" numFmtId="0" xfId="0" applyAlignment="1" applyBorder="1" applyFont="1">
      <alignment horizontal="center" readingOrder="0" vertical="top"/>
    </xf>
    <xf borderId="2" fillId="0" fontId="22" numFmtId="0" xfId="0" applyAlignment="1" applyBorder="1" applyFont="1">
      <alignment readingOrder="0" vertical="top"/>
    </xf>
    <xf borderId="2" fillId="0" fontId="22" numFmtId="0" xfId="0" applyAlignment="1" applyBorder="1" applyFont="1">
      <alignment horizontal="left" readingOrder="0" vertical="top"/>
    </xf>
    <xf borderId="2" fillId="0" fontId="22" numFmtId="0" xfId="0" applyAlignment="1" applyBorder="1" applyFont="1">
      <alignment horizontal="center" readingOrder="0" vertical="top"/>
    </xf>
    <xf borderId="2" fillId="0" fontId="8" numFmtId="165" xfId="0" applyAlignment="1" applyBorder="1" applyFont="1" applyNumberFormat="1">
      <alignment horizontal="left"/>
    </xf>
    <xf borderId="0" fillId="5" fontId="23" numFmtId="0" xfId="0" applyAlignment="1" applyFont="1">
      <alignment horizontal="center"/>
    </xf>
    <xf borderId="0" fillId="6" fontId="24" numFmtId="0" xfId="0" applyAlignment="1" applyFont="1">
      <alignment horizontal="center" readingOrder="0" vertical="center"/>
    </xf>
    <xf borderId="1" fillId="0" fontId="25" numFmtId="0" xfId="0" applyAlignment="1" applyBorder="1" applyFont="1">
      <alignment shrinkToFit="0" vertical="center" wrapText="1"/>
    </xf>
    <xf borderId="1" fillId="0" fontId="25" numFmtId="0" xfId="0" applyAlignment="1" applyBorder="1" applyFont="1">
      <alignment horizontal="left" shrinkToFit="0" vertical="center" wrapText="1"/>
    </xf>
    <xf borderId="1" fillId="0" fontId="25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5" numFmtId="164" xfId="0" applyAlignment="1" applyBorder="1" applyFont="1" applyNumberFormat="1">
      <alignment readingOrder="0" shrinkToFit="0" vertical="center" wrapText="1"/>
    </xf>
    <xf borderId="1" fillId="0" fontId="26" numFmtId="0" xfId="0" applyAlignment="1" applyBorder="1" applyFont="1">
      <alignment horizontal="left" readingOrder="0"/>
    </xf>
    <xf borderId="0" fillId="8" fontId="27" numFmtId="0" xfId="0" applyAlignment="1" applyFont="1">
      <alignment horizontal="left" readingOrder="0"/>
    </xf>
    <xf borderId="1" fillId="0" fontId="14" numFmtId="0" xfId="0" applyAlignment="1" applyBorder="1" applyFont="1">
      <alignment horizontal="left" readingOrder="0"/>
    </xf>
    <xf borderId="1" fillId="0" fontId="14" numFmtId="165" xfId="0" applyBorder="1" applyFont="1" applyNumberFormat="1"/>
    <xf borderId="1" fillId="0" fontId="26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164" xfId="0" applyAlignment="1" applyBorder="1" applyFont="1" applyNumberFormat="1">
      <alignment readingOrder="0"/>
    </xf>
    <xf borderId="1" fillId="0" fontId="14" numFmtId="0" xfId="0" applyBorder="1" applyFont="1"/>
    <xf borderId="1" fillId="0" fontId="27" numFmtId="0" xfId="0" applyAlignment="1" applyBorder="1" applyFont="1">
      <alignment horizontal="left" readingOrder="0"/>
    </xf>
    <xf borderId="2" fillId="0" fontId="26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left" readingOrder="0" vertical="top"/>
    </xf>
    <xf borderId="1" fillId="8" fontId="27" numFmtId="0" xfId="0" applyAlignment="1" applyBorder="1" applyFont="1">
      <alignment horizontal="left" readingOrder="0"/>
    </xf>
    <xf borderId="1" fillId="0" fontId="26" numFmtId="0" xfId="0" applyAlignment="1" applyBorder="1" applyFont="1">
      <alignment readingOrder="0"/>
    </xf>
    <xf borderId="1" fillId="0" fontId="28" numFmtId="0" xfId="0" applyAlignment="1" applyBorder="1" applyFont="1">
      <alignment horizontal="left" readingOrder="0"/>
    </xf>
    <xf borderId="2" fillId="0" fontId="26" numFmtId="0" xfId="0" applyAlignment="1" applyBorder="1" applyFont="1">
      <alignment horizontal="center" readingOrder="0" vertical="top"/>
    </xf>
    <xf borderId="1" fillId="0" fontId="14" numFmtId="167" xfId="0" applyAlignment="1" applyBorder="1" applyFont="1" applyNumberFormat="1">
      <alignment horizontal="left" readingOrder="0"/>
    </xf>
    <xf borderId="2" fillId="0" fontId="26" numFmtId="0" xfId="0" applyAlignment="1" applyBorder="1" applyFont="1">
      <alignment horizontal="center" readingOrder="0" vertical="center"/>
    </xf>
    <xf borderId="1" fillId="0" fontId="14" numFmtId="169" xfId="0" applyAlignment="1" applyBorder="1" applyFont="1" applyNumberFormat="1">
      <alignment horizontal="left" readingOrder="0"/>
    </xf>
    <xf borderId="1" fillId="0" fontId="14" numFmtId="170" xfId="0" applyAlignment="1" applyBorder="1" applyFont="1" applyNumberFormat="1">
      <alignment horizontal="left" readingOrder="0"/>
    </xf>
    <xf borderId="1" fillId="0" fontId="16" numFmtId="0" xfId="0" applyAlignment="1" applyBorder="1" applyFont="1">
      <alignment readingOrder="0"/>
    </xf>
    <xf borderId="2" fillId="0" fontId="14" numFmtId="170" xfId="0" applyAlignment="1" applyBorder="1" applyFont="1" applyNumberFormat="1">
      <alignment horizontal="left" readingOrder="0"/>
    </xf>
    <xf borderId="2" fillId="0" fontId="14" numFmtId="167" xfId="0" applyAlignment="1" applyBorder="1" applyFont="1" applyNumberFormat="1">
      <alignment horizontal="left" readingOrder="0"/>
    </xf>
    <xf borderId="2" fillId="0" fontId="14" numFmtId="165" xfId="0" applyAlignment="1" applyBorder="1" applyFont="1" applyNumberFormat="1">
      <alignment horizontal="left"/>
    </xf>
    <xf borderId="2" fillId="0" fontId="26" numFmtId="0" xfId="0" applyAlignment="1" applyBorder="1" applyFont="1">
      <alignment horizontal="left" readingOrder="0"/>
    </xf>
    <xf borderId="2" fillId="0" fontId="14" numFmtId="0" xfId="0" applyAlignment="1" applyBorder="1" applyFont="1">
      <alignment horizontal="left" readingOrder="0" vertical="top"/>
    </xf>
    <xf borderId="2" fillId="0" fontId="26" numFmtId="0" xfId="0" applyAlignment="1" applyBorder="1" applyFont="1">
      <alignment horizontal="left" readingOrder="0" vertical="top"/>
    </xf>
    <xf borderId="2" fillId="0" fontId="14" numFmtId="0" xfId="0" applyAlignment="1" applyBorder="1" applyFont="1">
      <alignment horizontal="left"/>
    </xf>
    <xf borderId="1" fillId="0" fontId="16" numFmtId="0" xfId="0" applyBorder="1" applyFont="1"/>
    <xf borderId="1" fillId="0" fontId="29" numFmtId="0" xfId="0" applyAlignment="1" applyBorder="1" applyFont="1">
      <alignment horizontal="left"/>
    </xf>
    <xf borderId="1" fillId="0" fontId="29" numFmtId="0" xfId="0" applyAlignment="1" applyBorder="1" applyFont="1">
      <alignment horizontal="center"/>
    </xf>
    <xf borderId="1" fillId="9" fontId="29" numFmtId="0" xfId="0" applyAlignment="1" applyBorder="1" applyFont="1">
      <alignment horizontal="center"/>
    </xf>
    <xf borderId="1" fillId="9" fontId="29" numFmtId="164" xfId="0" applyBorder="1" applyFont="1" applyNumberFormat="1"/>
    <xf borderId="1" fillId="9" fontId="25" numFmtId="0" xfId="0" applyBorder="1" applyFont="1"/>
    <xf borderId="1" fillId="0" fontId="16" numFmtId="0" xfId="0" applyAlignment="1" applyBorder="1" applyFont="1">
      <alignment horizontal="left"/>
    </xf>
    <xf borderId="1" fillId="0" fontId="29" numFmtId="0" xfId="0" applyAlignment="1" applyBorder="1" applyFont="1">
      <alignment readingOrder="0" vertical="bottom"/>
    </xf>
    <xf borderId="3" fillId="9" fontId="29" numFmtId="0" xfId="0" applyAlignment="1" applyBorder="1" applyFont="1">
      <alignment horizontal="center"/>
    </xf>
    <xf borderId="2" fillId="0" fontId="8" numFmtId="171" xfId="0" applyAlignment="1" applyBorder="1" applyFont="1" applyNumberFormat="1">
      <alignment horizontal="left" readingOrder="0"/>
    </xf>
    <xf borderId="2" fillId="0" fontId="8" numFmtId="172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67" xfId="0" applyAlignment="1" applyBorder="1" applyFont="1" applyNumberFormat="1">
      <alignment horizontal="left" readingOrder="0"/>
    </xf>
    <xf borderId="2" fillId="7" fontId="9" numFmtId="0" xfId="0" applyAlignment="1" applyBorder="1" applyFont="1">
      <alignment horizontal="left" readingOrder="0" vertical="top"/>
    </xf>
    <xf borderId="1" fillId="0" fontId="19" numFmtId="0" xfId="0" applyAlignment="1" applyBorder="1" applyFont="1">
      <alignment horizontal="left" readingOrder="0" vertical="top"/>
    </xf>
    <xf borderId="1" fillId="8" fontId="30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8" numFmtId="173" xfId="0" applyFont="1" applyNumberFormat="1"/>
    <xf borderId="0" fillId="8" fontId="31" numFmtId="0" xfId="0" applyAlignment="1" applyFont="1">
      <alignment horizontal="left" readingOrder="0"/>
    </xf>
    <xf borderId="0" fillId="0" fontId="8" numFmtId="173" xfId="0" applyAlignment="1" applyFont="1" applyNumberFormat="1">
      <alignment horizontal="center"/>
    </xf>
    <xf borderId="0" fillId="6" fontId="32" numFmtId="0" xfId="0" applyAlignment="1" applyFont="1">
      <alignment horizontal="center" readingOrder="0" vertical="center"/>
    </xf>
    <xf borderId="1" fillId="0" fontId="7" numFmtId="0" xfId="0" applyAlignment="1" applyBorder="1" applyFont="1">
      <alignment readingOrder="0" shrinkToFit="0" vertical="center" wrapText="1"/>
    </xf>
    <xf borderId="2" fillId="0" fontId="19" numFmtId="0" xfId="0" applyAlignment="1" applyBorder="1" applyFont="1">
      <alignment horizontal="center"/>
    </xf>
    <xf borderId="2" fillId="0" fontId="8" numFmtId="165" xfId="0" applyBorder="1" applyFont="1" applyNumberFormat="1"/>
    <xf borderId="2" fillId="0" fontId="19" numFmtId="0" xfId="0" applyAlignment="1" applyBorder="1" applyFont="1">
      <alignment horizontal="center" vertical="top"/>
    </xf>
    <xf borderId="2" fillId="0" fontId="18" numFmtId="165" xfId="0" applyAlignment="1" applyBorder="1" applyFont="1" applyNumberFormat="1">
      <alignment horizontal="left" vertical="top"/>
    </xf>
    <xf borderId="2" fillId="0" fontId="8" numFmtId="0" xfId="0" applyBorder="1" applyFont="1"/>
    <xf borderId="0" fillId="6" fontId="3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1" fillId="0" fontId="19" numFmtId="0" xfId="0" applyAlignment="1" applyBorder="1" applyFont="1">
      <alignment horizontal="left"/>
    </xf>
    <xf borderId="2" fillId="0" fontId="19" numFmtId="0" xfId="0" applyAlignment="1" applyBorder="1" applyFont="1">
      <alignment horizontal="left" vertical="top"/>
    </xf>
    <xf borderId="0" fillId="0" fontId="16" numFmtId="164" xfId="0" applyFont="1" applyNumberFormat="1"/>
    <xf borderId="0" fillId="0" fontId="16" numFmtId="0" xfId="0" applyFont="1"/>
    <xf borderId="0" fillId="0" fontId="33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0" fontId="25" numFmtId="0" xfId="0" applyFont="1"/>
    <xf borderId="0" fillId="0" fontId="14" numFmtId="0" xfId="0" applyAlignment="1" applyFont="1">
      <alignment horizontal="left" readingOrder="0"/>
    </xf>
    <xf borderId="0" fillId="0" fontId="25" numFmtId="168" xfId="0" applyAlignment="1" applyFont="1" applyNumberFormat="1">
      <alignment horizontal="left"/>
    </xf>
    <xf borderId="1" fillId="0" fontId="25" numFmtId="0" xfId="0" applyAlignment="1" applyBorder="1" applyFont="1">
      <alignment readingOrder="0" shrinkToFit="0" vertical="center" wrapText="1"/>
    </xf>
    <xf borderId="1" fillId="0" fontId="25" numFmtId="168" xfId="0" applyAlignment="1" applyBorder="1" applyFont="1" applyNumberFormat="1">
      <alignment horizontal="left" shrinkToFit="0" vertical="center" wrapText="1"/>
    </xf>
    <xf borderId="1" fillId="0" fontId="14" numFmtId="0" xfId="0" applyAlignment="1" applyBorder="1" applyFont="1">
      <alignment readingOrder="0"/>
    </xf>
    <xf borderId="1" fillId="0" fontId="14" numFmtId="168" xfId="0" applyAlignment="1" applyBorder="1" applyFont="1" applyNumberFormat="1">
      <alignment horizontal="left" readingOrder="0"/>
    </xf>
    <xf borderId="1" fillId="0" fontId="14" numFmtId="164" xfId="0" applyBorder="1" applyFont="1" applyNumberFormat="1"/>
    <xf borderId="1" fillId="8" fontId="15" numFmtId="168" xfId="0" applyAlignment="1" applyBorder="1" applyFont="1" applyNumberFormat="1">
      <alignment horizontal="left" readingOrder="0"/>
    </xf>
    <xf borderId="0" fillId="8" fontId="15" numFmtId="168" xfId="0" applyAlignment="1" applyFont="1" applyNumberFormat="1">
      <alignment horizontal="left" readingOrder="0"/>
    </xf>
    <xf borderId="0" fillId="0" fontId="2" numFmtId="168" xfId="0" applyAlignment="1" applyFont="1" applyNumberFormat="1">
      <alignment horizontal="left" readingOrder="0"/>
    </xf>
    <xf borderId="2" fillId="0" fontId="26" numFmtId="0" xfId="0" applyAlignment="1" applyBorder="1" applyFont="1">
      <alignment horizontal="left"/>
    </xf>
    <xf borderId="2" fillId="0" fontId="25" numFmtId="0" xfId="0" applyAlignment="1" applyBorder="1" applyFont="1">
      <alignment horizontal="left" vertical="top"/>
    </xf>
    <xf borderId="2" fillId="0" fontId="14" numFmtId="0" xfId="0" applyBorder="1" applyFont="1"/>
    <xf borderId="1" fillId="0" fontId="14" numFmtId="168" xfId="0" applyAlignment="1" applyBorder="1" applyFont="1" applyNumberFormat="1">
      <alignment horizontal="left"/>
    </xf>
    <xf borderId="1" fillId="0" fontId="29" numFmtId="168" xfId="0" applyAlignment="1" applyBorder="1" applyFont="1" applyNumberFormat="1">
      <alignment horizontal="left"/>
    </xf>
    <xf borderId="1" fillId="9" fontId="29" numFmtId="164" xfId="0" applyAlignment="1" applyBorder="1" applyFont="1" applyNumberFormat="1">
      <alignment horizontal="center"/>
    </xf>
    <xf borderId="1" fillId="9" fontId="29" numFmtId="0" xfId="0" applyBorder="1" applyFont="1"/>
    <xf borderId="1" fillId="0" fontId="29" numFmtId="168" xfId="0" applyAlignment="1" applyBorder="1" applyFont="1" applyNumberFormat="1">
      <alignment horizontal="left" readingOrder="0" vertical="bottom"/>
    </xf>
    <xf borderId="0" fillId="0" fontId="2" numFmtId="164" xfId="0" applyAlignment="1" applyFont="1" applyNumberFormat="1">
      <alignment horizontal="center"/>
    </xf>
    <xf borderId="0" fillId="0" fontId="7" numFmtId="168" xfId="0" applyAlignment="1" applyFont="1" applyNumberFormat="1">
      <alignment horizontal="left"/>
    </xf>
    <xf borderId="0" fillId="0" fontId="2" numFmtId="171" xfId="0" applyAlignment="1" applyFont="1" applyNumberFormat="1">
      <alignment horizontal="left"/>
    </xf>
    <xf borderId="0" fillId="0" fontId="8" numFmtId="168" xfId="0" applyAlignment="1" applyFont="1" applyNumberFormat="1">
      <alignment horizontal="left"/>
    </xf>
    <xf borderId="1" fillId="0" fontId="7" numFmtId="171" xfId="0" applyAlignment="1" applyBorder="1" applyFont="1" applyNumberFormat="1">
      <alignment horizontal="left" shrinkToFit="0" vertical="center" wrapText="1"/>
    </xf>
    <xf borderId="1" fillId="0" fontId="7" numFmtId="168" xfId="0" applyAlignment="1" applyBorder="1" applyFont="1" applyNumberFormat="1">
      <alignment horizontal="left" shrinkToFit="0" vertical="center" wrapText="1"/>
    </xf>
    <xf borderId="1" fillId="0" fontId="34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left" readingOrder="0" shrinkToFit="0" vertical="bottom" wrapText="0"/>
    </xf>
    <xf borderId="1" fillId="0" fontId="34" numFmtId="171" xfId="0" applyAlignment="1" applyBorder="1" applyFont="1" applyNumberFormat="1">
      <alignment readingOrder="0" shrinkToFit="0" vertical="bottom" wrapText="0"/>
    </xf>
    <xf borderId="1" fillId="0" fontId="34" numFmtId="168" xfId="0" applyAlignment="1" applyBorder="1" applyFont="1" applyNumberFormat="1">
      <alignment horizontal="left" readingOrder="0" shrinkToFit="0" vertical="bottom" wrapText="0"/>
    </xf>
    <xf borderId="1" fillId="8" fontId="34" numFmtId="168" xfId="0" applyAlignment="1" applyBorder="1" applyFont="1" applyNumberFormat="1">
      <alignment horizontal="left" readingOrder="0"/>
    </xf>
    <xf borderId="1" fillId="0" fontId="34" numFmtId="0" xfId="0" applyAlignment="1" applyBorder="1" applyFont="1">
      <alignment horizontal="center" readingOrder="0" shrinkToFit="0" wrapText="0"/>
    </xf>
    <xf borderId="1" fillId="0" fontId="8" numFmtId="164" xfId="0" applyAlignment="1" applyBorder="1" applyFont="1" applyNumberFormat="1">
      <alignment horizontal="center"/>
    </xf>
    <xf borderId="1" fillId="8" fontId="35" numFmtId="0" xfId="0" applyAlignment="1" applyBorder="1" applyFont="1">
      <alignment horizontal="left"/>
    </xf>
    <xf borderId="1" fillId="10" fontId="34" numFmtId="0" xfId="0" applyAlignment="1" applyBorder="1" applyFill="1" applyFont="1">
      <alignment horizontal="left" readingOrder="0" shrinkToFit="0" vertical="bottom" wrapText="0"/>
    </xf>
    <xf borderId="1" fillId="0" fontId="34" numFmtId="0" xfId="0" applyAlignment="1" applyBorder="1" applyFont="1">
      <alignment horizontal="center" readingOrder="0" shrinkToFit="0" vertical="bottom" wrapText="0"/>
    </xf>
    <xf borderId="1" fillId="8" fontId="35" numFmtId="0" xfId="0" applyAlignment="1" applyBorder="1" applyFont="1">
      <alignment horizontal="left" readingOrder="0"/>
    </xf>
    <xf borderId="1" fillId="8" fontId="36" numFmtId="0" xfId="0" applyAlignment="1" applyBorder="1" applyFont="1">
      <alignment horizontal="left" readingOrder="0"/>
    </xf>
    <xf borderId="1" fillId="0" fontId="11" numFmtId="171" xfId="0" applyAlignment="1" applyBorder="1" applyFont="1" applyNumberFormat="1">
      <alignment horizontal="center"/>
    </xf>
    <xf borderId="1" fillId="0" fontId="11" numFmtId="168" xfId="0" applyAlignment="1" applyBorder="1" applyFont="1" applyNumberFormat="1">
      <alignment horizontal="left"/>
    </xf>
    <xf borderId="1" fillId="0" fontId="11" numFmtId="0" xfId="0" applyAlignment="1" applyBorder="1" applyFont="1">
      <alignment horizontal="left" readingOrder="0" vertical="bottom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11" numFmtId="171" xfId="0" applyAlignment="1" applyFont="1" applyNumberFormat="1">
      <alignment horizontal="center"/>
    </xf>
    <xf borderId="0" fillId="0" fontId="11" numFmtId="168" xfId="0" applyAlignment="1" applyFont="1" applyNumberFormat="1">
      <alignment horizontal="left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0" fillId="0" fontId="2" numFmtId="168" xfId="0" applyAlignment="1" applyFont="1" applyNumberFormat="1">
      <alignment horizontal="left"/>
    </xf>
    <xf borderId="1" fillId="0" fontId="7" numFmtId="171" xfId="0" applyAlignment="1" applyBorder="1" applyFont="1" applyNumberFormat="1">
      <alignment horizontal="left" readingOrder="0" shrinkToFit="0" vertical="center" wrapText="1"/>
    </xf>
    <xf borderId="1" fillId="0" fontId="8" numFmtId="171" xfId="0" applyAlignment="1" applyBorder="1" applyFont="1" applyNumberFormat="1">
      <alignment horizontal="left" readingOrder="0"/>
    </xf>
    <xf borderId="1" fillId="0" fontId="2" numFmtId="168" xfId="0" applyAlignment="1" applyBorder="1" applyFont="1" applyNumberFormat="1">
      <alignment horizontal="left"/>
    </xf>
    <xf borderId="1" fillId="0" fontId="8" numFmtId="168" xfId="0" applyAlignment="1" applyBorder="1" applyFont="1" applyNumberFormat="1">
      <alignment horizontal="left"/>
    </xf>
    <xf borderId="1" fillId="0" fontId="8" numFmtId="168" xfId="0" applyAlignment="1" applyBorder="1" applyFont="1" applyNumberFormat="1">
      <alignment horizontal="left" readingOrder="0"/>
    </xf>
    <xf borderId="0" fillId="8" fontId="34" numFmtId="168" xfId="0" applyAlignment="1" applyFont="1" applyNumberFormat="1">
      <alignment horizontal="left" readingOrder="0"/>
    </xf>
    <xf borderId="1" fillId="0" fontId="2" numFmtId="171" xfId="0" applyAlignment="1" applyBorder="1" applyFont="1" applyNumberFormat="1">
      <alignment horizontal="left" readingOrder="0"/>
    </xf>
    <xf borderId="1" fillId="8" fontId="37" numFmtId="0" xfId="0" applyAlignment="1" applyBorder="1" applyFont="1">
      <alignment horizontal="left" readingOrder="0"/>
    </xf>
    <xf borderId="1" fillId="0" fontId="2" numFmtId="168" xfId="0" applyAlignment="1" applyBorder="1" applyFont="1" applyNumberFormat="1">
      <alignment horizontal="left" readingOrder="0"/>
    </xf>
    <xf borderId="2" fillId="0" fontId="38" numFmtId="0" xfId="0" applyAlignment="1" applyBorder="1" applyFont="1">
      <alignment horizontal="left" readingOrder="0" vertical="top"/>
    </xf>
    <xf borderId="2" fillId="0" fontId="14" numFmtId="171" xfId="0" applyAlignment="1" applyBorder="1" applyFont="1" applyNumberFormat="1">
      <alignment horizontal="left" readingOrder="0"/>
    </xf>
    <xf borderId="2" fillId="0" fontId="8" numFmtId="168" xfId="0" applyAlignment="1" applyBorder="1" applyFont="1" applyNumberFormat="1">
      <alignment horizontal="left" readingOrder="0"/>
    </xf>
    <xf borderId="2" fillId="0" fontId="14" numFmtId="168" xfId="0" applyAlignment="1" applyBorder="1" applyFont="1" applyNumberFormat="1">
      <alignment horizontal="left" readingOrder="0"/>
    </xf>
    <xf borderId="2" fillId="0" fontId="2" numFmtId="0" xfId="0" applyAlignment="1" applyBorder="1" applyFont="1">
      <alignment horizontal="left" readingOrder="0"/>
    </xf>
    <xf borderId="2" fillId="7" fontId="2" numFmtId="0" xfId="0" applyAlignment="1" applyBorder="1" applyFont="1">
      <alignment horizontal="left" readingOrder="0"/>
    </xf>
    <xf borderId="2" fillId="0" fontId="8" numFmtId="171" xfId="0" applyAlignment="1" applyBorder="1" applyFont="1" applyNumberFormat="1">
      <alignment horizontal="left"/>
    </xf>
    <xf borderId="1" fillId="0" fontId="11" numFmtId="171" xfId="0" applyAlignment="1" applyBorder="1" applyFont="1" applyNumberFormat="1">
      <alignment horizontal="left"/>
    </xf>
    <xf borderId="0" fillId="0" fontId="7" numFmtId="168" xfId="0" applyFont="1" applyNumberFormat="1"/>
    <xf borderId="0" fillId="0" fontId="2" numFmtId="168" xfId="0" applyFont="1" applyNumberFormat="1"/>
    <xf borderId="1" fillId="0" fontId="7" numFmtId="168" xfId="0" applyAlignment="1" applyBorder="1" applyFont="1" applyNumberFormat="1">
      <alignment shrinkToFit="0" vertical="center" wrapText="1"/>
    </xf>
    <xf borderId="1" fillId="0" fontId="8" numFmtId="168" xfId="0" applyAlignment="1" applyBorder="1" applyFont="1" applyNumberFormat="1">
      <alignment readingOrder="0"/>
    </xf>
    <xf borderId="1" fillId="0" fontId="8" numFmtId="168" xfId="0" applyBorder="1" applyFont="1" applyNumberFormat="1"/>
    <xf borderId="2" fillId="0" fontId="19" numFmtId="0" xfId="0" applyAlignment="1" applyBorder="1" applyFont="1">
      <alignment horizontal="center" readingOrder="0" vertical="bottom"/>
    </xf>
    <xf borderId="1" fillId="0" fontId="11" numFmtId="168" xfId="0" applyAlignment="1" applyBorder="1" applyFont="1" applyNumberFormat="1">
      <alignment horizontal="center"/>
    </xf>
    <xf borderId="1" fillId="0" fontId="25" numFmtId="171" xfId="0" applyAlignment="1" applyBorder="1" applyFont="1" applyNumberFormat="1">
      <alignment horizontal="left" readingOrder="0" shrinkToFit="0" vertical="center" wrapText="1"/>
    </xf>
    <xf borderId="1" fillId="0" fontId="25" numFmtId="164" xfId="0" applyAlignment="1" applyBorder="1" applyFont="1" applyNumberFormat="1">
      <alignment horizontal="center" readingOrder="0" shrinkToFit="0" vertical="center" wrapText="1"/>
    </xf>
    <xf borderId="2" fillId="0" fontId="14" numFmtId="168" xfId="0" applyAlignment="1" applyBorder="1" applyFont="1" applyNumberFormat="1">
      <alignment horizontal="left" readingOrder="0" vertical="bottom"/>
    </xf>
    <xf borderId="1" fillId="0" fontId="14" numFmtId="164" xfId="0" applyAlignment="1" applyBorder="1" applyFont="1" applyNumberFormat="1">
      <alignment horizontal="center"/>
    </xf>
    <xf borderId="1" fillId="8" fontId="39" numFmtId="0" xfId="0" applyAlignment="1" applyBorder="1" applyFont="1">
      <alignment horizontal="left" readingOrder="0"/>
    </xf>
    <xf borderId="2" fillId="0" fontId="14" numFmtId="0" xfId="0" applyAlignment="1" applyBorder="1" applyFont="1">
      <alignment horizontal="left" readingOrder="0"/>
    </xf>
    <xf borderId="2" fillId="0" fontId="14" numFmtId="0" xfId="0" applyAlignment="1" applyBorder="1" applyFont="1">
      <alignment horizontal="center" readingOrder="0"/>
    </xf>
    <xf borderId="1" fillId="8" fontId="40" numFmtId="0" xfId="0" applyAlignment="1" applyBorder="1" applyFont="1">
      <alignment horizontal="left" readingOrder="0"/>
    </xf>
    <xf borderId="2" fillId="0" fontId="14" numFmtId="0" xfId="0" applyAlignment="1" applyBorder="1" applyFont="1">
      <alignment horizontal="center" readingOrder="0" vertical="top"/>
    </xf>
    <xf borderId="2" fillId="0" fontId="41" numFmtId="168" xfId="0" applyAlignment="1" applyBorder="1" applyFont="1" applyNumberFormat="1">
      <alignment horizontal="left" readingOrder="0" vertical="top"/>
    </xf>
    <xf borderId="2" fillId="0" fontId="41" numFmtId="168" xfId="0" applyAlignment="1" applyBorder="1" applyFont="1" applyNumberFormat="1">
      <alignment horizontal="left" readingOrder="0"/>
    </xf>
    <xf borderId="1" fillId="0" fontId="2" numFmtId="169" xfId="0" applyAlignment="1" applyBorder="1" applyFont="1" applyNumberFormat="1">
      <alignment horizontal="left" readingOrder="0"/>
    </xf>
    <xf borderId="1" fillId="0" fontId="42" numFmtId="168" xfId="0" applyAlignment="1" applyBorder="1" applyFont="1" applyNumberFormat="1">
      <alignment horizontal="left" readingOrder="0"/>
    </xf>
    <xf borderId="1" fillId="0" fontId="41" numFmtId="168" xfId="0" applyAlignment="1" applyBorder="1" applyFont="1" applyNumberFormat="1">
      <alignment horizontal="left" readingOrder="0"/>
    </xf>
    <xf borderId="2" fillId="7" fontId="43" numFmtId="0" xfId="0" applyAlignment="1" applyBorder="1" applyFont="1">
      <alignment horizontal="left" readingOrder="0"/>
    </xf>
    <xf borderId="1" fillId="0" fontId="41" numFmtId="0" xfId="0" applyAlignment="1" applyBorder="1" applyFont="1">
      <alignment horizontal="left" readingOrder="0"/>
    </xf>
    <xf borderId="1" fillId="0" fontId="0" numFmtId="0" xfId="0" applyAlignment="1" applyBorder="1" applyFont="1">
      <alignment readingOrder="0"/>
    </xf>
    <xf borderId="0" fillId="0" fontId="0" numFmtId="0" xfId="0" applyFont="1"/>
    <xf borderId="1" fillId="0" fontId="16" numFmtId="168" xfId="0" applyAlignment="1" applyBorder="1" applyFont="1" applyNumberFormat="1">
      <alignment horizontal="left" readingOrder="0"/>
    </xf>
    <xf borderId="1" fillId="0" fontId="0" numFmtId="168" xfId="0" applyAlignment="1" applyBorder="1" applyFont="1" applyNumberFormat="1">
      <alignment horizontal="left" readingOrder="0"/>
    </xf>
    <xf borderId="1" fillId="0" fontId="14" numFmtId="168" xfId="0" applyAlignment="1" applyBorder="1" applyFont="1" applyNumberFormat="1">
      <alignment horizontal="left" readingOrder="0" vertical="top"/>
    </xf>
    <xf borderId="2" fillId="0" fontId="14" numFmtId="168" xfId="0" applyAlignment="1" applyBorder="1" applyFont="1" applyNumberFormat="1">
      <alignment horizontal="left" readingOrder="0" vertical="top"/>
    </xf>
    <xf borderId="1" fillId="6" fontId="30" numFmtId="0" xfId="0" applyAlignment="1" applyBorder="1" applyFont="1">
      <alignment horizontal="left" readingOrder="0"/>
    </xf>
    <xf borderId="1" fillId="0" fontId="41" numFmtId="0" xfId="0" applyAlignment="1" applyBorder="1" applyFont="1">
      <alignment horizontal="left" readingOrder="0" vertical="top"/>
    </xf>
    <xf borderId="2" fillId="0" fontId="14" numFmtId="171" xfId="0" applyAlignment="1" applyBorder="1" applyFont="1" applyNumberFormat="1">
      <alignment horizontal="left" readingOrder="0"/>
    </xf>
    <xf borderId="2" fillId="0" fontId="26" numFmtId="168" xfId="0" applyAlignment="1" applyBorder="1" applyFont="1" applyNumberFormat="1">
      <alignment horizontal="left" readingOrder="0"/>
    </xf>
    <xf borderId="2" fillId="0" fontId="26" numFmtId="166" xfId="0" applyAlignment="1" applyBorder="1" applyFont="1" applyNumberFormat="1">
      <alignment horizontal="left" readingOrder="0"/>
    </xf>
    <xf borderId="1" fillId="0" fontId="2" numFmtId="166" xfId="0" applyAlignment="1" applyBorder="1" applyFont="1" applyNumberFormat="1">
      <alignment horizontal="left" readingOrder="0"/>
    </xf>
    <xf borderId="1" fillId="0" fontId="2" numFmtId="20" xfId="0" applyAlignment="1" applyBorder="1" applyFont="1" applyNumberFormat="1">
      <alignment horizontal="left" readingOrder="0"/>
    </xf>
    <xf borderId="1" fillId="0" fontId="30" numFmtId="0" xfId="0" applyAlignment="1" applyBorder="1" applyFont="1">
      <alignment horizontal="left" readingOrder="0"/>
    </xf>
    <xf borderId="1" fillId="0" fontId="14" numFmtId="171" xfId="0" applyAlignment="1" applyBorder="1" applyFont="1" applyNumberFormat="1">
      <alignment horizontal="left" readingOrder="0"/>
    </xf>
    <xf borderId="0" fillId="0" fontId="2" numFmtId="166" xfId="0" applyAlignment="1" applyFont="1" applyNumberFormat="1">
      <alignment readingOrder="0"/>
    </xf>
    <xf borderId="2" fillId="0" fontId="14" numFmtId="0" xfId="0" applyAlignment="1" applyBorder="1" applyFont="1">
      <alignment horizontal="left" vertical="top"/>
    </xf>
    <xf borderId="2" fillId="0" fontId="14" numFmtId="171" xfId="0" applyAlignment="1" applyBorder="1" applyFont="1" applyNumberFormat="1">
      <alignment horizontal="left"/>
    </xf>
    <xf borderId="1" fillId="0" fontId="29" numFmtId="20" xfId="0" applyAlignment="1" applyBorder="1" applyFont="1" applyNumberFormat="1">
      <alignment horizontal="center" readingOrder="0"/>
    </xf>
    <xf borderId="1" fillId="0" fontId="29" numFmtId="171" xfId="0" applyAlignment="1" applyBorder="1" applyFont="1" applyNumberFormat="1">
      <alignment horizontal="left"/>
    </xf>
    <xf borderId="1" fillId="0" fontId="29" numFmtId="0" xfId="0" applyAlignment="1" applyBorder="1" applyFont="1">
      <alignment horizontal="left" readingOrder="0" vertical="bottom"/>
    </xf>
    <xf borderId="0" fillId="0" fontId="16" numFmtId="0" xfId="0" applyAlignment="1" applyFont="1">
      <alignment horizontal="left"/>
    </xf>
    <xf borderId="0" fillId="0" fontId="14" numFmtId="0" xfId="0" applyAlignment="1" applyFont="1">
      <alignment horizontal="left"/>
    </xf>
    <xf borderId="1" fillId="0" fontId="26" numFmtId="0" xfId="0" applyAlignment="1" applyBorder="1" applyFont="1">
      <alignment horizontal="left"/>
    </xf>
    <xf borderId="1" fillId="0" fontId="26" numFmtId="0" xfId="0" applyAlignment="1" applyBorder="1" applyFont="1">
      <alignment horizontal="center"/>
    </xf>
    <xf borderId="1" fillId="0" fontId="16" numFmtId="0" xfId="0" applyAlignment="1" applyBorder="1" applyFont="1">
      <alignment horizontal="left" readingOrder="0"/>
    </xf>
    <xf borderId="1" fillId="0" fontId="16" numFmtId="167" xfId="0" applyAlignment="1" applyBorder="1" applyFont="1" applyNumberFormat="1">
      <alignment horizontal="left" readingOrder="0"/>
    </xf>
    <xf borderId="1" fillId="0" fontId="16" numFmtId="0" xfId="0" applyAlignment="1" applyBorder="1" applyFont="1">
      <alignment horizontal="center" readingOrder="0"/>
    </xf>
    <xf borderId="1" fillId="8" fontId="27" numFmtId="0" xfId="0" applyAlignment="1" applyBorder="1" applyFont="1">
      <alignment horizontal="center" readingOrder="0"/>
    </xf>
    <xf borderId="2" fillId="0" fontId="26" numFmtId="0" xfId="0" applyAlignment="1" applyBorder="1" applyFont="1">
      <alignment horizontal="left" vertical="top"/>
    </xf>
    <xf borderId="2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 vertical="top"/>
    </xf>
    <xf borderId="2" fillId="0" fontId="14" numFmtId="165" xfId="0" applyAlignment="1" applyBorder="1" applyFont="1" applyNumberFormat="1">
      <alignment horizontal="left" vertical="top"/>
    </xf>
    <xf borderId="2" fillId="0" fontId="14" numFmtId="169" xfId="0" applyAlignment="1" applyBorder="1" applyFont="1" applyNumberFormat="1">
      <alignment horizontal="left" readingOrder="0"/>
    </xf>
    <xf borderId="2" fillId="0" fontId="16" numFmtId="0" xfId="0" applyAlignment="1" applyBorder="1" applyFont="1">
      <alignment readingOrder="0"/>
    </xf>
    <xf borderId="2" fillId="0" fontId="16" numFmtId="0" xfId="0" applyAlignment="1" applyBorder="1" applyFont="1">
      <alignment horizontal="left" readingOrder="0"/>
    </xf>
    <xf borderId="2" fillId="0" fontId="16" numFmtId="169" xfId="0" applyAlignment="1" applyBorder="1" applyFont="1" applyNumberFormat="1">
      <alignment horizontal="left" readingOrder="0"/>
    </xf>
    <xf borderId="2" fillId="0" fontId="16" numFmtId="0" xfId="0" applyAlignment="1" applyBorder="1" applyFont="1">
      <alignment horizontal="center" readingOrder="0"/>
    </xf>
    <xf borderId="2" fillId="0" fontId="14" numFmtId="0" xfId="0" applyAlignment="1" applyBorder="1" applyFont="1">
      <alignment readingOrder="0"/>
    </xf>
    <xf borderId="2" fillId="0" fontId="41" numFmtId="0" xfId="0" applyAlignment="1" applyBorder="1" applyFont="1">
      <alignment horizontal="left" readingOrder="0" vertical="top"/>
    </xf>
    <xf borderId="1" fillId="0" fontId="14" numFmtId="0" xfId="0" applyAlignment="1" applyBorder="1" applyFont="1">
      <alignment horizontal="left" vertical="top"/>
    </xf>
    <xf borderId="1" fillId="0" fontId="14" numFmtId="174" xfId="0" applyAlignment="1" applyBorder="1" applyFont="1" applyNumberFormat="1">
      <alignment readingOrder="0"/>
    </xf>
    <xf borderId="0" fillId="0" fontId="16" numFmtId="0" xfId="0" applyAlignment="1" applyFont="1">
      <alignment readingOrder="0"/>
    </xf>
    <xf borderId="0" fillId="6" fontId="6" numFmtId="0" xfId="0" applyAlignment="1" applyFont="1">
      <alignment horizontal="center" readingOrder="0" vertical="center"/>
    </xf>
    <xf borderId="0" fillId="0" fontId="16" numFmtId="171" xfId="0" applyAlignment="1" applyFont="1" applyNumberFormat="1">
      <alignment horizontal="left"/>
    </xf>
    <xf borderId="0" fillId="8" fontId="27" numFmtId="168" xfId="0" applyAlignment="1" applyFont="1" applyNumberFormat="1">
      <alignment horizontal="left" readingOrder="0"/>
    </xf>
    <xf borderId="1" fillId="8" fontId="27" numFmtId="168" xfId="0" applyAlignment="1" applyBorder="1" applyFont="1" applyNumberFormat="1">
      <alignment horizontal="left" readingOrder="0"/>
    </xf>
    <xf borderId="0" fillId="8" fontId="44" numFmtId="168" xfId="0" applyAlignment="1" applyFont="1" applyNumberFormat="1">
      <alignment horizontal="left" readingOrder="0"/>
    </xf>
    <xf borderId="0" fillId="0" fontId="16" numFmtId="0" xfId="0" applyAlignment="1" applyFont="1">
      <alignment horizontal="center" readingOrder="0"/>
    </xf>
    <xf borderId="1" fillId="8" fontId="45" numFmtId="0" xfId="0" applyAlignment="1" applyBorder="1" applyFont="1">
      <alignment horizontal="left" readingOrder="0"/>
    </xf>
    <xf borderId="1" fillId="0" fontId="14" numFmtId="166" xfId="0" applyAlignment="1" applyBorder="1" applyFont="1" applyNumberFormat="1">
      <alignment horizontal="left" readingOrder="0"/>
    </xf>
    <xf borderId="0" fillId="6" fontId="24" numFmtId="0" xfId="0" applyAlignment="1" applyFont="1">
      <alignment horizontal="center" readingOrder="0"/>
    </xf>
    <xf borderId="0" fillId="0" fontId="25" numFmtId="0" xfId="0" applyAlignment="1" applyFont="1">
      <alignment horizontal="left"/>
    </xf>
    <xf borderId="0" fillId="0" fontId="16" numFmtId="168" xfId="0" applyFont="1" applyNumberFormat="1"/>
    <xf borderId="1" fillId="0" fontId="25" numFmtId="168" xfId="0" applyAlignment="1" applyBorder="1" applyFont="1" applyNumberFormat="1">
      <alignment shrinkToFit="0" vertical="center" wrapText="1"/>
    </xf>
    <xf borderId="0" fillId="8" fontId="44" numFmtId="0" xfId="0" applyAlignment="1" applyFont="1">
      <alignment horizontal="left" readingOrder="0"/>
    </xf>
    <xf borderId="2" fillId="0" fontId="41" numFmtId="0" xfId="0" applyAlignment="1" applyBorder="1" applyFont="1">
      <alignment horizontal="left" readingOrder="0"/>
    </xf>
    <xf borderId="1" fillId="8" fontId="44" numFmtId="0" xfId="0" applyAlignment="1" applyBorder="1" applyFont="1">
      <alignment horizontal="left" readingOrder="0"/>
    </xf>
    <xf borderId="1" fillId="8" fontId="46" numFmtId="0" xfId="0" applyAlignment="1" applyBorder="1" applyFont="1">
      <alignment horizontal="left" readingOrder="0"/>
    </xf>
    <xf borderId="2" fillId="0" fontId="26" numFmtId="0" xfId="0" applyAlignment="1" applyBorder="1" applyFont="1">
      <alignment horizontal="left" readingOrder="0" vertical="bottom"/>
    </xf>
    <xf borderId="0" fillId="8" fontId="46" numFmtId="0" xfId="0" applyAlignment="1" applyFont="1">
      <alignment horizontal="left" readingOrder="0"/>
    </xf>
    <xf borderId="0" fillId="8" fontId="47" numFmtId="0" xfId="0" applyAlignment="1" applyFont="1">
      <alignment horizontal="left" readingOrder="0"/>
    </xf>
    <xf borderId="1" fillId="0" fontId="14" numFmtId="168" xfId="0" applyBorder="1" applyFont="1" applyNumberFormat="1"/>
    <xf borderId="1" fillId="0" fontId="29" numFmtId="168" xfId="0" applyAlignment="1" applyBorder="1" applyFont="1" applyNumberFormat="1">
      <alignment horizontal="center"/>
    </xf>
    <xf borderId="0" fillId="0" fontId="25" numFmtId="173" xfId="0" applyFont="1" applyNumberFormat="1"/>
    <xf borderId="0" fillId="0" fontId="14" numFmtId="173" xfId="0" applyFont="1" applyNumberFormat="1"/>
    <xf borderId="1" fillId="0" fontId="25" numFmtId="171" xfId="0" applyAlignment="1" applyBorder="1" applyFont="1" applyNumberFormat="1">
      <alignment horizontal="left" shrinkToFit="0" vertical="center" wrapText="1"/>
    </xf>
    <xf borderId="1" fillId="0" fontId="25" numFmtId="173" xfId="0" applyAlignment="1" applyBorder="1" applyFont="1" applyNumberFormat="1">
      <alignment shrinkToFit="0" vertical="center" wrapText="1"/>
    </xf>
    <xf borderId="1" fillId="8" fontId="44" numFmtId="171" xfId="0" applyAlignment="1" applyBorder="1" applyFont="1" applyNumberFormat="1">
      <alignment horizontal="left"/>
    </xf>
    <xf borderId="1" fillId="0" fontId="14" numFmtId="173" xfId="0" applyBorder="1" applyFont="1" applyNumberFormat="1"/>
    <xf borderId="1" fillId="0" fontId="14" numFmtId="0" xfId="0" applyAlignment="1" applyBorder="1" applyFont="1">
      <alignment horizontal="center"/>
    </xf>
    <xf borderId="1" fillId="0" fontId="14" numFmtId="171" xfId="0" applyAlignment="1" applyBorder="1" applyFont="1" applyNumberFormat="1">
      <alignment horizontal="left"/>
    </xf>
    <xf borderId="1" fillId="8" fontId="44" numFmtId="171" xfId="0" applyAlignment="1" applyBorder="1" applyFont="1" applyNumberFormat="1">
      <alignment horizontal="left" readingOrder="0"/>
    </xf>
    <xf borderId="1" fillId="0" fontId="16" numFmtId="171" xfId="0" applyAlignment="1" applyBorder="1" applyFont="1" applyNumberFormat="1">
      <alignment horizontal="left"/>
    </xf>
    <xf borderId="1" fillId="0" fontId="14" numFmtId="167" xfId="0" applyAlignment="1" applyBorder="1" applyFont="1" applyNumberFormat="1">
      <alignment readingOrder="0"/>
    </xf>
    <xf borderId="2" fillId="0" fontId="14" numFmtId="167" xfId="0" applyAlignment="1" applyBorder="1" applyFont="1" applyNumberFormat="1">
      <alignment readingOrder="0"/>
    </xf>
    <xf borderId="2" fillId="0" fontId="26" numFmtId="0" xfId="0" applyAlignment="1" applyBorder="1" applyFont="1">
      <alignment readingOrder="0"/>
    </xf>
    <xf borderId="1" fillId="0" fontId="26" numFmtId="0" xfId="0" applyBorder="1" applyFont="1"/>
    <xf borderId="1" fillId="0" fontId="41" numFmtId="0" xfId="0" applyAlignment="1" applyBorder="1" applyFont="1">
      <alignment horizontal="center" readingOrder="0"/>
    </xf>
    <xf borderId="1" fillId="0" fontId="25" numFmtId="0" xfId="0" applyBorder="1" applyFont="1"/>
    <xf borderId="2" fillId="0" fontId="16" numFmtId="0" xfId="0" applyBorder="1" applyFont="1"/>
    <xf borderId="2" fillId="0" fontId="29" numFmtId="0" xfId="0" applyAlignment="1" applyBorder="1" applyFont="1">
      <alignment horizontal="left"/>
    </xf>
    <xf borderId="2" fillId="0" fontId="2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7.0"/>
    <col customWidth="1" min="3" max="3" width="18.29"/>
    <col customWidth="1" min="4" max="4" width="15.71"/>
    <col customWidth="1" min="5" max="5" width="20.43"/>
    <col customWidth="1" min="7" max="7" width="52.14"/>
    <col customWidth="1" min="8" max="8" width="16.71"/>
  </cols>
  <sheetData>
    <row r="1">
      <c r="A1" s="1" t="s">
        <v>0</v>
      </c>
      <c r="I1" s="2" t="s">
        <v>1</v>
      </c>
    </row>
    <row r="3">
      <c r="A3" s="3" t="s">
        <v>2</v>
      </c>
      <c r="B3" s="4" t="s">
        <v>3</v>
      </c>
      <c r="C3" s="5" t="s">
        <v>4</v>
      </c>
      <c r="D3" s="3" t="s">
        <v>5</v>
      </c>
      <c r="E3" s="3" t="s">
        <v>6</v>
      </c>
      <c r="F3" s="3" t="s">
        <v>7</v>
      </c>
      <c r="G3" s="6" t="s">
        <v>8</v>
      </c>
    </row>
    <row r="4">
      <c r="A4" s="7" t="str">
        <f>Bulunga!B3</f>
        <v>Bulunga ICBC</v>
      </c>
      <c r="B4" s="7">
        <f>Bulunga!G43</f>
        <v>50</v>
      </c>
      <c r="C4" s="7">
        <f>Bulunga!F44</f>
        <v>33</v>
      </c>
      <c r="D4" s="7">
        <f t="shared" ref="D4:D30" si="1">1.5*B4</f>
        <v>75</v>
      </c>
      <c r="E4" s="8" t="s">
        <v>9</v>
      </c>
      <c r="F4" s="9" t="s">
        <v>10</v>
      </c>
      <c r="G4" s="8" t="s">
        <v>11</v>
      </c>
    </row>
    <row r="5">
      <c r="A5" s="8" t="s">
        <v>12</v>
      </c>
      <c r="B5" s="7">
        <f>Hawane!G46</f>
        <v>50</v>
      </c>
      <c r="C5" s="7">
        <f>Hawane!F47</f>
        <v>36</v>
      </c>
      <c r="D5" s="7">
        <f t="shared" si="1"/>
        <v>75</v>
      </c>
      <c r="E5" s="8" t="s">
        <v>9</v>
      </c>
      <c r="F5" s="9" t="s">
        <v>10</v>
      </c>
      <c r="G5" s="8" t="s">
        <v>13</v>
      </c>
    </row>
    <row r="6">
      <c r="A6" s="7" t="str">
        <f>Jubukweni!B3</f>
        <v>Jubukweni ICBC</v>
      </c>
      <c r="B6" s="7">
        <f>Jubukweni!G42</f>
        <v>49</v>
      </c>
      <c r="C6" s="7">
        <f>Jubukweni!F43</f>
        <v>31</v>
      </c>
      <c r="D6" s="7">
        <f t="shared" si="1"/>
        <v>73.5</v>
      </c>
      <c r="E6" s="8" t="s">
        <v>9</v>
      </c>
      <c r="F6" s="9" t="s">
        <v>10</v>
      </c>
      <c r="G6" s="8" t="s">
        <v>14</v>
      </c>
    </row>
    <row r="7">
      <c r="A7" s="7" t="str">
        <f>Kaliba!B3</f>
        <v>KaLiba ICBC</v>
      </c>
      <c r="B7" s="7">
        <f>Kaliba!G48</f>
        <v>50</v>
      </c>
      <c r="C7" s="7">
        <f>Kaliba!F49</f>
        <v>38</v>
      </c>
      <c r="D7" s="7">
        <f t="shared" si="1"/>
        <v>75</v>
      </c>
      <c r="E7" s="8" t="s">
        <v>9</v>
      </c>
      <c r="F7" s="9" t="s">
        <v>10</v>
      </c>
      <c r="G7" s="8" t="s">
        <v>15</v>
      </c>
    </row>
    <row r="8">
      <c r="A8" s="7" t="str">
        <f>Gebeni!B3</f>
        <v>Gebeni ICBC</v>
      </c>
      <c r="B8" s="7">
        <f>Gebeni!G47</f>
        <v>50</v>
      </c>
      <c r="C8" s="7">
        <f>Gebeni!F48</f>
        <v>37</v>
      </c>
      <c r="D8" s="7">
        <f t="shared" si="1"/>
        <v>75</v>
      </c>
      <c r="E8" s="8" t="s">
        <v>9</v>
      </c>
      <c r="F8" s="9" t="s">
        <v>10</v>
      </c>
      <c r="G8" s="8" t="s">
        <v>16</v>
      </c>
    </row>
    <row r="9">
      <c r="A9" s="7" t="str">
        <f>Gundvwini!B3</f>
        <v>Gundvwini ICBC</v>
      </c>
      <c r="B9" s="7">
        <f>Gundvwini!G39</f>
        <v>36</v>
      </c>
      <c r="C9" s="7">
        <f>Gundvwini!F40</f>
        <v>28</v>
      </c>
      <c r="D9" s="7">
        <f t="shared" si="1"/>
        <v>54</v>
      </c>
      <c r="E9" s="8" t="s">
        <v>9</v>
      </c>
      <c r="F9" s="9" t="s">
        <v>10</v>
      </c>
      <c r="G9" s="8" t="s">
        <v>17</v>
      </c>
    </row>
    <row r="10">
      <c r="A10" s="8" t="s">
        <v>18</v>
      </c>
      <c r="B10" s="7">
        <f>Lavumisa!H31</f>
        <v>3</v>
      </c>
      <c r="C10" s="7">
        <f>Lavumisa!G32</f>
        <v>3</v>
      </c>
      <c r="D10" s="7">
        <f t="shared" si="1"/>
        <v>4.5</v>
      </c>
      <c r="E10" s="8" t="s">
        <v>9</v>
      </c>
      <c r="F10" s="9" t="s">
        <v>10</v>
      </c>
      <c r="G10" s="8" t="s">
        <v>19</v>
      </c>
    </row>
    <row r="11">
      <c r="A11" s="8" t="s">
        <v>20</v>
      </c>
      <c r="B11" s="7">
        <f>Lundzi!H30</f>
        <v>57</v>
      </c>
      <c r="C11" s="7">
        <f>Lundzi!G31</f>
        <v>20</v>
      </c>
      <c r="D11" s="7">
        <f t="shared" si="1"/>
        <v>85.5</v>
      </c>
      <c r="E11" s="8" t="s">
        <v>9</v>
      </c>
      <c r="F11" s="9" t="s">
        <v>10</v>
      </c>
      <c r="G11" s="8" t="s">
        <v>21</v>
      </c>
    </row>
    <row r="12">
      <c r="A12" s="7" t="str">
        <f>Lushikishini!B3</f>
        <v>Lushikishini ICBC</v>
      </c>
      <c r="B12" s="7">
        <f>Lushikishini!H31</f>
        <v>16</v>
      </c>
      <c r="C12" s="7">
        <f>Lushikishini!G32</f>
        <v>7</v>
      </c>
      <c r="D12" s="7">
        <f t="shared" si="1"/>
        <v>24</v>
      </c>
      <c r="E12" s="8" t="s">
        <v>9</v>
      </c>
      <c r="F12" s="9" t="s">
        <v>10</v>
      </c>
      <c r="G12" s="8" t="s">
        <v>22</v>
      </c>
    </row>
    <row r="13">
      <c r="A13" s="7" t="str">
        <f>Lonhlalane!B3</f>
        <v>Lonhlalane ICBC</v>
      </c>
      <c r="B13" s="7">
        <f>Lonhlalane!G44</f>
        <v>50</v>
      </c>
      <c r="C13" s="7">
        <f>Lonhlalane!F45</f>
        <v>34</v>
      </c>
      <c r="D13" s="7">
        <f t="shared" si="1"/>
        <v>75</v>
      </c>
      <c r="E13" s="8" t="s">
        <v>9</v>
      </c>
      <c r="F13" s="9" t="s">
        <v>10</v>
      </c>
      <c r="G13" s="8" t="s">
        <v>23</v>
      </c>
    </row>
    <row r="14">
      <c r="A14" s="8" t="s">
        <v>24</v>
      </c>
      <c r="B14" s="7">
        <f>Mangcongco!G48</f>
        <v>50</v>
      </c>
      <c r="C14" s="7">
        <f>Mangcongco!F49</f>
        <v>35</v>
      </c>
      <c r="D14" s="7">
        <f t="shared" si="1"/>
        <v>75</v>
      </c>
      <c r="E14" s="10" t="s">
        <v>9</v>
      </c>
      <c r="F14" s="9" t="s">
        <v>10</v>
      </c>
      <c r="G14" s="8" t="s">
        <v>25</v>
      </c>
    </row>
    <row r="15">
      <c r="A15" s="8" t="s">
        <v>26</v>
      </c>
      <c r="B15" s="7">
        <f>Mbowane!G43</f>
        <v>50</v>
      </c>
      <c r="C15" s="7">
        <f>Mbowane!F44</f>
        <v>33</v>
      </c>
      <c r="D15" s="7">
        <f t="shared" si="1"/>
        <v>75</v>
      </c>
      <c r="E15" s="8" t="s">
        <v>9</v>
      </c>
      <c r="F15" s="9" t="s">
        <v>10</v>
      </c>
      <c r="G15" s="8" t="s">
        <v>27</v>
      </c>
    </row>
    <row r="16">
      <c r="A16" s="7" t="str">
        <f>Mcuba!B3</f>
        <v>Mcuba ICBC</v>
      </c>
      <c r="B16" s="7">
        <f>Mcuba!G53</f>
        <v>50</v>
      </c>
      <c r="C16" s="7">
        <f>Mcuba!F54</f>
        <v>43</v>
      </c>
      <c r="D16" s="7">
        <f t="shared" si="1"/>
        <v>75</v>
      </c>
      <c r="E16" s="8" t="s">
        <v>9</v>
      </c>
      <c r="F16" s="9" t="s">
        <v>10</v>
      </c>
      <c r="G16" s="8" t="s">
        <v>23</v>
      </c>
    </row>
    <row r="17">
      <c r="A17" s="7" t="str">
        <f>Mlindazwe!B3</f>
        <v>Mlindazwe ICBC</v>
      </c>
      <c r="B17" s="7">
        <f>Mlindazwe!G41</f>
        <v>50</v>
      </c>
      <c r="C17" s="7">
        <f>Mlindazwe!F42</f>
        <v>31</v>
      </c>
      <c r="D17" s="7">
        <f t="shared" si="1"/>
        <v>75</v>
      </c>
      <c r="E17" s="8" t="s">
        <v>9</v>
      </c>
      <c r="F17" s="9" t="s">
        <v>10</v>
      </c>
      <c r="G17" s="8" t="s">
        <v>28</v>
      </c>
    </row>
    <row r="18">
      <c r="A18" s="7" t="str">
        <f>Mhlangatane!B3</f>
        <v>Mhlangatane ICBC</v>
      </c>
      <c r="B18" s="7">
        <f>Mhlangatane!G56</f>
        <v>50</v>
      </c>
      <c r="C18" s="7">
        <f>Mhlangatane!F57</f>
        <v>46</v>
      </c>
      <c r="D18" s="7">
        <f t="shared" si="1"/>
        <v>75</v>
      </c>
      <c r="E18" s="8" t="s">
        <v>9</v>
      </c>
      <c r="F18" s="9" t="s">
        <v>10</v>
      </c>
      <c r="G18" s="8" t="s">
        <v>29</v>
      </c>
    </row>
    <row r="19">
      <c r="A19" s="7" t="str">
        <f>Mpuluzi!B3</f>
        <v>Mpuluzi ICBC</v>
      </c>
      <c r="B19" s="7">
        <f>Mpuluzi!G34</f>
        <v>50</v>
      </c>
      <c r="C19" s="7">
        <f>Mpuluzi!F35</f>
        <v>24</v>
      </c>
      <c r="D19" s="7">
        <f t="shared" si="1"/>
        <v>75</v>
      </c>
      <c r="E19" s="8" t="s">
        <v>9</v>
      </c>
      <c r="F19" s="9" t="s">
        <v>10</v>
      </c>
      <c r="G19" s="8" t="s">
        <v>30</v>
      </c>
    </row>
    <row r="20">
      <c r="A20" s="7" t="str">
        <f>Msahweni!B3</f>
        <v>Msahweni ICBC</v>
      </c>
      <c r="B20" s="7">
        <f>Msahweni!G51</f>
        <v>50</v>
      </c>
      <c r="C20" s="7">
        <f>Msahweni!F52</f>
        <v>41</v>
      </c>
      <c r="D20" s="7">
        <f t="shared" si="1"/>
        <v>75</v>
      </c>
      <c r="E20" s="8" t="s">
        <v>9</v>
      </c>
      <c r="F20" s="9" t="s">
        <v>10</v>
      </c>
      <c r="G20" s="8" t="s">
        <v>31</v>
      </c>
    </row>
    <row r="21">
      <c r="A21" s="7" t="str">
        <f>'Nyathela '!B3</f>
        <v>Nyathela ICBC</v>
      </c>
      <c r="B21" s="7">
        <f>'Nyathela '!G42</f>
        <v>50</v>
      </c>
      <c r="C21" s="7">
        <f>'Nyathela '!F43</f>
        <v>32</v>
      </c>
      <c r="D21" s="7">
        <f t="shared" si="1"/>
        <v>75</v>
      </c>
      <c r="E21" s="8" t="s">
        <v>9</v>
      </c>
      <c r="F21" s="9" t="s">
        <v>10</v>
      </c>
      <c r="G21" s="8" t="s">
        <v>32</v>
      </c>
    </row>
    <row r="22">
      <c r="A22" s="7" t="str">
        <f>Ngwempisi!B3</f>
        <v>Ngwempisi ICBC</v>
      </c>
      <c r="B22" s="7">
        <f>Ngwempisi!G35</f>
        <v>52</v>
      </c>
      <c r="C22" s="7">
        <f>Ngwempisi!F36</f>
        <v>25</v>
      </c>
      <c r="D22" s="7">
        <f t="shared" si="1"/>
        <v>78</v>
      </c>
      <c r="E22" s="8" t="s">
        <v>9</v>
      </c>
      <c r="F22" s="9" t="s">
        <v>10</v>
      </c>
      <c r="G22" s="8" t="s">
        <v>33</v>
      </c>
    </row>
    <row r="23">
      <c r="A23" s="7" t="str">
        <f>Nsubane!B3</f>
        <v>Nsubane ICBC</v>
      </c>
      <c r="B23" s="7">
        <f>Nsubane!G36</f>
        <v>50</v>
      </c>
      <c r="C23" s="7">
        <f>Nsubane!F37</f>
        <v>26</v>
      </c>
      <c r="D23" s="7">
        <f t="shared" si="1"/>
        <v>75</v>
      </c>
      <c r="E23" s="8" t="s">
        <v>9</v>
      </c>
      <c r="F23" s="9" t="s">
        <v>10</v>
      </c>
      <c r="G23" s="8" t="s">
        <v>34</v>
      </c>
    </row>
    <row r="24">
      <c r="A24" s="8" t="s">
        <v>35</v>
      </c>
      <c r="B24" s="7">
        <f>Sibovini!G40</f>
        <v>50</v>
      </c>
      <c r="C24" s="7">
        <f>Sibovini!F41</f>
        <v>30</v>
      </c>
      <c r="D24" s="7">
        <f t="shared" si="1"/>
        <v>75</v>
      </c>
      <c r="E24" s="8" t="s">
        <v>9</v>
      </c>
      <c r="F24" s="9" t="s">
        <v>10</v>
      </c>
      <c r="G24" s="8" t="s">
        <v>36</v>
      </c>
    </row>
    <row r="25">
      <c r="A25" s="7" t="str">
        <f>Sigangeni!B3</f>
        <v>Sigangeni ICBC</v>
      </c>
      <c r="B25" s="7">
        <f>Sigangeni!G40</f>
        <v>50</v>
      </c>
      <c r="C25" s="7">
        <f>Sigangeni!F41</f>
        <v>29</v>
      </c>
      <c r="D25" s="7">
        <f t="shared" si="1"/>
        <v>75</v>
      </c>
      <c r="E25" s="8" t="s">
        <v>9</v>
      </c>
      <c r="F25" s="9" t="s">
        <v>10</v>
      </c>
      <c r="G25" s="8" t="s">
        <v>37</v>
      </c>
    </row>
    <row r="26">
      <c r="A26" s="7" t="str">
        <f>Sigengeni!B3</f>
        <v>Sigengeni ICBC</v>
      </c>
      <c r="B26" s="7">
        <f>Sigengeni!G42</f>
        <v>50</v>
      </c>
      <c r="C26" s="7">
        <f>Sigengeni!F43</f>
        <v>32</v>
      </c>
      <c r="D26" s="7">
        <f t="shared" si="1"/>
        <v>75</v>
      </c>
      <c r="E26" s="8" t="s">
        <v>9</v>
      </c>
      <c r="F26" s="9" t="s">
        <v>10</v>
      </c>
      <c r="G26" s="8" t="s">
        <v>38</v>
      </c>
    </row>
    <row r="27">
      <c r="A27" s="7" t="str">
        <f>Sigombeni!B3</f>
        <v>Sigombeni ICBC</v>
      </c>
      <c r="B27" s="7">
        <f>Sigombeni!G51</f>
        <v>50</v>
      </c>
      <c r="C27" s="7">
        <f>Sigombeni!F52</f>
        <v>41</v>
      </c>
      <c r="D27" s="7">
        <f t="shared" si="1"/>
        <v>75</v>
      </c>
      <c r="E27" s="8" t="s">
        <v>9</v>
      </c>
      <c r="F27" s="9" t="s">
        <v>10</v>
      </c>
      <c r="G27" s="8" t="s">
        <v>39</v>
      </c>
    </row>
    <row r="28">
      <c r="A28" s="7" t="str">
        <f>Sigcaweni!B3</f>
        <v>Esigcaweni ICBC</v>
      </c>
      <c r="B28" s="7">
        <f>Sigcaweni!G49</f>
        <v>50</v>
      </c>
      <c r="C28" s="7">
        <f>Sigcaweni!F50</f>
        <v>36</v>
      </c>
      <c r="D28" s="7">
        <f t="shared" si="1"/>
        <v>75</v>
      </c>
      <c r="E28" s="8" t="s">
        <v>9</v>
      </c>
      <c r="F28" s="9" t="s">
        <v>10</v>
      </c>
      <c r="G28" s="8" t="s">
        <v>40</v>
      </c>
    </row>
    <row r="29">
      <c r="A29" s="7" t="str">
        <f>Zondwako!B3</f>
        <v>Zondwako ICBC</v>
      </c>
      <c r="B29" s="7">
        <f>Zondwako!G47</f>
        <v>50</v>
      </c>
      <c r="C29" s="7">
        <f>Zondwako!F48</f>
        <v>36</v>
      </c>
      <c r="D29" s="7">
        <f t="shared" si="1"/>
        <v>75</v>
      </c>
      <c r="E29" s="8" t="s">
        <v>9</v>
      </c>
      <c r="F29" s="9" t="s">
        <v>10</v>
      </c>
      <c r="G29" s="8" t="s">
        <v>30</v>
      </c>
    </row>
    <row r="30">
      <c r="A30" s="3" t="s">
        <v>41</v>
      </c>
      <c r="B30" s="3">
        <f t="shared" ref="B30:C30" si="2">SUM(B4:B29)</f>
        <v>1213</v>
      </c>
      <c r="C30" s="3">
        <f t="shared" si="2"/>
        <v>807</v>
      </c>
      <c r="D30" s="3">
        <f t="shared" si="1"/>
        <v>1819.5</v>
      </c>
      <c r="E30" s="3">
        <f>COUNTIF(E4:Z29,"Complete")</f>
        <v>26</v>
      </c>
      <c r="F30" s="3">
        <f>COUNTIF(F4:F29,"Paid")</f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28.86"/>
    <col customWidth="1" min="3" max="4" width="18.29"/>
    <col customWidth="1" min="5" max="5" width="38.14"/>
    <col customWidth="1" min="6" max="6" width="29.71"/>
    <col customWidth="1" min="7" max="7" width="15.0"/>
    <col customWidth="1" min="8" max="8" width="13.29"/>
    <col customWidth="1" min="9" max="9" width="17.0"/>
    <col customWidth="1" min="10" max="28" width="8.71"/>
  </cols>
  <sheetData>
    <row r="1" ht="33.0" customHeight="1">
      <c r="A1" s="11" t="s">
        <v>42</v>
      </c>
      <c r="H1" s="12"/>
    </row>
    <row r="2" ht="21.75" customHeight="1">
      <c r="C2" s="13" t="s">
        <v>43</v>
      </c>
      <c r="H2" s="12"/>
    </row>
    <row r="3" ht="14.25" customHeight="1">
      <c r="A3" s="14" t="s">
        <v>44</v>
      </c>
      <c r="B3" s="15" t="s">
        <v>45</v>
      </c>
      <c r="E3" s="16" t="s">
        <v>46</v>
      </c>
      <c r="F3" s="17" t="s">
        <v>47</v>
      </c>
      <c r="H3" s="12"/>
    </row>
    <row r="4" ht="14.25" customHeight="1">
      <c r="A4" s="14" t="s">
        <v>48</v>
      </c>
      <c r="B4" s="15" t="s">
        <v>49</v>
      </c>
      <c r="E4" s="16" t="s">
        <v>50</v>
      </c>
      <c r="F4" s="18">
        <v>8.708016100133E12</v>
      </c>
      <c r="H4" s="12"/>
    </row>
    <row r="5" ht="14.25" customHeight="1">
      <c r="A5" s="14" t="s">
        <v>51</v>
      </c>
      <c r="B5" s="15" t="s">
        <v>52</v>
      </c>
      <c r="E5" s="16" t="s">
        <v>53</v>
      </c>
      <c r="F5" s="15" t="s">
        <v>49</v>
      </c>
      <c r="H5" s="12"/>
    </row>
    <row r="6" ht="14.25" customHeight="1">
      <c r="A6" s="14" t="s">
        <v>54</v>
      </c>
      <c r="B6" s="15"/>
      <c r="E6" s="16" t="s">
        <v>55</v>
      </c>
      <c r="F6" s="18">
        <v>9.110002992984E12</v>
      </c>
      <c r="H6" s="12"/>
    </row>
    <row r="7" ht="14.25" customHeight="1">
      <c r="C7" s="19"/>
      <c r="D7" s="19"/>
      <c r="E7" s="19"/>
      <c r="H7" s="12"/>
    </row>
    <row r="8" ht="14.25" customHeight="1">
      <c r="C8" s="19"/>
      <c r="D8" s="19"/>
      <c r="E8" s="19"/>
      <c r="H8" s="12"/>
    </row>
    <row r="9" ht="14.25" customHeight="1">
      <c r="A9" s="20" t="s">
        <v>56</v>
      </c>
      <c r="B9" s="20" t="s">
        <v>57</v>
      </c>
      <c r="C9" s="21" t="s">
        <v>58</v>
      </c>
      <c r="D9" s="21" t="s">
        <v>59</v>
      </c>
      <c r="E9" s="21" t="s">
        <v>60</v>
      </c>
      <c r="F9" s="20" t="s">
        <v>61</v>
      </c>
      <c r="G9" s="20" t="s">
        <v>62</v>
      </c>
      <c r="H9" s="22" t="s">
        <v>63</v>
      </c>
      <c r="I9" s="20" t="s">
        <v>64</v>
      </c>
    </row>
    <row r="10" ht="14.25" customHeight="1">
      <c r="A10" s="23" t="s">
        <v>65</v>
      </c>
      <c r="B10" s="24">
        <v>7.6979572E7</v>
      </c>
      <c r="C10" s="24" t="s">
        <v>66</v>
      </c>
      <c r="D10" s="25"/>
      <c r="E10" s="25"/>
      <c r="F10" s="26">
        <v>1.0</v>
      </c>
      <c r="G10" s="26">
        <v>1.0</v>
      </c>
      <c r="H10" s="27">
        <f t="shared" ref="H10:H42" si="1">200*G10</f>
        <v>200</v>
      </c>
      <c r="I10" s="23"/>
    </row>
    <row r="11" ht="14.25" customHeight="1">
      <c r="A11" s="23" t="s">
        <v>67</v>
      </c>
      <c r="B11" s="24">
        <v>7.6978028E7</v>
      </c>
      <c r="C11" s="24" t="s">
        <v>66</v>
      </c>
      <c r="D11" s="25"/>
      <c r="E11" s="25"/>
      <c r="F11" s="26">
        <v>2.0</v>
      </c>
      <c r="G11" s="26">
        <v>2.0</v>
      </c>
      <c r="H11" s="27">
        <f t="shared" si="1"/>
        <v>400</v>
      </c>
      <c r="I11" s="23"/>
    </row>
    <row r="12" ht="14.25" customHeight="1">
      <c r="A12" s="23" t="s">
        <v>68</v>
      </c>
      <c r="B12" s="24">
        <v>7.6380224E7</v>
      </c>
      <c r="C12" s="24" t="s">
        <v>66</v>
      </c>
      <c r="D12" s="25"/>
      <c r="E12" s="25"/>
      <c r="F12" s="26">
        <v>2.0</v>
      </c>
      <c r="G12" s="26">
        <v>2.0</v>
      </c>
      <c r="H12" s="27">
        <f t="shared" si="1"/>
        <v>400</v>
      </c>
      <c r="I12" s="23"/>
    </row>
    <row r="13" ht="14.25" customHeight="1">
      <c r="A13" s="23" t="s">
        <v>69</v>
      </c>
      <c r="B13" s="24">
        <v>7.6142101E7</v>
      </c>
      <c r="C13" s="24" t="s">
        <v>66</v>
      </c>
      <c r="D13" s="25"/>
      <c r="E13" s="25"/>
      <c r="F13" s="26">
        <v>1.0</v>
      </c>
      <c r="G13" s="26">
        <v>1.0</v>
      </c>
      <c r="H13" s="27">
        <f t="shared" si="1"/>
        <v>200</v>
      </c>
      <c r="I13" s="23"/>
    </row>
    <row r="14" ht="14.25" customHeight="1">
      <c r="A14" s="23" t="s">
        <v>70</v>
      </c>
      <c r="B14" s="24">
        <v>7.6247135E7</v>
      </c>
      <c r="C14" s="24" t="s">
        <v>66</v>
      </c>
      <c r="D14" s="25"/>
      <c r="E14" s="25"/>
      <c r="F14" s="26">
        <v>2.0</v>
      </c>
      <c r="G14" s="26">
        <v>2.0</v>
      </c>
      <c r="H14" s="27">
        <f t="shared" si="1"/>
        <v>400</v>
      </c>
      <c r="I14" s="23"/>
    </row>
    <row r="15" ht="14.25" customHeight="1">
      <c r="A15" s="28" t="s">
        <v>71</v>
      </c>
      <c r="B15" s="29">
        <v>7.6536796E7</v>
      </c>
      <c r="C15" s="29" t="s">
        <v>72</v>
      </c>
      <c r="D15" s="25"/>
      <c r="E15" s="25"/>
      <c r="F15" s="30">
        <v>1.0</v>
      </c>
      <c r="G15" s="30">
        <v>1.0</v>
      </c>
      <c r="H15" s="27">
        <f t="shared" si="1"/>
        <v>200</v>
      </c>
      <c r="I15" s="23"/>
    </row>
    <row r="16" ht="14.25" customHeight="1">
      <c r="A16" s="28" t="s">
        <v>73</v>
      </c>
      <c r="B16" s="29">
        <v>7.6544166E7</v>
      </c>
      <c r="C16" s="29" t="s">
        <v>72</v>
      </c>
      <c r="D16" s="25"/>
      <c r="E16" s="25"/>
      <c r="F16" s="30">
        <v>1.0</v>
      </c>
      <c r="G16" s="30">
        <v>1.0</v>
      </c>
      <c r="H16" s="27">
        <f t="shared" si="1"/>
        <v>200</v>
      </c>
      <c r="I16" s="23"/>
    </row>
    <row r="17" ht="14.25" customHeight="1">
      <c r="A17" s="28" t="s">
        <v>74</v>
      </c>
      <c r="B17" s="29">
        <v>7.8145259E7</v>
      </c>
      <c r="C17" s="29" t="s">
        <v>72</v>
      </c>
      <c r="D17" s="25"/>
      <c r="E17" s="25"/>
      <c r="F17" s="30">
        <v>2.0</v>
      </c>
      <c r="G17" s="30">
        <v>2.0</v>
      </c>
      <c r="H17" s="27">
        <f t="shared" si="1"/>
        <v>400</v>
      </c>
      <c r="I17" s="23"/>
    </row>
    <row r="18" ht="14.25" customHeight="1">
      <c r="A18" s="28" t="s">
        <v>75</v>
      </c>
      <c r="B18" s="29">
        <v>7.6932942E7</v>
      </c>
      <c r="C18" s="29" t="s">
        <v>72</v>
      </c>
      <c r="D18" s="25"/>
      <c r="E18" s="25"/>
      <c r="F18" s="30">
        <v>1.0</v>
      </c>
      <c r="G18" s="30">
        <v>1.0</v>
      </c>
      <c r="H18" s="27">
        <f t="shared" si="1"/>
        <v>200</v>
      </c>
      <c r="I18" s="23"/>
    </row>
    <row r="19" ht="14.25" customHeight="1">
      <c r="A19" s="28" t="s">
        <v>76</v>
      </c>
      <c r="B19" s="29">
        <v>7.6971553E7</v>
      </c>
      <c r="C19" s="29" t="s">
        <v>72</v>
      </c>
      <c r="D19" s="25"/>
      <c r="E19" s="25"/>
      <c r="F19" s="30">
        <v>1.0</v>
      </c>
      <c r="G19" s="30">
        <v>1.0</v>
      </c>
      <c r="H19" s="27">
        <f t="shared" si="1"/>
        <v>200</v>
      </c>
      <c r="I19" s="23"/>
    </row>
    <row r="20" ht="14.25" customHeight="1">
      <c r="A20" s="28" t="s">
        <v>77</v>
      </c>
      <c r="B20" s="29">
        <v>7.6076266E7</v>
      </c>
      <c r="C20" s="29" t="s">
        <v>72</v>
      </c>
      <c r="D20" s="25"/>
      <c r="E20" s="25"/>
      <c r="F20" s="30">
        <v>1.5</v>
      </c>
      <c r="G20" s="30">
        <v>1.5</v>
      </c>
      <c r="H20" s="27">
        <f t="shared" si="1"/>
        <v>300</v>
      </c>
      <c r="I20" s="23"/>
    </row>
    <row r="21" ht="14.25" customHeight="1">
      <c r="A21" s="28" t="s">
        <v>78</v>
      </c>
      <c r="B21" s="29">
        <v>7.6747024E7</v>
      </c>
      <c r="C21" s="29" t="s">
        <v>79</v>
      </c>
      <c r="D21" s="31">
        <v>0.7083333333333334</v>
      </c>
      <c r="E21" s="31">
        <v>0.75</v>
      </c>
      <c r="F21" s="30">
        <v>1.0</v>
      </c>
      <c r="G21" s="30">
        <v>1.0</v>
      </c>
      <c r="H21" s="27">
        <f t="shared" si="1"/>
        <v>200</v>
      </c>
      <c r="I21" s="23"/>
    </row>
    <row r="22" ht="14.25" customHeight="1">
      <c r="A22" s="28" t="s">
        <v>80</v>
      </c>
      <c r="B22" s="29">
        <v>7.6338758E7</v>
      </c>
      <c r="C22" s="29" t="s">
        <v>79</v>
      </c>
      <c r="D22" s="31">
        <v>0.2916666666666667</v>
      </c>
      <c r="E22" s="31">
        <v>0.5</v>
      </c>
      <c r="F22" s="30">
        <v>5.0</v>
      </c>
      <c r="G22" s="30">
        <v>5.0</v>
      </c>
      <c r="H22" s="27">
        <f t="shared" si="1"/>
        <v>1000</v>
      </c>
      <c r="I22" s="23"/>
    </row>
    <row r="23" ht="14.25" customHeight="1">
      <c r="A23" s="28" t="s">
        <v>78</v>
      </c>
      <c r="B23" s="32" t="s">
        <v>81</v>
      </c>
      <c r="C23" s="33">
        <v>45027.0</v>
      </c>
      <c r="D23" s="31">
        <v>0.2916666666666667</v>
      </c>
      <c r="E23" s="31">
        <v>0.3333333333333333</v>
      </c>
      <c r="F23" s="30">
        <v>1.0</v>
      </c>
      <c r="G23" s="30">
        <v>1.0</v>
      </c>
      <c r="H23" s="34">
        <f t="shared" si="1"/>
        <v>200</v>
      </c>
      <c r="I23" s="23"/>
    </row>
    <row r="24" ht="14.25" customHeight="1">
      <c r="A24" s="28" t="s">
        <v>82</v>
      </c>
      <c r="B24" s="32" t="s">
        <v>81</v>
      </c>
      <c r="C24" s="33">
        <v>45027.0</v>
      </c>
      <c r="D24" s="31">
        <v>0.3958333333333333</v>
      </c>
      <c r="E24" s="31">
        <v>0.020833333333333332</v>
      </c>
      <c r="F24" s="30">
        <v>3.0</v>
      </c>
      <c r="G24" s="30">
        <v>3.0</v>
      </c>
      <c r="H24" s="34">
        <f t="shared" si="1"/>
        <v>600</v>
      </c>
      <c r="I24" s="23"/>
    </row>
    <row r="25" ht="14.25" customHeight="1">
      <c r="A25" s="28" t="s">
        <v>83</v>
      </c>
      <c r="B25" s="32" t="s">
        <v>81</v>
      </c>
      <c r="C25" s="33">
        <v>45027.0</v>
      </c>
      <c r="D25" s="31">
        <v>0.5416666666666666</v>
      </c>
      <c r="E25" s="31">
        <v>0.5833333333333334</v>
      </c>
      <c r="F25" s="30">
        <v>1.0</v>
      </c>
      <c r="G25" s="30">
        <v>1.0</v>
      </c>
      <c r="H25" s="34">
        <f t="shared" si="1"/>
        <v>200</v>
      </c>
      <c r="I25" s="23"/>
    </row>
    <row r="26" ht="14.25" customHeight="1">
      <c r="A26" s="28" t="s">
        <v>84</v>
      </c>
      <c r="B26" s="32" t="s">
        <v>81</v>
      </c>
      <c r="C26" s="33">
        <v>45027.0</v>
      </c>
      <c r="D26" s="31">
        <v>0.7083333333333334</v>
      </c>
      <c r="E26" s="31">
        <v>0.75</v>
      </c>
      <c r="F26" s="30">
        <v>1.0</v>
      </c>
      <c r="G26" s="30">
        <v>1.0</v>
      </c>
      <c r="H26" s="34">
        <f t="shared" si="1"/>
        <v>200</v>
      </c>
      <c r="I26" s="23"/>
    </row>
    <row r="27" ht="14.25" customHeight="1">
      <c r="A27" s="28" t="s">
        <v>85</v>
      </c>
      <c r="B27" s="32" t="s">
        <v>81</v>
      </c>
      <c r="C27" s="33">
        <v>45088.0</v>
      </c>
      <c r="D27" s="31">
        <v>0.3333333333333333</v>
      </c>
      <c r="E27" s="31">
        <v>0.375</v>
      </c>
      <c r="F27" s="30">
        <v>1.0</v>
      </c>
      <c r="G27" s="30">
        <v>1.0</v>
      </c>
      <c r="H27" s="27">
        <f t="shared" si="1"/>
        <v>200</v>
      </c>
      <c r="I27" s="23"/>
    </row>
    <row r="28" ht="14.25" customHeight="1">
      <c r="A28" s="28" t="s">
        <v>86</v>
      </c>
      <c r="B28" s="35">
        <v>7.64323611E8</v>
      </c>
      <c r="C28" s="33">
        <v>45088.0</v>
      </c>
      <c r="D28" s="31">
        <v>0.425</v>
      </c>
      <c r="E28" s="31">
        <v>0.4666666666666667</v>
      </c>
      <c r="F28" s="30">
        <v>1.0</v>
      </c>
      <c r="G28" s="30">
        <v>1.0</v>
      </c>
      <c r="H28" s="27">
        <f t="shared" si="1"/>
        <v>200</v>
      </c>
      <c r="I28" s="23"/>
    </row>
    <row r="29" ht="14.25" customHeight="1">
      <c r="A29" s="28" t="s">
        <v>87</v>
      </c>
      <c r="B29" s="36">
        <v>7.6142101E7</v>
      </c>
      <c r="C29" s="33">
        <v>45088.0</v>
      </c>
      <c r="D29" s="31">
        <v>0.4791666666666667</v>
      </c>
      <c r="E29" s="31">
        <v>0.6041666666666666</v>
      </c>
      <c r="F29" s="30">
        <v>3.0</v>
      </c>
      <c r="G29" s="30">
        <v>3.0</v>
      </c>
      <c r="H29" s="27">
        <f t="shared" si="1"/>
        <v>600</v>
      </c>
      <c r="I29" s="23"/>
    </row>
    <row r="30" ht="14.25" customHeight="1">
      <c r="A30" s="28" t="s">
        <v>88</v>
      </c>
      <c r="B30" s="32" t="s">
        <v>81</v>
      </c>
      <c r="C30" s="33">
        <v>45088.0</v>
      </c>
      <c r="D30" s="31">
        <v>0.75</v>
      </c>
      <c r="E30" s="31">
        <v>0.7916666666666666</v>
      </c>
      <c r="F30" s="30">
        <v>1.0</v>
      </c>
      <c r="G30" s="30">
        <v>1.0</v>
      </c>
      <c r="H30" s="27">
        <f t="shared" si="1"/>
        <v>200</v>
      </c>
      <c r="I30" s="23"/>
    </row>
    <row r="31" ht="14.25" customHeight="1">
      <c r="A31" s="28" t="s">
        <v>89</v>
      </c>
      <c r="B31" s="32" t="s">
        <v>81</v>
      </c>
      <c r="C31" s="33">
        <v>45088.0</v>
      </c>
      <c r="D31" s="31">
        <v>0.8416666666666667</v>
      </c>
      <c r="E31" s="31">
        <v>0.8833333333333333</v>
      </c>
      <c r="F31" s="30">
        <v>1.0</v>
      </c>
      <c r="G31" s="30">
        <v>1.0</v>
      </c>
      <c r="H31" s="27">
        <f t="shared" si="1"/>
        <v>200</v>
      </c>
      <c r="I31" s="23"/>
    </row>
    <row r="32" ht="14.25" customHeight="1">
      <c r="A32" s="28" t="s">
        <v>75</v>
      </c>
      <c r="B32" s="32" t="s">
        <v>81</v>
      </c>
      <c r="C32" s="33">
        <v>45088.0</v>
      </c>
      <c r="D32" s="37">
        <v>0.8958333333333334</v>
      </c>
      <c r="E32" s="31">
        <v>0.9375</v>
      </c>
      <c r="F32" s="30">
        <v>1.0</v>
      </c>
      <c r="G32" s="30">
        <v>1.0</v>
      </c>
      <c r="H32" s="27">
        <f t="shared" si="1"/>
        <v>200</v>
      </c>
      <c r="I32" s="23"/>
    </row>
    <row r="33" ht="14.25" customHeight="1">
      <c r="A33" s="28" t="s">
        <v>90</v>
      </c>
      <c r="B33" s="32" t="s">
        <v>81</v>
      </c>
      <c r="C33" s="33">
        <v>45088.0</v>
      </c>
      <c r="D33" s="31">
        <v>0.9583333333333334</v>
      </c>
      <c r="E33" s="31">
        <v>0.5416666666666666</v>
      </c>
      <c r="F33" s="30">
        <v>2.0</v>
      </c>
      <c r="G33" s="30">
        <v>2.0</v>
      </c>
      <c r="H33" s="27">
        <f t="shared" si="1"/>
        <v>400</v>
      </c>
      <c r="I33" s="23"/>
    </row>
    <row r="34" ht="14.25" customHeight="1">
      <c r="A34" s="28" t="s">
        <v>91</v>
      </c>
      <c r="B34" s="29">
        <v>7.8219943E7</v>
      </c>
      <c r="C34" s="33">
        <v>45149.0</v>
      </c>
      <c r="D34" s="31">
        <v>0.25</v>
      </c>
      <c r="E34" s="31">
        <v>0.875</v>
      </c>
      <c r="F34" s="30">
        <v>3.0</v>
      </c>
      <c r="G34" s="30">
        <v>3.0</v>
      </c>
      <c r="H34" s="27">
        <f t="shared" si="1"/>
        <v>600</v>
      </c>
      <c r="I34" s="23"/>
    </row>
    <row r="35" ht="14.25" customHeight="1">
      <c r="A35" s="28" t="s">
        <v>92</v>
      </c>
      <c r="B35" s="29">
        <v>7.6134614E7</v>
      </c>
      <c r="C35" s="33">
        <v>45149.0</v>
      </c>
      <c r="D35" s="31">
        <v>0.3958333333333333</v>
      </c>
      <c r="E35" s="31">
        <v>0.4375</v>
      </c>
      <c r="F35" s="30">
        <v>1.0</v>
      </c>
      <c r="G35" s="30">
        <v>1.0</v>
      </c>
      <c r="H35" s="27">
        <f t="shared" si="1"/>
        <v>200</v>
      </c>
      <c r="I35" s="23"/>
    </row>
    <row r="36" ht="14.25" customHeight="1">
      <c r="A36" s="28" t="s">
        <v>93</v>
      </c>
      <c r="B36" s="29">
        <v>7.6875547E7</v>
      </c>
      <c r="C36" s="33">
        <v>45149.0</v>
      </c>
      <c r="D36" s="31">
        <v>0.4583333333333333</v>
      </c>
      <c r="E36" s="31">
        <v>0.5416666666666666</v>
      </c>
      <c r="F36" s="30">
        <v>2.0</v>
      </c>
      <c r="G36" s="30">
        <v>2.0</v>
      </c>
      <c r="H36" s="27">
        <f t="shared" si="1"/>
        <v>400</v>
      </c>
      <c r="I36" s="23"/>
    </row>
    <row r="37" ht="14.25" customHeight="1">
      <c r="A37" s="28" t="s">
        <v>94</v>
      </c>
      <c r="B37" s="29">
        <v>7.6380224E7</v>
      </c>
      <c r="C37" s="33">
        <v>45149.0</v>
      </c>
      <c r="D37" s="31">
        <v>0.625</v>
      </c>
      <c r="E37" s="31">
        <v>0.6666666666666666</v>
      </c>
      <c r="F37" s="30">
        <v>1.0</v>
      </c>
      <c r="G37" s="30">
        <v>1.0</v>
      </c>
      <c r="H37" s="27">
        <f t="shared" si="1"/>
        <v>200</v>
      </c>
      <c r="I37" s="23"/>
    </row>
    <row r="38" ht="14.25" customHeight="1">
      <c r="A38" s="28" t="s">
        <v>85</v>
      </c>
      <c r="B38" s="29">
        <v>7.6254813E7</v>
      </c>
      <c r="C38" s="33">
        <v>45149.0</v>
      </c>
      <c r="D38" s="31">
        <v>0.7291666666666666</v>
      </c>
      <c r="E38" s="31">
        <v>0.7708333333333334</v>
      </c>
      <c r="F38" s="30">
        <v>1.0</v>
      </c>
      <c r="G38" s="30">
        <v>1.0</v>
      </c>
      <c r="H38" s="27">
        <f t="shared" si="1"/>
        <v>200</v>
      </c>
      <c r="I38" s="23"/>
    </row>
    <row r="39" ht="14.25" customHeight="1">
      <c r="A39" s="28" t="s">
        <v>95</v>
      </c>
      <c r="B39" s="32" t="s">
        <v>81</v>
      </c>
      <c r="C39" s="33">
        <v>45180.0</v>
      </c>
      <c r="D39" s="31">
        <v>0.2916666666666667</v>
      </c>
      <c r="E39" s="31">
        <v>0.3333333333333333</v>
      </c>
      <c r="F39" s="30">
        <v>1.0</v>
      </c>
      <c r="G39" s="30">
        <v>1.0</v>
      </c>
      <c r="H39" s="27">
        <f t="shared" si="1"/>
        <v>200</v>
      </c>
      <c r="I39" s="23"/>
    </row>
    <row r="40" ht="14.25" customHeight="1">
      <c r="A40" s="28" t="s">
        <v>96</v>
      </c>
      <c r="B40" s="29">
        <v>7.6058571E7</v>
      </c>
      <c r="C40" s="33">
        <v>45180.0</v>
      </c>
      <c r="D40" s="31">
        <v>0.3541666666666667</v>
      </c>
      <c r="E40" s="31">
        <v>0.3958333333333333</v>
      </c>
      <c r="F40" s="30">
        <v>1.0</v>
      </c>
      <c r="G40" s="30">
        <v>1.0</v>
      </c>
      <c r="H40" s="27">
        <f t="shared" si="1"/>
        <v>200</v>
      </c>
      <c r="I40" s="23"/>
    </row>
    <row r="41" ht="14.25" customHeight="1">
      <c r="A41" s="28" t="s">
        <v>97</v>
      </c>
      <c r="B41" s="29">
        <v>7.6033369E7</v>
      </c>
      <c r="C41" s="33">
        <v>45180.0</v>
      </c>
      <c r="D41" s="31">
        <v>0.4166666666666667</v>
      </c>
      <c r="E41" s="31">
        <v>0.4583333333333333</v>
      </c>
      <c r="F41" s="30">
        <v>1.0</v>
      </c>
      <c r="G41" s="30">
        <v>1.0</v>
      </c>
      <c r="H41" s="27">
        <f t="shared" si="1"/>
        <v>200</v>
      </c>
      <c r="I41" s="23"/>
    </row>
    <row r="42" ht="14.25" customHeight="1">
      <c r="A42" s="28" t="s">
        <v>98</v>
      </c>
      <c r="B42" s="32" t="s">
        <v>81</v>
      </c>
      <c r="C42" s="33">
        <v>45180.0</v>
      </c>
      <c r="D42" s="31">
        <v>0.5</v>
      </c>
      <c r="E42" s="31">
        <v>0.5625</v>
      </c>
      <c r="F42" s="30">
        <v>1.5</v>
      </c>
      <c r="G42" s="30">
        <v>1.5</v>
      </c>
      <c r="H42" s="27">
        <f t="shared" si="1"/>
        <v>300</v>
      </c>
      <c r="I42" s="23"/>
    </row>
    <row r="43" ht="21.75" customHeight="1">
      <c r="A43" s="23"/>
      <c r="B43" s="25"/>
      <c r="C43" s="25"/>
      <c r="D43" s="25"/>
      <c r="E43" s="38" t="s">
        <v>99</v>
      </c>
      <c r="F43" s="39">
        <f t="shared" ref="F43:H43" si="2">SUM(F10:F42)</f>
        <v>50</v>
      </c>
      <c r="G43" s="40">
        <f t="shared" si="2"/>
        <v>50</v>
      </c>
      <c r="H43" s="41">
        <f t="shared" si="2"/>
        <v>10000</v>
      </c>
      <c r="I43" s="42"/>
    </row>
    <row r="44" ht="20.25" customHeight="1">
      <c r="A44" s="43"/>
      <c r="B44" s="43"/>
      <c r="C44" s="44"/>
      <c r="D44" s="44"/>
      <c r="E44" s="45" t="s">
        <v>100</v>
      </c>
      <c r="F44" s="46">
        <f>COUNT(G10:G42)</f>
        <v>33</v>
      </c>
      <c r="G44" s="47"/>
      <c r="H44" s="47"/>
      <c r="I44" s="48"/>
    </row>
    <row r="45" ht="14.25" customHeight="1">
      <c r="C45" s="19"/>
      <c r="D45" s="19"/>
      <c r="E45" s="19"/>
      <c r="H45" s="12"/>
    </row>
    <row r="46" ht="14.25" customHeight="1">
      <c r="C46" s="19"/>
      <c r="D46" s="49" t="s">
        <v>101</v>
      </c>
      <c r="E46" s="50"/>
      <c r="H46" s="12"/>
    </row>
    <row r="47" ht="14.25" customHeight="1">
      <c r="C47" s="19"/>
      <c r="D47" s="51" t="s">
        <v>102</v>
      </c>
      <c r="E47" s="50"/>
      <c r="H47" s="12"/>
    </row>
    <row r="48" ht="14.25" customHeight="1">
      <c r="C48" s="19"/>
      <c r="D48" s="52" t="s">
        <v>58</v>
      </c>
      <c r="E48" s="53"/>
      <c r="H48" s="12"/>
    </row>
    <row r="49" ht="14.25" customHeight="1">
      <c r="C49" s="19"/>
      <c r="D49" s="19"/>
      <c r="E49" s="19"/>
      <c r="H49" s="12"/>
    </row>
    <row r="50" ht="14.25" customHeight="1">
      <c r="C50" s="19"/>
      <c r="D50" s="19"/>
      <c r="E50" s="19"/>
      <c r="H50" s="12"/>
    </row>
    <row r="51" ht="14.25" customHeight="1">
      <c r="C51" s="19"/>
      <c r="D51" s="19"/>
      <c r="E51" s="19"/>
      <c r="H51" s="12"/>
    </row>
    <row r="52" ht="14.25" customHeight="1">
      <c r="C52" s="19"/>
      <c r="D52" s="19"/>
      <c r="E52" s="19"/>
      <c r="H52" s="12"/>
    </row>
    <row r="53" ht="14.25" customHeight="1">
      <c r="C53" s="19"/>
      <c r="D53" s="19"/>
      <c r="E53" s="19"/>
      <c r="H53" s="12"/>
    </row>
    <row r="54" ht="14.25" customHeight="1">
      <c r="C54" s="19"/>
      <c r="D54" s="19"/>
      <c r="E54" s="19"/>
      <c r="H54" s="12"/>
    </row>
    <row r="55" ht="14.25" customHeight="1">
      <c r="C55" s="19"/>
      <c r="D55" s="19"/>
      <c r="E55" s="19"/>
      <c r="H55" s="12"/>
    </row>
    <row r="56" ht="14.25" customHeight="1">
      <c r="C56" s="19"/>
      <c r="D56" s="19"/>
      <c r="E56" s="19"/>
      <c r="H56" s="12"/>
    </row>
    <row r="57" ht="14.25" customHeight="1">
      <c r="C57" s="19"/>
      <c r="D57" s="19"/>
      <c r="E57" s="19"/>
      <c r="H57" s="12"/>
    </row>
    <row r="58" ht="14.25" customHeight="1">
      <c r="C58" s="19"/>
      <c r="D58" s="19"/>
      <c r="E58" s="19"/>
      <c r="H58" s="12"/>
    </row>
    <row r="59" ht="14.25" customHeight="1">
      <c r="C59" s="19"/>
      <c r="D59" s="19"/>
      <c r="E59" s="19"/>
      <c r="H59" s="12"/>
    </row>
    <row r="60" ht="14.25" customHeight="1">
      <c r="C60" s="19"/>
      <c r="D60" s="19"/>
      <c r="E60" s="19"/>
      <c r="H60" s="12"/>
    </row>
    <row r="61" ht="14.25" customHeight="1">
      <c r="C61" s="19"/>
      <c r="D61" s="19"/>
      <c r="E61" s="19"/>
      <c r="H61" s="12"/>
    </row>
    <row r="62" ht="14.25" customHeight="1">
      <c r="C62" s="19"/>
      <c r="D62" s="19"/>
      <c r="E62" s="19"/>
      <c r="H62" s="12"/>
    </row>
    <row r="63" ht="14.25" customHeight="1">
      <c r="C63" s="19"/>
      <c r="D63" s="19"/>
      <c r="E63" s="19"/>
      <c r="H63" s="12"/>
    </row>
    <row r="64" ht="14.25" customHeight="1">
      <c r="C64" s="19"/>
      <c r="D64" s="19"/>
      <c r="E64" s="19"/>
      <c r="H64" s="12"/>
    </row>
    <row r="65" ht="14.25" customHeight="1">
      <c r="C65" s="19"/>
      <c r="D65" s="19"/>
      <c r="E65" s="19"/>
      <c r="H65" s="12"/>
    </row>
    <row r="66" ht="14.25" customHeight="1">
      <c r="C66" s="19"/>
      <c r="D66" s="19"/>
      <c r="E66" s="19"/>
      <c r="H66" s="12"/>
    </row>
    <row r="67" ht="14.25" customHeight="1">
      <c r="C67" s="19"/>
      <c r="D67" s="19"/>
      <c r="E67" s="19"/>
      <c r="H67" s="12"/>
    </row>
    <row r="68" ht="14.25" customHeight="1">
      <c r="C68" s="19"/>
      <c r="D68" s="19"/>
      <c r="E68" s="19"/>
      <c r="H68" s="12"/>
    </row>
    <row r="69" ht="14.25" customHeight="1">
      <c r="C69" s="19"/>
      <c r="D69" s="19"/>
      <c r="E69" s="19"/>
      <c r="H69" s="12"/>
    </row>
    <row r="70" ht="14.25" customHeight="1">
      <c r="C70" s="19"/>
      <c r="D70" s="19"/>
      <c r="E70" s="19"/>
      <c r="H70" s="12"/>
    </row>
    <row r="71" ht="14.25" customHeight="1">
      <c r="C71" s="19"/>
      <c r="D71" s="19"/>
      <c r="E71" s="19"/>
      <c r="H71" s="12"/>
    </row>
    <row r="72" ht="14.25" customHeight="1">
      <c r="C72" s="19"/>
      <c r="D72" s="19"/>
      <c r="E72" s="19"/>
      <c r="H72" s="12"/>
    </row>
    <row r="73" ht="14.25" customHeight="1">
      <c r="C73" s="19"/>
      <c r="D73" s="19"/>
      <c r="E73" s="19"/>
      <c r="H73" s="12"/>
    </row>
    <row r="74" ht="14.25" customHeight="1">
      <c r="C74" s="19"/>
      <c r="D74" s="19"/>
      <c r="E74" s="19"/>
      <c r="H74" s="12"/>
    </row>
    <row r="75" ht="14.25" customHeight="1">
      <c r="C75" s="19"/>
      <c r="D75" s="19"/>
      <c r="E75" s="19"/>
      <c r="H75" s="12"/>
    </row>
    <row r="76" ht="14.25" customHeight="1">
      <c r="C76" s="19"/>
      <c r="D76" s="19"/>
      <c r="E76" s="19"/>
      <c r="H76" s="12"/>
    </row>
    <row r="77" ht="14.25" customHeight="1">
      <c r="C77" s="19"/>
      <c r="D77" s="19"/>
      <c r="E77" s="19"/>
      <c r="H77" s="12"/>
    </row>
    <row r="78" ht="14.25" customHeight="1">
      <c r="C78" s="19"/>
      <c r="D78" s="19"/>
      <c r="E78" s="19"/>
      <c r="H78" s="12"/>
    </row>
    <row r="79" ht="14.25" customHeight="1">
      <c r="C79" s="19"/>
      <c r="D79" s="19"/>
      <c r="E79" s="19"/>
      <c r="H79" s="12"/>
    </row>
    <row r="80" ht="14.25" customHeight="1">
      <c r="C80" s="19"/>
      <c r="D80" s="19"/>
      <c r="E80" s="19"/>
      <c r="H80" s="12"/>
    </row>
    <row r="81" ht="14.25" customHeight="1">
      <c r="C81" s="19"/>
      <c r="D81" s="19"/>
      <c r="E81" s="19"/>
      <c r="H81" s="12"/>
    </row>
    <row r="82" ht="14.25" customHeight="1">
      <c r="C82" s="19"/>
      <c r="D82" s="19"/>
      <c r="E82" s="19"/>
      <c r="H82" s="12"/>
    </row>
    <row r="83" ht="14.25" customHeight="1">
      <c r="C83" s="19"/>
      <c r="D83" s="19"/>
      <c r="E83" s="19"/>
      <c r="H83" s="12"/>
    </row>
    <row r="84" ht="14.25" customHeight="1">
      <c r="C84" s="19"/>
      <c r="D84" s="19"/>
      <c r="E84" s="19"/>
      <c r="H84" s="12"/>
    </row>
    <row r="85" ht="14.25" customHeight="1">
      <c r="C85" s="19"/>
      <c r="D85" s="19"/>
      <c r="E85" s="19"/>
      <c r="H85" s="12"/>
    </row>
    <row r="86" ht="14.25" customHeight="1">
      <c r="C86" s="19"/>
      <c r="D86" s="19"/>
      <c r="E86" s="19"/>
      <c r="H86" s="12"/>
    </row>
    <row r="87" ht="14.25" customHeight="1">
      <c r="C87" s="19"/>
      <c r="D87" s="19"/>
      <c r="E87" s="19"/>
      <c r="H87" s="12"/>
    </row>
    <row r="88" ht="14.25" customHeight="1">
      <c r="C88" s="19"/>
      <c r="D88" s="19"/>
      <c r="E88" s="19"/>
      <c r="H88" s="12"/>
    </row>
    <row r="89" ht="14.25" customHeight="1">
      <c r="C89" s="19"/>
      <c r="D89" s="19"/>
      <c r="E89" s="19"/>
      <c r="H89" s="12"/>
    </row>
    <row r="90" ht="14.25" customHeight="1">
      <c r="C90" s="19"/>
      <c r="D90" s="19"/>
      <c r="E90" s="19"/>
      <c r="H90" s="12"/>
    </row>
    <row r="91" ht="14.25" customHeight="1">
      <c r="C91" s="19"/>
      <c r="D91" s="19"/>
      <c r="E91" s="19"/>
      <c r="H91" s="12"/>
    </row>
    <row r="92" ht="14.25" customHeight="1">
      <c r="C92" s="19"/>
      <c r="D92" s="19"/>
      <c r="E92" s="19"/>
      <c r="H92" s="12"/>
    </row>
    <row r="93" ht="14.25" customHeight="1">
      <c r="C93" s="19"/>
      <c r="D93" s="19"/>
      <c r="E93" s="19"/>
      <c r="H93" s="12"/>
    </row>
    <row r="94" ht="14.25" customHeight="1">
      <c r="C94" s="19"/>
      <c r="D94" s="19"/>
      <c r="E94" s="19"/>
      <c r="H94" s="12"/>
    </row>
    <row r="95" ht="14.25" customHeight="1">
      <c r="C95" s="19"/>
      <c r="D95" s="19"/>
      <c r="E95" s="19"/>
      <c r="H95" s="12"/>
    </row>
    <row r="96" ht="14.25" customHeight="1">
      <c r="C96" s="19"/>
      <c r="D96" s="19"/>
      <c r="E96" s="19"/>
      <c r="H96" s="12"/>
    </row>
    <row r="97" ht="14.25" customHeight="1">
      <c r="C97" s="19"/>
      <c r="D97" s="19"/>
      <c r="E97" s="19"/>
      <c r="H97" s="12"/>
    </row>
    <row r="98" ht="14.25" customHeight="1">
      <c r="C98" s="19"/>
      <c r="D98" s="19"/>
      <c r="E98" s="19"/>
      <c r="H98" s="12"/>
    </row>
    <row r="99" ht="14.25" customHeight="1">
      <c r="C99" s="19"/>
      <c r="D99" s="19"/>
      <c r="E99" s="19"/>
      <c r="H99" s="12"/>
    </row>
    <row r="100" ht="14.25" customHeight="1">
      <c r="C100" s="19"/>
      <c r="D100" s="19"/>
      <c r="E100" s="19"/>
      <c r="H100" s="12"/>
    </row>
    <row r="101" ht="14.25" customHeight="1">
      <c r="C101" s="19"/>
      <c r="D101" s="19"/>
      <c r="E101" s="19"/>
      <c r="H101" s="12"/>
    </row>
    <row r="102" ht="14.25" customHeight="1">
      <c r="C102" s="19"/>
      <c r="D102" s="19"/>
      <c r="E102" s="19"/>
      <c r="H102" s="12"/>
    </row>
    <row r="103" ht="14.25" customHeight="1">
      <c r="C103" s="19"/>
      <c r="D103" s="19"/>
      <c r="E103" s="19"/>
      <c r="H103" s="12"/>
    </row>
    <row r="104" ht="14.25" customHeight="1">
      <c r="C104" s="19"/>
      <c r="D104" s="19"/>
      <c r="E104" s="19"/>
      <c r="H104" s="12"/>
    </row>
    <row r="105" ht="14.25" customHeight="1">
      <c r="C105" s="19"/>
      <c r="D105" s="19"/>
      <c r="E105" s="19"/>
      <c r="H105" s="12"/>
    </row>
    <row r="106" ht="14.25" customHeight="1">
      <c r="C106" s="19"/>
      <c r="D106" s="19"/>
      <c r="E106" s="19"/>
      <c r="H106" s="12"/>
    </row>
    <row r="107" ht="14.25" customHeight="1">
      <c r="C107" s="19"/>
      <c r="D107" s="19"/>
      <c r="E107" s="19"/>
      <c r="H107" s="12"/>
    </row>
    <row r="108" ht="14.25" customHeight="1">
      <c r="C108" s="19"/>
      <c r="D108" s="19"/>
      <c r="E108" s="19"/>
      <c r="H108" s="12"/>
    </row>
    <row r="109" ht="14.25" customHeight="1">
      <c r="C109" s="19"/>
      <c r="D109" s="19"/>
      <c r="E109" s="19"/>
      <c r="H109" s="12"/>
    </row>
    <row r="110" ht="14.25" customHeight="1">
      <c r="C110" s="19"/>
      <c r="D110" s="19"/>
      <c r="E110" s="19"/>
      <c r="H110" s="12"/>
    </row>
    <row r="111" ht="14.25" customHeight="1">
      <c r="C111" s="19"/>
      <c r="D111" s="19"/>
      <c r="E111" s="19"/>
      <c r="H111" s="12"/>
    </row>
    <row r="112" ht="14.25" customHeight="1">
      <c r="C112" s="19"/>
      <c r="D112" s="19"/>
      <c r="E112" s="19"/>
      <c r="H112" s="12"/>
    </row>
    <row r="113" ht="14.25" customHeight="1">
      <c r="C113" s="19"/>
      <c r="D113" s="19"/>
      <c r="E113" s="19"/>
      <c r="H113" s="12"/>
    </row>
    <row r="114" ht="14.25" customHeight="1">
      <c r="C114" s="19"/>
      <c r="D114" s="19"/>
      <c r="E114" s="19"/>
      <c r="H114" s="12"/>
    </row>
    <row r="115" ht="14.25" customHeight="1">
      <c r="C115" s="19"/>
      <c r="D115" s="19"/>
      <c r="E115" s="19"/>
      <c r="H115" s="12"/>
    </row>
    <row r="116" ht="14.25" customHeight="1">
      <c r="C116" s="19"/>
      <c r="D116" s="19"/>
      <c r="E116" s="19"/>
      <c r="H116" s="12"/>
    </row>
    <row r="117" ht="14.25" customHeight="1">
      <c r="C117" s="19"/>
      <c r="D117" s="19"/>
      <c r="E117" s="19"/>
      <c r="H117" s="12"/>
    </row>
    <row r="118" ht="14.25" customHeight="1">
      <c r="C118" s="19"/>
      <c r="D118" s="19"/>
      <c r="E118" s="19"/>
      <c r="H118" s="12"/>
    </row>
    <row r="119" ht="14.25" customHeight="1">
      <c r="C119" s="19"/>
      <c r="D119" s="19"/>
      <c r="E119" s="19"/>
      <c r="H119" s="12"/>
    </row>
    <row r="120" ht="14.25" customHeight="1">
      <c r="C120" s="19"/>
      <c r="D120" s="19"/>
      <c r="E120" s="19"/>
      <c r="H120" s="12"/>
    </row>
    <row r="121" ht="14.25" customHeight="1">
      <c r="C121" s="19"/>
      <c r="D121" s="19"/>
      <c r="E121" s="19"/>
      <c r="H121" s="12"/>
    </row>
    <row r="122" ht="14.25" customHeight="1">
      <c r="C122" s="19"/>
      <c r="D122" s="19"/>
      <c r="E122" s="19"/>
      <c r="H122" s="12"/>
    </row>
    <row r="123" ht="14.25" customHeight="1">
      <c r="C123" s="19"/>
      <c r="D123" s="19"/>
      <c r="E123" s="19"/>
      <c r="H123" s="12"/>
    </row>
    <row r="124" ht="14.25" customHeight="1">
      <c r="C124" s="19"/>
      <c r="D124" s="19"/>
      <c r="E124" s="19"/>
      <c r="H124" s="12"/>
    </row>
    <row r="125" ht="14.25" customHeight="1">
      <c r="C125" s="19"/>
      <c r="D125" s="19"/>
      <c r="E125" s="19"/>
      <c r="H125" s="12"/>
    </row>
    <row r="126" ht="14.25" customHeight="1">
      <c r="C126" s="19"/>
      <c r="D126" s="19"/>
      <c r="E126" s="19"/>
      <c r="H126" s="12"/>
    </row>
    <row r="127" ht="14.25" customHeight="1">
      <c r="C127" s="19"/>
      <c r="D127" s="19"/>
      <c r="E127" s="19"/>
      <c r="H127" s="12"/>
    </row>
    <row r="128" ht="14.25" customHeight="1">
      <c r="C128" s="19"/>
      <c r="D128" s="19"/>
      <c r="E128" s="19"/>
      <c r="H128" s="12"/>
    </row>
    <row r="129" ht="14.25" customHeight="1">
      <c r="C129" s="19"/>
      <c r="D129" s="19"/>
      <c r="E129" s="19"/>
      <c r="H129" s="12"/>
    </row>
    <row r="130" ht="14.25" customHeight="1">
      <c r="C130" s="19"/>
      <c r="D130" s="19"/>
      <c r="E130" s="19"/>
      <c r="H130" s="12"/>
    </row>
    <row r="131" ht="14.25" customHeight="1">
      <c r="C131" s="19"/>
      <c r="D131" s="19"/>
      <c r="E131" s="19"/>
      <c r="H131" s="12"/>
    </row>
    <row r="132" ht="14.25" customHeight="1">
      <c r="C132" s="19"/>
      <c r="D132" s="19"/>
      <c r="E132" s="19"/>
      <c r="H132" s="12"/>
    </row>
    <row r="133" ht="14.25" customHeight="1">
      <c r="C133" s="19"/>
      <c r="D133" s="19"/>
      <c r="E133" s="19"/>
      <c r="H133" s="12"/>
    </row>
    <row r="134" ht="14.25" customHeight="1">
      <c r="C134" s="19"/>
      <c r="D134" s="19"/>
      <c r="E134" s="19"/>
      <c r="H134" s="12"/>
    </row>
    <row r="135" ht="14.25" customHeight="1">
      <c r="C135" s="19"/>
      <c r="D135" s="19"/>
      <c r="E135" s="19"/>
      <c r="H135" s="12"/>
    </row>
    <row r="136" ht="14.25" customHeight="1">
      <c r="C136" s="19"/>
      <c r="D136" s="19"/>
      <c r="E136" s="19"/>
      <c r="H136" s="12"/>
    </row>
    <row r="137" ht="14.25" customHeight="1">
      <c r="C137" s="19"/>
      <c r="D137" s="19"/>
      <c r="E137" s="19"/>
      <c r="H137" s="12"/>
    </row>
    <row r="138" ht="14.25" customHeight="1">
      <c r="C138" s="19"/>
      <c r="D138" s="19"/>
      <c r="E138" s="19"/>
      <c r="H138" s="12"/>
    </row>
    <row r="139" ht="14.25" customHeight="1">
      <c r="C139" s="19"/>
      <c r="D139" s="19"/>
      <c r="E139" s="19"/>
      <c r="H139" s="12"/>
    </row>
    <row r="140" ht="14.25" customHeight="1">
      <c r="C140" s="19"/>
      <c r="D140" s="19"/>
      <c r="E140" s="19"/>
      <c r="H140" s="12"/>
    </row>
    <row r="141" ht="14.25" customHeight="1">
      <c r="C141" s="19"/>
      <c r="D141" s="19"/>
      <c r="E141" s="19"/>
      <c r="H141" s="12"/>
    </row>
    <row r="142" ht="14.25" customHeight="1">
      <c r="C142" s="19"/>
      <c r="D142" s="19"/>
      <c r="E142" s="19"/>
      <c r="H142" s="12"/>
    </row>
    <row r="143" ht="14.25" customHeight="1">
      <c r="C143" s="19"/>
      <c r="D143" s="19"/>
      <c r="E143" s="19"/>
      <c r="H143" s="12"/>
    </row>
    <row r="144" ht="14.25" customHeight="1">
      <c r="C144" s="19"/>
      <c r="D144" s="19"/>
      <c r="E144" s="19"/>
      <c r="H144" s="12"/>
    </row>
    <row r="145" ht="14.25" customHeight="1">
      <c r="C145" s="19"/>
      <c r="D145" s="19"/>
      <c r="E145" s="19"/>
      <c r="H145" s="12"/>
    </row>
    <row r="146" ht="14.25" customHeight="1">
      <c r="C146" s="19"/>
      <c r="D146" s="19"/>
      <c r="E146" s="19"/>
      <c r="H146" s="12"/>
    </row>
    <row r="147" ht="14.25" customHeight="1">
      <c r="C147" s="19"/>
      <c r="D147" s="19"/>
      <c r="E147" s="19"/>
      <c r="H147" s="12"/>
    </row>
    <row r="148" ht="14.25" customHeight="1">
      <c r="C148" s="19"/>
      <c r="D148" s="19"/>
      <c r="E148" s="19"/>
      <c r="H148" s="12"/>
    </row>
    <row r="149" ht="14.25" customHeight="1">
      <c r="C149" s="19"/>
      <c r="D149" s="19"/>
      <c r="E149" s="19"/>
      <c r="H149" s="12"/>
    </row>
    <row r="150" ht="14.25" customHeight="1">
      <c r="C150" s="19"/>
      <c r="D150" s="19"/>
      <c r="E150" s="19"/>
      <c r="H150" s="12"/>
    </row>
    <row r="151" ht="14.25" customHeight="1">
      <c r="C151" s="19"/>
      <c r="D151" s="19"/>
      <c r="E151" s="19"/>
      <c r="H151" s="12"/>
    </row>
    <row r="152" ht="14.25" customHeight="1">
      <c r="C152" s="19"/>
      <c r="D152" s="19"/>
      <c r="E152" s="19"/>
      <c r="H152" s="12"/>
    </row>
    <row r="153" ht="14.25" customHeight="1">
      <c r="C153" s="19"/>
      <c r="D153" s="19"/>
      <c r="E153" s="19"/>
      <c r="H153" s="12"/>
    </row>
    <row r="154" ht="14.25" customHeight="1">
      <c r="C154" s="19"/>
      <c r="D154" s="19"/>
      <c r="E154" s="19"/>
      <c r="H154" s="12"/>
    </row>
    <row r="155" ht="14.25" customHeight="1">
      <c r="C155" s="19"/>
      <c r="D155" s="19"/>
      <c r="E155" s="19"/>
      <c r="H155" s="12"/>
    </row>
    <row r="156" ht="14.25" customHeight="1">
      <c r="C156" s="19"/>
      <c r="D156" s="19"/>
      <c r="E156" s="19"/>
      <c r="H156" s="12"/>
    </row>
    <row r="157" ht="14.25" customHeight="1">
      <c r="C157" s="19"/>
      <c r="D157" s="19"/>
      <c r="E157" s="19"/>
      <c r="H157" s="12"/>
    </row>
    <row r="158" ht="14.25" customHeight="1">
      <c r="C158" s="19"/>
      <c r="D158" s="19"/>
      <c r="E158" s="19"/>
      <c r="H158" s="12"/>
    </row>
    <row r="159" ht="14.25" customHeight="1">
      <c r="C159" s="19"/>
      <c r="D159" s="19"/>
      <c r="E159" s="19"/>
      <c r="H159" s="12"/>
    </row>
    <row r="160" ht="14.25" customHeight="1">
      <c r="C160" s="19"/>
      <c r="D160" s="19"/>
      <c r="E160" s="19"/>
      <c r="H160" s="12"/>
    </row>
    <row r="161" ht="14.25" customHeight="1">
      <c r="C161" s="19"/>
      <c r="D161" s="19"/>
      <c r="E161" s="19"/>
      <c r="H161" s="12"/>
    </row>
    <row r="162" ht="14.25" customHeight="1">
      <c r="C162" s="19"/>
      <c r="D162" s="19"/>
      <c r="E162" s="19"/>
      <c r="H162" s="12"/>
    </row>
    <row r="163" ht="14.25" customHeight="1">
      <c r="C163" s="19"/>
      <c r="D163" s="19"/>
      <c r="E163" s="19"/>
      <c r="H163" s="12"/>
    </row>
    <row r="164" ht="14.25" customHeight="1">
      <c r="C164" s="19"/>
      <c r="D164" s="19"/>
      <c r="E164" s="19"/>
      <c r="H164" s="12"/>
    </row>
    <row r="165" ht="14.25" customHeight="1">
      <c r="C165" s="19"/>
      <c r="D165" s="19"/>
      <c r="E165" s="19"/>
      <c r="H165" s="12"/>
    </row>
    <row r="166" ht="14.25" customHeight="1">
      <c r="C166" s="19"/>
      <c r="D166" s="19"/>
      <c r="E166" s="19"/>
      <c r="H166" s="12"/>
    </row>
    <row r="167" ht="14.25" customHeight="1">
      <c r="C167" s="19"/>
      <c r="D167" s="19"/>
      <c r="E167" s="19"/>
      <c r="H167" s="12"/>
    </row>
    <row r="168" ht="14.25" customHeight="1">
      <c r="C168" s="19"/>
      <c r="D168" s="19"/>
      <c r="E168" s="19"/>
      <c r="H168" s="12"/>
    </row>
    <row r="169" ht="14.25" customHeight="1">
      <c r="C169" s="19"/>
      <c r="D169" s="19"/>
      <c r="E169" s="19"/>
      <c r="H169" s="12"/>
    </row>
    <row r="170" ht="14.25" customHeight="1">
      <c r="C170" s="19"/>
      <c r="D170" s="19"/>
      <c r="E170" s="19"/>
      <c r="H170" s="12"/>
    </row>
    <row r="171" ht="14.25" customHeight="1">
      <c r="C171" s="19"/>
      <c r="D171" s="19"/>
      <c r="E171" s="19"/>
      <c r="H171" s="12"/>
    </row>
    <row r="172" ht="14.25" customHeight="1">
      <c r="C172" s="19"/>
      <c r="D172" s="19"/>
      <c r="E172" s="19"/>
      <c r="H172" s="12"/>
    </row>
    <row r="173" ht="14.25" customHeight="1">
      <c r="C173" s="19"/>
      <c r="D173" s="19"/>
      <c r="E173" s="19"/>
      <c r="H173" s="12"/>
    </row>
    <row r="174" ht="14.25" customHeight="1">
      <c r="C174" s="19"/>
      <c r="D174" s="19"/>
      <c r="E174" s="19"/>
      <c r="H174" s="12"/>
    </row>
    <row r="175" ht="14.25" customHeight="1">
      <c r="C175" s="19"/>
      <c r="D175" s="19"/>
      <c r="E175" s="19"/>
      <c r="H175" s="12"/>
    </row>
    <row r="176" ht="14.25" customHeight="1">
      <c r="C176" s="19"/>
      <c r="D176" s="19"/>
      <c r="E176" s="19"/>
      <c r="H176" s="12"/>
    </row>
    <row r="177" ht="14.25" customHeight="1">
      <c r="C177" s="19"/>
      <c r="D177" s="19"/>
      <c r="E177" s="19"/>
      <c r="H177" s="12"/>
    </row>
    <row r="178" ht="14.25" customHeight="1">
      <c r="C178" s="19"/>
      <c r="D178" s="19"/>
      <c r="E178" s="19"/>
      <c r="H178" s="12"/>
    </row>
    <row r="179" ht="14.25" customHeight="1">
      <c r="C179" s="19"/>
      <c r="D179" s="19"/>
      <c r="E179" s="19"/>
      <c r="H179" s="12"/>
    </row>
    <row r="180" ht="14.25" customHeight="1">
      <c r="C180" s="19"/>
      <c r="D180" s="19"/>
      <c r="E180" s="19"/>
      <c r="H180" s="12"/>
    </row>
    <row r="181" ht="14.25" customHeight="1">
      <c r="C181" s="19"/>
      <c r="D181" s="19"/>
      <c r="E181" s="19"/>
      <c r="H181" s="12"/>
    </row>
    <row r="182" ht="14.25" customHeight="1">
      <c r="C182" s="19"/>
      <c r="D182" s="19"/>
      <c r="E182" s="19"/>
      <c r="H182" s="12"/>
    </row>
    <row r="183" ht="14.25" customHeight="1">
      <c r="C183" s="19"/>
      <c r="D183" s="19"/>
      <c r="E183" s="19"/>
      <c r="H183" s="12"/>
    </row>
    <row r="184" ht="14.25" customHeight="1">
      <c r="C184" s="19"/>
      <c r="D184" s="19"/>
      <c r="E184" s="19"/>
      <c r="H184" s="12"/>
    </row>
    <row r="185" ht="14.25" customHeight="1">
      <c r="C185" s="19"/>
      <c r="D185" s="19"/>
      <c r="E185" s="19"/>
      <c r="H185" s="12"/>
    </row>
    <row r="186" ht="14.25" customHeight="1">
      <c r="C186" s="19"/>
      <c r="D186" s="19"/>
      <c r="E186" s="19"/>
      <c r="H186" s="12"/>
    </row>
    <row r="187" ht="14.25" customHeight="1">
      <c r="C187" s="19"/>
      <c r="D187" s="19"/>
      <c r="E187" s="19"/>
      <c r="H187" s="12"/>
    </row>
    <row r="188" ht="14.25" customHeight="1">
      <c r="C188" s="19"/>
      <c r="D188" s="19"/>
      <c r="E188" s="19"/>
      <c r="H188" s="12"/>
    </row>
    <row r="189" ht="14.25" customHeight="1">
      <c r="C189" s="19"/>
      <c r="D189" s="19"/>
      <c r="E189" s="19"/>
      <c r="H189" s="12"/>
    </row>
    <row r="190" ht="14.25" customHeight="1">
      <c r="C190" s="19"/>
      <c r="D190" s="19"/>
      <c r="E190" s="19"/>
      <c r="H190" s="12"/>
    </row>
    <row r="191" ht="14.25" customHeight="1">
      <c r="C191" s="19"/>
      <c r="D191" s="19"/>
      <c r="E191" s="19"/>
      <c r="H191" s="12"/>
    </row>
    <row r="192" ht="14.25" customHeight="1">
      <c r="C192" s="19"/>
      <c r="D192" s="19"/>
      <c r="E192" s="19"/>
      <c r="H192" s="12"/>
    </row>
    <row r="193" ht="14.25" customHeight="1">
      <c r="C193" s="19"/>
      <c r="D193" s="19"/>
      <c r="E193" s="19"/>
      <c r="H193" s="12"/>
    </row>
    <row r="194" ht="14.25" customHeight="1">
      <c r="C194" s="19"/>
      <c r="D194" s="19"/>
      <c r="E194" s="19"/>
      <c r="H194" s="12"/>
    </row>
    <row r="195" ht="14.25" customHeight="1">
      <c r="C195" s="19"/>
      <c r="D195" s="19"/>
      <c r="E195" s="19"/>
      <c r="H195" s="12"/>
    </row>
    <row r="196" ht="14.25" customHeight="1">
      <c r="C196" s="19"/>
      <c r="D196" s="19"/>
      <c r="E196" s="19"/>
      <c r="H196" s="12"/>
    </row>
    <row r="197" ht="14.25" customHeight="1">
      <c r="C197" s="19"/>
      <c r="D197" s="19"/>
      <c r="E197" s="19"/>
      <c r="H197" s="12"/>
    </row>
    <row r="198" ht="14.25" customHeight="1">
      <c r="C198" s="19"/>
      <c r="D198" s="19"/>
      <c r="E198" s="19"/>
      <c r="H198" s="12"/>
    </row>
    <row r="199" ht="14.25" customHeight="1">
      <c r="C199" s="19"/>
      <c r="D199" s="19"/>
      <c r="E199" s="19"/>
      <c r="H199" s="12"/>
    </row>
    <row r="200" ht="14.25" customHeight="1">
      <c r="C200" s="19"/>
      <c r="D200" s="19"/>
      <c r="E200" s="19"/>
      <c r="H200" s="12"/>
    </row>
    <row r="201" ht="14.25" customHeight="1">
      <c r="C201" s="19"/>
      <c r="D201" s="19"/>
      <c r="E201" s="19"/>
      <c r="H201" s="12"/>
    </row>
    <row r="202" ht="14.25" customHeight="1">
      <c r="C202" s="19"/>
      <c r="D202" s="19"/>
      <c r="E202" s="19"/>
      <c r="H202" s="12"/>
    </row>
    <row r="203" ht="14.25" customHeight="1">
      <c r="C203" s="19"/>
      <c r="D203" s="19"/>
      <c r="E203" s="19"/>
      <c r="H203" s="12"/>
    </row>
    <row r="204" ht="14.25" customHeight="1">
      <c r="C204" s="19"/>
      <c r="D204" s="19"/>
      <c r="E204" s="19"/>
      <c r="H204" s="12"/>
    </row>
    <row r="205" ht="14.25" customHeight="1">
      <c r="C205" s="19"/>
      <c r="D205" s="19"/>
      <c r="E205" s="19"/>
      <c r="H205" s="12"/>
    </row>
    <row r="206" ht="14.25" customHeight="1">
      <c r="C206" s="19"/>
      <c r="D206" s="19"/>
      <c r="E206" s="19"/>
      <c r="H206" s="12"/>
    </row>
    <row r="207" ht="14.25" customHeight="1">
      <c r="C207" s="19"/>
      <c r="D207" s="19"/>
      <c r="E207" s="19"/>
      <c r="H207" s="12"/>
    </row>
    <row r="208" ht="14.25" customHeight="1">
      <c r="C208" s="19"/>
      <c r="D208" s="19"/>
      <c r="E208" s="19"/>
      <c r="H208" s="12"/>
    </row>
    <row r="209" ht="14.25" customHeight="1">
      <c r="C209" s="19"/>
      <c r="D209" s="19"/>
      <c r="E209" s="19"/>
      <c r="H209" s="12"/>
    </row>
    <row r="210" ht="14.25" customHeight="1">
      <c r="C210" s="19"/>
      <c r="D210" s="19"/>
      <c r="E210" s="19"/>
      <c r="H210" s="12"/>
    </row>
    <row r="211" ht="14.25" customHeight="1">
      <c r="C211" s="19"/>
      <c r="D211" s="19"/>
      <c r="E211" s="19"/>
      <c r="H211" s="12"/>
    </row>
    <row r="212" ht="14.25" customHeight="1">
      <c r="C212" s="19"/>
      <c r="D212" s="19"/>
      <c r="E212" s="19"/>
      <c r="H212" s="12"/>
    </row>
    <row r="213" ht="14.25" customHeight="1">
      <c r="C213" s="19"/>
      <c r="D213" s="19"/>
      <c r="E213" s="19"/>
      <c r="H213" s="12"/>
    </row>
    <row r="214" ht="14.25" customHeight="1">
      <c r="C214" s="19"/>
      <c r="D214" s="19"/>
      <c r="E214" s="19"/>
      <c r="H214" s="12"/>
    </row>
    <row r="215" ht="14.25" customHeight="1">
      <c r="C215" s="19"/>
      <c r="D215" s="19"/>
      <c r="E215" s="19"/>
      <c r="H215" s="12"/>
    </row>
    <row r="216" ht="14.25" customHeight="1">
      <c r="C216" s="19"/>
      <c r="D216" s="19"/>
      <c r="E216" s="19"/>
      <c r="H216" s="12"/>
    </row>
    <row r="217" ht="14.25" customHeight="1">
      <c r="C217" s="19"/>
      <c r="D217" s="19"/>
      <c r="E217" s="19"/>
      <c r="H217" s="12"/>
    </row>
    <row r="218" ht="14.25" customHeight="1">
      <c r="C218" s="19"/>
      <c r="D218" s="19"/>
      <c r="E218" s="19"/>
      <c r="H218" s="12"/>
    </row>
    <row r="219" ht="14.25" customHeight="1">
      <c r="C219" s="19"/>
      <c r="D219" s="19"/>
      <c r="E219" s="19"/>
      <c r="H219" s="12"/>
    </row>
    <row r="220" ht="14.25" customHeight="1">
      <c r="C220" s="19"/>
      <c r="D220" s="19"/>
      <c r="E220" s="19"/>
      <c r="H220" s="12"/>
    </row>
    <row r="221" ht="14.25" customHeight="1">
      <c r="C221" s="19"/>
      <c r="D221" s="19"/>
      <c r="E221" s="19"/>
      <c r="H221" s="12"/>
    </row>
    <row r="222" ht="14.25" customHeight="1">
      <c r="C222" s="19"/>
      <c r="D222" s="19"/>
      <c r="E222" s="19"/>
      <c r="H222" s="12"/>
    </row>
    <row r="223" ht="14.25" customHeight="1">
      <c r="C223" s="19"/>
      <c r="D223" s="19"/>
      <c r="E223" s="19"/>
      <c r="H223" s="12"/>
    </row>
    <row r="224" ht="14.25" customHeight="1">
      <c r="C224" s="19"/>
      <c r="D224" s="19"/>
      <c r="E224" s="19"/>
      <c r="H224" s="12"/>
    </row>
    <row r="225" ht="14.25" customHeight="1">
      <c r="C225" s="19"/>
      <c r="D225" s="19"/>
      <c r="E225" s="19"/>
      <c r="H225" s="12"/>
    </row>
    <row r="226" ht="14.25" customHeight="1">
      <c r="C226" s="19"/>
      <c r="D226" s="19"/>
      <c r="E226" s="19"/>
      <c r="H226" s="12"/>
    </row>
    <row r="227" ht="14.25" customHeight="1">
      <c r="C227" s="19"/>
      <c r="D227" s="19"/>
      <c r="E227" s="19"/>
      <c r="H227" s="12"/>
    </row>
    <row r="228" ht="14.25" customHeight="1">
      <c r="C228" s="19"/>
      <c r="D228" s="19"/>
      <c r="E228" s="19"/>
      <c r="H228" s="12"/>
    </row>
    <row r="229" ht="14.25" customHeight="1">
      <c r="C229" s="19"/>
      <c r="D229" s="19"/>
      <c r="E229" s="19"/>
      <c r="H229" s="12"/>
    </row>
    <row r="230" ht="14.25" customHeight="1">
      <c r="C230" s="19"/>
      <c r="D230" s="19"/>
      <c r="E230" s="19"/>
      <c r="H230" s="12"/>
    </row>
    <row r="231" ht="14.25" customHeight="1">
      <c r="C231" s="19"/>
      <c r="D231" s="19"/>
      <c r="E231" s="19"/>
      <c r="H231" s="12"/>
    </row>
    <row r="232" ht="14.25" customHeight="1">
      <c r="C232" s="19"/>
      <c r="D232" s="19"/>
      <c r="E232" s="19"/>
      <c r="H232" s="12"/>
    </row>
    <row r="233" ht="14.25" customHeight="1">
      <c r="C233" s="19"/>
      <c r="D233" s="19"/>
      <c r="E233" s="19"/>
      <c r="H233" s="12"/>
    </row>
    <row r="234" ht="14.25" customHeight="1">
      <c r="C234" s="19"/>
      <c r="D234" s="19"/>
      <c r="E234" s="19"/>
      <c r="H234" s="12"/>
    </row>
    <row r="235" ht="14.25" customHeight="1">
      <c r="C235" s="19"/>
      <c r="D235" s="19"/>
      <c r="E235" s="19"/>
      <c r="H235" s="12"/>
    </row>
    <row r="236" ht="14.25" customHeight="1">
      <c r="C236" s="19"/>
      <c r="D236" s="19"/>
      <c r="E236" s="19"/>
      <c r="H236" s="12"/>
    </row>
    <row r="237" ht="14.25" customHeight="1">
      <c r="C237" s="19"/>
      <c r="D237" s="19"/>
      <c r="E237" s="19"/>
      <c r="H237" s="12"/>
    </row>
    <row r="238" ht="14.25" customHeight="1">
      <c r="C238" s="19"/>
      <c r="D238" s="19"/>
      <c r="E238" s="19"/>
      <c r="H238" s="12"/>
    </row>
    <row r="239" ht="14.25" customHeight="1">
      <c r="C239" s="19"/>
      <c r="D239" s="19"/>
      <c r="E239" s="19"/>
      <c r="H239" s="12"/>
    </row>
    <row r="240" ht="14.25" customHeight="1">
      <c r="C240" s="19"/>
      <c r="D240" s="19"/>
      <c r="E240" s="19"/>
      <c r="H240" s="12"/>
    </row>
    <row r="241" ht="14.25" customHeight="1">
      <c r="C241" s="19"/>
      <c r="D241" s="19"/>
      <c r="E241" s="19"/>
      <c r="H241" s="12"/>
    </row>
    <row r="242" ht="14.25" customHeight="1">
      <c r="C242" s="19"/>
      <c r="D242" s="19"/>
      <c r="E242" s="19"/>
      <c r="H242" s="12"/>
    </row>
    <row r="243" ht="14.25" customHeight="1">
      <c r="C243" s="19"/>
      <c r="D243" s="19"/>
      <c r="E243" s="19"/>
      <c r="H243" s="12"/>
    </row>
    <row r="244" ht="14.25" customHeight="1">
      <c r="C244" s="19"/>
      <c r="D244" s="19"/>
      <c r="E244" s="19"/>
      <c r="H244" s="12"/>
    </row>
    <row r="245" ht="14.25" customHeight="1">
      <c r="C245" s="19"/>
      <c r="D245" s="19"/>
      <c r="E245" s="19"/>
      <c r="H245" s="12"/>
    </row>
    <row r="246" ht="14.25" customHeight="1">
      <c r="C246" s="19"/>
      <c r="D246" s="19"/>
      <c r="E246" s="19"/>
      <c r="H246" s="12"/>
    </row>
    <row r="247" ht="14.25" customHeight="1">
      <c r="C247" s="19"/>
      <c r="D247" s="19"/>
      <c r="E247" s="19"/>
      <c r="H247" s="12"/>
    </row>
    <row r="248" ht="14.25" customHeight="1">
      <c r="C248" s="19"/>
      <c r="D248" s="19"/>
      <c r="E248" s="19"/>
      <c r="H248" s="12"/>
    </row>
    <row r="249" ht="14.25" customHeight="1">
      <c r="C249" s="19"/>
      <c r="D249" s="19"/>
      <c r="E249" s="19"/>
      <c r="H249" s="12"/>
    </row>
    <row r="250" ht="14.25" customHeight="1">
      <c r="C250" s="19"/>
      <c r="D250" s="19"/>
      <c r="E250" s="19"/>
      <c r="H250" s="12"/>
    </row>
    <row r="251" ht="14.25" customHeight="1">
      <c r="C251" s="19"/>
      <c r="D251" s="19"/>
      <c r="E251" s="19"/>
      <c r="H251" s="12"/>
    </row>
    <row r="252" ht="14.25" customHeight="1">
      <c r="C252" s="19"/>
      <c r="D252" s="19"/>
      <c r="E252" s="19"/>
      <c r="H252" s="12"/>
    </row>
    <row r="253" ht="14.25" customHeight="1">
      <c r="C253" s="19"/>
      <c r="D253" s="19"/>
      <c r="E253" s="19"/>
      <c r="H253" s="12"/>
    </row>
    <row r="254" ht="14.25" customHeight="1">
      <c r="C254" s="19"/>
      <c r="D254" s="19"/>
      <c r="E254" s="19"/>
      <c r="H254" s="12"/>
    </row>
    <row r="255" ht="14.25" customHeight="1">
      <c r="C255" s="19"/>
      <c r="D255" s="19"/>
      <c r="E255" s="19"/>
      <c r="H255" s="12"/>
    </row>
    <row r="256" ht="14.25" customHeight="1">
      <c r="C256" s="19"/>
      <c r="D256" s="19"/>
      <c r="E256" s="19"/>
      <c r="H256" s="12"/>
    </row>
    <row r="257" ht="14.25" customHeight="1">
      <c r="C257" s="19"/>
      <c r="D257" s="19"/>
      <c r="E257" s="19"/>
      <c r="H257" s="12"/>
    </row>
    <row r="258" ht="14.25" customHeight="1">
      <c r="C258" s="19"/>
      <c r="D258" s="19"/>
      <c r="E258" s="19"/>
      <c r="H258" s="12"/>
    </row>
    <row r="259" ht="14.25" customHeight="1">
      <c r="C259" s="19"/>
      <c r="D259" s="19"/>
      <c r="E259" s="19"/>
      <c r="H259" s="12"/>
    </row>
    <row r="260" ht="14.25" customHeight="1">
      <c r="C260" s="19"/>
      <c r="D260" s="19"/>
      <c r="E260" s="19"/>
      <c r="H260" s="12"/>
    </row>
    <row r="261" ht="14.25" customHeight="1">
      <c r="C261" s="19"/>
      <c r="D261" s="19"/>
      <c r="E261" s="19"/>
      <c r="H261" s="12"/>
    </row>
    <row r="262" ht="14.25" customHeight="1">
      <c r="C262" s="19"/>
      <c r="D262" s="19"/>
      <c r="E262" s="19"/>
      <c r="H262" s="12"/>
    </row>
    <row r="263" ht="14.25" customHeight="1">
      <c r="C263" s="19"/>
      <c r="D263" s="19"/>
      <c r="E263" s="19"/>
      <c r="H263" s="12"/>
    </row>
    <row r="264" ht="14.25" customHeight="1">
      <c r="C264" s="19"/>
      <c r="D264" s="19"/>
      <c r="E264" s="19"/>
      <c r="H264" s="12"/>
    </row>
    <row r="265" ht="14.25" customHeight="1">
      <c r="C265" s="19"/>
      <c r="D265" s="19"/>
      <c r="E265" s="19"/>
      <c r="H265" s="12"/>
    </row>
    <row r="266" ht="14.25" customHeight="1">
      <c r="C266" s="19"/>
      <c r="D266" s="19"/>
      <c r="E266" s="19"/>
      <c r="H266" s="12"/>
    </row>
    <row r="267" ht="14.25" customHeight="1">
      <c r="C267" s="19"/>
      <c r="D267" s="19"/>
      <c r="E267" s="19"/>
      <c r="H267" s="12"/>
    </row>
    <row r="268" ht="14.25" customHeight="1">
      <c r="C268" s="19"/>
      <c r="D268" s="19"/>
      <c r="E268" s="19"/>
      <c r="H268" s="12"/>
    </row>
    <row r="269" ht="14.25" customHeight="1">
      <c r="C269" s="19"/>
      <c r="D269" s="19"/>
      <c r="E269" s="19"/>
      <c r="H269" s="12"/>
    </row>
    <row r="270" ht="14.25" customHeight="1">
      <c r="C270" s="19"/>
      <c r="D270" s="19"/>
      <c r="E270" s="19"/>
      <c r="H270" s="12"/>
    </row>
    <row r="271" ht="14.25" customHeight="1">
      <c r="C271" s="19"/>
      <c r="D271" s="19"/>
      <c r="E271" s="19"/>
      <c r="H271" s="12"/>
    </row>
    <row r="272" ht="14.25" customHeight="1">
      <c r="C272" s="19"/>
      <c r="D272" s="19"/>
      <c r="E272" s="19"/>
      <c r="H272" s="12"/>
    </row>
    <row r="273" ht="14.25" customHeight="1">
      <c r="C273" s="19"/>
      <c r="D273" s="19"/>
      <c r="E273" s="19"/>
      <c r="H273" s="12"/>
    </row>
    <row r="274" ht="14.25" customHeight="1">
      <c r="C274" s="19"/>
      <c r="D274" s="19"/>
      <c r="E274" s="19"/>
      <c r="H274" s="12"/>
    </row>
    <row r="275" ht="14.25" customHeight="1">
      <c r="C275" s="19"/>
      <c r="D275" s="19"/>
      <c r="E275" s="19"/>
      <c r="H275" s="12"/>
    </row>
    <row r="276" ht="14.25" customHeight="1">
      <c r="C276" s="19"/>
      <c r="D276" s="19"/>
      <c r="E276" s="19"/>
      <c r="H276" s="12"/>
    </row>
    <row r="277" ht="14.25" customHeight="1">
      <c r="C277" s="19"/>
      <c r="D277" s="19"/>
      <c r="E277" s="19"/>
      <c r="H277" s="12"/>
    </row>
    <row r="278" ht="14.25" customHeight="1">
      <c r="C278" s="19"/>
      <c r="D278" s="19"/>
      <c r="E278" s="19"/>
      <c r="H278" s="12"/>
    </row>
    <row r="279" ht="14.25" customHeight="1">
      <c r="C279" s="19"/>
      <c r="D279" s="19"/>
      <c r="E279" s="19"/>
      <c r="H279" s="12"/>
    </row>
    <row r="280" ht="14.25" customHeight="1">
      <c r="C280" s="19"/>
      <c r="D280" s="19"/>
      <c r="E280" s="19"/>
      <c r="H280" s="12"/>
    </row>
    <row r="281" ht="14.25" customHeight="1">
      <c r="C281" s="19"/>
      <c r="D281" s="19"/>
      <c r="E281" s="19"/>
      <c r="H281" s="12"/>
    </row>
    <row r="282" ht="14.25" customHeight="1">
      <c r="C282" s="19"/>
      <c r="D282" s="19"/>
      <c r="E282" s="19"/>
      <c r="H282" s="12"/>
    </row>
    <row r="283" ht="14.25" customHeight="1">
      <c r="C283" s="19"/>
      <c r="D283" s="19"/>
      <c r="E283" s="19"/>
      <c r="H283" s="12"/>
    </row>
    <row r="284" ht="14.25" customHeight="1">
      <c r="C284" s="19"/>
      <c r="D284" s="19"/>
      <c r="E284" s="19"/>
      <c r="H284" s="12"/>
    </row>
    <row r="285" ht="14.25" customHeight="1">
      <c r="C285" s="19"/>
      <c r="D285" s="19"/>
      <c r="E285" s="19"/>
      <c r="H285" s="12"/>
    </row>
    <row r="286" ht="14.25" customHeight="1">
      <c r="C286" s="19"/>
      <c r="D286" s="19"/>
      <c r="E286" s="19"/>
      <c r="H286" s="12"/>
    </row>
    <row r="287" ht="14.25" customHeight="1">
      <c r="C287" s="19"/>
      <c r="D287" s="19"/>
      <c r="E287" s="19"/>
      <c r="H287" s="12"/>
    </row>
    <row r="288" ht="14.25" customHeight="1">
      <c r="C288" s="19"/>
      <c r="D288" s="19"/>
      <c r="E288" s="19"/>
      <c r="H288" s="12"/>
    </row>
    <row r="289" ht="14.25" customHeight="1">
      <c r="C289" s="19"/>
      <c r="D289" s="19"/>
      <c r="E289" s="19"/>
      <c r="H289" s="12"/>
    </row>
    <row r="290" ht="14.25" customHeight="1">
      <c r="C290" s="19"/>
      <c r="D290" s="19"/>
      <c r="E290" s="19"/>
      <c r="H290" s="12"/>
    </row>
    <row r="291" ht="14.25" customHeight="1">
      <c r="C291" s="19"/>
      <c r="D291" s="19"/>
      <c r="E291" s="19"/>
      <c r="H291" s="12"/>
    </row>
    <row r="292" ht="14.25" customHeight="1">
      <c r="C292" s="19"/>
      <c r="D292" s="19"/>
      <c r="E292" s="19"/>
      <c r="H292" s="12"/>
    </row>
    <row r="293" ht="14.25" customHeight="1">
      <c r="C293" s="19"/>
      <c r="D293" s="19"/>
      <c r="E293" s="19"/>
      <c r="H293" s="12"/>
    </row>
    <row r="294" ht="14.25" customHeight="1">
      <c r="C294" s="19"/>
      <c r="D294" s="19"/>
      <c r="E294" s="19"/>
      <c r="H294" s="12"/>
    </row>
    <row r="295" ht="14.25" customHeight="1">
      <c r="C295" s="19"/>
      <c r="D295" s="19"/>
      <c r="E295" s="19"/>
      <c r="H295" s="12"/>
    </row>
    <row r="296" ht="14.25" customHeight="1">
      <c r="C296" s="19"/>
      <c r="D296" s="19"/>
      <c r="E296" s="19"/>
      <c r="H296" s="12"/>
    </row>
    <row r="297" ht="14.25" customHeight="1">
      <c r="C297" s="19"/>
      <c r="D297" s="19"/>
      <c r="E297" s="19"/>
      <c r="H297" s="12"/>
    </row>
    <row r="298" ht="14.25" customHeight="1">
      <c r="C298" s="19"/>
      <c r="D298" s="19"/>
      <c r="E298" s="19"/>
      <c r="H298" s="12"/>
    </row>
    <row r="299" ht="14.25" customHeight="1">
      <c r="C299" s="19"/>
      <c r="D299" s="19"/>
      <c r="E299" s="19"/>
      <c r="H299" s="12"/>
    </row>
    <row r="300" ht="14.25" customHeight="1">
      <c r="C300" s="19"/>
      <c r="D300" s="19"/>
      <c r="E300" s="19"/>
      <c r="H300" s="12"/>
    </row>
    <row r="301" ht="14.25" customHeight="1">
      <c r="C301" s="19"/>
      <c r="D301" s="19"/>
      <c r="E301" s="19"/>
      <c r="H301" s="12"/>
    </row>
    <row r="302" ht="14.25" customHeight="1">
      <c r="C302" s="19"/>
      <c r="D302" s="19"/>
      <c r="E302" s="19"/>
      <c r="H302" s="12"/>
    </row>
    <row r="303" ht="14.25" customHeight="1">
      <c r="C303" s="19"/>
      <c r="D303" s="19"/>
      <c r="E303" s="19"/>
      <c r="H303" s="12"/>
    </row>
    <row r="304" ht="14.25" customHeight="1">
      <c r="C304" s="19"/>
      <c r="D304" s="19"/>
      <c r="E304" s="19"/>
      <c r="H304" s="12"/>
    </row>
    <row r="305" ht="14.25" customHeight="1">
      <c r="C305" s="19"/>
      <c r="D305" s="19"/>
      <c r="E305" s="19"/>
      <c r="H305" s="12"/>
    </row>
    <row r="306" ht="14.25" customHeight="1">
      <c r="C306" s="19"/>
      <c r="D306" s="19"/>
      <c r="E306" s="19"/>
      <c r="H306" s="12"/>
    </row>
    <row r="307" ht="14.25" customHeight="1">
      <c r="C307" s="19"/>
      <c r="D307" s="19"/>
      <c r="E307" s="19"/>
      <c r="H307" s="12"/>
    </row>
    <row r="308" ht="14.25" customHeight="1">
      <c r="C308" s="19"/>
      <c r="D308" s="19"/>
      <c r="E308" s="19"/>
      <c r="H308" s="12"/>
    </row>
    <row r="309" ht="14.25" customHeight="1">
      <c r="C309" s="19"/>
      <c r="D309" s="19"/>
      <c r="E309" s="19"/>
      <c r="H309" s="12"/>
    </row>
    <row r="310" ht="14.25" customHeight="1">
      <c r="C310" s="19"/>
      <c r="D310" s="19"/>
      <c r="E310" s="19"/>
      <c r="H310" s="12"/>
    </row>
    <row r="311" ht="14.25" customHeight="1">
      <c r="C311" s="19"/>
      <c r="D311" s="19"/>
      <c r="E311" s="19"/>
      <c r="H311" s="12"/>
    </row>
    <row r="312" ht="14.25" customHeight="1">
      <c r="C312" s="19"/>
      <c r="D312" s="19"/>
      <c r="E312" s="19"/>
      <c r="H312" s="12"/>
    </row>
    <row r="313" ht="14.25" customHeight="1">
      <c r="C313" s="19"/>
      <c r="D313" s="19"/>
      <c r="E313" s="19"/>
      <c r="H313" s="12"/>
    </row>
    <row r="314" ht="14.25" customHeight="1">
      <c r="C314" s="19"/>
      <c r="D314" s="19"/>
      <c r="E314" s="19"/>
      <c r="H314" s="12"/>
    </row>
    <row r="315" ht="14.25" customHeight="1">
      <c r="C315" s="19"/>
      <c r="D315" s="19"/>
      <c r="E315" s="19"/>
      <c r="H315" s="12"/>
    </row>
    <row r="316" ht="14.25" customHeight="1">
      <c r="C316" s="19"/>
      <c r="D316" s="19"/>
      <c r="E316" s="19"/>
      <c r="H316" s="12"/>
    </row>
    <row r="317" ht="14.25" customHeight="1">
      <c r="C317" s="19"/>
      <c r="D317" s="19"/>
      <c r="E317" s="19"/>
      <c r="H317" s="12"/>
    </row>
    <row r="318" ht="14.25" customHeight="1">
      <c r="C318" s="19"/>
      <c r="D318" s="19"/>
      <c r="E318" s="19"/>
      <c r="H318" s="12"/>
    </row>
    <row r="319" ht="14.25" customHeight="1">
      <c r="C319" s="19"/>
      <c r="D319" s="19"/>
      <c r="E319" s="19"/>
      <c r="H319" s="12"/>
    </row>
    <row r="320" ht="14.25" customHeight="1">
      <c r="C320" s="19"/>
      <c r="D320" s="19"/>
      <c r="E320" s="19"/>
      <c r="H320" s="12"/>
    </row>
    <row r="321" ht="14.25" customHeight="1">
      <c r="C321" s="19"/>
      <c r="D321" s="19"/>
      <c r="E321" s="19"/>
      <c r="H321" s="12"/>
    </row>
    <row r="322" ht="14.25" customHeight="1">
      <c r="C322" s="19"/>
      <c r="D322" s="19"/>
      <c r="E322" s="19"/>
      <c r="H322" s="12"/>
    </row>
    <row r="323" ht="14.25" customHeight="1">
      <c r="C323" s="19"/>
      <c r="D323" s="19"/>
      <c r="E323" s="19"/>
      <c r="H323" s="12"/>
    </row>
    <row r="324" ht="14.25" customHeight="1">
      <c r="C324" s="19"/>
      <c r="D324" s="19"/>
      <c r="E324" s="19"/>
      <c r="H324" s="12"/>
    </row>
    <row r="325" ht="14.25" customHeight="1">
      <c r="C325" s="19"/>
      <c r="D325" s="19"/>
      <c r="E325" s="19"/>
      <c r="H325" s="12"/>
    </row>
    <row r="326" ht="14.25" customHeight="1">
      <c r="C326" s="19"/>
      <c r="D326" s="19"/>
      <c r="E326" s="19"/>
      <c r="H326" s="12"/>
    </row>
    <row r="327" ht="14.25" customHeight="1">
      <c r="C327" s="19"/>
      <c r="D327" s="19"/>
      <c r="E327" s="19"/>
      <c r="H327" s="12"/>
    </row>
    <row r="328" ht="14.25" customHeight="1">
      <c r="C328" s="19"/>
      <c r="D328" s="19"/>
      <c r="E328" s="19"/>
      <c r="H328" s="12"/>
    </row>
    <row r="329" ht="14.25" customHeight="1">
      <c r="C329" s="19"/>
      <c r="D329" s="19"/>
      <c r="E329" s="19"/>
      <c r="H329" s="12"/>
    </row>
    <row r="330" ht="14.25" customHeight="1">
      <c r="C330" s="19"/>
      <c r="D330" s="19"/>
      <c r="E330" s="19"/>
      <c r="H330" s="12"/>
    </row>
    <row r="331" ht="14.25" customHeight="1">
      <c r="C331" s="19"/>
      <c r="D331" s="19"/>
      <c r="E331" s="19"/>
      <c r="H331" s="12"/>
    </row>
    <row r="332" ht="14.25" customHeight="1">
      <c r="C332" s="19"/>
      <c r="D332" s="19"/>
      <c r="E332" s="19"/>
      <c r="H332" s="12"/>
    </row>
    <row r="333" ht="14.25" customHeight="1">
      <c r="C333" s="19"/>
      <c r="D333" s="19"/>
      <c r="E333" s="19"/>
      <c r="H333" s="12"/>
    </row>
    <row r="334" ht="14.25" customHeight="1">
      <c r="C334" s="19"/>
      <c r="D334" s="19"/>
      <c r="E334" s="19"/>
      <c r="H334" s="12"/>
    </row>
    <row r="335" ht="14.25" customHeight="1">
      <c r="C335" s="19"/>
      <c r="D335" s="19"/>
      <c r="E335" s="19"/>
      <c r="H335" s="12"/>
    </row>
    <row r="336" ht="14.25" customHeight="1">
      <c r="C336" s="19"/>
      <c r="D336" s="19"/>
      <c r="E336" s="19"/>
      <c r="H336" s="12"/>
    </row>
    <row r="337" ht="14.25" customHeight="1">
      <c r="C337" s="19"/>
      <c r="D337" s="19"/>
      <c r="E337" s="19"/>
      <c r="H337" s="12"/>
    </row>
    <row r="338" ht="14.25" customHeight="1">
      <c r="C338" s="19"/>
      <c r="D338" s="19"/>
      <c r="E338" s="19"/>
      <c r="H338" s="12"/>
    </row>
    <row r="339" ht="14.25" customHeight="1">
      <c r="C339" s="19"/>
      <c r="D339" s="19"/>
      <c r="E339" s="19"/>
      <c r="H339" s="12"/>
    </row>
    <row r="340" ht="14.25" customHeight="1">
      <c r="C340" s="19"/>
      <c r="D340" s="19"/>
      <c r="E340" s="19"/>
      <c r="H340" s="12"/>
    </row>
    <row r="341" ht="14.25" customHeight="1">
      <c r="C341" s="19"/>
      <c r="D341" s="19"/>
      <c r="E341" s="19"/>
      <c r="H341" s="12"/>
    </row>
    <row r="342" ht="14.25" customHeight="1">
      <c r="C342" s="19"/>
      <c r="D342" s="19"/>
      <c r="E342" s="19"/>
      <c r="H342" s="12"/>
    </row>
    <row r="343" ht="14.25" customHeight="1">
      <c r="C343" s="19"/>
      <c r="D343" s="19"/>
      <c r="E343" s="19"/>
      <c r="H343" s="12"/>
    </row>
    <row r="344" ht="14.25" customHeight="1">
      <c r="C344" s="19"/>
      <c r="D344" s="19"/>
      <c r="E344" s="19"/>
      <c r="H344" s="12"/>
    </row>
    <row r="345" ht="14.25" customHeight="1">
      <c r="C345" s="19"/>
      <c r="D345" s="19"/>
      <c r="E345" s="19"/>
      <c r="H345" s="12"/>
    </row>
    <row r="346" ht="14.25" customHeight="1">
      <c r="C346" s="19"/>
      <c r="D346" s="19"/>
      <c r="E346" s="19"/>
      <c r="H346" s="12"/>
    </row>
    <row r="347" ht="14.25" customHeight="1">
      <c r="C347" s="19"/>
      <c r="D347" s="19"/>
      <c r="E347" s="19"/>
      <c r="H347" s="12"/>
    </row>
    <row r="348" ht="14.25" customHeight="1">
      <c r="C348" s="19"/>
      <c r="D348" s="19"/>
      <c r="E348" s="19"/>
      <c r="H348" s="12"/>
    </row>
    <row r="349" ht="14.25" customHeight="1">
      <c r="C349" s="19"/>
      <c r="D349" s="19"/>
      <c r="E349" s="19"/>
      <c r="H349" s="12"/>
    </row>
    <row r="350" ht="14.25" customHeight="1">
      <c r="C350" s="19"/>
      <c r="D350" s="19"/>
      <c r="E350" s="19"/>
      <c r="H350" s="12"/>
    </row>
    <row r="351" ht="14.25" customHeight="1">
      <c r="C351" s="19"/>
      <c r="D351" s="19"/>
      <c r="E351" s="19"/>
      <c r="H351" s="12"/>
    </row>
    <row r="352" ht="14.25" customHeight="1">
      <c r="C352" s="19"/>
      <c r="D352" s="19"/>
      <c r="E352" s="19"/>
      <c r="H352" s="12"/>
    </row>
    <row r="353" ht="14.25" customHeight="1">
      <c r="C353" s="19"/>
      <c r="D353" s="19"/>
      <c r="E353" s="19"/>
      <c r="H353" s="12"/>
    </row>
    <row r="354" ht="14.25" customHeight="1">
      <c r="C354" s="19"/>
      <c r="D354" s="19"/>
      <c r="E354" s="19"/>
      <c r="H354" s="12"/>
    </row>
    <row r="355" ht="14.25" customHeight="1">
      <c r="C355" s="19"/>
      <c r="D355" s="19"/>
      <c r="E355" s="19"/>
      <c r="H355" s="12"/>
    </row>
    <row r="356" ht="14.25" customHeight="1">
      <c r="C356" s="19"/>
      <c r="D356" s="19"/>
      <c r="E356" s="19"/>
      <c r="H356" s="12"/>
    </row>
    <row r="357" ht="14.25" customHeight="1">
      <c r="C357" s="19"/>
      <c r="D357" s="19"/>
      <c r="E357" s="19"/>
      <c r="H357" s="12"/>
    </row>
    <row r="358" ht="14.25" customHeight="1">
      <c r="C358" s="19"/>
      <c r="D358" s="19"/>
      <c r="E358" s="19"/>
      <c r="H358" s="12"/>
    </row>
    <row r="359" ht="14.25" customHeight="1">
      <c r="C359" s="19"/>
      <c r="D359" s="19"/>
      <c r="E359" s="19"/>
      <c r="H359" s="12"/>
    </row>
    <row r="360" ht="14.25" customHeight="1">
      <c r="C360" s="19"/>
      <c r="D360" s="19"/>
      <c r="E360" s="19"/>
      <c r="H360" s="12"/>
    </row>
    <row r="361" ht="14.25" customHeight="1">
      <c r="C361" s="19"/>
      <c r="D361" s="19"/>
      <c r="E361" s="19"/>
      <c r="H361" s="12"/>
    </row>
    <row r="362" ht="14.25" customHeight="1">
      <c r="C362" s="19"/>
      <c r="D362" s="19"/>
      <c r="E362" s="19"/>
      <c r="H362" s="12"/>
    </row>
    <row r="363" ht="14.25" customHeight="1">
      <c r="C363" s="19"/>
      <c r="D363" s="19"/>
      <c r="E363" s="19"/>
      <c r="H363" s="12"/>
    </row>
    <row r="364" ht="14.25" customHeight="1">
      <c r="C364" s="19"/>
      <c r="D364" s="19"/>
      <c r="E364" s="19"/>
      <c r="H364" s="12"/>
    </row>
    <row r="365" ht="14.25" customHeight="1">
      <c r="C365" s="19"/>
      <c r="D365" s="19"/>
      <c r="E365" s="19"/>
      <c r="H365" s="12"/>
    </row>
    <row r="366" ht="14.25" customHeight="1">
      <c r="C366" s="19"/>
      <c r="D366" s="19"/>
      <c r="E366" s="19"/>
      <c r="H366" s="12"/>
    </row>
    <row r="367" ht="14.25" customHeight="1">
      <c r="C367" s="19"/>
      <c r="D367" s="19"/>
      <c r="E367" s="19"/>
      <c r="H367" s="12"/>
    </row>
    <row r="368" ht="14.25" customHeight="1">
      <c r="C368" s="19"/>
      <c r="D368" s="19"/>
      <c r="E368" s="19"/>
      <c r="H368" s="12"/>
    </row>
    <row r="369" ht="14.25" customHeight="1">
      <c r="C369" s="19"/>
      <c r="D369" s="19"/>
      <c r="E369" s="19"/>
      <c r="H369" s="12"/>
    </row>
    <row r="370" ht="14.25" customHeight="1">
      <c r="C370" s="19"/>
      <c r="D370" s="19"/>
      <c r="E370" s="19"/>
      <c r="H370" s="12"/>
    </row>
    <row r="371" ht="14.25" customHeight="1">
      <c r="C371" s="19"/>
      <c r="D371" s="19"/>
      <c r="E371" s="19"/>
      <c r="H371" s="12"/>
    </row>
    <row r="372" ht="14.25" customHeight="1">
      <c r="C372" s="19"/>
      <c r="D372" s="19"/>
      <c r="E372" s="19"/>
      <c r="H372" s="12"/>
    </row>
    <row r="373" ht="14.25" customHeight="1">
      <c r="C373" s="19"/>
      <c r="D373" s="19"/>
      <c r="E373" s="19"/>
      <c r="H373" s="12"/>
    </row>
    <row r="374" ht="14.25" customHeight="1">
      <c r="C374" s="19"/>
      <c r="D374" s="19"/>
      <c r="E374" s="19"/>
      <c r="H374" s="12"/>
    </row>
    <row r="375" ht="14.25" customHeight="1">
      <c r="C375" s="19"/>
      <c r="D375" s="19"/>
      <c r="E375" s="19"/>
      <c r="H375" s="12"/>
    </row>
    <row r="376" ht="14.25" customHeight="1">
      <c r="C376" s="19"/>
      <c r="D376" s="19"/>
      <c r="E376" s="19"/>
      <c r="H376" s="12"/>
    </row>
    <row r="377" ht="14.25" customHeight="1">
      <c r="C377" s="19"/>
      <c r="D377" s="19"/>
      <c r="E377" s="19"/>
      <c r="H377" s="12"/>
    </row>
    <row r="378" ht="14.25" customHeight="1">
      <c r="C378" s="19"/>
      <c r="D378" s="19"/>
      <c r="E378" s="19"/>
      <c r="H378" s="12"/>
    </row>
    <row r="379" ht="14.25" customHeight="1">
      <c r="C379" s="19"/>
      <c r="D379" s="19"/>
      <c r="E379" s="19"/>
      <c r="H379" s="12"/>
    </row>
    <row r="380" ht="14.25" customHeight="1">
      <c r="C380" s="19"/>
      <c r="D380" s="19"/>
      <c r="E380" s="19"/>
      <c r="H380" s="12"/>
    </row>
    <row r="381" ht="14.25" customHeight="1">
      <c r="C381" s="19"/>
      <c r="D381" s="19"/>
      <c r="E381" s="19"/>
      <c r="H381" s="12"/>
    </row>
    <row r="382" ht="14.25" customHeight="1">
      <c r="C382" s="19"/>
      <c r="D382" s="19"/>
      <c r="E382" s="19"/>
      <c r="H382" s="12"/>
    </row>
    <row r="383" ht="14.25" customHeight="1">
      <c r="C383" s="19"/>
      <c r="D383" s="19"/>
      <c r="E383" s="19"/>
      <c r="H383" s="12"/>
    </row>
    <row r="384" ht="14.25" customHeight="1">
      <c r="C384" s="19"/>
      <c r="D384" s="19"/>
      <c r="E384" s="19"/>
      <c r="H384" s="12"/>
    </row>
    <row r="385" ht="14.25" customHeight="1">
      <c r="C385" s="19"/>
      <c r="D385" s="19"/>
      <c r="E385" s="19"/>
      <c r="H385" s="12"/>
    </row>
    <row r="386" ht="14.25" customHeight="1">
      <c r="C386" s="19"/>
      <c r="D386" s="19"/>
      <c r="E386" s="19"/>
      <c r="H386" s="12"/>
    </row>
    <row r="387" ht="14.25" customHeight="1">
      <c r="C387" s="19"/>
      <c r="D387" s="19"/>
      <c r="E387" s="19"/>
      <c r="H387" s="12"/>
    </row>
    <row r="388" ht="14.25" customHeight="1">
      <c r="C388" s="19"/>
      <c r="D388" s="19"/>
      <c r="E388" s="19"/>
      <c r="H388" s="12"/>
    </row>
    <row r="389" ht="14.25" customHeight="1">
      <c r="C389" s="19"/>
      <c r="D389" s="19"/>
      <c r="E389" s="19"/>
      <c r="H389" s="12"/>
    </row>
    <row r="390" ht="14.25" customHeight="1">
      <c r="C390" s="19"/>
      <c r="D390" s="19"/>
      <c r="E390" s="19"/>
      <c r="H390" s="12"/>
    </row>
    <row r="391" ht="14.25" customHeight="1">
      <c r="C391" s="19"/>
      <c r="D391" s="19"/>
      <c r="E391" s="19"/>
      <c r="H391" s="12"/>
    </row>
    <row r="392" ht="14.25" customHeight="1">
      <c r="C392" s="19"/>
      <c r="D392" s="19"/>
      <c r="E392" s="19"/>
      <c r="H392" s="12"/>
    </row>
    <row r="393" ht="14.25" customHeight="1">
      <c r="C393" s="19"/>
      <c r="D393" s="19"/>
      <c r="E393" s="19"/>
      <c r="H393" s="12"/>
    </row>
    <row r="394" ht="14.25" customHeight="1">
      <c r="C394" s="19"/>
      <c r="D394" s="19"/>
      <c r="E394" s="19"/>
      <c r="H394" s="12"/>
    </row>
    <row r="395" ht="14.25" customHeight="1">
      <c r="C395" s="19"/>
      <c r="D395" s="19"/>
      <c r="E395" s="19"/>
      <c r="H395" s="12"/>
    </row>
    <row r="396" ht="14.25" customHeight="1">
      <c r="C396" s="19"/>
      <c r="D396" s="19"/>
      <c r="E396" s="19"/>
      <c r="H396" s="12"/>
    </row>
    <row r="397" ht="14.25" customHeight="1">
      <c r="C397" s="19"/>
      <c r="D397" s="19"/>
      <c r="E397" s="19"/>
      <c r="H397" s="12"/>
    </row>
    <row r="398" ht="14.25" customHeight="1">
      <c r="C398" s="19"/>
      <c r="D398" s="19"/>
      <c r="E398" s="19"/>
      <c r="H398" s="12"/>
    </row>
    <row r="399" ht="14.25" customHeight="1">
      <c r="C399" s="19"/>
      <c r="D399" s="19"/>
      <c r="E399" s="19"/>
      <c r="H399" s="12"/>
    </row>
    <row r="400" ht="14.25" customHeight="1">
      <c r="C400" s="19"/>
      <c r="D400" s="19"/>
      <c r="E400" s="19"/>
      <c r="H400" s="12"/>
    </row>
    <row r="401" ht="14.25" customHeight="1">
      <c r="C401" s="19"/>
      <c r="D401" s="19"/>
      <c r="E401" s="19"/>
      <c r="H401" s="12"/>
    </row>
    <row r="402" ht="14.25" customHeight="1">
      <c r="C402" s="19"/>
      <c r="D402" s="19"/>
      <c r="E402" s="19"/>
      <c r="H402" s="12"/>
    </row>
    <row r="403" ht="14.25" customHeight="1">
      <c r="C403" s="19"/>
      <c r="D403" s="19"/>
      <c r="E403" s="19"/>
      <c r="H403" s="12"/>
    </row>
    <row r="404" ht="14.25" customHeight="1">
      <c r="C404" s="19"/>
      <c r="D404" s="19"/>
      <c r="E404" s="19"/>
      <c r="H404" s="12"/>
    </row>
    <row r="405" ht="14.25" customHeight="1">
      <c r="C405" s="19"/>
      <c r="D405" s="19"/>
      <c r="E405" s="19"/>
      <c r="H405" s="12"/>
    </row>
    <row r="406" ht="14.25" customHeight="1">
      <c r="C406" s="19"/>
      <c r="D406" s="19"/>
      <c r="E406" s="19"/>
      <c r="H406" s="12"/>
    </row>
    <row r="407" ht="14.25" customHeight="1">
      <c r="C407" s="19"/>
      <c r="D407" s="19"/>
      <c r="E407" s="19"/>
      <c r="H407" s="12"/>
    </row>
    <row r="408" ht="14.25" customHeight="1">
      <c r="C408" s="19"/>
      <c r="D408" s="19"/>
      <c r="E408" s="19"/>
      <c r="H408" s="12"/>
    </row>
    <row r="409" ht="14.25" customHeight="1">
      <c r="C409" s="19"/>
      <c r="D409" s="19"/>
      <c r="E409" s="19"/>
      <c r="H409" s="12"/>
    </row>
    <row r="410" ht="14.25" customHeight="1">
      <c r="C410" s="19"/>
      <c r="D410" s="19"/>
      <c r="E410" s="19"/>
      <c r="H410" s="12"/>
    </row>
    <row r="411" ht="14.25" customHeight="1">
      <c r="C411" s="19"/>
      <c r="D411" s="19"/>
      <c r="E411" s="19"/>
      <c r="H411" s="12"/>
    </row>
    <row r="412" ht="14.25" customHeight="1">
      <c r="C412" s="19"/>
      <c r="D412" s="19"/>
      <c r="E412" s="19"/>
      <c r="H412" s="12"/>
    </row>
    <row r="413" ht="14.25" customHeight="1">
      <c r="C413" s="19"/>
      <c r="D413" s="19"/>
      <c r="E413" s="19"/>
      <c r="H413" s="12"/>
    </row>
    <row r="414" ht="14.25" customHeight="1">
      <c r="C414" s="19"/>
      <c r="D414" s="19"/>
      <c r="E414" s="19"/>
      <c r="H414" s="12"/>
    </row>
    <row r="415" ht="14.25" customHeight="1">
      <c r="C415" s="19"/>
      <c r="D415" s="19"/>
      <c r="E415" s="19"/>
      <c r="H415" s="12"/>
    </row>
    <row r="416" ht="14.25" customHeight="1">
      <c r="C416" s="19"/>
      <c r="D416" s="19"/>
      <c r="E416" s="19"/>
      <c r="H416" s="12"/>
    </row>
    <row r="417" ht="14.25" customHeight="1">
      <c r="C417" s="19"/>
      <c r="D417" s="19"/>
      <c r="E417" s="19"/>
      <c r="H417" s="12"/>
    </row>
    <row r="418" ht="14.25" customHeight="1">
      <c r="C418" s="19"/>
      <c r="D418" s="19"/>
      <c r="E418" s="19"/>
      <c r="H418" s="12"/>
    </row>
    <row r="419" ht="14.25" customHeight="1">
      <c r="C419" s="19"/>
      <c r="D419" s="19"/>
      <c r="E419" s="19"/>
      <c r="H419" s="12"/>
    </row>
    <row r="420" ht="14.25" customHeight="1">
      <c r="C420" s="19"/>
      <c r="D420" s="19"/>
      <c r="E420" s="19"/>
      <c r="H420" s="12"/>
    </row>
    <row r="421" ht="14.25" customHeight="1">
      <c r="C421" s="19"/>
      <c r="D421" s="19"/>
      <c r="E421" s="19"/>
      <c r="H421" s="12"/>
    </row>
    <row r="422" ht="14.25" customHeight="1">
      <c r="C422" s="19"/>
      <c r="D422" s="19"/>
      <c r="E422" s="19"/>
      <c r="H422" s="12"/>
    </row>
    <row r="423" ht="14.25" customHeight="1">
      <c r="C423" s="19"/>
      <c r="D423" s="19"/>
      <c r="E423" s="19"/>
      <c r="H423" s="12"/>
    </row>
    <row r="424" ht="14.25" customHeight="1">
      <c r="C424" s="19"/>
      <c r="D424" s="19"/>
      <c r="E424" s="19"/>
      <c r="H424" s="12"/>
    </row>
    <row r="425" ht="14.25" customHeight="1">
      <c r="C425" s="19"/>
      <c r="D425" s="19"/>
      <c r="E425" s="19"/>
      <c r="H425" s="12"/>
    </row>
    <row r="426" ht="14.25" customHeight="1">
      <c r="C426" s="19"/>
      <c r="D426" s="19"/>
      <c r="E426" s="19"/>
      <c r="H426" s="12"/>
    </row>
    <row r="427" ht="14.25" customHeight="1">
      <c r="C427" s="19"/>
      <c r="D427" s="19"/>
      <c r="E427" s="19"/>
      <c r="H427" s="12"/>
    </row>
    <row r="428" ht="14.25" customHeight="1">
      <c r="C428" s="19"/>
      <c r="D428" s="19"/>
      <c r="E428" s="19"/>
      <c r="H428" s="12"/>
    </row>
    <row r="429" ht="14.25" customHeight="1">
      <c r="C429" s="19"/>
      <c r="D429" s="19"/>
      <c r="E429" s="19"/>
      <c r="H429" s="12"/>
    </row>
    <row r="430" ht="14.25" customHeight="1">
      <c r="C430" s="19"/>
      <c r="D430" s="19"/>
      <c r="E430" s="19"/>
      <c r="H430" s="12"/>
    </row>
    <row r="431" ht="14.25" customHeight="1">
      <c r="C431" s="19"/>
      <c r="D431" s="19"/>
      <c r="E431" s="19"/>
      <c r="H431" s="12"/>
    </row>
    <row r="432" ht="14.25" customHeight="1">
      <c r="C432" s="19"/>
      <c r="D432" s="19"/>
      <c r="E432" s="19"/>
      <c r="H432" s="12"/>
    </row>
    <row r="433" ht="14.25" customHeight="1">
      <c r="C433" s="19"/>
      <c r="D433" s="19"/>
      <c r="E433" s="19"/>
      <c r="H433" s="12"/>
    </row>
    <row r="434" ht="14.25" customHeight="1">
      <c r="C434" s="19"/>
      <c r="D434" s="19"/>
      <c r="E434" s="19"/>
      <c r="H434" s="12"/>
    </row>
    <row r="435" ht="14.25" customHeight="1">
      <c r="C435" s="19"/>
      <c r="D435" s="19"/>
      <c r="E435" s="19"/>
      <c r="H435" s="12"/>
    </row>
    <row r="436" ht="14.25" customHeight="1">
      <c r="C436" s="19"/>
      <c r="D436" s="19"/>
      <c r="E436" s="19"/>
      <c r="H436" s="12"/>
    </row>
    <row r="437" ht="14.25" customHeight="1">
      <c r="C437" s="19"/>
      <c r="D437" s="19"/>
      <c r="E437" s="19"/>
      <c r="H437" s="12"/>
    </row>
    <row r="438" ht="14.25" customHeight="1">
      <c r="C438" s="19"/>
      <c r="D438" s="19"/>
      <c r="E438" s="19"/>
      <c r="H438" s="12"/>
    </row>
    <row r="439" ht="14.25" customHeight="1">
      <c r="C439" s="19"/>
      <c r="D439" s="19"/>
      <c r="E439" s="19"/>
      <c r="H439" s="12"/>
    </row>
    <row r="440" ht="14.25" customHeight="1">
      <c r="C440" s="19"/>
      <c r="D440" s="19"/>
      <c r="E440" s="19"/>
      <c r="H440" s="12"/>
    </row>
    <row r="441" ht="14.25" customHeight="1">
      <c r="C441" s="19"/>
      <c r="D441" s="19"/>
      <c r="E441" s="19"/>
      <c r="H441" s="12"/>
    </row>
    <row r="442" ht="14.25" customHeight="1">
      <c r="C442" s="19"/>
      <c r="D442" s="19"/>
      <c r="E442" s="19"/>
      <c r="H442" s="12"/>
    </row>
    <row r="443" ht="14.25" customHeight="1">
      <c r="C443" s="19"/>
      <c r="D443" s="19"/>
      <c r="E443" s="19"/>
      <c r="H443" s="12"/>
    </row>
    <row r="444" ht="14.25" customHeight="1">
      <c r="C444" s="19"/>
      <c r="D444" s="19"/>
      <c r="E444" s="19"/>
      <c r="H444" s="12"/>
    </row>
    <row r="445" ht="14.25" customHeight="1">
      <c r="C445" s="19"/>
      <c r="D445" s="19"/>
      <c r="E445" s="19"/>
      <c r="H445" s="12"/>
    </row>
    <row r="446" ht="14.25" customHeight="1">
      <c r="C446" s="19"/>
      <c r="D446" s="19"/>
      <c r="E446" s="19"/>
      <c r="H446" s="12"/>
    </row>
    <row r="447" ht="14.25" customHeight="1">
      <c r="C447" s="19"/>
      <c r="D447" s="19"/>
      <c r="E447" s="19"/>
      <c r="H447" s="12"/>
    </row>
    <row r="448" ht="14.25" customHeight="1">
      <c r="C448" s="19"/>
      <c r="D448" s="19"/>
      <c r="E448" s="19"/>
      <c r="H448" s="12"/>
    </row>
    <row r="449" ht="14.25" customHeight="1">
      <c r="C449" s="19"/>
      <c r="D449" s="19"/>
      <c r="E449" s="19"/>
      <c r="H449" s="12"/>
    </row>
    <row r="450" ht="14.25" customHeight="1">
      <c r="C450" s="19"/>
      <c r="D450" s="19"/>
      <c r="E450" s="19"/>
      <c r="H450" s="12"/>
    </row>
    <row r="451" ht="14.25" customHeight="1">
      <c r="C451" s="19"/>
      <c r="D451" s="19"/>
      <c r="E451" s="19"/>
      <c r="H451" s="12"/>
    </row>
    <row r="452" ht="14.25" customHeight="1">
      <c r="C452" s="19"/>
      <c r="D452" s="19"/>
      <c r="E452" s="19"/>
      <c r="H452" s="12"/>
    </row>
    <row r="453" ht="14.25" customHeight="1">
      <c r="C453" s="19"/>
      <c r="D453" s="19"/>
      <c r="E453" s="19"/>
      <c r="H453" s="12"/>
    </row>
    <row r="454" ht="14.25" customHeight="1">
      <c r="C454" s="19"/>
      <c r="D454" s="19"/>
      <c r="E454" s="19"/>
      <c r="H454" s="12"/>
    </row>
    <row r="455" ht="14.25" customHeight="1">
      <c r="C455" s="19"/>
      <c r="D455" s="19"/>
      <c r="E455" s="19"/>
      <c r="H455" s="12"/>
    </row>
    <row r="456" ht="14.25" customHeight="1">
      <c r="C456" s="19"/>
      <c r="D456" s="19"/>
      <c r="E456" s="19"/>
      <c r="H456" s="12"/>
    </row>
    <row r="457" ht="14.25" customHeight="1">
      <c r="C457" s="19"/>
      <c r="D457" s="19"/>
      <c r="E457" s="19"/>
      <c r="H457" s="12"/>
    </row>
    <row r="458" ht="14.25" customHeight="1">
      <c r="C458" s="19"/>
      <c r="D458" s="19"/>
      <c r="E458" s="19"/>
      <c r="H458" s="12"/>
    </row>
    <row r="459" ht="14.25" customHeight="1">
      <c r="C459" s="19"/>
      <c r="D459" s="19"/>
      <c r="E459" s="19"/>
      <c r="H459" s="12"/>
    </row>
    <row r="460" ht="14.25" customHeight="1">
      <c r="C460" s="19"/>
      <c r="D460" s="19"/>
      <c r="E460" s="19"/>
      <c r="H460" s="12"/>
    </row>
    <row r="461" ht="14.25" customHeight="1">
      <c r="C461" s="19"/>
      <c r="D461" s="19"/>
      <c r="E461" s="19"/>
      <c r="H461" s="12"/>
    </row>
    <row r="462" ht="14.25" customHeight="1">
      <c r="C462" s="19"/>
      <c r="D462" s="19"/>
      <c r="E462" s="19"/>
      <c r="H462" s="12"/>
    </row>
    <row r="463" ht="14.25" customHeight="1">
      <c r="C463" s="19"/>
      <c r="D463" s="19"/>
      <c r="E463" s="19"/>
      <c r="H463" s="12"/>
    </row>
    <row r="464" ht="14.25" customHeight="1">
      <c r="C464" s="19"/>
      <c r="D464" s="19"/>
      <c r="E464" s="19"/>
      <c r="H464" s="12"/>
    </row>
    <row r="465" ht="14.25" customHeight="1">
      <c r="C465" s="19"/>
      <c r="D465" s="19"/>
      <c r="E465" s="19"/>
      <c r="H465" s="12"/>
    </row>
    <row r="466" ht="14.25" customHeight="1">
      <c r="C466" s="19"/>
      <c r="D466" s="19"/>
      <c r="E466" s="19"/>
      <c r="H466" s="12"/>
    </row>
    <row r="467" ht="14.25" customHeight="1">
      <c r="C467" s="19"/>
      <c r="D467" s="19"/>
      <c r="E467" s="19"/>
      <c r="H467" s="12"/>
    </row>
    <row r="468" ht="14.25" customHeight="1">
      <c r="C468" s="19"/>
      <c r="D468" s="19"/>
      <c r="E468" s="19"/>
      <c r="H468" s="12"/>
    </row>
    <row r="469" ht="14.25" customHeight="1">
      <c r="C469" s="19"/>
      <c r="D469" s="19"/>
      <c r="E469" s="19"/>
      <c r="H469" s="12"/>
    </row>
    <row r="470" ht="14.25" customHeight="1">
      <c r="C470" s="19"/>
      <c r="D470" s="19"/>
      <c r="E470" s="19"/>
      <c r="H470" s="12"/>
    </row>
    <row r="471" ht="14.25" customHeight="1">
      <c r="C471" s="19"/>
      <c r="D471" s="19"/>
      <c r="E471" s="19"/>
      <c r="H471" s="12"/>
    </row>
    <row r="472" ht="14.25" customHeight="1">
      <c r="C472" s="19"/>
      <c r="D472" s="19"/>
      <c r="E472" s="19"/>
      <c r="H472" s="12"/>
    </row>
    <row r="473" ht="14.25" customHeight="1">
      <c r="C473" s="19"/>
      <c r="D473" s="19"/>
      <c r="E473" s="19"/>
      <c r="H473" s="12"/>
    </row>
    <row r="474" ht="14.25" customHeight="1">
      <c r="C474" s="19"/>
      <c r="D474" s="19"/>
      <c r="E474" s="19"/>
      <c r="H474" s="12"/>
    </row>
    <row r="475" ht="14.25" customHeight="1">
      <c r="C475" s="19"/>
      <c r="D475" s="19"/>
      <c r="E475" s="19"/>
      <c r="H475" s="12"/>
    </row>
    <row r="476" ht="14.25" customHeight="1">
      <c r="C476" s="19"/>
      <c r="D476" s="19"/>
      <c r="E476" s="19"/>
      <c r="H476" s="12"/>
    </row>
    <row r="477" ht="14.25" customHeight="1">
      <c r="C477" s="19"/>
      <c r="D477" s="19"/>
      <c r="E477" s="19"/>
      <c r="H477" s="12"/>
    </row>
    <row r="478" ht="14.25" customHeight="1">
      <c r="C478" s="19"/>
      <c r="D478" s="19"/>
      <c r="E478" s="19"/>
      <c r="H478" s="12"/>
    </row>
    <row r="479" ht="14.25" customHeight="1">
      <c r="C479" s="19"/>
      <c r="D479" s="19"/>
      <c r="E479" s="19"/>
      <c r="H479" s="12"/>
    </row>
    <row r="480" ht="14.25" customHeight="1">
      <c r="C480" s="19"/>
      <c r="D480" s="19"/>
      <c r="E480" s="19"/>
      <c r="H480" s="12"/>
    </row>
    <row r="481" ht="14.25" customHeight="1">
      <c r="C481" s="19"/>
      <c r="D481" s="19"/>
      <c r="E481" s="19"/>
      <c r="H481" s="12"/>
    </row>
    <row r="482" ht="14.25" customHeight="1">
      <c r="C482" s="19"/>
      <c r="D482" s="19"/>
      <c r="E482" s="19"/>
      <c r="H482" s="12"/>
    </row>
    <row r="483" ht="14.25" customHeight="1">
      <c r="C483" s="19"/>
      <c r="D483" s="19"/>
      <c r="E483" s="19"/>
      <c r="H483" s="12"/>
    </row>
    <row r="484" ht="14.25" customHeight="1">
      <c r="C484" s="19"/>
      <c r="D484" s="19"/>
      <c r="E484" s="19"/>
      <c r="H484" s="12"/>
    </row>
    <row r="485" ht="14.25" customHeight="1">
      <c r="C485" s="19"/>
      <c r="D485" s="19"/>
      <c r="E485" s="19"/>
      <c r="H485" s="12"/>
    </row>
    <row r="486" ht="14.25" customHeight="1">
      <c r="C486" s="19"/>
      <c r="D486" s="19"/>
      <c r="E486" s="19"/>
      <c r="H486" s="12"/>
    </row>
    <row r="487" ht="14.25" customHeight="1">
      <c r="C487" s="19"/>
      <c r="D487" s="19"/>
      <c r="E487" s="19"/>
      <c r="H487" s="12"/>
    </row>
    <row r="488" ht="14.25" customHeight="1">
      <c r="C488" s="19"/>
      <c r="D488" s="19"/>
      <c r="E488" s="19"/>
      <c r="H488" s="12"/>
    </row>
    <row r="489" ht="14.25" customHeight="1">
      <c r="C489" s="19"/>
      <c r="D489" s="19"/>
      <c r="E489" s="19"/>
      <c r="H489" s="12"/>
    </row>
    <row r="490" ht="14.25" customHeight="1">
      <c r="C490" s="19"/>
      <c r="D490" s="19"/>
      <c r="E490" s="19"/>
      <c r="H490" s="12"/>
    </row>
    <row r="491" ht="14.25" customHeight="1">
      <c r="C491" s="19"/>
      <c r="D491" s="19"/>
      <c r="E491" s="19"/>
      <c r="H491" s="12"/>
    </row>
    <row r="492" ht="14.25" customHeight="1">
      <c r="C492" s="19"/>
      <c r="D492" s="19"/>
      <c r="E492" s="19"/>
      <c r="H492" s="12"/>
    </row>
    <row r="493" ht="14.25" customHeight="1">
      <c r="C493" s="19"/>
      <c r="D493" s="19"/>
      <c r="E493" s="19"/>
      <c r="H493" s="12"/>
    </row>
    <row r="494" ht="14.25" customHeight="1">
      <c r="C494" s="19"/>
      <c r="D494" s="19"/>
      <c r="E494" s="19"/>
      <c r="H494" s="12"/>
    </row>
    <row r="495" ht="14.25" customHeight="1">
      <c r="C495" s="19"/>
      <c r="D495" s="19"/>
      <c r="E495" s="19"/>
      <c r="H495" s="12"/>
    </row>
    <row r="496" ht="14.25" customHeight="1">
      <c r="C496" s="19"/>
      <c r="D496" s="19"/>
      <c r="E496" s="19"/>
      <c r="H496" s="12"/>
    </row>
    <row r="497" ht="14.25" customHeight="1">
      <c r="C497" s="19"/>
      <c r="D497" s="19"/>
      <c r="E497" s="19"/>
      <c r="H497" s="12"/>
    </row>
    <row r="498" ht="14.25" customHeight="1">
      <c r="C498" s="19"/>
      <c r="D498" s="19"/>
      <c r="E498" s="19"/>
      <c r="H498" s="12"/>
    </row>
    <row r="499" ht="14.25" customHeight="1">
      <c r="C499" s="19"/>
      <c r="D499" s="19"/>
      <c r="E499" s="19"/>
      <c r="H499" s="12"/>
    </row>
    <row r="500" ht="14.25" customHeight="1">
      <c r="C500" s="19"/>
      <c r="D500" s="19"/>
      <c r="E500" s="19"/>
      <c r="H500" s="12"/>
    </row>
    <row r="501" ht="14.25" customHeight="1">
      <c r="C501" s="19"/>
      <c r="D501" s="19"/>
      <c r="E501" s="19"/>
      <c r="H501" s="12"/>
    </row>
    <row r="502" ht="14.25" customHeight="1">
      <c r="C502" s="19"/>
      <c r="D502" s="19"/>
      <c r="E502" s="19"/>
      <c r="H502" s="12"/>
    </row>
    <row r="503" ht="14.25" customHeight="1">
      <c r="C503" s="19"/>
      <c r="D503" s="19"/>
      <c r="E503" s="19"/>
      <c r="H503" s="12"/>
    </row>
    <row r="504" ht="14.25" customHeight="1">
      <c r="C504" s="19"/>
      <c r="D504" s="19"/>
      <c r="E504" s="19"/>
      <c r="H504" s="12"/>
    </row>
    <row r="505" ht="14.25" customHeight="1">
      <c r="C505" s="19"/>
      <c r="D505" s="19"/>
      <c r="E505" s="19"/>
      <c r="H505" s="12"/>
    </row>
    <row r="506" ht="14.25" customHeight="1">
      <c r="C506" s="19"/>
      <c r="D506" s="19"/>
      <c r="E506" s="19"/>
      <c r="H506" s="12"/>
    </row>
    <row r="507" ht="14.25" customHeight="1">
      <c r="C507" s="19"/>
      <c r="D507" s="19"/>
      <c r="E507" s="19"/>
      <c r="H507" s="12"/>
    </row>
    <row r="508" ht="14.25" customHeight="1">
      <c r="C508" s="19"/>
      <c r="D508" s="19"/>
      <c r="E508" s="19"/>
      <c r="H508" s="12"/>
    </row>
    <row r="509" ht="14.25" customHeight="1">
      <c r="C509" s="19"/>
      <c r="D509" s="19"/>
      <c r="E509" s="19"/>
      <c r="H509" s="12"/>
    </row>
    <row r="510" ht="14.25" customHeight="1">
      <c r="C510" s="19"/>
      <c r="D510" s="19"/>
      <c r="E510" s="19"/>
      <c r="H510" s="12"/>
    </row>
    <row r="511" ht="14.25" customHeight="1">
      <c r="C511" s="19"/>
      <c r="D511" s="19"/>
      <c r="E511" s="19"/>
      <c r="H511" s="12"/>
    </row>
    <row r="512" ht="14.25" customHeight="1">
      <c r="C512" s="19"/>
      <c r="D512" s="19"/>
      <c r="E512" s="19"/>
      <c r="H512" s="12"/>
    </row>
    <row r="513" ht="14.25" customHeight="1">
      <c r="C513" s="19"/>
      <c r="D513" s="19"/>
      <c r="E513" s="19"/>
      <c r="H513" s="12"/>
    </row>
    <row r="514" ht="14.25" customHeight="1">
      <c r="C514" s="19"/>
      <c r="D514" s="19"/>
      <c r="E514" s="19"/>
      <c r="H514" s="12"/>
    </row>
    <row r="515" ht="14.25" customHeight="1">
      <c r="C515" s="19"/>
      <c r="D515" s="19"/>
      <c r="E515" s="19"/>
      <c r="H515" s="12"/>
    </row>
    <row r="516" ht="14.25" customHeight="1">
      <c r="C516" s="19"/>
      <c r="D516" s="19"/>
      <c r="E516" s="19"/>
      <c r="H516" s="12"/>
    </row>
    <row r="517" ht="14.25" customHeight="1">
      <c r="C517" s="19"/>
      <c r="D517" s="19"/>
      <c r="E517" s="19"/>
      <c r="H517" s="12"/>
    </row>
    <row r="518" ht="14.25" customHeight="1">
      <c r="C518" s="19"/>
      <c r="D518" s="19"/>
      <c r="E518" s="19"/>
      <c r="H518" s="12"/>
    </row>
    <row r="519" ht="14.25" customHeight="1">
      <c r="C519" s="19"/>
      <c r="D519" s="19"/>
      <c r="E519" s="19"/>
      <c r="H519" s="12"/>
    </row>
    <row r="520" ht="14.25" customHeight="1">
      <c r="C520" s="19"/>
      <c r="D520" s="19"/>
      <c r="E520" s="19"/>
      <c r="H520" s="12"/>
    </row>
    <row r="521" ht="14.25" customHeight="1">
      <c r="C521" s="19"/>
      <c r="D521" s="19"/>
      <c r="E521" s="19"/>
      <c r="H521" s="12"/>
    </row>
    <row r="522" ht="14.25" customHeight="1">
      <c r="C522" s="19"/>
      <c r="D522" s="19"/>
      <c r="E522" s="19"/>
      <c r="H522" s="12"/>
    </row>
    <row r="523" ht="14.25" customHeight="1">
      <c r="C523" s="19"/>
      <c r="D523" s="19"/>
      <c r="E523" s="19"/>
      <c r="H523" s="12"/>
    </row>
    <row r="524" ht="14.25" customHeight="1">
      <c r="C524" s="19"/>
      <c r="D524" s="19"/>
      <c r="E524" s="19"/>
      <c r="H524" s="12"/>
    </row>
    <row r="525" ht="14.25" customHeight="1">
      <c r="C525" s="19"/>
      <c r="D525" s="19"/>
      <c r="E525" s="19"/>
      <c r="H525" s="12"/>
    </row>
    <row r="526" ht="14.25" customHeight="1">
      <c r="C526" s="19"/>
      <c r="D526" s="19"/>
      <c r="E526" s="19"/>
      <c r="H526" s="12"/>
    </row>
    <row r="527" ht="14.25" customHeight="1">
      <c r="C527" s="19"/>
      <c r="D527" s="19"/>
      <c r="E527" s="19"/>
      <c r="H527" s="12"/>
    </row>
    <row r="528" ht="14.25" customHeight="1">
      <c r="C528" s="19"/>
      <c r="D528" s="19"/>
      <c r="E528" s="19"/>
      <c r="H528" s="12"/>
    </row>
    <row r="529" ht="14.25" customHeight="1">
      <c r="C529" s="19"/>
      <c r="D529" s="19"/>
      <c r="E529" s="19"/>
      <c r="H529" s="12"/>
    </row>
    <row r="530" ht="14.25" customHeight="1">
      <c r="C530" s="19"/>
      <c r="D530" s="19"/>
      <c r="E530" s="19"/>
      <c r="H530" s="12"/>
    </row>
    <row r="531" ht="14.25" customHeight="1">
      <c r="C531" s="19"/>
      <c r="D531" s="19"/>
      <c r="E531" s="19"/>
      <c r="H531" s="12"/>
    </row>
    <row r="532" ht="14.25" customHeight="1">
      <c r="C532" s="19"/>
      <c r="D532" s="19"/>
      <c r="E532" s="19"/>
      <c r="H532" s="12"/>
    </row>
    <row r="533" ht="14.25" customHeight="1">
      <c r="C533" s="19"/>
      <c r="D533" s="19"/>
      <c r="E533" s="19"/>
      <c r="H533" s="12"/>
    </row>
    <row r="534" ht="14.25" customHeight="1">
      <c r="C534" s="19"/>
      <c r="D534" s="19"/>
      <c r="E534" s="19"/>
      <c r="H534" s="12"/>
    </row>
    <row r="535" ht="14.25" customHeight="1">
      <c r="C535" s="19"/>
      <c r="D535" s="19"/>
      <c r="E535" s="19"/>
      <c r="H535" s="12"/>
    </row>
    <row r="536" ht="14.25" customHeight="1">
      <c r="C536" s="19"/>
      <c r="D536" s="19"/>
      <c r="E536" s="19"/>
      <c r="H536" s="12"/>
    </row>
    <row r="537" ht="14.25" customHeight="1">
      <c r="C537" s="19"/>
      <c r="D537" s="19"/>
      <c r="E537" s="19"/>
      <c r="H537" s="12"/>
    </row>
    <row r="538" ht="14.25" customHeight="1">
      <c r="C538" s="19"/>
      <c r="D538" s="19"/>
      <c r="E538" s="19"/>
      <c r="H538" s="12"/>
    </row>
    <row r="539" ht="14.25" customHeight="1">
      <c r="C539" s="19"/>
      <c r="D539" s="19"/>
      <c r="E539" s="19"/>
      <c r="H539" s="12"/>
    </row>
    <row r="540" ht="14.25" customHeight="1">
      <c r="C540" s="19"/>
      <c r="D540" s="19"/>
      <c r="E540" s="19"/>
      <c r="H540" s="12"/>
    </row>
    <row r="541" ht="14.25" customHeight="1">
      <c r="C541" s="19"/>
      <c r="D541" s="19"/>
      <c r="E541" s="19"/>
      <c r="H541" s="12"/>
    </row>
    <row r="542" ht="14.25" customHeight="1">
      <c r="C542" s="19"/>
      <c r="D542" s="19"/>
      <c r="E542" s="19"/>
      <c r="H542" s="12"/>
    </row>
    <row r="543" ht="14.25" customHeight="1">
      <c r="C543" s="19"/>
      <c r="D543" s="19"/>
      <c r="E543" s="19"/>
      <c r="H543" s="12"/>
    </row>
    <row r="544" ht="14.25" customHeight="1">
      <c r="C544" s="19"/>
      <c r="D544" s="19"/>
      <c r="E544" s="19"/>
      <c r="H544" s="12"/>
    </row>
    <row r="545" ht="14.25" customHeight="1">
      <c r="C545" s="19"/>
      <c r="D545" s="19"/>
      <c r="E545" s="19"/>
      <c r="H545" s="12"/>
    </row>
    <row r="546" ht="14.25" customHeight="1">
      <c r="C546" s="19"/>
      <c r="D546" s="19"/>
      <c r="E546" s="19"/>
      <c r="H546" s="12"/>
    </row>
    <row r="547" ht="14.25" customHeight="1">
      <c r="C547" s="19"/>
      <c r="D547" s="19"/>
      <c r="E547" s="19"/>
      <c r="H547" s="12"/>
    </row>
    <row r="548" ht="14.25" customHeight="1">
      <c r="C548" s="19"/>
      <c r="D548" s="19"/>
      <c r="E548" s="19"/>
      <c r="H548" s="12"/>
    </row>
    <row r="549" ht="14.25" customHeight="1">
      <c r="C549" s="19"/>
      <c r="D549" s="19"/>
      <c r="E549" s="19"/>
      <c r="H549" s="12"/>
    </row>
    <row r="550" ht="14.25" customHeight="1">
      <c r="C550" s="19"/>
      <c r="D550" s="19"/>
      <c r="E550" s="19"/>
      <c r="H550" s="12"/>
    </row>
    <row r="551" ht="14.25" customHeight="1">
      <c r="C551" s="19"/>
      <c r="D551" s="19"/>
      <c r="E551" s="19"/>
      <c r="H551" s="12"/>
    </row>
    <row r="552" ht="14.25" customHeight="1">
      <c r="C552" s="19"/>
      <c r="D552" s="19"/>
      <c r="E552" s="19"/>
      <c r="H552" s="12"/>
    </row>
    <row r="553" ht="14.25" customHeight="1">
      <c r="C553" s="19"/>
      <c r="D553" s="19"/>
      <c r="E553" s="19"/>
      <c r="H553" s="12"/>
    </row>
    <row r="554" ht="14.25" customHeight="1">
      <c r="C554" s="19"/>
      <c r="D554" s="19"/>
      <c r="E554" s="19"/>
      <c r="H554" s="12"/>
    </row>
    <row r="555" ht="14.25" customHeight="1">
      <c r="C555" s="19"/>
      <c r="D555" s="19"/>
      <c r="E555" s="19"/>
      <c r="H555" s="12"/>
    </row>
    <row r="556" ht="14.25" customHeight="1">
      <c r="C556" s="19"/>
      <c r="D556" s="19"/>
      <c r="E556" s="19"/>
      <c r="H556" s="12"/>
    </row>
    <row r="557" ht="14.25" customHeight="1">
      <c r="C557" s="19"/>
      <c r="D557" s="19"/>
      <c r="E557" s="19"/>
      <c r="H557" s="12"/>
    </row>
    <row r="558" ht="14.25" customHeight="1">
      <c r="C558" s="19"/>
      <c r="D558" s="19"/>
      <c r="E558" s="19"/>
      <c r="H558" s="12"/>
    </row>
    <row r="559" ht="14.25" customHeight="1">
      <c r="C559" s="19"/>
      <c r="D559" s="19"/>
      <c r="E559" s="19"/>
      <c r="H559" s="12"/>
    </row>
    <row r="560" ht="14.25" customHeight="1">
      <c r="C560" s="19"/>
      <c r="D560" s="19"/>
      <c r="E560" s="19"/>
      <c r="H560" s="12"/>
    </row>
    <row r="561" ht="14.25" customHeight="1">
      <c r="C561" s="19"/>
      <c r="D561" s="19"/>
      <c r="E561" s="19"/>
      <c r="H561" s="12"/>
    </row>
    <row r="562" ht="14.25" customHeight="1">
      <c r="C562" s="19"/>
      <c r="D562" s="19"/>
      <c r="E562" s="19"/>
      <c r="H562" s="12"/>
    </row>
    <row r="563" ht="14.25" customHeight="1">
      <c r="C563" s="19"/>
      <c r="D563" s="19"/>
      <c r="E563" s="19"/>
      <c r="H563" s="12"/>
    </row>
    <row r="564" ht="14.25" customHeight="1">
      <c r="C564" s="19"/>
      <c r="D564" s="19"/>
      <c r="E564" s="19"/>
      <c r="H564" s="12"/>
    </row>
    <row r="565" ht="14.25" customHeight="1">
      <c r="C565" s="19"/>
      <c r="D565" s="19"/>
      <c r="E565" s="19"/>
      <c r="H565" s="12"/>
    </row>
    <row r="566" ht="14.25" customHeight="1">
      <c r="C566" s="19"/>
      <c r="D566" s="19"/>
      <c r="E566" s="19"/>
      <c r="H566" s="12"/>
    </row>
    <row r="567" ht="14.25" customHeight="1">
      <c r="C567" s="19"/>
      <c r="D567" s="19"/>
      <c r="E567" s="19"/>
      <c r="H567" s="12"/>
    </row>
    <row r="568" ht="14.25" customHeight="1">
      <c r="C568" s="19"/>
      <c r="D568" s="19"/>
      <c r="E568" s="19"/>
      <c r="H568" s="12"/>
    </row>
    <row r="569" ht="14.25" customHeight="1">
      <c r="C569" s="19"/>
      <c r="D569" s="19"/>
      <c r="E569" s="19"/>
      <c r="H569" s="12"/>
    </row>
    <row r="570" ht="14.25" customHeight="1">
      <c r="C570" s="19"/>
      <c r="D570" s="19"/>
      <c r="E570" s="19"/>
      <c r="H570" s="12"/>
    </row>
    <row r="571" ht="14.25" customHeight="1">
      <c r="C571" s="19"/>
      <c r="D571" s="19"/>
      <c r="E571" s="19"/>
      <c r="H571" s="12"/>
    </row>
    <row r="572" ht="14.25" customHeight="1">
      <c r="C572" s="19"/>
      <c r="D572" s="19"/>
      <c r="E572" s="19"/>
      <c r="H572" s="12"/>
    </row>
    <row r="573" ht="14.25" customHeight="1">
      <c r="C573" s="19"/>
      <c r="D573" s="19"/>
      <c r="E573" s="19"/>
      <c r="H573" s="12"/>
    </row>
    <row r="574" ht="14.25" customHeight="1">
      <c r="C574" s="19"/>
      <c r="D574" s="19"/>
      <c r="E574" s="19"/>
      <c r="H574" s="12"/>
    </row>
    <row r="575" ht="14.25" customHeight="1">
      <c r="C575" s="19"/>
      <c r="D575" s="19"/>
      <c r="E575" s="19"/>
      <c r="H575" s="12"/>
    </row>
    <row r="576" ht="14.25" customHeight="1">
      <c r="C576" s="19"/>
      <c r="D576" s="19"/>
      <c r="E576" s="19"/>
      <c r="H576" s="12"/>
    </row>
    <row r="577" ht="14.25" customHeight="1">
      <c r="C577" s="19"/>
      <c r="D577" s="19"/>
      <c r="E577" s="19"/>
      <c r="H577" s="12"/>
    </row>
    <row r="578" ht="14.25" customHeight="1">
      <c r="C578" s="19"/>
      <c r="D578" s="19"/>
      <c r="E578" s="19"/>
      <c r="H578" s="12"/>
    </row>
    <row r="579" ht="14.25" customHeight="1">
      <c r="C579" s="19"/>
      <c r="D579" s="19"/>
      <c r="E579" s="19"/>
      <c r="H579" s="12"/>
    </row>
    <row r="580" ht="14.25" customHeight="1">
      <c r="C580" s="19"/>
      <c r="D580" s="19"/>
      <c r="E580" s="19"/>
      <c r="H580" s="12"/>
    </row>
    <row r="581" ht="14.25" customHeight="1">
      <c r="C581" s="19"/>
      <c r="D581" s="19"/>
      <c r="E581" s="19"/>
      <c r="H581" s="12"/>
    </row>
    <row r="582" ht="14.25" customHeight="1">
      <c r="C582" s="19"/>
      <c r="D582" s="19"/>
      <c r="E582" s="19"/>
      <c r="H582" s="12"/>
    </row>
    <row r="583" ht="14.25" customHeight="1">
      <c r="C583" s="19"/>
      <c r="D583" s="19"/>
      <c r="E583" s="19"/>
      <c r="H583" s="12"/>
    </row>
    <row r="584" ht="14.25" customHeight="1">
      <c r="C584" s="19"/>
      <c r="D584" s="19"/>
      <c r="E584" s="19"/>
      <c r="H584" s="12"/>
    </row>
    <row r="585" ht="14.25" customHeight="1">
      <c r="C585" s="19"/>
      <c r="D585" s="19"/>
      <c r="E585" s="19"/>
      <c r="H585" s="12"/>
    </row>
    <row r="586" ht="14.25" customHeight="1">
      <c r="C586" s="19"/>
      <c r="D586" s="19"/>
      <c r="E586" s="19"/>
      <c r="H586" s="12"/>
    </row>
    <row r="587" ht="14.25" customHeight="1">
      <c r="C587" s="19"/>
      <c r="D587" s="19"/>
      <c r="E587" s="19"/>
      <c r="H587" s="12"/>
    </row>
    <row r="588" ht="14.25" customHeight="1">
      <c r="C588" s="19"/>
      <c r="D588" s="19"/>
      <c r="E588" s="19"/>
      <c r="H588" s="12"/>
    </row>
    <row r="589" ht="14.25" customHeight="1">
      <c r="C589" s="19"/>
      <c r="D589" s="19"/>
      <c r="E589" s="19"/>
      <c r="H589" s="12"/>
    </row>
    <row r="590" ht="14.25" customHeight="1">
      <c r="C590" s="19"/>
      <c r="D590" s="19"/>
      <c r="E590" s="19"/>
      <c r="H590" s="12"/>
    </row>
    <row r="591" ht="14.25" customHeight="1">
      <c r="C591" s="19"/>
      <c r="D591" s="19"/>
      <c r="E591" s="19"/>
      <c r="H591" s="12"/>
    </row>
    <row r="592" ht="14.25" customHeight="1">
      <c r="C592" s="19"/>
      <c r="D592" s="19"/>
      <c r="E592" s="19"/>
      <c r="H592" s="12"/>
    </row>
    <row r="593" ht="14.25" customHeight="1">
      <c r="C593" s="19"/>
      <c r="D593" s="19"/>
      <c r="E593" s="19"/>
      <c r="H593" s="12"/>
    </row>
    <row r="594" ht="14.25" customHeight="1">
      <c r="C594" s="19"/>
      <c r="D594" s="19"/>
      <c r="E594" s="19"/>
      <c r="H594" s="12"/>
    </row>
    <row r="595" ht="14.25" customHeight="1">
      <c r="C595" s="19"/>
      <c r="D595" s="19"/>
      <c r="E595" s="19"/>
      <c r="H595" s="12"/>
    </row>
    <row r="596" ht="14.25" customHeight="1">
      <c r="C596" s="19"/>
      <c r="D596" s="19"/>
      <c r="E596" s="19"/>
      <c r="H596" s="12"/>
    </row>
    <row r="597" ht="14.25" customHeight="1">
      <c r="C597" s="19"/>
      <c r="D597" s="19"/>
      <c r="E597" s="19"/>
      <c r="H597" s="12"/>
    </row>
    <row r="598" ht="14.25" customHeight="1">
      <c r="C598" s="19"/>
      <c r="D598" s="19"/>
      <c r="E598" s="19"/>
      <c r="H598" s="12"/>
    </row>
    <row r="599" ht="14.25" customHeight="1">
      <c r="C599" s="19"/>
      <c r="D599" s="19"/>
      <c r="E599" s="19"/>
      <c r="H599" s="12"/>
    </row>
    <row r="600" ht="14.25" customHeight="1">
      <c r="C600" s="19"/>
      <c r="D600" s="19"/>
      <c r="E600" s="19"/>
      <c r="H600" s="12"/>
    </row>
    <row r="601" ht="14.25" customHeight="1">
      <c r="C601" s="19"/>
      <c r="D601" s="19"/>
      <c r="E601" s="19"/>
      <c r="H601" s="12"/>
    </row>
    <row r="602" ht="14.25" customHeight="1">
      <c r="C602" s="19"/>
      <c r="D602" s="19"/>
      <c r="E602" s="19"/>
      <c r="H602" s="12"/>
    </row>
    <row r="603" ht="14.25" customHeight="1">
      <c r="C603" s="19"/>
      <c r="D603" s="19"/>
      <c r="E603" s="19"/>
      <c r="H603" s="12"/>
    </row>
    <row r="604" ht="14.25" customHeight="1">
      <c r="C604" s="19"/>
      <c r="D604" s="19"/>
      <c r="E604" s="19"/>
      <c r="H604" s="12"/>
    </row>
    <row r="605" ht="14.25" customHeight="1">
      <c r="C605" s="19"/>
      <c r="D605" s="19"/>
      <c r="E605" s="19"/>
      <c r="H605" s="12"/>
    </row>
    <row r="606" ht="14.25" customHeight="1">
      <c r="C606" s="19"/>
      <c r="D606" s="19"/>
      <c r="E606" s="19"/>
      <c r="H606" s="12"/>
    </row>
    <row r="607" ht="14.25" customHeight="1">
      <c r="C607" s="19"/>
      <c r="D607" s="19"/>
      <c r="E607" s="19"/>
      <c r="H607" s="12"/>
    </row>
    <row r="608" ht="14.25" customHeight="1">
      <c r="C608" s="19"/>
      <c r="D608" s="19"/>
      <c r="E608" s="19"/>
      <c r="H608" s="12"/>
    </row>
    <row r="609" ht="14.25" customHeight="1">
      <c r="C609" s="19"/>
      <c r="D609" s="19"/>
      <c r="E609" s="19"/>
      <c r="H609" s="12"/>
    </row>
    <row r="610" ht="14.25" customHeight="1">
      <c r="C610" s="19"/>
      <c r="D610" s="19"/>
      <c r="E610" s="19"/>
      <c r="H610" s="12"/>
    </row>
    <row r="611" ht="14.25" customHeight="1">
      <c r="C611" s="19"/>
      <c r="D611" s="19"/>
      <c r="E611" s="19"/>
      <c r="H611" s="12"/>
    </row>
    <row r="612" ht="14.25" customHeight="1">
      <c r="C612" s="19"/>
      <c r="D612" s="19"/>
      <c r="E612" s="19"/>
      <c r="H612" s="12"/>
    </row>
    <row r="613" ht="14.25" customHeight="1">
      <c r="C613" s="19"/>
      <c r="D613" s="19"/>
      <c r="E613" s="19"/>
      <c r="H613" s="12"/>
    </row>
    <row r="614" ht="14.25" customHeight="1">
      <c r="C614" s="19"/>
      <c r="D614" s="19"/>
      <c r="E614" s="19"/>
      <c r="H614" s="12"/>
    </row>
    <row r="615" ht="14.25" customHeight="1">
      <c r="C615" s="19"/>
      <c r="D615" s="19"/>
      <c r="E615" s="19"/>
      <c r="H615" s="12"/>
    </row>
    <row r="616" ht="14.25" customHeight="1">
      <c r="C616" s="19"/>
      <c r="D616" s="19"/>
      <c r="E616" s="19"/>
      <c r="H616" s="12"/>
    </row>
    <row r="617" ht="14.25" customHeight="1">
      <c r="C617" s="19"/>
      <c r="D617" s="19"/>
      <c r="E617" s="19"/>
      <c r="H617" s="12"/>
    </row>
    <row r="618" ht="14.25" customHeight="1">
      <c r="C618" s="19"/>
      <c r="D618" s="19"/>
      <c r="E618" s="19"/>
      <c r="H618" s="12"/>
    </row>
    <row r="619" ht="14.25" customHeight="1">
      <c r="C619" s="19"/>
      <c r="D619" s="19"/>
      <c r="E619" s="19"/>
      <c r="H619" s="12"/>
    </row>
    <row r="620" ht="14.25" customHeight="1">
      <c r="C620" s="19"/>
      <c r="D620" s="19"/>
      <c r="E620" s="19"/>
      <c r="H620" s="12"/>
    </row>
    <row r="621" ht="14.25" customHeight="1">
      <c r="C621" s="19"/>
      <c r="D621" s="19"/>
      <c r="E621" s="19"/>
      <c r="H621" s="12"/>
    </row>
    <row r="622" ht="14.25" customHeight="1">
      <c r="C622" s="19"/>
      <c r="D622" s="19"/>
      <c r="E622" s="19"/>
      <c r="H622" s="12"/>
    </row>
    <row r="623" ht="14.25" customHeight="1">
      <c r="C623" s="19"/>
      <c r="D623" s="19"/>
      <c r="E623" s="19"/>
      <c r="H623" s="12"/>
    </row>
    <row r="624" ht="14.25" customHeight="1">
      <c r="C624" s="19"/>
      <c r="D624" s="19"/>
      <c r="E624" s="19"/>
      <c r="H624" s="12"/>
    </row>
    <row r="625" ht="14.25" customHeight="1">
      <c r="C625" s="19"/>
      <c r="D625" s="19"/>
      <c r="E625" s="19"/>
      <c r="H625" s="12"/>
    </row>
    <row r="626" ht="14.25" customHeight="1">
      <c r="C626" s="19"/>
      <c r="D626" s="19"/>
      <c r="E626" s="19"/>
      <c r="H626" s="12"/>
    </row>
    <row r="627" ht="14.25" customHeight="1">
      <c r="C627" s="19"/>
      <c r="D627" s="19"/>
      <c r="E627" s="19"/>
      <c r="H627" s="12"/>
    </row>
    <row r="628" ht="14.25" customHeight="1">
      <c r="C628" s="19"/>
      <c r="D628" s="19"/>
      <c r="E628" s="19"/>
      <c r="H628" s="12"/>
    </row>
    <row r="629" ht="14.25" customHeight="1">
      <c r="C629" s="19"/>
      <c r="D629" s="19"/>
      <c r="E629" s="19"/>
      <c r="H629" s="12"/>
    </row>
    <row r="630" ht="14.25" customHeight="1">
      <c r="C630" s="19"/>
      <c r="D630" s="19"/>
      <c r="E630" s="19"/>
      <c r="H630" s="12"/>
    </row>
    <row r="631" ht="14.25" customHeight="1">
      <c r="C631" s="19"/>
      <c r="D631" s="19"/>
      <c r="E631" s="19"/>
      <c r="H631" s="12"/>
    </row>
    <row r="632" ht="14.25" customHeight="1">
      <c r="C632" s="19"/>
      <c r="D632" s="19"/>
      <c r="E632" s="19"/>
      <c r="H632" s="12"/>
    </row>
    <row r="633" ht="14.25" customHeight="1">
      <c r="C633" s="19"/>
      <c r="D633" s="19"/>
      <c r="E633" s="19"/>
      <c r="H633" s="12"/>
    </row>
    <row r="634" ht="14.25" customHeight="1">
      <c r="C634" s="19"/>
      <c r="D634" s="19"/>
      <c r="E634" s="19"/>
      <c r="H634" s="12"/>
    </row>
    <row r="635" ht="14.25" customHeight="1">
      <c r="C635" s="19"/>
      <c r="D635" s="19"/>
      <c r="E635" s="19"/>
      <c r="H635" s="12"/>
    </row>
    <row r="636" ht="14.25" customHeight="1">
      <c r="C636" s="19"/>
      <c r="D636" s="19"/>
      <c r="E636" s="19"/>
      <c r="H636" s="12"/>
    </row>
    <row r="637" ht="14.25" customHeight="1">
      <c r="C637" s="19"/>
      <c r="D637" s="19"/>
      <c r="E637" s="19"/>
      <c r="H637" s="12"/>
    </row>
    <row r="638" ht="14.25" customHeight="1">
      <c r="C638" s="19"/>
      <c r="D638" s="19"/>
      <c r="E638" s="19"/>
      <c r="H638" s="12"/>
    </row>
    <row r="639" ht="14.25" customHeight="1">
      <c r="C639" s="19"/>
      <c r="D639" s="19"/>
      <c r="E639" s="19"/>
      <c r="H639" s="12"/>
    </row>
    <row r="640" ht="14.25" customHeight="1">
      <c r="C640" s="19"/>
      <c r="D640" s="19"/>
      <c r="E640" s="19"/>
      <c r="H640" s="12"/>
    </row>
    <row r="641" ht="14.25" customHeight="1">
      <c r="C641" s="19"/>
      <c r="D641" s="19"/>
      <c r="E641" s="19"/>
      <c r="H641" s="12"/>
    </row>
    <row r="642" ht="14.25" customHeight="1">
      <c r="C642" s="19"/>
      <c r="D642" s="19"/>
      <c r="E642" s="19"/>
      <c r="H642" s="12"/>
    </row>
    <row r="643" ht="14.25" customHeight="1">
      <c r="C643" s="19"/>
      <c r="D643" s="19"/>
      <c r="E643" s="19"/>
      <c r="H643" s="12"/>
    </row>
    <row r="644" ht="14.25" customHeight="1">
      <c r="C644" s="19"/>
      <c r="D644" s="19"/>
      <c r="E644" s="19"/>
      <c r="H644" s="12"/>
    </row>
    <row r="645" ht="14.25" customHeight="1">
      <c r="C645" s="19"/>
      <c r="D645" s="19"/>
      <c r="E645" s="19"/>
      <c r="H645" s="12"/>
    </row>
    <row r="646" ht="14.25" customHeight="1">
      <c r="C646" s="19"/>
      <c r="D646" s="19"/>
      <c r="E646" s="19"/>
      <c r="H646" s="12"/>
    </row>
    <row r="647" ht="14.25" customHeight="1">
      <c r="C647" s="19"/>
      <c r="D647" s="19"/>
      <c r="E647" s="19"/>
      <c r="H647" s="12"/>
    </row>
    <row r="648" ht="14.25" customHeight="1">
      <c r="C648" s="19"/>
      <c r="D648" s="19"/>
      <c r="E648" s="19"/>
      <c r="H648" s="12"/>
    </row>
    <row r="649" ht="14.25" customHeight="1">
      <c r="C649" s="19"/>
      <c r="D649" s="19"/>
      <c r="E649" s="19"/>
      <c r="H649" s="12"/>
    </row>
    <row r="650" ht="14.25" customHeight="1">
      <c r="C650" s="19"/>
      <c r="D650" s="19"/>
      <c r="E650" s="19"/>
      <c r="H650" s="12"/>
    </row>
    <row r="651" ht="14.25" customHeight="1">
      <c r="C651" s="19"/>
      <c r="D651" s="19"/>
      <c r="E651" s="19"/>
      <c r="H651" s="12"/>
    </row>
    <row r="652" ht="14.25" customHeight="1">
      <c r="C652" s="19"/>
      <c r="D652" s="19"/>
      <c r="E652" s="19"/>
      <c r="H652" s="12"/>
    </row>
    <row r="653" ht="14.25" customHeight="1">
      <c r="C653" s="19"/>
      <c r="D653" s="19"/>
      <c r="E653" s="19"/>
      <c r="H653" s="12"/>
    </row>
    <row r="654" ht="14.25" customHeight="1">
      <c r="C654" s="19"/>
      <c r="D654" s="19"/>
      <c r="E654" s="19"/>
      <c r="H654" s="12"/>
    </row>
    <row r="655" ht="14.25" customHeight="1">
      <c r="C655" s="19"/>
      <c r="D655" s="19"/>
      <c r="E655" s="19"/>
      <c r="H655" s="12"/>
    </row>
    <row r="656" ht="14.25" customHeight="1">
      <c r="C656" s="19"/>
      <c r="D656" s="19"/>
      <c r="E656" s="19"/>
      <c r="H656" s="12"/>
    </row>
    <row r="657" ht="14.25" customHeight="1">
      <c r="C657" s="19"/>
      <c r="D657" s="19"/>
      <c r="E657" s="19"/>
      <c r="H657" s="12"/>
    </row>
    <row r="658" ht="14.25" customHeight="1">
      <c r="C658" s="19"/>
      <c r="D658" s="19"/>
      <c r="E658" s="19"/>
      <c r="H658" s="12"/>
    </row>
    <row r="659" ht="14.25" customHeight="1">
      <c r="C659" s="19"/>
      <c r="D659" s="19"/>
      <c r="E659" s="19"/>
      <c r="H659" s="12"/>
    </row>
    <row r="660" ht="14.25" customHeight="1">
      <c r="C660" s="19"/>
      <c r="D660" s="19"/>
      <c r="E660" s="19"/>
      <c r="H660" s="12"/>
    </row>
    <row r="661" ht="14.25" customHeight="1">
      <c r="C661" s="19"/>
      <c r="D661" s="19"/>
      <c r="E661" s="19"/>
      <c r="H661" s="12"/>
    </row>
    <row r="662" ht="14.25" customHeight="1">
      <c r="C662" s="19"/>
      <c r="D662" s="19"/>
      <c r="E662" s="19"/>
      <c r="H662" s="12"/>
    </row>
    <row r="663" ht="14.25" customHeight="1">
      <c r="C663" s="19"/>
      <c r="D663" s="19"/>
      <c r="E663" s="19"/>
      <c r="H663" s="12"/>
    </row>
    <row r="664" ht="14.25" customHeight="1">
      <c r="C664" s="19"/>
      <c r="D664" s="19"/>
      <c r="E664" s="19"/>
      <c r="H664" s="12"/>
    </row>
    <row r="665" ht="14.25" customHeight="1">
      <c r="C665" s="19"/>
      <c r="D665" s="19"/>
      <c r="E665" s="19"/>
      <c r="H665" s="12"/>
    </row>
    <row r="666" ht="14.25" customHeight="1">
      <c r="C666" s="19"/>
      <c r="D666" s="19"/>
      <c r="E666" s="19"/>
      <c r="H666" s="12"/>
    </row>
    <row r="667" ht="14.25" customHeight="1">
      <c r="C667" s="19"/>
      <c r="D667" s="19"/>
      <c r="E667" s="19"/>
      <c r="H667" s="12"/>
    </row>
    <row r="668" ht="14.25" customHeight="1">
      <c r="C668" s="19"/>
      <c r="D668" s="19"/>
      <c r="E668" s="19"/>
      <c r="H668" s="12"/>
    </row>
    <row r="669" ht="14.25" customHeight="1">
      <c r="C669" s="19"/>
      <c r="D669" s="19"/>
      <c r="E669" s="19"/>
      <c r="H669" s="12"/>
    </row>
    <row r="670" ht="14.25" customHeight="1">
      <c r="C670" s="19"/>
      <c r="D670" s="19"/>
      <c r="E670" s="19"/>
      <c r="H670" s="12"/>
    </row>
    <row r="671" ht="14.25" customHeight="1">
      <c r="C671" s="19"/>
      <c r="D671" s="19"/>
      <c r="E671" s="19"/>
      <c r="H671" s="12"/>
    </row>
    <row r="672" ht="14.25" customHeight="1">
      <c r="C672" s="19"/>
      <c r="D672" s="19"/>
      <c r="E672" s="19"/>
      <c r="H672" s="12"/>
    </row>
    <row r="673" ht="14.25" customHeight="1">
      <c r="C673" s="19"/>
      <c r="D673" s="19"/>
      <c r="E673" s="19"/>
      <c r="H673" s="12"/>
    </row>
    <row r="674" ht="14.25" customHeight="1">
      <c r="C674" s="19"/>
      <c r="D674" s="19"/>
      <c r="E674" s="19"/>
      <c r="H674" s="12"/>
    </row>
    <row r="675" ht="14.25" customHeight="1">
      <c r="C675" s="19"/>
      <c r="D675" s="19"/>
      <c r="E675" s="19"/>
      <c r="H675" s="12"/>
    </row>
    <row r="676" ht="14.25" customHeight="1">
      <c r="C676" s="19"/>
      <c r="D676" s="19"/>
      <c r="E676" s="19"/>
      <c r="H676" s="12"/>
    </row>
    <row r="677" ht="14.25" customHeight="1">
      <c r="C677" s="19"/>
      <c r="D677" s="19"/>
      <c r="E677" s="19"/>
      <c r="H677" s="12"/>
    </row>
    <row r="678" ht="14.25" customHeight="1">
      <c r="C678" s="19"/>
      <c r="D678" s="19"/>
      <c r="E678" s="19"/>
      <c r="H678" s="12"/>
    </row>
    <row r="679" ht="14.25" customHeight="1">
      <c r="C679" s="19"/>
      <c r="D679" s="19"/>
      <c r="E679" s="19"/>
      <c r="H679" s="12"/>
    </row>
    <row r="680" ht="14.25" customHeight="1">
      <c r="C680" s="19"/>
      <c r="D680" s="19"/>
      <c r="E680" s="19"/>
      <c r="H680" s="12"/>
    </row>
    <row r="681" ht="14.25" customHeight="1">
      <c r="C681" s="19"/>
      <c r="D681" s="19"/>
      <c r="E681" s="19"/>
      <c r="H681" s="12"/>
    </row>
    <row r="682" ht="14.25" customHeight="1">
      <c r="C682" s="19"/>
      <c r="D682" s="19"/>
      <c r="E682" s="19"/>
      <c r="H682" s="12"/>
    </row>
    <row r="683" ht="14.25" customHeight="1">
      <c r="C683" s="19"/>
      <c r="D683" s="19"/>
      <c r="E683" s="19"/>
      <c r="H683" s="12"/>
    </row>
    <row r="684" ht="14.25" customHeight="1">
      <c r="C684" s="19"/>
      <c r="D684" s="19"/>
      <c r="E684" s="19"/>
      <c r="H684" s="12"/>
    </row>
    <row r="685" ht="14.25" customHeight="1">
      <c r="C685" s="19"/>
      <c r="D685" s="19"/>
      <c r="E685" s="19"/>
      <c r="H685" s="12"/>
    </row>
    <row r="686" ht="14.25" customHeight="1">
      <c r="C686" s="19"/>
      <c r="D686" s="19"/>
      <c r="E686" s="19"/>
      <c r="H686" s="12"/>
    </row>
    <row r="687" ht="14.25" customHeight="1">
      <c r="C687" s="19"/>
      <c r="D687" s="19"/>
      <c r="E687" s="19"/>
      <c r="H687" s="12"/>
    </row>
    <row r="688" ht="14.25" customHeight="1">
      <c r="C688" s="19"/>
      <c r="D688" s="19"/>
      <c r="E688" s="19"/>
      <c r="H688" s="12"/>
    </row>
    <row r="689" ht="14.25" customHeight="1">
      <c r="C689" s="19"/>
      <c r="D689" s="19"/>
      <c r="E689" s="19"/>
      <c r="H689" s="12"/>
    </row>
    <row r="690" ht="14.25" customHeight="1">
      <c r="C690" s="19"/>
      <c r="D690" s="19"/>
      <c r="E690" s="19"/>
      <c r="H690" s="12"/>
    </row>
    <row r="691" ht="14.25" customHeight="1">
      <c r="C691" s="19"/>
      <c r="D691" s="19"/>
      <c r="E691" s="19"/>
      <c r="H691" s="12"/>
    </row>
    <row r="692" ht="14.25" customHeight="1">
      <c r="C692" s="19"/>
      <c r="D692" s="19"/>
      <c r="E692" s="19"/>
      <c r="H692" s="12"/>
    </row>
    <row r="693" ht="14.25" customHeight="1">
      <c r="C693" s="19"/>
      <c r="D693" s="19"/>
      <c r="E693" s="19"/>
      <c r="H693" s="12"/>
    </row>
    <row r="694" ht="14.25" customHeight="1">
      <c r="C694" s="19"/>
      <c r="D694" s="19"/>
      <c r="E694" s="19"/>
      <c r="H694" s="12"/>
    </row>
    <row r="695" ht="14.25" customHeight="1">
      <c r="C695" s="19"/>
      <c r="D695" s="19"/>
      <c r="E695" s="19"/>
      <c r="H695" s="12"/>
    </row>
    <row r="696" ht="14.25" customHeight="1">
      <c r="C696" s="19"/>
      <c r="D696" s="19"/>
      <c r="E696" s="19"/>
      <c r="H696" s="12"/>
    </row>
    <row r="697" ht="14.25" customHeight="1">
      <c r="C697" s="19"/>
      <c r="D697" s="19"/>
      <c r="E697" s="19"/>
      <c r="H697" s="12"/>
    </row>
    <row r="698" ht="14.25" customHeight="1">
      <c r="C698" s="19"/>
      <c r="D698" s="19"/>
      <c r="E698" s="19"/>
      <c r="H698" s="12"/>
    </row>
    <row r="699" ht="14.25" customHeight="1">
      <c r="C699" s="19"/>
      <c r="D699" s="19"/>
      <c r="E699" s="19"/>
      <c r="H699" s="12"/>
    </row>
    <row r="700" ht="14.25" customHeight="1">
      <c r="C700" s="19"/>
      <c r="D700" s="19"/>
      <c r="E700" s="19"/>
      <c r="H700" s="12"/>
    </row>
    <row r="701" ht="14.25" customHeight="1">
      <c r="C701" s="19"/>
      <c r="D701" s="19"/>
      <c r="E701" s="19"/>
      <c r="H701" s="12"/>
    </row>
    <row r="702" ht="14.25" customHeight="1">
      <c r="C702" s="19"/>
      <c r="D702" s="19"/>
      <c r="E702" s="19"/>
      <c r="H702" s="12"/>
    </row>
    <row r="703" ht="14.25" customHeight="1">
      <c r="C703" s="19"/>
      <c r="D703" s="19"/>
      <c r="E703" s="19"/>
      <c r="H703" s="12"/>
    </row>
    <row r="704" ht="14.25" customHeight="1">
      <c r="C704" s="19"/>
      <c r="D704" s="19"/>
      <c r="E704" s="19"/>
      <c r="H704" s="12"/>
    </row>
    <row r="705" ht="14.25" customHeight="1">
      <c r="C705" s="19"/>
      <c r="D705" s="19"/>
      <c r="E705" s="19"/>
      <c r="H705" s="12"/>
    </row>
    <row r="706" ht="14.25" customHeight="1">
      <c r="C706" s="19"/>
      <c r="D706" s="19"/>
      <c r="E706" s="19"/>
      <c r="H706" s="12"/>
    </row>
    <row r="707" ht="14.25" customHeight="1">
      <c r="C707" s="19"/>
      <c r="D707" s="19"/>
      <c r="E707" s="19"/>
      <c r="H707" s="12"/>
    </row>
    <row r="708" ht="14.25" customHeight="1">
      <c r="C708" s="19"/>
      <c r="D708" s="19"/>
      <c r="E708" s="19"/>
      <c r="H708" s="12"/>
    </row>
    <row r="709" ht="14.25" customHeight="1">
      <c r="C709" s="19"/>
      <c r="D709" s="19"/>
      <c r="E709" s="19"/>
      <c r="H709" s="12"/>
    </row>
    <row r="710" ht="14.25" customHeight="1">
      <c r="C710" s="19"/>
      <c r="D710" s="19"/>
      <c r="E710" s="19"/>
      <c r="H710" s="12"/>
    </row>
    <row r="711" ht="14.25" customHeight="1">
      <c r="C711" s="19"/>
      <c r="D711" s="19"/>
      <c r="E711" s="19"/>
      <c r="H711" s="12"/>
    </row>
    <row r="712" ht="14.25" customHeight="1">
      <c r="C712" s="19"/>
      <c r="D712" s="19"/>
      <c r="E712" s="19"/>
      <c r="H712" s="12"/>
    </row>
    <row r="713" ht="14.25" customHeight="1">
      <c r="C713" s="19"/>
      <c r="D713" s="19"/>
      <c r="E713" s="19"/>
      <c r="H713" s="12"/>
    </row>
    <row r="714" ht="14.25" customHeight="1">
      <c r="C714" s="19"/>
      <c r="D714" s="19"/>
      <c r="E714" s="19"/>
      <c r="H714" s="12"/>
    </row>
    <row r="715" ht="14.25" customHeight="1">
      <c r="C715" s="19"/>
      <c r="D715" s="19"/>
      <c r="E715" s="19"/>
      <c r="H715" s="12"/>
    </row>
    <row r="716" ht="14.25" customHeight="1">
      <c r="C716" s="19"/>
      <c r="D716" s="19"/>
      <c r="E716" s="19"/>
      <c r="H716" s="12"/>
    </row>
    <row r="717" ht="14.25" customHeight="1">
      <c r="C717" s="19"/>
      <c r="D717" s="19"/>
      <c r="E717" s="19"/>
      <c r="H717" s="12"/>
    </row>
    <row r="718" ht="14.25" customHeight="1">
      <c r="C718" s="19"/>
      <c r="D718" s="19"/>
      <c r="E718" s="19"/>
      <c r="H718" s="12"/>
    </row>
    <row r="719" ht="14.25" customHeight="1">
      <c r="C719" s="19"/>
      <c r="D719" s="19"/>
      <c r="E719" s="19"/>
      <c r="H719" s="12"/>
    </row>
    <row r="720" ht="14.25" customHeight="1">
      <c r="C720" s="19"/>
      <c r="D720" s="19"/>
      <c r="E720" s="19"/>
      <c r="H720" s="12"/>
    </row>
    <row r="721" ht="14.25" customHeight="1">
      <c r="C721" s="19"/>
      <c r="D721" s="19"/>
      <c r="E721" s="19"/>
      <c r="H721" s="12"/>
    </row>
    <row r="722" ht="14.25" customHeight="1">
      <c r="C722" s="19"/>
      <c r="D722" s="19"/>
      <c r="E722" s="19"/>
      <c r="H722" s="12"/>
    </row>
    <row r="723" ht="14.25" customHeight="1">
      <c r="C723" s="19"/>
      <c r="D723" s="19"/>
      <c r="E723" s="19"/>
      <c r="H723" s="12"/>
    </row>
    <row r="724" ht="14.25" customHeight="1">
      <c r="C724" s="19"/>
      <c r="D724" s="19"/>
      <c r="E724" s="19"/>
      <c r="H724" s="12"/>
    </row>
    <row r="725" ht="14.25" customHeight="1">
      <c r="C725" s="19"/>
      <c r="D725" s="19"/>
      <c r="E725" s="19"/>
      <c r="H725" s="12"/>
    </row>
    <row r="726" ht="14.25" customHeight="1">
      <c r="C726" s="19"/>
      <c r="D726" s="19"/>
      <c r="E726" s="19"/>
      <c r="H726" s="12"/>
    </row>
    <row r="727" ht="14.25" customHeight="1">
      <c r="C727" s="19"/>
      <c r="D727" s="19"/>
      <c r="E727" s="19"/>
      <c r="H727" s="12"/>
    </row>
    <row r="728" ht="14.25" customHeight="1">
      <c r="C728" s="19"/>
      <c r="D728" s="19"/>
      <c r="E728" s="19"/>
      <c r="H728" s="12"/>
    </row>
    <row r="729" ht="14.25" customHeight="1">
      <c r="C729" s="19"/>
      <c r="D729" s="19"/>
      <c r="E729" s="19"/>
      <c r="H729" s="12"/>
    </row>
    <row r="730" ht="14.25" customHeight="1">
      <c r="C730" s="19"/>
      <c r="D730" s="19"/>
      <c r="E730" s="19"/>
      <c r="H730" s="12"/>
    </row>
    <row r="731" ht="14.25" customHeight="1">
      <c r="C731" s="19"/>
      <c r="D731" s="19"/>
      <c r="E731" s="19"/>
      <c r="H731" s="12"/>
    </row>
    <row r="732" ht="14.25" customHeight="1">
      <c r="C732" s="19"/>
      <c r="D732" s="19"/>
      <c r="E732" s="19"/>
      <c r="H732" s="12"/>
    </row>
    <row r="733" ht="14.25" customHeight="1">
      <c r="C733" s="19"/>
      <c r="D733" s="19"/>
      <c r="E733" s="19"/>
      <c r="H733" s="12"/>
    </row>
    <row r="734" ht="14.25" customHeight="1">
      <c r="C734" s="19"/>
      <c r="D734" s="19"/>
      <c r="E734" s="19"/>
      <c r="H734" s="12"/>
    </row>
    <row r="735" ht="14.25" customHeight="1">
      <c r="C735" s="19"/>
      <c r="D735" s="19"/>
      <c r="E735" s="19"/>
      <c r="H735" s="12"/>
    </row>
    <row r="736" ht="14.25" customHeight="1">
      <c r="C736" s="19"/>
      <c r="D736" s="19"/>
      <c r="E736" s="19"/>
      <c r="H736" s="12"/>
    </row>
    <row r="737" ht="14.25" customHeight="1">
      <c r="C737" s="19"/>
      <c r="D737" s="19"/>
      <c r="E737" s="19"/>
      <c r="H737" s="12"/>
    </row>
    <row r="738" ht="14.25" customHeight="1">
      <c r="C738" s="19"/>
      <c r="D738" s="19"/>
      <c r="E738" s="19"/>
      <c r="H738" s="12"/>
    </row>
    <row r="739" ht="14.25" customHeight="1">
      <c r="C739" s="19"/>
      <c r="D739" s="19"/>
      <c r="E739" s="19"/>
      <c r="H739" s="12"/>
    </row>
    <row r="740" ht="14.25" customHeight="1">
      <c r="C740" s="19"/>
      <c r="D740" s="19"/>
      <c r="E740" s="19"/>
      <c r="H740" s="12"/>
    </row>
    <row r="741" ht="14.25" customHeight="1">
      <c r="C741" s="19"/>
      <c r="D741" s="19"/>
      <c r="E741" s="19"/>
      <c r="H741" s="12"/>
    </row>
    <row r="742" ht="14.25" customHeight="1">
      <c r="C742" s="19"/>
      <c r="D742" s="19"/>
      <c r="E742" s="19"/>
      <c r="H742" s="12"/>
    </row>
    <row r="743" ht="14.25" customHeight="1">
      <c r="C743" s="19"/>
      <c r="D743" s="19"/>
      <c r="E743" s="19"/>
      <c r="H743" s="12"/>
    </row>
    <row r="744" ht="14.25" customHeight="1">
      <c r="C744" s="19"/>
      <c r="D744" s="19"/>
      <c r="E744" s="19"/>
      <c r="H744" s="12"/>
    </row>
    <row r="745" ht="14.25" customHeight="1">
      <c r="C745" s="19"/>
      <c r="D745" s="19"/>
      <c r="E745" s="19"/>
      <c r="H745" s="12"/>
    </row>
    <row r="746" ht="14.25" customHeight="1">
      <c r="C746" s="19"/>
      <c r="D746" s="19"/>
      <c r="E746" s="19"/>
      <c r="H746" s="12"/>
    </row>
    <row r="747" ht="14.25" customHeight="1">
      <c r="C747" s="19"/>
      <c r="D747" s="19"/>
      <c r="E747" s="19"/>
      <c r="H747" s="12"/>
    </row>
    <row r="748" ht="14.25" customHeight="1">
      <c r="C748" s="19"/>
      <c r="D748" s="19"/>
      <c r="E748" s="19"/>
      <c r="H748" s="12"/>
    </row>
    <row r="749" ht="14.25" customHeight="1">
      <c r="C749" s="19"/>
      <c r="D749" s="19"/>
      <c r="E749" s="19"/>
      <c r="H749" s="12"/>
    </row>
    <row r="750" ht="14.25" customHeight="1">
      <c r="C750" s="19"/>
      <c r="D750" s="19"/>
      <c r="E750" s="19"/>
      <c r="H750" s="12"/>
    </row>
    <row r="751" ht="14.25" customHeight="1">
      <c r="C751" s="19"/>
      <c r="D751" s="19"/>
      <c r="E751" s="19"/>
      <c r="H751" s="12"/>
    </row>
    <row r="752" ht="14.25" customHeight="1">
      <c r="C752" s="19"/>
      <c r="D752" s="19"/>
      <c r="E752" s="19"/>
      <c r="H752" s="12"/>
    </row>
    <row r="753" ht="14.25" customHeight="1">
      <c r="C753" s="19"/>
      <c r="D753" s="19"/>
      <c r="E753" s="19"/>
      <c r="H753" s="12"/>
    </row>
    <row r="754" ht="14.25" customHeight="1">
      <c r="C754" s="19"/>
      <c r="D754" s="19"/>
      <c r="E754" s="19"/>
      <c r="H754" s="12"/>
    </row>
    <row r="755" ht="14.25" customHeight="1">
      <c r="C755" s="19"/>
      <c r="D755" s="19"/>
      <c r="E755" s="19"/>
      <c r="H755" s="12"/>
    </row>
    <row r="756" ht="14.25" customHeight="1">
      <c r="C756" s="19"/>
      <c r="D756" s="19"/>
      <c r="E756" s="19"/>
      <c r="H756" s="12"/>
    </row>
    <row r="757" ht="14.25" customHeight="1">
      <c r="C757" s="19"/>
      <c r="D757" s="19"/>
      <c r="E757" s="19"/>
      <c r="H757" s="12"/>
    </row>
    <row r="758" ht="14.25" customHeight="1">
      <c r="C758" s="19"/>
      <c r="D758" s="19"/>
      <c r="E758" s="19"/>
      <c r="H758" s="12"/>
    </row>
    <row r="759" ht="14.25" customHeight="1">
      <c r="C759" s="19"/>
      <c r="D759" s="19"/>
      <c r="E759" s="19"/>
      <c r="H759" s="12"/>
    </row>
    <row r="760" ht="14.25" customHeight="1">
      <c r="C760" s="19"/>
      <c r="D760" s="19"/>
      <c r="E760" s="19"/>
      <c r="H760" s="12"/>
    </row>
    <row r="761" ht="14.25" customHeight="1">
      <c r="C761" s="19"/>
      <c r="D761" s="19"/>
      <c r="E761" s="19"/>
      <c r="H761" s="12"/>
    </row>
    <row r="762" ht="14.25" customHeight="1">
      <c r="C762" s="19"/>
      <c r="D762" s="19"/>
      <c r="E762" s="19"/>
      <c r="H762" s="12"/>
    </row>
    <row r="763" ht="14.25" customHeight="1">
      <c r="C763" s="19"/>
      <c r="D763" s="19"/>
      <c r="E763" s="19"/>
      <c r="H763" s="12"/>
    </row>
    <row r="764" ht="14.25" customHeight="1">
      <c r="C764" s="19"/>
      <c r="D764" s="19"/>
      <c r="E764" s="19"/>
      <c r="H764" s="12"/>
    </row>
    <row r="765" ht="14.25" customHeight="1">
      <c r="C765" s="19"/>
      <c r="D765" s="19"/>
      <c r="E765" s="19"/>
      <c r="H765" s="12"/>
    </row>
    <row r="766" ht="14.25" customHeight="1">
      <c r="C766" s="19"/>
      <c r="D766" s="19"/>
      <c r="E766" s="19"/>
      <c r="H766" s="12"/>
    </row>
    <row r="767" ht="14.25" customHeight="1">
      <c r="C767" s="19"/>
      <c r="D767" s="19"/>
      <c r="E767" s="19"/>
      <c r="H767" s="12"/>
    </row>
    <row r="768" ht="14.25" customHeight="1">
      <c r="C768" s="19"/>
      <c r="D768" s="19"/>
      <c r="E768" s="19"/>
      <c r="H768" s="12"/>
    </row>
    <row r="769" ht="14.25" customHeight="1">
      <c r="C769" s="19"/>
      <c r="D769" s="19"/>
      <c r="E769" s="19"/>
      <c r="H769" s="12"/>
    </row>
    <row r="770" ht="14.25" customHeight="1">
      <c r="C770" s="19"/>
      <c r="D770" s="19"/>
      <c r="E770" s="19"/>
      <c r="H770" s="12"/>
    </row>
    <row r="771" ht="14.25" customHeight="1">
      <c r="C771" s="19"/>
      <c r="D771" s="19"/>
      <c r="E771" s="19"/>
      <c r="H771" s="12"/>
    </row>
    <row r="772" ht="14.25" customHeight="1">
      <c r="C772" s="19"/>
      <c r="D772" s="19"/>
      <c r="E772" s="19"/>
      <c r="H772" s="12"/>
    </row>
    <row r="773" ht="14.25" customHeight="1">
      <c r="C773" s="19"/>
      <c r="D773" s="19"/>
      <c r="E773" s="19"/>
      <c r="H773" s="12"/>
    </row>
    <row r="774" ht="14.25" customHeight="1">
      <c r="C774" s="19"/>
      <c r="D774" s="19"/>
      <c r="E774" s="19"/>
      <c r="H774" s="12"/>
    </row>
    <row r="775" ht="14.25" customHeight="1">
      <c r="C775" s="19"/>
      <c r="D775" s="19"/>
      <c r="E775" s="19"/>
      <c r="H775" s="12"/>
    </row>
    <row r="776" ht="14.25" customHeight="1">
      <c r="C776" s="19"/>
      <c r="D776" s="19"/>
      <c r="E776" s="19"/>
      <c r="H776" s="12"/>
    </row>
    <row r="777" ht="14.25" customHeight="1">
      <c r="C777" s="19"/>
      <c r="D777" s="19"/>
      <c r="E777" s="19"/>
      <c r="H777" s="12"/>
    </row>
    <row r="778" ht="14.25" customHeight="1">
      <c r="C778" s="19"/>
      <c r="D778" s="19"/>
      <c r="E778" s="19"/>
      <c r="H778" s="12"/>
    </row>
    <row r="779" ht="14.25" customHeight="1">
      <c r="C779" s="19"/>
      <c r="D779" s="19"/>
      <c r="E779" s="19"/>
      <c r="H779" s="12"/>
    </row>
    <row r="780" ht="14.25" customHeight="1">
      <c r="C780" s="19"/>
      <c r="D780" s="19"/>
      <c r="E780" s="19"/>
      <c r="H780" s="12"/>
    </row>
    <row r="781" ht="14.25" customHeight="1">
      <c r="C781" s="19"/>
      <c r="D781" s="19"/>
      <c r="E781" s="19"/>
      <c r="H781" s="12"/>
    </row>
    <row r="782" ht="14.25" customHeight="1">
      <c r="C782" s="19"/>
      <c r="D782" s="19"/>
      <c r="E782" s="19"/>
      <c r="H782" s="12"/>
    </row>
    <row r="783" ht="14.25" customHeight="1">
      <c r="C783" s="19"/>
      <c r="D783" s="19"/>
      <c r="E783" s="19"/>
      <c r="H783" s="12"/>
    </row>
    <row r="784" ht="14.25" customHeight="1">
      <c r="C784" s="19"/>
      <c r="D784" s="19"/>
      <c r="E784" s="19"/>
      <c r="H784" s="12"/>
    </row>
    <row r="785" ht="14.25" customHeight="1">
      <c r="C785" s="19"/>
      <c r="D785" s="19"/>
      <c r="E785" s="19"/>
      <c r="H785" s="12"/>
    </row>
    <row r="786" ht="14.25" customHeight="1">
      <c r="C786" s="19"/>
      <c r="D786" s="19"/>
      <c r="E786" s="19"/>
      <c r="H786" s="12"/>
    </row>
    <row r="787" ht="14.25" customHeight="1">
      <c r="C787" s="19"/>
      <c r="D787" s="19"/>
      <c r="E787" s="19"/>
      <c r="H787" s="12"/>
    </row>
    <row r="788" ht="14.25" customHeight="1">
      <c r="C788" s="19"/>
      <c r="D788" s="19"/>
      <c r="E788" s="19"/>
      <c r="H788" s="12"/>
    </row>
    <row r="789" ht="14.25" customHeight="1">
      <c r="C789" s="19"/>
      <c r="D789" s="19"/>
      <c r="E789" s="19"/>
      <c r="H789" s="12"/>
    </row>
    <row r="790" ht="14.25" customHeight="1">
      <c r="C790" s="19"/>
      <c r="D790" s="19"/>
      <c r="E790" s="19"/>
      <c r="H790" s="12"/>
    </row>
    <row r="791" ht="14.25" customHeight="1">
      <c r="C791" s="19"/>
      <c r="D791" s="19"/>
      <c r="E791" s="19"/>
      <c r="H791" s="12"/>
    </row>
    <row r="792" ht="14.25" customHeight="1">
      <c r="C792" s="19"/>
      <c r="D792" s="19"/>
      <c r="E792" s="19"/>
      <c r="H792" s="12"/>
    </row>
    <row r="793" ht="14.25" customHeight="1">
      <c r="C793" s="19"/>
      <c r="D793" s="19"/>
      <c r="E793" s="19"/>
      <c r="H793" s="12"/>
    </row>
    <row r="794" ht="14.25" customHeight="1">
      <c r="C794" s="19"/>
      <c r="D794" s="19"/>
      <c r="E794" s="19"/>
      <c r="H794" s="12"/>
    </row>
    <row r="795" ht="14.25" customHeight="1">
      <c r="C795" s="19"/>
      <c r="D795" s="19"/>
      <c r="E795" s="19"/>
      <c r="H795" s="12"/>
    </row>
    <row r="796" ht="14.25" customHeight="1">
      <c r="C796" s="19"/>
      <c r="D796" s="19"/>
      <c r="E796" s="19"/>
      <c r="H796" s="12"/>
    </row>
    <row r="797" ht="14.25" customHeight="1">
      <c r="C797" s="19"/>
      <c r="D797" s="19"/>
      <c r="E797" s="19"/>
      <c r="H797" s="12"/>
    </row>
    <row r="798" ht="14.25" customHeight="1">
      <c r="C798" s="19"/>
      <c r="D798" s="19"/>
      <c r="E798" s="19"/>
      <c r="H798" s="12"/>
    </row>
    <row r="799" ht="14.25" customHeight="1">
      <c r="C799" s="19"/>
      <c r="D799" s="19"/>
      <c r="E799" s="19"/>
      <c r="H799" s="12"/>
    </row>
    <row r="800" ht="14.25" customHeight="1">
      <c r="C800" s="19"/>
      <c r="D800" s="19"/>
      <c r="E800" s="19"/>
      <c r="H800" s="12"/>
    </row>
    <row r="801" ht="14.25" customHeight="1">
      <c r="C801" s="19"/>
      <c r="D801" s="19"/>
      <c r="E801" s="19"/>
      <c r="H801" s="12"/>
    </row>
    <row r="802" ht="14.25" customHeight="1">
      <c r="C802" s="19"/>
      <c r="D802" s="19"/>
      <c r="E802" s="19"/>
      <c r="H802" s="12"/>
    </row>
    <row r="803" ht="14.25" customHeight="1">
      <c r="C803" s="19"/>
      <c r="D803" s="19"/>
      <c r="E803" s="19"/>
      <c r="H803" s="12"/>
    </row>
    <row r="804" ht="14.25" customHeight="1">
      <c r="C804" s="19"/>
      <c r="D804" s="19"/>
      <c r="E804" s="19"/>
      <c r="H804" s="12"/>
    </row>
    <row r="805" ht="14.25" customHeight="1">
      <c r="C805" s="19"/>
      <c r="D805" s="19"/>
      <c r="E805" s="19"/>
      <c r="H805" s="12"/>
    </row>
    <row r="806" ht="14.25" customHeight="1">
      <c r="C806" s="19"/>
      <c r="D806" s="19"/>
      <c r="E806" s="19"/>
      <c r="H806" s="12"/>
    </row>
    <row r="807" ht="14.25" customHeight="1">
      <c r="C807" s="19"/>
      <c r="D807" s="19"/>
      <c r="E807" s="19"/>
      <c r="H807" s="12"/>
    </row>
    <row r="808" ht="14.25" customHeight="1">
      <c r="C808" s="19"/>
      <c r="D808" s="19"/>
      <c r="E808" s="19"/>
      <c r="H808" s="12"/>
    </row>
    <row r="809" ht="14.25" customHeight="1">
      <c r="C809" s="19"/>
      <c r="D809" s="19"/>
      <c r="E809" s="19"/>
      <c r="H809" s="12"/>
    </row>
    <row r="810" ht="14.25" customHeight="1">
      <c r="C810" s="19"/>
      <c r="D810" s="19"/>
      <c r="E810" s="19"/>
      <c r="H810" s="12"/>
    </row>
    <row r="811" ht="14.25" customHeight="1">
      <c r="C811" s="19"/>
      <c r="D811" s="19"/>
      <c r="E811" s="19"/>
      <c r="H811" s="12"/>
    </row>
    <row r="812" ht="14.25" customHeight="1">
      <c r="C812" s="19"/>
      <c r="D812" s="19"/>
      <c r="E812" s="19"/>
      <c r="H812" s="12"/>
    </row>
    <row r="813" ht="14.25" customHeight="1">
      <c r="C813" s="19"/>
      <c r="D813" s="19"/>
      <c r="E813" s="19"/>
      <c r="H813" s="12"/>
    </row>
    <row r="814" ht="14.25" customHeight="1">
      <c r="C814" s="19"/>
      <c r="D814" s="19"/>
      <c r="E814" s="19"/>
      <c r="H814" s="12"/>
    </row>
    <row r="815" ht="14.25" customHeight="1">
      <c r="C815" s="19"/>
      <c r="D815" s="19"/>
      <c r="E815" s="19"/>
      <c r="H815" s="12"/>
    </row>
    <row r="816" ht="14.25" customHeight="1">
      <c r="C816" s="19"/>
      <c r="D816" s="19"/>
      <c r="E816" s="19"/>
      <c r="H816" s="12"/>
    </row>
    <row r="817" ht="14.25" customHeight="1">
      <c r="C817" s="19"/>
      <c r="D817" s="19"/>
      <c r="E817" s="19"/>
      <c r="H817" s="12"/>
    </row>
    <row r="818" ht="14.25" customHeight="1">
      <c r="C818" s="19"/>
      <c r="D818" s="19"/>
      <c r="E818" s="19"/>
      <c r="H818" s="12"/>
    </row>
    <row r="819" ht="14.25" customHeight="1">
      <c r="C819" s="19"/>
      <c r="D819" s="19"/>
      <c r="E819" s="19"/>
      <c r="H819" s="12"/>
    </row>
    <row r="820" ht="14.25" customHeight="1">
      <c r="C820" s="19"/>
      <c r="D820" s="19"/>
      <c r="E820" s="19"/>
      <c r="H820" s="12"/>
    </row>
    <row r="821" ht="14.25" customHeight="1">
      <c r="C821" s="19"/>
      <c r="D821" s="19"/>
      <c r="E821" s="19"/>
      <c r="H821" s="12"/>
    </row>
    <row r="822" ht="14.25" customHeight="1">
      <c r="C822" s="19"/>
      <c r="D822" s="19"/>
      <c r="E822" s="19"/>
      <c r="H822" s="12"/>
    </row>
    <row r="823" ht="14.25" customHeight="1">
      <c r="C823" s="19"/>
      <c r="D823" s="19"/>
      <c r="E823" s="19"/>
      <c r="H823" s="12"/>
    </row>
    <row r="824" ht="14.25" customHeight="1">
      <c r="C824" s="19"/>
      <c r="D824" s="19"/>
      <c r="E824" s="19"/>
      <c r="H824" s="12"/>
    </row>
    <row r="825" ht="14.25" customHeight="1">
      <c r="C825" s="19"/>
      <c r="D825" s="19"/>
      <c r="E825" s="19"/>
      <c r="H825" s="12"/>
    </row>
    <row r="826" ht="14.25" customHeight="1">
      <c r="C826" s="19"/>
      <c r="D826" s="19"/>
      <c r="E826" s="19"/>
      <c r="H826" s="12"/>
    </row>
    <row r="827" ht="14.25" customHeight="1">
      <c r="C827" s="19"/>
      <c r="D827" s="19"/>
      <c r="E827" s="19"/>
      <c r="H827" s="12"/>
    </row>
    <row r="828" ht="14.25" customHeight="1">
      <c r="C828" s="19"/>
      <c r="D828" s="19"/>
      <c r="E828" s="19"/>
      <c r="H828" s="12"/>
    </row>
    <row r="829" ht="14.25" customHeight="1">
      <c r="C829" s="19"/>
      <c r="D829" s="19"/>
      <c r="E829" s="19"/>
      <c r="H829" s="12"/>
    </row>
    <row r="830" ht="14.25" customHeight="1">
      <c r="C830" s="19"/>
      <c r="D830" s="19"/>
      <c r="E830" s="19"/>
      <c r="H830" s="12"/>
    </row>
    <row r="831" ht="14.25" customHeight="1">
      <c r="C831" s="19"/>
      <c r="D831" s="19"/>
      <c r="E831" s="19"/>
      <c r="H831" s="12"/>
    </row>
    <row r="832" ht="14.25" customHeight="1">
      <c r="C832" s="19"/>
      <c r="D832" s="19"/>
      <c r="E832" s="19"/>
      <c r="H832" s="12"/>
    </row>
    <row r="833" ht="14.25" customHeight="1">
      <c r="C833" s="19"/>
      <c r="D833" s="19"/>
      <c r="E833" s="19"/>
      <c r="H833" s="12"/>
    </row>
    <row r="834" ht="14.25" customHeight="1">
      <c r="C834" s="19"/>
      <c r="D834" s="19"/>
      <c r="E834" s="19"/>
      <c r="H834" s="12"/>
    </row>
    <row r="835" ht="14.25" customHeight="1">
      <c r="C835" s="19"/>
      <c r="D835" s="19"/>
      <c r="E835" s="19"/>
      <c r="H835" s="12"/>
    </row>
    <row r="836" ht="14.25" customHeight="1">
      <c r="C836" s="19"/>
      <c r="D836" s="19"/>
      <c r="E836" s="19"/>
      <c r="H836" s="12"/>
    </row>
    <row r="837" ht="14.25" customHeight="1">
      <c r="C837" s="19"/>
      <c r="D837" s="19"/>
      <c r="E837" s="19"/>
      <c r="H837" s="12"/>
    </row>
    <row r="838" ht="14.25" customHeight="1">
      <c r="C838" s="19"/>
      <c r="D838" s="19"/>
      <c r="E838" s="19"/>
      <c r="H838" s="12"/>
    </row>
    <row r="839" ht="14.25" customHeight="1">
      <c r="C839" s="19"/>
      <c r="D839" s="19"/>
      <c r="E839" s="19"/>
      <c r="H839" s="12"/>
    </row>
    <row r="840" ht="14.25" customHeight="1">
      <c r="C840" s="19"/>
      <c r="D840" s="19"/>
      <c r="E840" s="19"/>
      <c r="H840" s="12"/>
    </row>
    <row r="841" ht="14.25" customHeight="1">
      <c r="C841" s="19"/>
      <c r="D841" s="19"/>
      <c r="E841" s="19"/>
      <c r="H841" s="12"/>
    </row>
    <row r="842" ht="14.25" customHeight="1">
      <c r="C842" s="19"/>
      <c r="D842" s="19"/>
      <c r="E842" s="19"/>
      <c r="H842" s="12"/>
    </row>
    <row r="843" ht="14.25" customHeight="1">
      <c r="C843" s="19"/>
      <c r="D843" s="19"/>
      <c r="E843" s="19"/>
      <c r="H843" s="12"/>
    </row>
    <row r="844" ht="14.25" customHeight="1">
      <c r="C844" s="19"/>
      <c r="D844" s="19"/>
      <c r="E844" s="19"/>
      <c r="H844" s="12"/>
    </row>
    <row r="845" ht="14.25" customHeight="1">
      <c r="C845" s="19"/>
      <c r="D845" s="19"/>
      <c r="E845" s="19"/>
      <c r="H845" s="12"/>
    </row>
    <row r="846" ht="14.25" customHeight="1">
      <c r="C846" s="19"/>
      <c r="D846" s="19"/>
      <c r="E846" s="19"/>
      <c r="H846" s="12"/>
    </row>
    <row r="847" ht="14.25" customHeight="1">
      <c r="C847" s="19"/>
      <c r="D847" s="19"/>
      <c r="E847" s="19"/>
      <c r="H847" s="12"/>
    </row>
    <row r="848" ht="14.25" customHeight="1">
      <c r="C848" s="19"/>
      <c r="D848" s="19"/>
      <c r="E848" s="19"/>
      <c r="H848" s="12"/>
    </row>
    <row r="849" ht="14.25" customHeight="1">
      <c r="C849" s="19"/>
      <c r="D849" s="19"/>
      <c r="E849" s="19"/>
      <c r="H849" s="12"/>
    </row>
    <row r="850" ht="14.25" customHeight="1">
      <c r="C850" s="19"/>
      <c r="D850" s="19"/>
      <c r="E850" s="19"/>
      <c r="H850" s="12"/>
    </row>
    <row r="851" ht="14.25" customHeight="1">
      <c r="C851" s="19"/>
      <c r="D851" s="19"/>
      <c r="E851" s="19"/>
      <c r="H851" s="12"/>
    </row>
    <row r="852" ht="14.25" customHeight="1">
      <c r="C852" s="19"/>
      <c r="D852" s="19"/>
      <c r="E852" s="19"/>
      <c r="H852" s="12"/>
    </row>
    <row r="853" ht="14.25" customHeight="1">
      <c r="C853" s="19"/>
      <c r="D853" s="19"/>
      <c r="E853" s="19"/>
      <c r="H853" s="12"/>
    </row>
    <row r="854" ht="14.25" customHeight="1">
      <c r="C854" s="19"/>
      <c r="D854" s="19"/>
      <c r="E854" s="19"/>
      <c r="H854" s="12"/>
    </row>
    <row r="855" ht="14.25" customHeight="1">
      <c r="C855" s="19"/>
      <c r="D855" s="19"/>
      <c r="E855" s="19"/>
      <c r="H855" s="12"/>
    </row>
    <row r="856" ht="14.25" customHeight="1">
      <c r="C856" s="19"/>
      <c r="D856" s="19"/>
      <c r="E856" s="19"/>
      <c r="H856" s="12"/>
    </row>
    <row r="857" ht="14.25" customHeight="1">
      <c r="C857" s="19"/>
      <c r="D857" s="19"/>
      <c r="E857" s="19"/>
      <c r="H857" s="12"/>
    </row>
    <row r="858" ht="14.25" customHeight="1">
      <c r="C858" s="19"/>
      <c r="D858" s="19"/>
      <c r="E858" s="19"/>
      <c r="H858" s="12"/>
    </row>
    <row r="859" ht="14.25" customHeight="1">
      <c r="C859" s="19"/>
      <c r="D859" s="19"/>
      <c r="E859" s="19"/>
      <c r="H859" s="12"/>
    </row>
    <row r="860" ht="14.25" customHeight="1">
      <c r="C860" s="19"/>
      <c r="D860" s="19"/>
      <c r="E860" s="19"/>
      <c r="H860" s="12"/>
    </row>
    <row r="861" ht="14.25" customHeight="1">
      <c r="C861" s="19"/>
      <c r="D861" s="19"/>
      <c r="E861" s="19"/>
      <c r="H861" s="12"/>
    </row>
    <row r="862" ht="14.25" customHeight="1">
      <c r="C862" s="19"/>
      <c r="D862" s="19"/>
      <c r="E862" s="19"/>
      <c r="H862" s="12"/>
    </row>
    <row r="863" ht="14.25" customHeight="1">
      <c r="C863" s="19"/>
      <c r="D863" s="19"/>
      <c r="E863" s="19"/>
      <c r="H863" s="12"/>
    </row>
    <row r="864" ht="14.25" customHeight="1">
      <c r="C864" s="19"/>
      <c r="D864" s="19"/>
      <c r="E864" s="19"/>
      <c r="H864" s="12"/>
    </row>
    <row r="865" ht="14.25" customHeight="1">
      <c r="C865" s="19"/>
      <c r="D865" s="19"/>
      <c r="E865" s="19"/>
      <c r="H865" s="12"/>
    </row>
    <row r="866" ht="14.25" customHeight="1">
      <c r="C866" s="19"/>
      <c r="D866" s="19"/>
      <c r="E866" s="19"/>
      <c r="H866" s="12"/>
    </row>
    <row r="867" ht="14.25" customHeight="1">
      <c r="C867" s="19"/>
      <c r="D867" s="19"/>
      <c r="E867" s="19"/>
      <c r="H867" s="12"/>
    </row>
    <row r="868" ht="14.25" customHeight="1">
      <c r="C868" s="19"/>
      <c r="D868" s="19"/>
      <c r="E868" s="19"/>
      <c r="H868" s="12"/>
    </row>
    <row r="869" ht="14.25" customHeight="1">
      <c r="C869" s="19"/>
      <c r="D869" s="19"/>
      <c r="E869" s="19"/>
      <c r="H869" s="12"/>
    </row>
    <row r="870" ht="14.25" customHeight="1">
      <c r="C870" s="19"/>
      <c r="D870" s="19"/>
      <c r="E870" s="19"/>
      <c r="H870" s="12"/>
    </row>
    <row r="871" ht="14.25" customHeight="1">
      <c r="C871" s="19"/>
      <c r="D871" s="19"/>
      <c r="E871" s="19"/>
      <c r="H871" s="12"/>
    </row>
    <row r="872" ht="14.25" customHeight="1">
      <c r="C872" s="19"/>
      <c r="D872" s="19"/>
      <c r="E872" s="19"/>
      <c r="H872" s="12"/>
    </row>
    <row r="873" ht="14.25" customHeight="1">
      <c r="C873" s="19"/>
      <c r="D873" s="19"/>
      <c r="E873" s="19"/>
      <c r="H873" s="12"/>
    </row>
    <row r="874" ht="14.25" customHeight="1">
      <c r="C874" s="19"/>
      <c r="D874" s="19"/>
      <c r="E874" s="19"/>
      <c r="H874" s="12"/>
    </row>
    <row r="875" ht="14.25" customHeight="1">
      <c r="C875" s="19"/>
      <c r="D875" s="19"/>
      <c r="E875" s="19"/>
      <c r="H875" s="12"/>
    </row>
    <row r="876" ht="14.25" customHeight="1">
      <c r="C876" s="19"/>
      <c r="D876" s="19"/>
      <c r="E876" s="19"/>
      <c r="H876" s="12"/>
    </row>
    <row r="877" ht="14.25" customHeight="1">
      <c r="C877" s="19"/>
      <c r="D877" s="19"/>
      <c r="E877" s="19"/>
      <c r="H877" s="12"/>
    </row>
    <row r="878" ht="14.25" customHeight="1">
      <c r="C878" s="19"/>
      <c r="D878" s="19"/>
      <c r="E878" s="19"/>
      <c r="H878" s="12"/>
    </row>
    <row r="879" ht="14.25" customHeight="1">
      <c r="C879" s="19"/>
      <c r="D879" s="19"/>
      <c r="E879" s="19"/>
      <c r="H879" s="12"/>
    </row>
    <row r="880" ht="14.25" customHeight="1">
      <c r="C880" s="19"/>
      <c r="D880" s="19"/>
      <c r="E880" s="19"/>
      <c r="H880" s="12"/>
    </row>
    <row r="881" ht="14.25" customHeight="1">
      <c r="C881" s="19"/>
      <c r="D881" s="19"/>
      <c r="E881" s="19"/>
      <c r="H881" s="12"/>
    </row>
    <row r="882" ht="14.25" customHeight="1">
      <c r="C882" s="19"/>
      <c r="D882" s="19"/>
      <c r="E882" s="19"/>
      <c r="H882" s="12"/>
    </row>
    <row r="883" ht="14.25" customHeight="1">
      <c r="C883" s="19"/>
      <c r="D883" s="19"/>
      <c r="E883" s="19"/>
      <c r="H883" s="12"/>
    </row>
    <row r="884" ht="14.25" customHeight="1">
      <c r="C884" s="19"/>
      <c r="D884" s="19"/>
      <c r="E884" s="19"/>
      <c r="H884" s="12"/>
    </row>
    <row r="885" ht="14.25" customHeight="1">
      <c r="C885" s="19"/>
      <c r="D885" s="19"/>
      <c r="E885" s="19"/>
      <c r="H885" s="12"/>
    </row>
    <row r="886" ht="14.25" customHeight="1">
      <c r="C886" s="19"/>
      <c r="D886" s="19"/>
      <c r="E886" s="19"/>
      <c r="H886" s="12"/>
    </row>
    <row r="887" ht="14.25" customHeight="1">
      <c r="C887" s="19"/>
      <c r="D887" s="19"/>
      <c r="E887" s="19"/>
      <c r="H887" s="12"/>
    </row>
    <row r="888" ht="14.25" customHeight="1">
      <c r="C888" s="19"/>
      <c r="D888" s="19"/>
      <c r="E888" s="19"/>
      <c r="H888" s="12"/>
    </row>
    <row r="889" ht="14.25" customHeight="1">
      <c r="C889" s="19"/>
      <c r="D889" s="19"/>
      <c r="E889" s="19"/>
      <c r="H889" s="12"/>
    </row>
    <row r="890" ht="14.25" customHeight="1">
      <c r="C890" s="19"/>
      <c r="D890" s="19"/>
      <c r="E890" s="19"/>
      <c r="H890" s="12"/>
    </row>
    <row r="891" ht="14.25" customHeight="1">
      <c r="C891" s="19"/>
      <c r="D891" s="19"/>
      <c r="E891" s="19"/>
      <c r="H891" s="12"/>
    </row>
    <row r="892" ht="14.25" customHeight="1">
      <c r="C892" s="19"/>
      <c r="D892" s="19"/>
      <c r="E892" s="19"/>
      <c r="H892" s="12"/>
    </row>
    <row r="893" ht="14.25" customHeight="1">
      <c r="C893" s="19"/>
      <c r="D893" s="19"/>
      <c r="E893" s="19"/>
      <c r="H893" s="12"/>
    </row>
    <row r="894" ht="14.25" customHeight="1">
      <c r="C894" s="19"/>
      <c r="D894" s="19"/>
      <c r="E894" s="19"/>
      <c r="H894" s="12"/>
    </row>
    <row r="895" ht="14.25" customHeight="1">
      <c r="C895" s="19"/>
      <c r="D895" s="19"/>
      <c r="E895" s="19"/>
      <c r="H895" s="12"/>
    </row>
    <row r="896" ht="14.25" customHeight="1">
      <c r="C896" s="19"/>
      <c r="D896" s="19"/>
      <c r="E896" s="19"/>
      <c r="H896" s="12"/>
    </row>
    <row r="897" ht="14.25" customHeight="1">
      <c r="C897" s="19"/>
      <c r="D897" s="19"/>
      <c r="E897" s="19"/>
      <c r="H897" s="12"/>
    </row>
    <row r="898" ht="14.25" customHeight="1">
      <c r="C898" s="19"/>
      <c r="D898" s="19"/>
      <c r="E898" s="19"/>
      <c r="H898" s="12"/>
    </row>
    <row r="899" ht="14.25" customHeight="1">
      <c r="C899" s="19"/>
      <c r="D899" s="19"/>
      <c r="E899" s="19"/>
      <c r="H899" s="12"/>
    </row>
    <row r="900" ht="14.25" customHeight="1">
      <c r="C900" s="19"/>
      <c r="D900" s="19"/>
      <c r="E900" s="19"/>
      <c r="H900" s="12"/>
    </row>
    <row r="901" ht="14.25" customHeight="1">
      <c r="C901" s="19"/>
      <c r="D901" s="19"/>
      <c r="E901" s="19"/>
      <c r="H901" s="12"/>
    </row>
    <row r="902" ht="14.25" customHeight="1">
      <c r="C902" s="19"/>
      <c r="D902" s="19"/>
      <c r="E902" s="19"/>
      <c r="H902" s="12"/>
    </row>
    <row r="903" ht="14.25" customHeight="1">
      <c r="C903" s="19"/>
      <c r="D903" s="19"/>
      <c r="E903" s="19"/>
      <c r="H903" s="12"/>
    </row>
    <row r="904" ht="14.25" customHeight="1">
      <c r="C904" s="19"/>
      <c r="D904" s="19"/>
      <c r="E904" s="19"/>
      <c r="H904" s="12"/>
    </row>
    <row r="905" ht="14.25" customHeight="1">
      <c r="C905" s="19"/>
      <c r="D905" s="19"/>
      <c r="E905" s="19"/>
      <c r="H905" s="12"/>
    </row>
    <row r="906" ht="14.25" customHeight="1">
      <c r="C906" s="19"/>
      <c r="D906" s="19"/>
      <c r="E906" s="19"/>
      <c r="H906" s="12"/>
    </row>
    <row r="907" ht="14.25" customHeight="1">
      <c r="C907" s="19"/>
      <c r="D907" s="19"/>
      <c r="E907" s="19"/>
      <c r="H907" s="12"/>
    </row>
    <row r="908" ht="14.25" customHeight="1">
      <c r="C908" s="19"/>
      <c r="D908" s="19"/>
      <c r="E908" s="19"/>
      <c r="H908" s="12"/>
    </row>
    <row r="909" ht="14.25" customHeight="1">
      <c r="C909" s="19"/>
      <c r="D909" s="19"/>
      <c r="E909" s="19"/>
      <c r="H909" s="12"/>
    </row>
    <row r="910" ht="14.25" customHeight="1">
      <c r="C910" s="19"/>
      <c r="D910" s="19"/>
      <c r="E910" s="19"/>
      <c r="H910" s="12"/>
    </row>
    <row r="911" ht="14.25" customHeight="1">
      <c r="C911" s="19"/>
      <c r="D911" s="19"/>
      <c r="E911" s="19"/>
      <c r="H911" s="12"/>
    </row>
    <row r="912" ht="14.25" customHeight="1">
      <c r="C912" s="19"/>
      <c r="D912" s="19"/>
      <c r="E912" s="19"/>
      <c r="H912" s="12"/>
    </row>
    <row r="913" ht="14.25" customHeight="1">
      <c r="C913" s="19"/>
      <c r="D913" s="19"/>
      <c r="E913" s="19"/>
      <c r="H913" s="12"/>
    </row>
    <row r="914" ht="14.25" customHeight="1">
      <c r="C914" s="19"/>
      <c r="D914" s="19"/>
      <c r="E914" s="19"/>
      <c r="H914" s="12"/>
    </row>
    <row r="915" ht="14.25" customHeight="1">
      <c r="C915" s="19"/>
      <c r="D915" s="19"/>
      <c r="E915" s="19"/>
      <c r="H915" s="12"/>
    </row>
    <row r="916" ht="14.25" customHeight="1">
      <c r="C916" s="19"/>
      <c r="D916" s="19"/>
      <c r="E916" s="19"/>
      <c r="H916" s="12"/>
    </row>
    <row r="917" ht="14.25" customHeight="1">
      <c r="C917" s="19"/>
      <c r="D917" s="19"/>
      <c r="E917" s="19"/>
      <c r="H917" s="12"/>
    </row>
    <row r="918" ht="14.25" customHeight="1">
      <c r="C918" s="19"/>
      <c r="D918" s="19"/>
      <c r="E918" s="19"/>
      <c r="H918" s="12"/>
    </row>
    <row r="919" ht="14.25" customHeight="1">
      <c r="C919" s="19"/>
      <c r="D919" s="19"/>
      <c r="E919" s="19"/>
      <c r="H919" s="12"/>
    </row>
    <row r="920" ht="14.25" customHeight="1">
      <c r="C920" s="19"/>
      <c r="D920" s="19"/>
      <c r="E920" s="19"/>
      <c r="H920" s="12"/>
    </row>
    <row r="921" ht="14.25" customHeight="1">
      <c r="C921" s="19"/>
      <c r="D921" s="19"/>
      <c r="E921" s="19"/>
      <c r="H921" s="12"/>
    </row>
    <row r="922" ht="14.25" customHeight="1">
      <c r="C922" s="19"/>
      <c r="D922" s="19"/>
      <c r="E922" s="19"/>
      <c r="H922" s="12"/>
    </row>
    <row r="923" ht="14.25" customHeight="1">
      <c r="C923" s="19"/>
      <c r="D923" s="19"/>
      <c r="E923" s="19"/>
      <c r="H923" s="12"/>
    </row>
    <row r="924" ht="14.25" customHeight="1">
      <c r="C924" s="19"/>
      <c r="D924" s="19"/>
      <c r="E924" s="19"/>
      <c r="H924" s="12"/>
    </row>
    <row r="925" ht="14.25" customHeight="1">
      <c r="C925" s="19"/>
      <c r="D925" s="19"/>
      <c r="E925" s="19"/>
      <c r="H925" s="12"/>
    </row>
    <row r="926" ht="14.25" customHeight="1">
      <c r="C926" s="19"/>
      <c r="D926" s="19"/>
      <c r="E926" s="19"/>
      <c r="H926" s="12"/>
    </row>
    <row r="927" ht="14.25" customHeight="1">
      <c r="C927" s="19"/>
      <c r="D927" s="19"/>
      <c r="E927" s="19"/>
      <c r="H927" s="12"/>
    </row>
    <row r="928" ht="14.25" customHeight="1">
      <c r="C928" s="19"/>
      <c r="D928" s="19"/>
      <c r="E928" s="19"/>
      <c r="H928" s="12"/>
    </row>
    <row r="929" ht="14.25" customHeight="1">
      <c r="C929" s="19"/>
      <c r="D929" s="19"/>
      <c r="E929" s="19"/>
      <c r="H929" s="12"/>
    </row>
    <row r="930" ht="14.25" customHeight="1">
      <c r="C930" s="19"/>
      <c r="D930" s="19"/>
      <c r="E930" s="19"/>
      <c r="H930" s="12"/>
    </row>
    <row r="931" ht="14.25" customHeight="1">
      <c r="C931" s="19"/>
      <c r="D931" s="19"/>
      <c r="E931" s="19"/>
      <c r="H931" s="12"/>
    </row>
    <row r="932" ht="14.25" customHeight="1">
      <c r="C932" s="19"/>
      <c r="D932" s="19"/>
      <c r="E932" s="19"/>
      <c r="H932" s="12"/>
    </row>
    <row r="933" ht="14.25" customHeight="1">
      <c r="C933" s="19"/>
      <c r="D933" s="19"/>
      <c r="E933" s="19"/>
      <c r="H933" s="12"/>
    </row>
    <row r="934" ht="14.25" customHeight="1">
      <c r="C934" s="19"/>
      <c r="D934" s="19"/>
      <c r="E934" s="19"/>
      <c r="H934" s="12"/>
    </row>
    <row r="935" ht="14.25" customHeight="1">
      <c r="C935" s="19"/>
      <c r="D935" s="19"/>
      <c r="E935" s="19"/>
      <c r="H935" s="12"/>
    </row>
    <row r="936" ht="14.25" customHeight="1">
      <c r="C936" s="19"/>
      <c r="D936" s="19"/>
      <c r="E936" s="19"/>
      <c r="H936" s="12"/>
    </row>
    <row r="937" ht="14.25" customHeight="1">
      <c r="C937" s="19"/>
      <c r="D937" s="19"/>
      <c r="E937" s="19"/>
      <c r="H937" s="12"/>
    </row>
    <row r="938" ht="14.25" customHeight="1">
      <c r="C938" s="19"/>
      <c r="D938" s="19"/>
      <c r="E938" s="19"/>
      <c r="H938" s="12"/>
    </row>
    <row r="939" ht="14.25" customHeight="1">
      <c r="C939" s="19"/>
      <c r="D939" s="19"/>
      <c r="E939" s="19"/>
      <c r="H939" s="12"/>
    </row>
    <row r="940" ht="14.25" customHeight="1">
      <c r="C940" s="19"/>
      <c r="D940" s="19"/>
      <c r="E940" s="19"/>
      <c r="H940" s="12"/>
    </row>
    <row r="941" ht="14.25" customHeight="1">
      <c r="C941" s="19"/>
      <c r="D941" s="19"/>
      <c r="E941" s="19"/>
      <c r="H941" s="12"/>
    </row>
    <row r="942" ht="14.25" customHeight="1">
      <c r="C942" s="19"/>
      <c r="D942" s="19"/>
      <c r="E942" s="19"/>
      <c r="H942" s="12"/>
    </row>
    <row r="943" ht="14.25" customHeight="1">
      <c r="C943" s="19"/>
      <c r="D943" s="19"/>
      <c r="E943" s="19"/>
      <c r="H943" s="12"/>
    </row>
    <row r="944" ht="14.25" customHeight="1">
      <c r="C944" s="19"/>
      <c r="D944" s="19"/>
      <c r="E944" s="19"/>
      <c r="H944" s="12"/>
    </row>
    <row r="945" ht="14.25" customHeight="1">
      <c r="C945" s="19"/>
      <c r="D945" s="19"/>
      <c r="E945" s="19"/>
      <c r="H945" s="12"/>
    </row>
    <row r="946" ht="14.25" customHeight="1">
      <c r="C946" s="19"/>
      <c r="D946" s="19"/>
      <c r="E946" s="19"/>
      <c r="H946" s="12"/>
    </row>
    <row r="947" ht="14.25" customHeight="1">
      <c r="C947" s="19"/>
      <c r="D947" s="19"/>
      <c r="E947" s="19"/>
      <c r="H947" s="12"/>
    </row>
    <row r="948" ht="14.25" customHeight="1">
      <c r="C948" s="19"/>
      <c r="D948" s="19"/>
      <c r="E948" s="19"/>
      <c r="H948" s="12"/>
    </row>
    <row r="949" ht="14.25" customHeight="1">
      <c r="C949" s="19"/>
      <c r="D949" s="19"/>
      <c r="E949" s="19"/>
      <c r="H949" s="12"/>
    </row>
    <row r="950" ht="14.25" customHeight="1">
      <c r="C950" s="19"/>
      <c r="D950" s="19"/>
      <c r="E950" s="19"/>
      <c r="H950" s="12"/>
    </row>
    <row r="951" ht="14.25" customHeight="1">
      <c r="C951" s="19"/>
      <c r="D951" s="19"/>
      <c r="E951" s="19"/>
      <c r="H951" s="12"/>
    </row>
    <row r="952" ht="14.25" customHeight="1">
      <c r="C952" s="19"/>
      <c r="D952" s="19"/>
      <c r="E952" s="19"/>
      <c r="H952" s="12"/>
    </row>
    <row r="953" ht="14.25" customHeight="1">
      <c r="C953" s="19"/>
      <c r="D953" s="19"/>
      <c r="E953" s="19"/>
      <c r="H953" s="12"/>
    </row>
    <row r="954" ht="14.25" customHeight="1">
      <c r="C954" s="19"/>
      <c r="D954" s="19"/>
      <c r="E954" s="19"/>
      <c r="H954" s="12"/>
    </row>
    <row r="955" ht="14.25" customHeight="1">
      <c r="C955" s="19"/>
      <c r="D955" s="19"/>
      <c r="E955" s="19"/>
      <c r="H955" s="12"/>
    </row>
    <row r="956" ht="14.25" customHeight="1">
      <c r="C956" s="19"/>
      <c r="D956" s="19"/>
      <c r="E956" s="19"/>
      <c r="H956" s="12"/>
    </row>
    <row r="957" ht="14.25" customHeight="1">
      <c r="C957" s="19"/>
      <c r="D957" s="19"/>
      <c r="E957" s="19"/>
      <c r="H957" s="12"/>
    </row>
    <row r="958" ht="14.25" customHeight="1">
      <c r="C958" s="19"/>
      <c r="D958" s="19"/>
      <c r="E958" s="19"/>
      <c r="H958" s="12"/>
    </row>
    <row r="959" ht="14.25" customHeight="1">
      <c r="C959" s="19"/>
      <c r="D959" s="19"/>
      <c r="E959" s="19"/>
      <c r="H959" s="12"/>
    </row>
    <row r="960" ht="14.25" customHeight="1">
      <c r="C960" s="19"/>
      <c r="D960" s="19"/>
      <c r="E960" s="19"/>
      <c r="H960" s="12"/>
    </row>
    <row r="961" ht="14.25" customHeight="1">
      <c r="C961" s="19"/>
      <c r="D961" s="19"/>
      <c r="E961" s="19"/>
      <c r="H961" s="12"/>
    </row>
    <row r="962" ht="14.25" customHeight="1">
      <c r="C962" s="19"/>
      <c r="D962" s="19"/>
      <c r="E962" s="19"/>
      <c r="H962" s="12"/>
    </row>
    <row r="963" ht="14.25" customHeight="1">
      <c r="C963" s="19"/>
      <c r="D963" s="19"/>
      <c r="E963" s="19"/>
      <c r="H963" s="12"/>
    </row>
    <row r="964" ht="14.25" customHeight="1">
      <c r="C964" s="19"/>
      <c r="D964" s="19"/>
      <c r="E964" s="19"/>
      <c r="H964" s="12"/>
    </row>
    <row r="965" ht="14.25" customHeight="1">
      <c r="C965" s="19"/>
      <c r="D965" s="19"/>
      <c r="E965" s="19"/>
      <c r="H965" s="12"/>
    </row>
    <row r="966" ht="14.25" customHeight="1">
      <c r="C966" s="19"/>
      <c r="D966" s="19"/>
      <c r="E966" s="19"/>
      <c r="H966" s="12"/>
    </row>
    <row r="967" ht="14.25" customHeight="1">
      <c r="C967" s="19"/>
      <c r="D967" s="19"/>
      <c r="E967" s="19"/>
      <c r="H967" s="12"/>
    </row>
    <row r="968" ht="14.25" customHeight="1">
      <c r="C968" s="19"/>
      <c r="D968" s="19"/>
      <c r="E968" s="19"/>
      <c r="H968" s="12"/>
    </row>
    <row r="969" ht="14.25" customHeight="1">
      <c r="C969" s="19"/>
      <c r="D969" s="19"/>
      <c r="E969" s="19"/>
      <c r="H969" s="12"/>
    </row>
    <row r="970" ht="14.25" customHeight="1">
      <c r="C970" s="19"/>
      <c r="D970" s="19"/>
      <c r="E970" s="19"/>
      <c r="H970" s="12"/>
    </row>
    <row r="971" ht="14.25" customHeight="1">
      <c r="C971" s="19"/>
      <c r="D971" s="19"/>
      <c r="E971" s="19"/>
      <c r="H971" s="12"/>
    </row>
    <row r="972" ht="14.25" customHeight="1">
      <c r="C972" s="19"/>
      <c r="D972" s="19"/>
      <c r="E972" s="19"/>
      <c r="H972" s="12"/>
    </row>
    <row r="973" ht="14.25" customHeight="1">
      <c r="C973" s="19"/>
      <c r="D973" s="19"/>
      <c r="E973" s="19"/>
      <c r="H973" s="12"/>
    </row>
    <row r="974" ht="14.25" customHeight="1">
      <c r="C974" s="19"/>
      <c r="D974" s="19"/>
      <c r="E974" s="19"/>
      <c r="H974" s="12"/>
    </row>
    <row r="975" ht="14.25" customHeight="1">
      <c r="C975" s="19"/>
      <c r="D975" s="19"/>
      <c r="E975" s="19"/>
      <c r="H975" s="12"/>
    </row>
    <row r="976" ht="14.25" customHeight="1">
      <c r="C976" s="19"/>
      <c r="D976" s="19"/>
      <c r="E976" s="19"/>
      <c r="H976" s="12"/>
    </row>
    <row r="977" ht="14.25" customHeight="1">
      <c r="C977" s="19"/>
      <c r="D977" s="19"/>
      <c r="E977" s="19"/>
      <c r="H977" s="12"/>
    </row>
    <row r="978" ht="14.25" customHeight="1">
      <c r="C978" s="19"/>
      <c r="D978" s="19"/>
      <c r="E978" s="19"/>
      <c r="H978" s="12"/>
    </row>
    <row r="979" ht="14.25" customHeight="1">
      <c r="C979" s="19"/>
      <c r="D979" s="19"/>
      <c r="E979" s="19"/>
      <c r="H979" s="12"/>
    </row>
    <row r="980" ht="14.25" customHeight="1">
      <c r="C980" s="19"/>
      <c r="D980" s="19"/>
      <c r="E980" s="19"/>
      <c r="H980" s="12"/>
    </row>
    <row r="981" ht="14.25" customHeight="1">
      <c r="C981" s="19"/>
      <c r="D981" s="19"/>
      <c r="E981" s="19"/>
      <c r="H981" s="12"/>
    </row>
    <row r="982" ht="14.25" customHeight="1">
      <c r="C982" s="19"/>
      <c r="D982" s="19"/>
      <c r="E982" s="19"/>
      <c r="H982" s="12"/>
    </row>
    <row r="983" ht="14.25" customHeight="1">
      <c r="C983" s="19"/>
      <c r="D983" s="19"/>
      <c r="E983" s="19"/>
      <c r="H983" s="12"/>
    </row>
    <row r="984" ht="14.25" customHeight="1">
      <c r="C984" s="19"/>
      <c r="D984" s="19"/>
      <c r="E984" s="19"/>
      <c r="H984" s="12"/>
    </row>
    <row r="985" ht="14.25" customHeight="1">
      <c r="C985" s="19"/>
      <c r="D985" s="19"/>
      <c r="E985" s="19"/>
      <c r="H985" s="12"/>
    </row>
    <row r="986" ht="14.25" customHeight="1">
      <c r="C986" s="19"/>
      <c r="D986" s="19"/>
      <c r="E986" s="19"/>
      <c r="H986" s="12"/>
    </row>
    <row r="987" ht="14.25" customHeight="1">
      <c r="C987" s="19"/>
      <c r="D987" s="19"/>
      <c r="E987" s="19"/>
      <c r="H987" s="12"/>
    </row>
    <row r="988" ht="14.25" customHeight="1">
      <c r="C988" s="19"/>
      <c r="D988" s="19"/>
      <c r="E988" s="19"/>
      <c r="H988" s="12"/>
    </row>
    <row r="989" ht="14.25" customHeight="1">
      <c r="C989" s="19"/>
      <c r="D989" s="19"/>
      <c r="E989" s="19"/>
      <c r="H989" s="12"/>
    </row>
    <row r="990" ht="14.25" customHeight="1">
      <c r="C990" s="19"/>
      <c r="D990" s="19"/>
      <c r="E990" s="19"/>
      <c r="H990" s="12"/>
    </row>
    <row r="991" ht="14.25" customHeight="1">
      <c r="C991" s="19"/>
      <c r="D991" s="19"/>
      <c r="E991" s="19"/>
      <c r="H991" s="12"/>
    </row>
    <row r="992" ht="14.25" customHeight="1">
      <c r="C992" s="19"/>
      <c r="D992" s="19"/>
      <c r="E992" s="19"/>
      <c r="H992" s="12"/>
    </row>
    <row r="993" ht="14.25" customHeight="1">
      <c r="C993" s="19"/>
      <c r="D993" s="19"/>
      <c r="E993" s="19"/>
      <c r="H993" s="12"/>
    </row>
    <row r="994" ht="14.25" customHeight="1">
      <c r="C994" s="19"/>
      <c r="D994" s="19"/>
      <c r="E994" s="19"/>
      <c r="H994" s="12"/>
    </row>
    <row r="995" ht="14.25" customHeight="1">
      <c r="C995" s="19"/>
      <c r="D995" s="19"/>
      <c r="E995" s="19"/>
      <c r="H995" s="12"/>
    </row>
    <row r="996" ht="14.25" customHeight="1">
      <c r="C996" s="19"/>
      <c r="D996" s="19"/>
      <c r="E996" s="19"/>
      <c r="H996" s="12"/>
    </row>
    <row r="997" ht="14.25" customHeight="1">
      <c r="C997" s="19"/>
      <c r="D997" s="19"/>
      <c r="E997" s="19"/>
      <c r="H997" s="12"/>
    </row>
    <row r="998" ht="14.25" customHeight="1">
      <c r="C998" s="19"/>
      <c r="D998" s="19"/>
      <c r="E998" s="19"/>
      <c r="H998" s="12"/>
    </row>
    <row r="999" ht="14.25" customHeight="1">
      <c r="C999" s="19"/>
      <c r="D999" s="19"/>
      <c r="E999" s="19"/>
      <c r="H999" s="12"/>
    </row>
    <row r="1000" ht="14.25" customHeight="1">
      <c r="C1000" s="19"/>
      <c r="D1000" s="19"/>
      <c r="E1000" s="19"/>
      <c r="H1000" s="12"/>
    </row>
    <row r="1001" ht="14.25" customHeight="1">
      <c r="C1001" s="19"/>
      <c r="D1001" s="19"/>
      <c r="E1001" s="19"/>
      <c r="H1001" s="12"/>
    </row>
    <row r="1002" ht="14.25" customHeight="1">
      <c r="C1002" s="19"/>
      <c r="D1002" s="19"/>
      <c r="E1002" s="19"/>
      <c r="H1002" s="12"/>
    </row>
    <row r="1003" ht="14.25" customHeight="1">
      <c r="C1003" s="19"/>
      <c r="D1003" s="19"/>
      <c r="E1003" s="19"/>
      <c r="H1003" s="12"/>
    </row>
    <row r="1004" ht="14.25" customHeight="1">
      <c r="C1004" s="19"/>
      <c r="D1004" s="19"/>
      <c r="E1004" s="19"/>
      <c r="H1004" s="12"/>
    </row>
    <row r="1005" ht="14.25" customHeight="1">
      <c r="C1005" s="19"/>
      <c r="D1005" s="19"/>
      <c r="E1005" s="19"/>
      <c r="H1005" s="12"/>
    </row>
    <row r="1006" ht="14.25" customHeight="1">
      <c r="C1006" s="19"/>
      <c r="D1006" s="19"/>
      <c r="E1006" s="19"/>
      <c r="H1006" s="12"/>
    </row>
    <row r="1007" ht="14.25" customHeight="1">
      <c r="C1007" s="19"/>
      <c r="D1007" s="19"/>
      <c r="E1007" s="19"/>
      <c r="H1007" s="12"/>
    </row>
    <row r="1008" ht="14.25" customHeight="1">
      <c r="C1008" s="19"/>
      <c r="D1008" s="19"/>
      <c r="E1008" s="19"/>
      <c r="H1008" s="12"/>
    </row>
    <row r="1009" ht="14.25" customHeight="1">
      <c r="C1009" s="19"/>
      <c r="D1009" s="19"/>
      <c r="E1009" s="19"/>
      <c r="H1009" s="12"/>
    </row>
    <row r="1010" ht="14.25" customHeight="1">
      <c r="C1010" s="19"/>
      <c r="D1010" s="19"/>
      <c r="E1010" s="19"/>
      <c r="H1010" s="12"/>
    </row>
    <row r="1011" ht="14.25" customHeight="1">
      <c r="C1011" s="19"/>
      <c r="D1011" s="19"/>
      <c r="E1011" s="19"/>
      <c r="H1011" s="12"/>
    </row>
  </sheetData>
  <mergeCells count="7">
    <mergeCell ref="A1:G1"/>
    <mergeCell ref="C2:E2"/>
    <mergeCell ref="B3:D3"/>
    <mergeCell ref="B4:D4"/>
    <mergeCell ref="B5:D5"/>
    <mergeCell ref="B6:D6"/>
    <mergeCell ref="F44:I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6.71"/>
    <col customWidth="1" min="7" max="7" width="22.29"/>
    <col customWidth="1" min="8" max="8" width="12.71"/>
    <col customWidth="1" min="9" max="28" width="8.71"/>
  </cols>
  <sheetData>
    <row r="1" ht="31.5" customHeight="1">
      <c r="A1" s="11" t="s">
        <v>42</v>
      </c>
      <c r="H1" s="12"/>
    </row>
    <row r="2" ht="25.5" customHeight="1">
      <c r="C2" s="54" t="s">
        <v>43</v>
      </c>
      <c r="F2" s="55"/>
      <c r="G2" s="55"/>
      <c r="H2" s="12"/>
    </row>
    <row r="3" ht="14.25" customHeight="1">
      <c r="A3" s="14" t="s">
        <v>44</v>
      </c>
      <c r="B3" s="17" t="s">
        <v>103</v>
      </c>
      <c r="E3" s="14" t="s">
        <v>46</v>
      </c>
      <c r="F3" s="56" t="s">
        <v>104</v>
      </c>
      <c r="H3" s="12"/>
    </row>
    <row r="4" ht="14.25" customHeight="1">
      <c r="A4" s="14" t="s">
        <v>48</v>
      </c>
      <c r="B4" s="56" t="s">
        <v>16</v>
      </c>
      <c r="E4" s="14" t="s">
        <v>105</v>
      </c>
      <c r="F4" s="56">
        <v>7.905016100276E12</v>
      </c>
      <c r="H4" s="12"/>
    </row>
    <row r="5" ht="14.25" customHeight="1">
      <c r="A5" s="14" t="s">
        <v>51</v>
      </c>
      <c r="B5" s="56" t="s">
        <v>106</v>
      </c>
      <c r="E5" s="14" t="s">
        <v>53</v>
      </c>
      <c r="F5" s="56" t="s">
        <v>16</v>
      </c>
      <c r="H5" s="12"/>
    </row>
    <row r="6" ht="14.25" customHeight="1">
      <c r="A6" s="14" t="s">
        <v>54</v>
      </c>
      <c r="C6" s="19"/>
      <c r="E6" s="14" t="s">
        <v>55</v>
      </c>
      <c r="F6" s="56">
        <v>5.1001454947E10</v>
      </c>
      <c r="H6" s="12"/>
    </row>
    <row r="7" ht="14.25" customHeight="1">
      <c r="C7" s="19"/>
      <c r="F7" s="55"/>
      <c r="G7" s="55"/>
      <c r="H7" s="12"/>
    </row>
    <row r="8" ht="14.25" customHeight="1">
      <c r="C8" s="19"/>
      <c r="F8" s="55"/>
      <c r="G8" s="55"/>
      <c r="H8" s="12"/>
    </row>
    <row r="9" ht="14.25" customHeight="1">
      <c r="A9" s="20" t="s">
        <v>56</v>
      </c>
      <c r="B9" s="20" t="s">
        <v>107</v>
      </c>
      <c r="C9" s="57" t="s">
        <v>58</v>
      </c>
      <c r="D9" s="20" t="s">
        <v>59</v>
      </c>
      <c r="E9" s="20" t="s">
        <v>60</v>
      </c>
      <c r="F9" s="58" t="s">
        <v>61</v>
      </c>
      <c r="G9" s="58" t="s">
        <v>62</v>
      </c>
      <c r="H9" s="22" t="s">
        <v>63</v>
      </c>
      <c r="I9" s="20" t="s">
        <v>64</v>
      </c>
    </row>
    <row r="10" ht="14.25" customHeight="1">
      <c r="A10" s="59" t="s">
        <v>108</v>
      </c>
      <c r="B10" s="60">
        <v>7.6532088E7</v>
      </c>
      <c r="C10" s="61">
        <v>45210.0</v>
      </c>
      <c r="D10" s="62"/>
      <c r="E10" s="28"/>
      <c r="F10" s="63">
        <v>1.0</v>
      </c>
      <c r="G10" s="30">
        <v>1.0</v>
      </c>
      <c r="H10" s="27">
        <f t="shared" ref="H10:H46" si="1">G10*200</f>
        <v>200</v>
      </c>
      <c r="I10" s="23"/>
    </row>
    <row r="11" ht="14.25" customHeight="1">
      <c r="A11" s="64" t="s">
        <v>109</v>
      </c>
      <c r="B11" s="60">
        <v>7.8056179E7</v>
      </c>
      <c r="C11" s="61">
        <v>45210.0</v>
      </c>
      <c r="D11" s="62"/>
      <c r="E11" s="62"/>
      <c r="F11" s="60">
        <v>2.0</v>
      </c>
      <c r="G11" s="30">
        <v>2.0</v>
      </c>
      <c r="H11" s="27">
        <f t="shared" si="1"/>
        <v>400</v>
      </c>
      <c r="I11" s="23"/>
    </row>
    <row r="12" ht="14.25" customHeight="1">
      <c r="A12" s="64" t="s">
        <v>110</v>
      </c>
      <c r="B12" s="32" t="s">
        <v>81</v>
      </c>
      <c r="C12" s="61">
        <v>45210.0</v>
      </c>
      <c r="D12" s="62"/>
      <c r="E12" s="62"/>
      <c r="F12" s="60">
        <v>1.0</v>
      </c>
      <c r="G12" s="30">
        <v>1.0</v>
      </c>
      <c r="H12" s="27">
        <f t="shared" si="1"/>
        <v>200</v>
      </c>
      <c r="I12" s="23"/>
    </row>
    <row r="13" ht="14.25" customHeight="1">
      <c r="A13" s="65" t="s">
        <v>111</v>
      </c>
      <c r="B13" s="32" t="s">
        <v>81</v>
      </c>
      <c r="C13" s="61">
        <v>45210.0</v>
      </c>
      <c r="D13" s="62"/>
      <c r="E13" s="62"/>
      <c r="F13" s="60">
        <v>1.0</v>
      </c>
      <c r="G13" s="30">
        <v>1.0</v>
      </c>
      <c r="H13" s="27">
        <f t="shared" si="1"/>
        <v>200</v>
      </c>
      <c r="I13" s="23"/>
    </row>
    <row r="14" ht="14.25" customHeight="1">
      <c r="A14" s="66" t="s">
        <v>112</v>
      </c>
      <c r="B14" s="32" t="s">
        <v>81</v>
      </c>
      <c r="C14" s="61">
        <v>45210.0</v>
      </c>
      <c r="D14" s="62"/>
      <c r="E14" s="62"/>
      <c r="F14" s="60">
        <v>2.0</v>
      </c>
      <c r="G14" s="30">
        <v>2.0</v>
      </c>
      <c r="H14" s="27">
        <f t="shared" si="1"/>
        <v>400</v>
      </c>
      <c r="I14" s="23"/>
    </row>
    <row r="15" ht="14.25" customHeight="1">
      <c r="A15" s="59" t="s">
        <v>113</v>
      </c>
      <c r="B15" s="32" t="s">
        <v>81</v>
      </c>
      <c r="C15" s="61">
        <v>45210.0</v>
      </c>
      <c r="D15" s="62"/>
      <c r="E15" s="62"/>
      <c r="F15" s="60">
        <v>1.0</v>
      </c>
      <c r="G15" s="30">
        <v>1.0</v>
      </c>
      <c r="H15" s="27">
        <f t="shared" si="1"/>
        <v>200</v>
      </c>
      <c r="I15" s="23"/>
    </row>
    <row r="16" ht="14.25" customHeight="1">
      <c r="A16" s="67" t="s">
        <v>114</v>
      </c>
      <c r="B16" s="32" t="s">
        <v>81</v>
      </c>
      <c r="C16" s="68">
        <v>45241.0</v>
      </c>
      <c r="D16" s="62"/>
      <c r="E16" s="62"/>
      <c r="F16" s="69">
        <v>1.0</v>
      </c>
      <c r="G16" s="30">
        <v>1.0</v>
      </c>
      <c r="H16" s="27">
        <f t="shared" si="1"/>
        <v>200</v>
      </c>
      <c r="I16" s="23"/>
    </row>
    <row r="17" ht="14.25" customHeight="1">
      <c r="A17" s="64" t="s">
        <v>115</v>
      </c>
      <c r="B17" s="60">
        <v>7.6471988E7</v>
      </c>
      <c r="C17" s="68">
        <v>45241.0</v>
      </c>
      <c r="D17" s="62"/>
      <c r="E17" s="62"/>
      <c r="F17" s="60">
        <v>2.0</v>
      </c>
      <c r="G17" s="30">
        <v>2.0</v>
      </c>
      <c r="H17" s="27">
        <f t="shared" si="1"/>
        <v>400</v>
      </c>
      <c r="I17" s="23"/>
    </row>
    <row r="18" ht="14.25" customHeight="1">
      <c r="A18" s="67" t="s">
        <v>116</v>
      </c>
      <c r="B18" s="60">
        <v>7.9689936E7</v>
      </c>
      <c r="C18" s="68">
        <v>45241.0</v>
      </c>
      <c r="D18" s="62"/>
      <c r="E18" s="62"/>
      <c r="F18" s="60">
        <v>2.0</v>
      </c>
      <c r="G18" s="30">
        <v>2.0</v>
      </c>
      <c r="H18" s="27">
        <f t="shared" si="1"/>
        <v>400</v>
      </c>
      <c r="I18" s="23"/>
    </row>
    <row r="19" ht="14.25" customHeight="1">
      <c r="A19" s="64" t="s">
        <v>117</v>
      </c>
      <c r="B19" s="60">
        <v>7.6081625E7</v>
      </c>
      <c r="C19" s="68">
        <v>45241.0</v>
      </c>
      <c r="D19" s="62"/>
      <c r="E19" s="62"/>
      <c r="F19" s="60">
        <v>1.0</v>
      </c>
      <c r="G19" s="30">
        <v>1.0</v>
      </c>
      <c r="H19" s="27">
        <f t="shared" si="1"/>
        <v>200</v>
      </c>
      <c r="I19" s="23"/>
    </row>
    <row r="20" ht="14.25" customHeight="1">
      <c r="A20" s="67" t="s">
        <v>118</v>
      </c>
      <c r="B20" s="60">
        <v>7.6224315E7</v>
      </c>
      <c r="C20" s="70" t="s">
        <v>119</v>
      </c>
      <c r="D20" s="62"/>
      <c r="E20" s="62"/>
      <c r="F20" s="69">
        <v>2.0</v>
      </c>
      <c r="G20" s="30">
        <v>2.0</v>
      </c>
      <c r="H20" s="27">
        <f t="shared" si="1"/>
        <v>400</v>
      </c>
      <c r="I20" s="23"/>
    </row>
    <row r="21" ht="14.25" customHeight="1">
      <c r="A21" s="64" t="s">
        <v>120</v>
      </c>
      <c r="B21" s="32" t="s">
        <v>81</v>
      </c>
      <c r="C21" s="70" t="s">
        <v>119</v>
      </c>
      <c r="D21" s="62"/>
      <c r="E21" s="62"/>
      <c r="F21" s="60">
        <v>1.0</v>
      </c>
      <c r="G21" s="30">
        <v>1.0</v>
      </c>
      <c r="H21" s="27">
        <f t="shared" si="1"/>
        <v>200</v>
      </c>
      <c r="I21" s="23"/>
    </row>
    <row r="22" ht="14.25" customHeight="1">
      <c r="A22" s="64" t="s">
        <v>121</v>
      </c>
      <c r="B22" s="32" t="s">
        <v>81</v>
      </c>
      <c r="C22" s="70" t="s">
        <v>119</v>
      </c>
      <c r="D22" s="62"/>
      <c r="E22" s="62"/>
      <c r="F22" s="60">
        <v>1.0</v>
      </c>
      <c r="G22" s="30">
        <v>1.0</v>
      </c>
      <c r="H22" s="27">
        <f t="shared" si="1"/>
        <v>200</v>
      </c>
      <c r="I22" s="23"/>
    </row>
    <row r="23" ht="14.25" customHeight="1">
      <c r="A23" s="64" t="s">
        <v>122</v>
      </c>
      <c r="B23" s="60">
        <v>7.6085415E7</v>
      </c>
      <c r="C23" s="70" t="s">
        <v>119</v>
      </c>
      <c r="D23" s="62"/>
      <c r="E23" s="62"/>
      <c r="F23" s="60">
        <v>1.0</v>
      </c>
      <c r="G23" s="30">
        <v>1.0</v>
      </c>
      <c r="H23" s="27">
        <f t="shared" si="1"/>
        <v>200</v>
      </c>
      <c r="I23" s="23"/>
    </row>
    <row r="24" ht="14.25" customHeight="1">
      <c r="A24" s="67" t="s">
        <v>123</v>
      </c>
      <c r="B24" s="32" t="s">
        <v>81</v>
      </c>
      <c r="C24" s="70" t="s">
        <v>119</v>
      </c>
      <c r="D24" s="62"/>
      <c r="E24" s="62"/>
      <c r="F24" s="60">
        <v>1.0</v>
      </c>
      <c r="G24" s="30">
        <v>1.0</v>
      </c>
      <c r="H24" s="27">
        <f t="shared" si="1"/>
        <v>200</v>
      </c>
      <c r="I24" s="23"/>
    </row>
    <row r="25" ht="14.25" customHeight="1">
      <c r="A25" s="64" t="s">
        <v>124</v>
      </c>
      <c r="B25" s="60">
        <v>7.6048961E7</v>
      </c>
      <c r="C25" s="70" t="s">
        <v>125</v>
      </c>
      <c r="D25" s="62"/>
      <c r="E25" s="62"/>
      <c r="F25" s="60">
        <v>1.0</v>
      </c>
      <c r="G25" s="30">
        <v>1.0</v>
      </c>
      <c r="H25" s="27">
        <f t="shared" si="1"/>
        <v>200</v>
      </c>
      <c r="I25" s="23"/>
    </row>
    <row r="26" ht="14.25" customHeight="1">
      <c r="A26" s="64" t="s">
        <v>126</v>
      </c>
      <c r="B26" s="32" t="s">
        <v>81</v>
      </c>
      <c r="C26" s="70" t="s">
        <v>125</v>
      </c>
      <c r="D26" s="62"/>
      <c r="E26" s="62"/>
      <c r="F26" s="60">
        <v>1.0</v>
      </c>
      <c r="G26" s="30">
        <v>1.0</v>
      </c>
      <c r="H26" s="27">
        <f t="shared" si="1"/>
        <v>200</v>
      </c>
      <c r="I26" s="23"/>
    </row>
    <row r="27" ht="14.25" customHeight="1">
      <c r="A27" s="64" t="s">
        <v>127</v>
      </c>
      <c r="B27" s="60">
        <v>7.6372193E7</v>
      </c>
      <c r="C27" s="70" t="s">
        <v>125</v>
      </c>
      <c r="D27" s="62"/>
      <c r="E27" s="62"/>
      <c r="F27" s="60">
        <v>4.0</v>
      </c>
      <c r="G27" s="30">
        <v>4.0</v>
      </c>
      <c r="H27" s="27">
        <f t="shared" si="1"/>
        <v>800</v>
      </c>
      <c r="I27" s="23"/>
    </row>
    <row r="28" ht="14.25" customHeight="1">
      <c r="A28" s="64" t="s">
        <v>128</v>
      </c>
      <c r="B28" s="60">
        <v>7.6138726E7</v>
      </c>
      <c r="C28" s="70" t="s">
        <v>129</v>
      </c>
      <c r="D28" s="62"/>
      <c r="E28" s="62"/>
      <c r="F28" s="60">
        <v>1.0</v>
      </c>
      <c r="G28" s="30">
        <v>1.0</v>
      </c>
      <c r="H28" s="27">
        <f t="shared" si="1"/>
        <v>200</v>
      </c>
      <c r="I28" s="23"/>
    </row>
    <row r="29" ht="14.25" customHeight="1">
      <c r="A29" s="64" t="s">
        <v>130</v>
      </c>
      <c r="B29" s="60">
        <v>7.8241223E7</v>
      </c>
      <c r="C29" s="70" t="s">
        <v>129</v>
      </c>
      <c r="D29" s="62"/>
      <c r="E29" s="62"/>
      <c r="F29" s="60">
        <v>2.0</v>
      </c>
      <c r="G29" s="30">
        <v>2.0</v>
      </c>
      <c r="H29" s="27">
        <f t="shared" si="1"/>
        <v>400</v>
      </c>
      <c r="I29" s="23"/>
    </row>
    <row r="30" ht="14.25" customHeight="1">
      <c r="A30" s="64" t="s">
        <v>131</v>
      </c>
      <c r="B30" s="32" t="s">
        <v>81</v>
      </c>
      <c r="C30" s="70" t="s">
        <v>129</v>
      </c>
      <c r="D30" s="62"/>
      <c r="E30" s="62"/>
      <c r="F30" s="60">
        <v>1.0</v>
      </c>
      <c r="G30" s="30">
        <v>1.0</v>
      </c>
      <c r="H30" s="27">
        <f t="shared" si="1"/>
        <v>200</v>
      </c>
      <c r="I30" s="23"/>
    </row>
    <row r="31" ht="14.25" customHeight="1">
      <c r="A31" s="64" t="s">
        <v>132</v>
      </c>
      <c r="B31" s="32" t="s">
        <v>81</v>
      </c>
      <c r="C31" s="70" t="s">
        <v>129</v>
      </c>
      <c r="D31" s="62"/>
      <c r="E31" s="62"/>
      <c r="F31" s="60">
        <v>1.0</v>
      </c>
      <c r="G31" s="30">
        <v>1.0</v>
      </c>
      <c r="H31" s="27">
        <f t="shared" si="1"/>
        <v>200</v>
      </c>
      <c r="I31" s="23"/>
    </row>
    <row r="32" ht="14.25" customHeight="1">
      <c r="A32" s="67" t="s">
        <v>133</v>
      </c>
      <c r="B32" s="32" t="s">
        <v>81</v>
      </c>
      <c r="C32" s="70" t="s">
        <v>129</v>
      </c>
      <c r="D32" s="62"/>
      <c r="E32" s="62"/>
      <c r="F32" s="60">
        <v>1.0</v>
      </c>
      <c r="G32" s="30">
        <v>1.0</v>
      </c>
      <c r="H32" s="27">
        <f t="shared" si="1"/>
        <v>200</v>
      </c>
      <c r="I32" s="23"/>
    </row>
    <row r="33" ht="14.25" customHeight="1">
      <c r="A33" s="67" t="s">
        <v>134</v>
      </c>
      <c r="B33" s="60">
        <v>7.645532E7</v>
      </c>
      <c r="C33" s="70" t="s">
        <v>129</v>
      </c>
      <c r="D33" s="23"/>
      <c r="E33" s="23"/>
      <c r="F33" s="63">
        <v>1.0</v>
      </c>
      <c r="G33" s="30">
        <v>1.0</v>
      </c>
      <c r="H33" s="27">
        <f t="shared" si="1"/>
        <v>200</v>
      </c>
      <c r="I33" s="23"/>
    </row>
    <row r="34" ht="14.25" customHeight="1">
      <c r="A34" s="67" t="s">
        <v>135</v>
      </c>
      <c r="B34" s="60">
        <v>7.6308501E7</v>
      </c>
      <c r="C34" s="70" t="s">
        <v>129</v>
      </c>
      <c r="D34" s="23"/>
      <c r="E34" s="23"/>
      <c r="F34" s="63">
        <v>1.0</v>
      </c>
      <c r="G34" s="30">
        <v>1.0</v>
      </c>
      <c r="H34" s="27">
        <f t="shared" si="1"/>
        <v>200</v>
      </c>
      <c r="I34" s="23"/>
    </row>
    <row r="35" ht="14.25" customHeight="1">
      <c r="A35" s="64" t="s">
        <v>136</v>
      </c>
      <c r="B35" s="32" t="s">
        <v>81</v>
      </c>
      <c r="C35" s="70" t="s">
        <v>137</v>
      </c>
      <c r="D35" s="23"/>
      <c r="E35" s="23"/>
      <c r="F35" s="63">
        <v>1.0</v>
      </c>
      <c r="G35" s="30">
        <v>1.0</v>
      </c>
      <c r="H35" s="27">
        <f t="shared" si="1"/>
        <v>200</v>
      </c>
      <c r="I35" s="23"/>
    </row>
    <row r="36" ht="14.25" customHeight="1">
      <c r="A36" s="67" t="s">
        <v>138</v>
      </c>
      <c r="B36" s="60">
        <v>7.815535E7</v>
      </c>
      <c r="C36" s="70" t="s">
        <v>137</v>
      </c>
      <c r="D36" s="23"/>
      <c r="E36" s="23"/>
      <c r="F36" s="63">
        <v>2.0</v>
      </c>
      <c r="G36" s="30">
        <v>2.0</v>
      </c>
      <c r="H36" s="27">
        <f t="shared" si="1"/>
        <v>400</v>
      </c>
      <c r="I36" s="23"/>
    </row>
    <row r="37" ht="14.25" customHeight="1">
      <c r="A37" s="64" t="s">
        <v>139</v>
      </c>
      <c r="B37" s="32" t="s">
        <v>81</v>
      </c>
      <c r="C37" s="70" t="s">
        <v>137</v>
      </c>
      <c r="D37" s="23"/>
      <c r="E37" s="23"/>
      <c r="F37" s="63">
        <v>1.0</v>
      </c>
      <c r="G37" s="30">
        <v>1.0</v>
      </c>
      <c r="H37" s="27">
        <f t="shared" si="1"/>
        <v>200</v>
      </c>
      <c r="I37" s="23"/>
    </row>
    <row r="38" ht="14.25" customHeight="1">
      <c r="A38" s="64" t="s">
        <v>140</v>
      </c>
      <c r="B38" s="32" t="s">
        <v>81</v>
      </c>
      <c r="C38" s="70" t="s">
        <v>141</v>
      </c>
      <c r="D38" s="23"/>
      <c r="E38" s="23"/>
      <c r="F38" s="63">
        <v>1.0</v>
      </c>
      <c r="G38" s="30">
        <v>1.0</v>
      </c>
      <c r="H38" s="27">
        <f t="shared" si="1"/>
        <v>200</v>
      </c>
      <c r="I38" s="23"/>
    </row>
    <row r="39" ht="14.25" customHeight="1">
      <c r="A39" s="64" t="s">
        <v>142</v>
      </c>
      <c r="B39" s="60">
        <v>7.603065E7</v>
      </c>
      <c r="C39" s="70" t="s">
        <v>141</v>
      </c>
      <c r="D39" s="23"/>
      <c r="E39" s="23"/>
      <c r="F39" s="63">
        <v>1.0</v>
      </c>
      <c r="G39" s="30">
        <v>1.0</v>
      </c>
      <c r="H39" s="27">
        <f t="shared" si="1"/>
        <v>200</v>
      </c>
      <c r="I39" s="23"/>
    </row>
    <row r="40" ht="14.25" customHeight="1">
      <c r="A40" s="64" t="s">
        <v>143</v>
      </c>
      <c r="B40" s="32" t="s">
        <v>81</v>
      </c>
      <c r="C40" s="70" t="s">
        <v>141</v>
      </c>
      <c r="D40" s="23"/>
      <c r="E40" s="23"/>
      <c r="F40" s="63">
        <v>1.0</v>
      </c>
      <c r="G40" s="30">
        <v>1.0</v>
      </c>
      <c r="H40" s="27">
        <f t="shared" si="1"/>
        <v>200</v>
      </c>
      <c r="I40" s="23"/>
    </row>
    <row r="41" ht="14.25" customHeight="1">
      <c r="A41" s="64" t="s">
        <v>144</v>
      </c>
      <c r="B41" s="60">
        <v>7.6478178E7</v>
      </c>
      <c r="C41" s="70" t="s">
        <v>141</v>
      </c>
      <c r="D41" s="23"/>
      <c r="E41" s="23"/>
      <c r="F41" s="63">
        <v>2.0</v>
      </c>
      <c r="G41" s="30">
        <v>2.0</v>
      </c>
      <c r="H41" s="27">
        <f t="shared" si="1"/>
        <v>400</v>
      </c>
      <c r="I41" s="23"/>
    </row>
    <row r="42" ht="14.25" customHeight="1">
      <c r="A42" s="64" t="s">
        <v>145</v>
      </c>
      <c r="B42" s="60">
        <v>7.603065E7</v>
      </c>
      <c r="C42" s="70" t="s">
        <v>141</v>
      </c>
      <c r="D42" s="23"/>
      <c r="E42" s="23"/>
      <c r="F42" s="63">
        <v>2.0</v>
      </c>
      <c r="G42" s="30">
        <v>2.0</v>
      </c>
      <c r="H42" s="27">
        <f t="shared" si="1"/>
        <v>400</v>
      </c>
      <c r="I42" s="23"/>
    </row>
    <row r="43" ht="14.25" customHeight="1">
      <c r="A43" s="64" t="s">
        <v>146</v>
      </c>
      <c r="B43" s="32" t="s">
        <v>81</v>
      </c>
      <c r="C43" s="70" t="s">
        <v>147</v>
      </c>
      <c r="D43" s="23"/>
      <c r="E43" s="23"/>
      <c r="F43" s="63">
        <v>1.0</v>
      </c>
      <c r="G43" s="30">
        <v>1.0</v>
      </c>
      <c r="H43" s="27">
        <f t="shared" si="1"/>
        <v>200</v>
      </c>
      <c r="I43" s="23"/>
    </row>
    <row r="44" ht="14.25" customHeight="1">
      <c r="A44" s="64" t="s">
        <v>148</v>
      </c>
      <c r="B44" s="32" t="s">
        <v>81</v>
      </c>
      <c r="C44" s="70" t="s">
        <v>147</v>
      </c>
      <c r="D44" s="23"/>
      <c r="E44" s="23"/>
      <c r="F44" s="63">
        <v>1.0</v>
      </c>
      <c r="G44" s="30">
        <v>1.0</v>
      </c>
      <c r="H44" s="27">
        <f t="shared" si="1"/>
        <v>200</v>
      </c>
      <c r="I44" s="23"/>
    </row>
    <row r="45" ht="14.25" customHeight="1">
      <c r="A45" s="64" t="s">
        <v>149</v>
      </c>
      <c r="B45" s="60">
        <v>7.6745668E7</v>
      </c>
      <c r="C45" s="70" t="s">
        <v>147</v>
      </c>
      <c r="D45" s="23"/>
      <c r="E45" s="23"/>
      <c r="F45" s="63">
        <v>1.0</v>
      </c>
      <c r="G45" s="30">
        <v>1.0</v>
      </c>
      <c r="H45" s="27">
        <f t="shared" si="1"/>
        <v>200</v>
      </c>
      <c r="I45" s="23"/>
    </row>
    <row r="46" ht="14.25" customHeight="1">
      <c r="A46" s="64" t="s">
        <v>150</v>
      </c>
      <c r="B46" s="32" t="s">
        <v>81</v>
      </c>
      <c r="C46" s="70" t="s">
        <v>147</v>
      </c>
      <c r="D46" s="23"/>
      <c r="E46" s="23"/>
      <c r="F46" s="63">
        <v>2.0</v>
      </c>
      <c r="G46" s="30">
        <v>2.0</v>
      </c>
      <c r="H46" s="27">
        <f t="shared" si="1"/>
        <v>400</v>
      </c>
      <c r="I46" s="23"/>
    </row>
    <row r="47" ht="21.75" customHeight="1">
      <c r="A47" s="71"/>
      <c r="B47" s="60"/>
      <c r="C47" s="72"/>
      <c r="D47" s="23"/>
      <c r="E47" s="73" t="s">
        <v>41</v>
      </c>
      <c r="F47" s="40">
        <f>SUM(F9:F46)</f>
        <v>50</v>
      </c>
      <c r="G47" s="40">
        <f>SUM(G1:G46)</f>
        <v>50</v>
      </c>
      <c r="H47" s="74">
        <f>SUM(H9:H46)</f>
        <v>10000</v>
      </c>
      <c r="I47" s="42"/>
    </row>
    <row r="48" ht="23.25" customHeight="1">
      <c r="A48" s="73"/>
      <c r="B48" s="60"/>
      <c r="C48" s="75"/>
      <c r="D48" s="73"/>
      <c r="E48" s="76" t="s">
        <v>100</v>
      </c>
      <c r="F48" s="46">
        <f>COUNT(F10:F46)</f>
        <v>37</v>
      </c>
      <c r="G48" s="47"/>
      <c r="H48" s="47"/>
      <c r="I48" s="48"/>
    </row>
    <row r="49" ht="14.25" customHeight="1">
      <c r="C49" s="19"/>
      <c r="F49" s="55"/>
      <c r="G49" s="55"/>
      <c r="H49" s="12"/>
    </row>
    <row r="50" ht="14.25" customHeight="1">
      <c r="C50" s="77"/>
      <c r="D50" s="49" t="s">
        <v>101</v>
      </c>
      <c r="E50" s="50"/>
      <c r="F50" s="55"/>
      <c r="G50" s="55"/>
      <c r="H50" s="12"/>
    </row>
    <row r="51" ht="14.25" customHeight="1">
      <c r="C51" s="19"/>
      <c r="F51" s="55"/>
      <c r="G51" s="55"/>
      <c r="H51" s="12"/>
    </row>
    <row r="52" ht="14.25" customHeight="1">
      <c r="B52" s="51"/>
      <c r="C52" s="77"/>
      <c r="D52" s="51" t="s">
        <v>102</v>
      </c>
      <c r="E52" s="50"/>
      <c r="F52" s="55"/>
      <c r="G52" s="55"/>
      <c r="H52" s="12"/>
    </row>
    <row r="53" ht="14.25" customHeight="1">
      <c r="F53" s="55"/>
      <c r="G53" s="55"/>
      <c r="H53" s="12"/>
    </row>
    <row r="54" ht="14.25" customHeight="1">
      <c r="B54" s="52"/>
      <c r="C54" s="78"/>
      <c r="D54" s="52" t="s">
        <v>58</v>
      </c>
      <c r="E54" s="53"/>
      <c r="F54" s="55"/>
      <c r="G54" s="55"/>
      <c r="H54" s="12"/>
    </row>
    <row r="55" ht="14.25" customHeight="1">
      <c r="C55" s="19"/>
      <c r="F55" s="55"/>
      <c r="G55" s="55"/>
      <c r="H55" s="12"/>
    </row>
    <row r="56" ht="14.25" customHeight="1">
      <c r="C56" s="19"/>
      <c r="F56" s="55"/>
      <c r="G56" s="55"/>
      <c r="H56" s="12"/>
    </row>
    <row r="57" ht="14.25" customHeight="1">
      <c r="C57" s="19"/>
      <c r="F57" s="55"/>
      <c r="G57" s="55"/>
      <c r="H57" s="12"/>
    </row>
    <row r="58" ht="14.25" customHeight="1">
      <c r="C58" s="19"/>
      <c r="F58" s="55"/>
      <c r="G58" s="55"/>
      <c r="H58" s="12"/>
    </row>
    <row r="59" ht="14.25" customHeight="1">
      <c r="C59" s="19"/>
      <c r="F59" s="55"/>
      <c r="G59" s="55"/>
      <c r="H59" s="12"/>
    </row>
    <row r="60" ht="14.25" customHeight="1">
      <c r="C60" s="19"/>
      <c r="F60" s="55"/>
      <c r="G60" s="55"/>
      <c r="H60" s="12"/>
    </row>
    <row r="61" ht="14.25" customHeight="1">
      <c r="C61" s="19"/>
      <c r="F61" s="55"/>
      <c r="G61" s="55"/>
      <c r="H61" s="12"/>
    </row>
    <row r="62" ht="14.25" customHeight="1">
      <c r="C62" s="19"/>
      <c r="F62" s="55"/>
      <c r="G62" s="55"/>
      <c r="H62" s="12"/>
    </row>
    <row r="63" ht="14.25" customHeight="1">
      <c r="C63" s="19"/>
      <c r="F63" s="55"/>
      <c r="G63" s="55"/>
      <c r="H63" s="12"/>
    </row>
    <row r="64" ht="14.25" customHeight="1">
      <c r="C64" s="19"/>
      <c r="F64" s="55"/>
      <c r="G64" s="55"/>
      <c r="H64" s="12"/>
    </row>
    <row r="65" ht="14.25" customHeight="1">
      <c r="C65" s="19"/>
      <c r="F65" s="55"/>
      <c r="G65" s="55"/>
      <c r="H65" s="12"/>
    </row>
    <row r="66" ht="14.25" customHeight="1">
      <c r="C66" s="19"/>
      <c r="F66" s="55"/>
      <c r="G66" s="55"/>
      <c r="H66" s="12"/>
    </row>
    <row r="67" ht="14.25" customHeight="1">
      <c r="C67" s="19"/>
      <c r="F67" s="55"/>
      <c r="G67" s="55"/>
      <c r="H67" s="12"/>
    </row>
    <row r="68" ht="14.25" customHeight="1">
      <c r="C68" s="19"/>
      <c r="F68" s="55"/>
      <c r="G68" s="55"/>
      <c r="H68" s="12"/>
    </row>
    <row r="69" ht="14.25" customHeight="1">
      <c r="C69" s="19"/>
      <c r="F69" s="55"/>
      <c r="G69" s="55"/>
      <c r="H69" s="12"/>
    </row>
    <row r="70" ht="14.25" customHeight="1">
      <c r="C70" s="19"/>
      <c r="F70" s="55"/>
      <c r="G70" s="55"/>
      <c r="H70" s="12"/>
    </row>
    <row r="71" ht="14.25" customHeight="1">
      <c r="C71" s="19"/>
      <c r="F71" s="55"/>
      <c r="G71" s="55"/>
      <c r="H71" s="12"/>
    </row>
    <row r="72" ht="14.25" customHeight="1">
      <c r="C72" s="19"/>
      <c r="F72" s="55"/>
      <c r="G72" s="55"/>
      <c r="H72" s="12"/>
    </row>
    <row r="73" ht="14.25" customHeight="1">
      <c r="C73" s="19"/>
      <c r="F73" s="55"/>
      <c r="G73" s="55"/>
      <c r="H73" s="12"/>
    </row>
    <row r="74" ht="14.25" customHeight="1">
      <c r="C74" s="19"/>
      <c r="F74" s="55"/>
      <c r="G74" s="55"/>
      <c r="H74" s="12"/>
    </row>
    <row r="75" ht="14.25" customHeight="1">
      <c r="C75" s="19"/>
      <c r="F75" s="55"/>
      <c r="G75" s="55"/>
      <c r="H75" s="12"/>
    </row>
    <row r="76" ht="14.25" customHeight="1">
      <c r="C76" s="19"/>
      <c r="F76" s="55"/>
      <c r="G76" s="55"/>
      <c r="H76" s="12"/>
    </row>
    <row r="77" ht="14.25" customHeight="1">
      <c r="C77" s="19"/>
      <c r="F77" s="55"/>
      <c r="G77" s="55"/>
      <c r="H77" s="12"/>
    </row>
    <row r="78" ht="14.25" customHeight="1">
      <c r="C78" s="19"/>
      <c r="F78" s="55"/>
      <c r="G78" s="55"/>
      <c r="H78" s="12"/>
    </row>
    <row r="79" ht="14.25" customHeight="1">
      <c r="C79" s="19"/>
      <c r="F79" s="55"/>
      <c r="G79" s="55"/>
      <c r="H79" s="12"/>
    </row>
    <row r="80" ht="14.25" customHeight="1">
      <c r="C80" s="19"/>
      <c r="F80" s="55"/>
      <c r="G80" s="55"/>
      <c r="H80" s="12"/>
    </row>
    <row r="81" ht="14.25" customHeight="1">
      <c r="C81" s="19"/>
      <c r="F81" s="55"/>
      <c r="G81" s="55"/>
      <c r="H81" s="12"/>
    </row>
    <row r="82" ht="14.25" customHeight="1">
      <c r="C82" s="19"/>
      <c r="F82" s="55"/>
      <c r="G82" s="55"/>
      <c r="H82" s="12"/>
    </row>
    <row r="83" ht="14.25" customHeight="1">
      <c r="C83" s="19"/>
      <c r="F83" s="55"/>
      <c r="G83" s="55"/>
      <c r="H83" s="12"/>
    </row>
    <row r="84" ht="14.25" customHeight="1">
      <c r="C84" s="19"/>
      <c r="F84" s="55"/>
      <c r="G84" s="55"/>
      <c r="H84" s="12"/>
    </row>
    <row r="85" ht="14.25" customHeight="1">
      <c r="C85" s="19"/>
      <c r="F85" s="55"/>
      <c r="G85" s="55"/>
      <c r="H85" s="12"/>
    </row>
    <row r="86" ht="14.25" customHeight="1">
      <c r="C86" s="19"/>
      <c r="F86" s="55"/>
      <c r="G86" s="55"/>
      <c r="H86" s="12"/>
    </row>
    <row r="87" ht="14.25" customHeight="1">
      <c r="C87" s="19"/>
      <c r="F87" s="55"/>
      <c r="G87" s="55"/>
      <c r="H87" s="12"/>
    </row>
    <row r="88" ht="14.25" customHeight="1">
      <c r="C88" s="19"/>
      <c r="F88" s="55"/>
      <c r="G88" s="55"/>
      <c r="H88" s="12"/>
    </row>
    <row r="89" ht="14.25" customHeight="1">
      <c r="C89" s="19"/>
      <c r="F89" s="55"/>
      <c r="G89" s="55"/>
      <c r="H89" s="12"/>
    </row>
    <row r="90" ht="14.25" customHeight="1">
      <c r="C90" s="19"/>
      <c r="F90" s="55"/>
      <c r="G90" s="55"/>
      <c r="H90" s="12"/>
    </row>
    <row r="91" ht="14.25" customHeight="1">
      <c r="C91" s="19"/>
      <c r="F91" s="55"/>
      <c r="G91" s="55"/>
      <c r="H91" s="12"/>
    </row>
    <row r="92" ht="14.25" customHeight="1">
      <c r="C92" s="19"/>
      <c r="F92" s="55"/>
      <c r="G92" s="55"/>
      <c r="H92" s="12"/>
    </row>
    <row r="93" ht="14.25" customHeight="1">
      <c r="C93" s="19"/>
      <c r="F93" s="55"/>
      <c r="G93" s="55"/>
      <c r="H93" s="12"/>
    </row>
    <row r="94" ht="14.25" customHeight="1">
      <c r="C94" s="19"/>
      <c r="F94" s="55"/>
      <c r="G94" s="55"/>
      <c r="H94" s="12"/>
    </row>
    <row r="95" ht="14.25" customHeight="1">
      <c r="C95" s="19"/>
      <c r="F95" s="55"/>
      <c r="G95" s="55"/>
      <c r="H95" s="12"/>
    </row>
    <row r="96" ht="14.25" customHeight="1">
      <c r="C96" s="19"/>
      <c r="F96" s="55"/>
      <c r="G96" s="55"/>
      <c r="H96" s="12"/>
    </row>
    <row r="97" ht="14.25" customHeight="1">
      <c r="C97" s="19"/>
      <c r="F97" s="55"/>
      <c r="G97" s="55"/>
      <c r="H97" s="12"/>
    </row>
    <row r="98" ht="14.25" customHeight="1">
      <c r="C98" s="19"/>
      <c r="F98" s="55"/>
      <c r="G98" s="55"/>
      <c r="H98" s="12"/>
    </row>
    <row r="99" ht="14.25" customHeight="1">
      <c r="C99" s="19"/>
      <c r="F99" s="55"/>
      <c r="G99" s="55"/>
      <c r="H99" s="12"/>
    </row>
    <row r="100" ht="14.25" customHeight="1">
      <c r="C100" s="19"/>
      <c r="F100" s="55"/>
      <c r="G100" s="55"/>
      <c r="H100" s="12"/>
    </row>
    <row r="101" ht="14.25" customHeight="1">
      <c r="C101" s="19"/>
      <c r="F101" s="55"/>
      <c r="G101" s="55"/>
      <c r="H101" s="12"/>
    </row>
    <row r="102" ht="14.25" customHeight="1">
      <c r="C102" s="19"/>
      <c r="F102" s="55"/>
      <c r="G102" s="55"/>
      <c r="H102" s="12"/>
    </row>
    <row r="103" ht="14.25" customHeight="1">
      <c r="C103" s="19"/>
      <c r="F103" s="55"/>
      <c r="G103" s="55"/>
      <c r="H103" s="12"/>
    </row>
    <row r="104" ht="14.25" customHeight="1">
      <c r="C104" s="19"/>
      <c r="F104" s="55"/>
      <c r="G104" s="55"/>
      <c r="H104" s="12"/>
    </row>
    <row r="105" ht="14.25" customHeight="1">
      <c r="C105" s="19"/>
      <c r="F105" s="55"/>
      <c r="G105" s="55"/>
      <c r="H105" s="12"/>
    </row>
    <row r="106" ht="14.25" customHeight="1">
      <c r="C106" s="19"/>
      <c r="F106" s="55"/>
      <c r="G106" s="55"/>
      <c r="H106" s="12"/>
    </row>
    <row r="107" ht="14.25" customHeight="1">
      <c r="C107" s="19"/>
      <c r="F107" s="55"/>
      <c r="G107" s="55"/>
      <c r="H107" s="12"/>
    </row>
    <row r="108" ht="14.25" customHeight="1">
      <c r="C108" s="19"/>
      <c r="F108" s="55"/>
      <c r="G108" s="55"/>
      <c r="H108" s="12"/>
    </row>
    <row r="109" ht="14.25" customHeight="1">
      <c r="C109" s="19"/>
      <c r="F109" s="55"/>
      <c r="G109" s="55"/>
      <c r="H109" s="12"/>
    </row>
    <row r="110" ht="14.25" customHeight="1">
      <c r="C110" s="19"/>
      <c r="F110" s="55"/>
      <c r="G110" s="55"/>
      <c r="H110" s="12"/>
    </row>
    <row r="111" ht="14.25" customHeight="1">
      <c r="C111" s="19"/>
      <c r="F111" s="55"/>
      <c r="G111" s="55"/>
      <c r="H111" s="12"/>
    </row>
    <row r="112" ht="14.25" customHeight="1">
      <c r="C112" s="19"/>
      <c r="F112" s="55"/>
      <c r="G112" s="55"/>
      <c r="H112" s="12"/>
    </row>
    <row r="113" ht="14.25" customHeight="1">
      <c r="C113" s="19"/>
      <c r="F113" s="55"/>
      <c r="G113" s="55"/>
      <c r="H113" s="12"/>
    </row>
    <row r="114" ht="14.25" customHeight="1">
      <c r="C114" s="19"/>
      <c r="F114" s="55"/>
      <c r="G114" s="55"/>
      <c r="H114" s="12"/>
    </row>
    <row r="115" ht="14.25" customHeight="1">
      <c r="C115" s="19"/>
      <c r="F115" s="55"/>
      <c r="G115" s="55"/>
      <c r="H115" s="12"/>
    </row>
    <row r="116" ht="14.25" customHeight="1">
      <c r="C116" s="19"/>
      <c r="F116" s="55"/>
      <c r="G116" s="55"/>
      <c r="H116" s="12"/>
    </row>
    <row r="117" ht="14.25" customHeight="1">
      <c r="C117" s="19"/>
      <c r="F117" s="55"/>
      <c r="G117" s="55"/>
      <c r="H117" s="12"/>
    </row>
    <row r="118" ht="14.25" customHeight="1">
      <c r="C118" s="19"/>
      <c r="F118" s="55"/>
      <c r="G118" s="55"/>
      <c r="H118" s="12"/>
    </row>
    <row r="119" ht="14.25" customHeight="1">
      <c r="C119" s="19"/>
      <c r="F119" s="55"/>
      <c r="G119" s="55"/>
      <c r="H119" s="12"/>
    </row>
    <row r="120" ht="14.25" customHeight="1">
      <c r="C120" s="19"/>
      <c r="F120" s="55"/>
      <c r="G120" s="55"/>
      <c r="H120" s="12"/>
    </row>
    <row r="121" ht="14.25" customHeight="1">
      <c r="C121" s="19"/>
      <c r="F121" s="55"/>
      <c r="G121" s="55"/>
      <c r="H121" s="12"/>
    </row>
    <row r="122" ht="14.25" customHeight="1">
      <c r="C122" s="19"/>
      <c r="F122" s="55"/>
      <c r="G122" s="55"/>
      <c r="H122" s="12"/>
    </row>
    <row r="123" ht="14.25" customHeight="1">
      <c r="C123" s="19"/>
      <c r="F123" s="55"/>
      <c r="G123" s="55"/>
      <c r="H123" s="12"/>
    </row>
    <row r="124" ht="14.25" customHeight="1">
      <c r="C124" s="19"/>
      <c r="F124" s="55"/>
      <c r="G124" s="55"/>
      <c r="H124" s="12"/>
    </row>
    <row r="125" ht="14.25" customHeight="1">
      <c r="C125" s="19"/>
      <c r="F125" s="55"/>
      <c r="G125" s="55"/>
      <c r="H125" s="12"/>
    </row>
    <row r="126" ht="14.25" customHeight="1">
      <c r="C126" s="19"/>
      <c r="F126" s="55"/>
      <c r="G126" s="55"/>
      <c r="H126" s="12"/>
    </row>
    <row r="127" ht="14.25" customHeight="1">
      <c r="C127" s="19"/>
      <c r="F127" s="55"/>
      <c r="G127" s="55"/>
      <c r="H127" s="12"/>
    </row>
    <row r="128" ht="14.25" customHeight="1">
      <c r="C128" s="19"/>
      <c r="F128" s="55"/>
      <c r="G128" s="55"/>
      <c r="H128" s="12"/>
    </row>
    <row r="129" ht="14.25" customHeight="1">
      <c r="C129" s="19"/>
      <c r="F129" s="55"/>
      <c r="G129" s="55"/>
      <c r="H129" s="12"/>
    </row>
    <row r="130" ht="14.25" customHeight="1">
      <c r="C130" s="19"/>
      <c r="F130" s="55"/>
      <c r="G130" s="55"/>
      <c r="H130" s="12"/>
    </row>
    <row r="131" ht="14.25" customHeight="1">
      <c r="C131" s="19"/>
      <c r="F131" s="55"/>
      <c r="G131" s="55"/>
      <c r="H131" s="12"/>
    </row>
    <row r="132" ht="14.25" customHeight="1">
      <c r="C132" s="19"/>
      <c r="F132" s="55"/>
      <c r="G132" s="55"/>
      <c r="H132" s="12"/>
    </row>
    <row r="133" ht="14.25" customHeight="1">
      <c r="C133" s="19"/>
      <c r="F133" s="55"/>
      <c r="G133" s="55"/>
      <c r="H133" s="12"/>
    </row>
    <row r="134" ht="14.25" customHeight="1">
      <c r="C134" s="19"/>
      <c r="F134" s="55"/>
      <c r="G134" s="55"/>
      <c r="H134" s="12"/>
    </row>
    <row r="135" ht="14.25" customHeight="1">
      <c r="C135" s="19"/>
      <c r="F135" s="55"/>
      <c r="G135" s="55"/>
      <c r="H135" s="12"/>
    </row>
    <row r="136" ht="14.25" customHeight="1">
      <c r="C136" s="19"/>
      <c r="F136" s="55"/>
      <c r="G136" s="55"/>
      <c r="H136" s="12"/>
    </row>
    <row r="137" ht="14.25" customHeight="1">
      <c r="C137" s="19"/>
      <c r="F137" s="55"/>
      <c r="G137" s="55"/>
      <c r="H137" s="12"/>
    </row>
    <row r="138" ht="14.25" customHeight="1">
      <c r="C138" s="19"/>
      <c r="F138" s="55"/>
      <c r="G138" s="55"/>
      <c r="H138" s="12"/>
    </row>
    <row r="139" ht="14.25" customHeight="1">
      <c r="C139" s="19"/>
      <c r="F139" s="55"/>
      <c r="G139" s="55"/>
      <c r="H139" s="12"/>
    </row>
    <row r="140" ht="14.25" customHeight="1">
      <c r="C140" s="19"/>
      <c r="F140" s="55"/>
      <c r="G140" s="55"/>
      <c r="H140" s="12"/>
    </row>
    <row r="141" ht="14.25" customHeight="1">
      <c r="C141" s="19"/>
      <c r="F141" s="55"/>
      <c r="G141" s="55"/>
      <c r="H141" s="12"/>
    </row>
    <row r="142" ht="14.25" customHeight="1">
      <c r="C142" s="19"/>
      <c r="F142" s="55"/>
      <c r="G142" s="55"/>
      <c r="H142" s="12"/>
    </row>
    <row r="143" ht="14.25" customHeight="1">
      <c r="C143" s="19"/>
      <c r="F143" s="55"/>
      <c r="G143" s="55"/>
      <c r="H143" s="12"/>
    </row>
    <row r="144" ht="14.25" customHeight="1">
      <c r="C144" s="19"/>
      <c r="F144" s="55"/>
      <c r="G144" s="55"/>
      <c r="H144" s="12"/>
    </row>
    <row r="145" ht="14.25" customHeight="1">
      <c r="C145" s="19"/>
      <c r="F145" s="55"/>
      <c r="G145" s="55"/>
      <c r="H145" s="12"/>
    </row>
    <row r="146" ht="14.25" customHeight="1">
      <c r="C146" s="19"/>
      <c r="F146" s="55"/>
      <c r="G146" s="55"/>
      <c r="H146" s="12"/>
    </row>
    <row r="147" ht="14.25" customHeight="1">
      <c r="C147" s="19"/>
      <c r="F147" s="55"/>
      <c r="G147" s="55"/>
      <c r="H147" s="12"/>
    </row>
    <row r="148" ht="14.25" customHeight="1">
      <c r="C148" s="19"/>
      <c r="F148" s="55"/>
      <c r="G148" s="55"/>
      <c r="H148" s="12"/>
    </row>
    <row r="149" ht="14.25" customHeight="1">
      <c r="C149" s="19"/>
      <c r="F149" s="55"/>
      <c r="G149" s="55"/>
      <c r="H149" s="12"/>
    </row>
    <row r="150" ht="14.25" customHeight="1">
      <c r="C150" s="19"/>
      <c r="F150" s="55"/>
      <c r="G150" s="55"/>
      <c r="H150" s="12"/>
    </row>
    <row r="151" ht="14.25" customHeight="1">
      <c r="C151" s="19"/>
      <c r="F151" s="55"/>
      <c r="G151" s="55"/>
      <c r="H151" s="12"/>
    </row>
    <row r="152" ht="14.25" customHeight="1">
      <c r="C152" s="19"/>
      <c r="F152" s="55"/>
      <c r="G152" s="55"/>
      <c r="H152" s="12"/>
    </row>
    <row r="153" ht="14.25" customHeight="1">
      <c r="C153" s="19"/>
      <c r="F153" s="55"/>
      <c r="G153" s="55"/>
      <c r="H153" s="12"/>
    </row>
    <row r="154" ht="14.25" customHeight="1">
      <c r="C154" s="19"/>
      <c r="F154" s="55"/>
      <c r="G154" s="55"/>
      <c r="H154" s="12"/>
    </row>
    <row r="155" ht="14.25" customHeight="1">
      <c r="C155" s="19"/>
      <c r="F155" s="55"/>
      <c r="G155" s="55"/>
      <c r="H155" s="12"/>
    </row>
    <row r="156" ht="14.25" customHeight="1">
      <c r="C156" s="19"/>
      <c r="F156" s="55"/>
      <c r="G156" s="55"/>
      <c r="H156" s="12"/>
    </row>
    <row r="157" ht="14.25" customHeight="1">
      <c r="C157" s="19"/>
      <c r="F157" s="55"/>
      <c r="G157" s="55"/>
      <c r="H157" s="12"/>
    </row>
    <row r="158" ht="14.25" customHeight="1">
      <c r="C158" s="19"/>
      <c r="F158" s="55"/>
      <c r="G158" s="55"/>
      <c r="H158" s="12"/>
    </row>
    <row r="159" ht="14.25" customHeight="1">
      <c r="C159" s="19"/>
      <c r="F159" s="55"/>
      <c r="G159" s="55"/>
      <c r="H159" s="12"/>
    </row>
    <row r="160" ht="14.25" customHeight="1">
      <c r="C160" s="19"/>
      <c r="F160" s="55"/>
      <c r="G160" s="55"/>
      <c r="H160" s="12"/>
    </row>
    <row r="161" ht="14.25" customHeight="1">
      <c r="C161" s="19"/>
      <c r="F161" s="55"/>
      <c r="G161" s="55"/>
      <c r="H161" s="12"/>
    </row>
    <row r="162" ht="14.25" customHeight="1">
      <c r="C162" s="19"/>
      <c r="F162" s="55"/>
      <c r="G162" s="55"/>
      <c r="H162" s="12"/>
    </row>
    <row r="163" ht="14.25" customHeight="1">
      <c r="C163" s="19"/>
      <c r="F163" s="55"/>
      <c r="G163" s="55"/>
      <c r="H163" s="12"/>
    </row>
    <row r="164" ht="14.25" customHeight="1">
      <c r="C164" s="19"/>
      <c r="F164" s="55"/>
      <c r="G164" s="55"/>
      <c r="H164" s="12"/>
    </row>
    <row r="165" ht="14.25" customHeight="1">
      <c r="C165" s="19"/>
      <c r="F165" s="55"/>
      <c r="G165" s="55"/>
      <c r="H165" s="12"/>
    </row>
    <row r="166" ht="14.25" customHeight="1">
      <c r="C166" s="19"/>
      <c r="F166" s="55"/>
      <c r="G166" s="55"/>
      <c r="H166" s="12"/>
    </row>
    <row r="167" ht="14.25" customHeight="1">
      <c r="C167" s="19"/>
      <c r="F167" s="55"/>
      <c r="G167" s="55"/>
      <c r="H167" s="12"/>
    </row>
    <row r="168" ht="14.25" customHeight="1">
      <c r="C168" s="19"/>
      <c r="F168" s="55"/>
      <c r="G168" s="55"/>
      <c r="H168" s="12"/>
    </row>
    <row r="169" ht="14.25" customHeight="1">
      <c r="C169" s="19"/>
      <c r="F169" s="55"/>
      <c r="G169" s="55"/>
      <c r="H169" s="12"/>
    </row>
    <row r="170" ht="14.25" customHeight="1">
      <c r="C170" s="19"/>
      <c r="F170" s="55"/>
      <c r="G170" s="55"/>
      <c r="H170" s="12"/>
    </row>
    <row r="171" ht="14.25" customHeight="1">
      <c r="C171" s="19"/>
      <c r="F171" s="55"/>
      <c r="G171" s="55"/>
      <c r="H171" s="12"/>
    </row>
    <row r="172" ht="14.25" customHeight="1">
      <c r="C172" s="19"/>
      <c r="F172" s="55"/>
      <c r="G172" s="55"/>
      <c r="H172" s="12"/>
    </row>
    <row r="173" ht="14.25" customHeight="1">
      <c r="C173" s="19"/>
      <c r="F173" s="55"/>
      <c r="G173" s="55"/>
      <c r="H173" s="12"/>
    </row>
    <row r="174" ht="14.25" customHeight="1">
      <c r="C174" s="19"/>
      <c r="F174" s="55"/>
      <c r="G174" s="55"/>
      <c r="H174" s="12"/>
    </row>
    <row r="175" ht="14.25" customHeight="1">
      <c r="C175" s="19"/>
      <c r="F175" s="55"/>
      <c r="G175" s="55"/>
      <c r="H175" s="12"/>
    </row>
    <row r="176" ht="14.25" customHeight="1">
      <c r="C176" s="19"/>
      <c r="F176" s="55"/>
      <c r="G176" s="55"/>
      <c r="H176" s="12"/>
    </row>
    <row r="177" ht="14.25" customHeight="1">
      <c r="C177" s="19"/>
      <c r="F177" s="55"/>
      <c r="G177" s="55"/>
      <c r="H177" s="12"/>
    </row>
    <row r="178" ht="14.25" customHeight="1">
      <c r="C178" s="19"/>
      <c r="F178" s="55"/>
      <c r="G178" s="55"/>
      <c r="H178" s="12"/>
    </row>
    <row r="179" ht="14.25" customHeight="1">
      <c r="C179" s="19"/>
      <c r="F179" s="55"/>
      <c r="G179" s="55"/>
      <c r="H179" s="12"/>
    </row>
    <row r="180" ht="14.25" customHeight="1">
      <c r="C180" s="19"/>
      <c r="F180" s="55"/>
      <c r="G180" s="55"/>
      <c r="H180" s="12"/>
    </row>
    <row r="181" ht="14.25" customHeight="1">
      <c r="C181" s="19"/>
      <c r="F181" s="55"/>
      <c r="G181" s="55"/>
      <c r="H181" s="12"/>
    </row>
    <row r="182" ht="14.25" customHeight="1">
      <c r="C182" s="19"/>
      <c r="F182" s="55"/>
      <c r="G182" s="55"/>
      <c r="H182" s="12"/>
    </row>
    <row r="183" ht="14.25" customHeight="1">
      <c r="C183" s="19"/>
      <c r="F183" s="55"/>
      <c r="G183" s="55"/>
      <c r="H183" s="12"/>
    </row>
    <row r="184" ht="14.25" customHeight="1">
      <c r="C184" s="19"/>
      <c r="F184" s="55"/>
      <c r="G184" s="55"/>
      <c r="H184" s="12"/>
    </row>
    <row r="185" ht="14.25" customHeight="1">
      <c r="C185" s="19"/>
      <c r="F185" s="55"/>
      <c r="G185" s="55"/>
      <c r="H185" s="12"/>
    </row>
    <row r="186" ht="14.25" customHeight="1">
      <c r="C186" s="19"/>
      <c r="F186" s="55"/>
      <c r="G186" s="55"/>
      <c r="H186" s="12"/>
    </row>
    <row r="187" ht="14.25" customHeight="1">
      <c r="C187" s="19"/>
      <c r="F187" s="55"/>
      <c r="G187" s="55"/>
      <c r="H187" s="12"/>
    </row>
    <row r="188" ht="14.25" customHeight="1">
      <c r="C188" s="19"/>
      <c r="F188" s="55"/>
      <c r="G188" s="55"/>
      <c r="H188" s="12"/>
    </row>
    <row r="189" ht="14.25" customHeight="1">
      <c r="C189" s="19"/>
      <c r="F189" s="55"/>
      <c r="G189" s="55"/>
      <c r="H189" s="12"/>
    </row>
    <row r="190" ht="14.25" customHeight="1">
      <c r="C190" s="19"/>
      <c r="F190" s="55"/>
      <c r="G190" s="55"/>
      <c r="H190" s="12"/>
    </row>
    <row r="191" ht="14.25" customHeight="1">
      <c r="C191" s="19"/>
      <c r="F191" s="55"/>
      <c r="G191" s="55"/>
      <c r="H191" s="12"/>
    </row>
    <row r="192" ht="14.25" customHeight="1">
      <c r="C192" s="19"/>
      <c r="F192" s="55"/>
      <c r="G192" s="55"/>
      <c r="H192" s="12"/>
    </row>
    <row r="193" ht="14.25" customHeight="1">
      <c r="C193" s="19"/>
      <c r="F193" s="55"/>
      <c r="G193" s="55"/>
      <c r="H193" s="12"/>
    </row>
    <row r="194" ht="14.25" customHeight="1">
      <c r="C194" s="19"/>
      <c r="F194" s="55"/>
      <c r="G194" s="55"/>
      <c r="H194" s="12"/>
    </row>
    <row r="195" ht="14.25" customHeight="1">
      <c r="C195" s="19"/>
      <c r="F195" s="55"/>
      <c r="G195" s="55"/>
      <c r="H195" s="12"/>
    </row>
    <row r="196" ht="14.25" customHeight="1">
      <c r="C196" s="19"/>
      <c r="F196" s="55"/>
      <c r="G196" s="55"/>
      <c r="H196" s="12"/>
    </row>
    <row r="197" ht="14.25" customHeight="1">
      <c r="C197" s="19"/>
      <c r="F197" s="55"/>
      <c r="G197" s="55"/>
      <c r="H197" s="12"/>
    </row>
    <row r="198" ht="14.25" customHeight="1">
      <c r="C198" s="19"/>
      <c r="F198" s="55"/>
      <c r="G198" s="55"/>
      <c r="H198" s="12"/>
    </row>
    <row r="199" ht="14.25" customHeight="1">
      <c r="C199" s="19"/>
      <c r="F199" s="55"/>
      <c r="G199" s="55"/>
      <c r="H199" s="12"/>
    </row>
    <row r="200" ht="14.25" customHeight="1">
      <c r="C200" s="19"/>
      <c r="F200" s="55"/>
      <c r="G200" s="55"/>
      <c r="H200" s="12"/>
    </row>
    <row r="201" ht="14.25" customHeight="1">
      <c r="C201" s="19"/>
      <c r="F201" s="55"/>
      <c r="G201" s="55"/>
      <c r="H201" s="12"/>
    </row>
    <row r="202" ht="14.25" customHeight="1">
      <c r="C202" s="19"/>
      <c r="F202" s="55"/>
      <c r="G202" s="55"/>
      <c r="H202" s="12"/>
    </row>
    <row r="203" ht="14.25" customHeight="1">
      <c r="C203" s="19"/>
      <c r="F203" s="55"/>
      <c r="G203" s="55"/>
      <c r="H203" s="12"/>
    </row>
    <row r="204" ht="14.25" customHeight="1">
      <c r="C204" s="19"/>
      <c r="F204" s="55"/>
      <c r="G204" s="55"/>
      <c r="H204" s="12"/>
    </row>
    <row r="205" ht="14.25" customHeight="1">
      <c r="C205" s="19"/>
      <c r="F205" s="55"/>
      <c r="G205" s="55"/>
      <c r="H205" s="12"/>
    </row>
    <row r="206" ht="14.25" customHeight="1">
      <c r="C206" s="19"/>
      <c r="F206" s="55"/>
      <c r="G206" s="55"/>
      <c r="H206" s="12"/>
    </row>
    <row r="207" ht="14.25" customHeight="1">
      <c r="C207" s="19"/>
      <c r="F207" s="55"/>
      <c r="G207" s="55"/>
      <c r="H207" s="12"/>
    </row>
    <row r="208" ht="14.25" customHeight="1">
      <c r="C208" s="19"/>
      <c r="F208" s="55"/>
      <c r="G208" s="55"/>
      <c r="H208" s="12"/>
    </row>
    <row r="209" ht="14.25" customHeight="1">
      <c r="C209" s="19"/>
      <c r="F209" s="55"/>
      <c r="G209" s="55"/>
      <c r="H209" s="12"/>
    </row>
    <row r="210" ht="14.25" customHeight="1">
      <c r="C210" s="19"/>
      <c r="F210" s="55"/>
      <c r="G210" s="55"/>
      <c r="H210" s="12"/>
    </row>
    <row r="211" ht="14.25" customHeight="1">
      <c r="C211" s="19"/>
      <c r="F211" s="55"/>
      <c r="G211" s="55"/>
      <c r="H211" s="12"/>
    </row>
    <row r="212" ht="14.25" customHeight="1">
      <c r="C212" s="19"/>
      <c r="F212" s="55"/>
      <c r="G212" s="55"/>
      <c r="H212" s="12"/>
    </row>
    <row r="213" ht="14.25" customHeight="1">
      <c r="C213" s="19"/>
      <c r="F213" s="55"/>
      <c r="G213" s="55"/>
      <c r="H213" s="12"/>
    </row>
    <row r="214" ht="14.25" customHeight="1">
      <c r="C214" s="19"/>
      <c r="F214" s="55"/>
      <c r="G214" s="55"/>
      <c r="H214" s="12"/>
    </row>
    <row r="215" ht="14.25" customHeight="1">
      <c r="C215" s="19"/>
      <c r="F215" s="55"/>
      <c r="G215" s="55"/>
      <c r="H215" s="12"/>
    </row>
    <row r="216" ht="14.25" customHeight="1">
      <c r="C216" s="19"/>
      <c r="F216" s="55"/>
      <c r="G216" s="55"/>
      <c r="H216" s="12"/>
    </row>
    <row r="217" ht="14.25" customHeight="1">
      <c r="C217" s="19"/>
      <c r="F217" s="55"/>
      <c r="G217" s="55"/>
      <c r="H217" s="12"/>
    </row>
    <row r="218" ht="14.25" customHeight="1">
      <c r="C218" s="19"/>
      <c r="F218" s="55"/>
      <c r="G218" s="55"/>
      <c r="H218" s="12"/>
    </row>
    <row r="219" ht="14.25" customHeight="1">
      <c r="C219" s="19"/>
      <c r="F219" s="55"/>
      <c r="G219" s="55"/>
      <c r="H219" s="12"/>
    </row>
    <row r="220" ht="14.25" customHeight="1">
      <c r="C220" s="19"/>
      <c r="F220" s="55"/>
      <c r="G220" s="55"/>
      <c r="H220" s="12"/>
    </row>
    <row r="221" ht="14.25" customHeight="1">
      <c r="C221" s="19"/>
      <c r="F221" s="55"/>
      <c r="G221" s="55"/>
      <c r="H221" s="12"/>
    </row>
    <row r="222" ht="14.25" customHeight="1">
      <c r="C222" s="19"/>
      <c r="F222" s="55"/>
      <c r="G222" s="55"/>
      <c r="H222" s="12"/>
    </row>
    <row r="223" ht="14.25" customHeight="1">
      <c r="C223" s="19"/>
      <c r="F223" s="55"/>
      <c r="G223" s="55"/>
      <c r="H223" s="12"/>
    </row>
    <row r="224" ht="14.25" customHeight="1">
      <c r="C224" s="19"/>
      <c r="F224" s="55"/>
      <c r="G224" s="55"/>
      <c r="H224" s="12"/>
    </row>
    <row r="225" ht="14.25" customHeight="1">
      <c r="C225" s="19"/>
      <c r="F225" s="55"/>
      <c r="G225" s="55"/>
      <c r="H225" s="12"/>
    </row>
    <row r="226" ht="14.25" customHeight="1">
      <c r="C226" s="19"/>
      <c r="F226" s="55"/>
      <c r="G226" s="55"/>
      <c r="H226" s="12"/>
    </row>
    <row r="227" ht="14.25" customHeight="1">
      <c r="C227" s="19"/>
      <c r="F227" s="55"/>
      <c r="G227" s="55"/>
      <c r="H227" s="12"/>
    </row>
    <row r="228" ht="14.25" customHeight="1">
      <c r="C228" s="19"/>
      <c r="F228" s="55"/>
      <c r="G228" s="55"/>
      <c r="H228" s="12"/>
    </row>
    <row r="229" ht="14.25" customHeight="1">
      <c r="C229" s="19"/>
      <c r="F229" s="55"/>
      <c r="G229" s="55"/>
      <c r="H229" s="12"/>
    </row>
    <row r="230" ht="14.25" customHeight="1">
      <c r="C230" s="19"/>
      <c r="F230" s="55"/>
      <c r="G230" s="55"/>
      <c r="H230" s="12"/>
    </row>
    <row r="231" ht="14.25" customHeight="1">
      <c r="C231" s="19"/>
      <c r="F231" s="55"/>
      <c r="G231" s="55"/>
      <c r="H231" s="12"/>
    </row>
    <row r="232" ht="14.25" customHeight="1">
      <c r="C232" s="19"/>
      <c r="F232" s="55"/>
      <c r="G232" s="55"/>
      <c r="H232" s="12"/>
    </row>
    <row r="233" ht="14.25" customHeight="1">
      <c r="C233" s="19"/>
      <c r="F233" s="55"/>
      <c r="G233" s="55"/>
      <c r="H233" s="12"/>
    </row>
    <row r="234" ht="14.25" customHeight="1">
      <c r="C234" s="19"/>
      <c r="F234" s="55"/>
      <c r="G234" s="55"/>
      <c r="H234" s="12"/>
    </row>
    <row r="235" ht="14.25" customHeight="1">
      <c r="C235" s="19"/>
      <c r="F235" s="55"/>
      <c r="G235" s="55"/>
      <c r="H235" s="12"/>
    </row>
    <row r="236" ht="14.25" customHeight="1">
      <c r="C236" s="19"/>
      <c r="F236" s="55"/>
      <c r="G236" s="55"/>
      <c r="H236" s="12"/>
    </row>
    <row r="237" ht="14.25" customHeight="1">
      <c r="C237" s="19"/>
      <c r="F237" s="55"/>
      <c r="G237" s="55"/>
      <c r="H237" s="12"/>
    </row>
    <row r="238" ht="14.25" customHeight="1">
      <c r="C238" s="19"/>
      <c r="F238" s="55"/>
      <c r="G238" s="55"/>
      <c r="H238" s="12"/>
    </row>
    <row r="239" ht="14.25" customHeight="1">
      <c r="C239" s="19"/>
      <c r="F239" s="55"/>
      <c r="G239" s="55"/>
      <c r="H239" s="12"/>
    </row>
    <row r="240" ht="14.25" customHeight="1">
      <c r="C240" s="19"/>
      <c r="F240" s="55"/>
      <c r="G240" s="55"/>
      <c r="H240" s="12"/>
    </row>
    <row r="241" ht="14.25" customHeight="1">
      <c r="C241" s="19"/>
      <c r="F241" s="55"/>
      <c r="G241" s="55"/>
      <c r="H241" s="12"/>
    </row>
    <row r="242" ht="14.25" customHeight="1">
      <c r="C242" s="19"/>
      <c r="F242" s="55"/>
      <c r="G242" s="55"/>
      <c r="H242" s="12"/>
    </row>
    <row r="243" ht="14.25" customHeight="1">
      <c r="C243" s="19"/>
      <c r="F243" s="55"/>
      <c r="G243" s="55"/>
      <c r="H243" s="12"/>
    </row>
    <row r="244" ht="14.25" customHeight="1">
      <c r="C244" s="19"/>
      <c r="F244" s="55"/>
      <c r="G244" s="55"/>
      <c r="H244" s="12"/>
    </row>
    <row r="245" ht="14.25" customHeight="1">
      <c r="C245" s="19"/>
      <c r="F245" s="55"/>
      <c r="G245" s="55"/>
      <c r="H245" s="12"/>
    </row>
    <row r="246" ht="14.25" customHeight="1">
      <c r="C246" s="19"/>
      <c r="F246" s="55"/>
      <c r="G246" s="55"/>
      <c r="H246" s="12"/>
    </row>
    <row r="247" ht="14.25" customHeight="1">
      <c r="C247" s="19"/>
      <c r="F247" s="55"/>
      <c r="G247" s="55"/>
      <c r="H247" s="12"/>
    </row>
    <row r="248" ht="14.25" customHeight="1">
      <c r="C248" s="19"/>
      <c r="F248" s="55"/>
      <c r="G248" s="55"/>
      <c r="H248" s="12"/>
    </row>
    <row r="249" ht="14.25" customHeight="1">
      <c r="C249" s="19"/>
      <c r="F249" s="55"/>
      <c r="G249" s="55"/>
      <c r="H249" s="12"/>
    </row>
    <row r="250" ht="14.25" customHeight="1">
      <c r="C250" s="19"/>
      <c r="F250" s="55"/>
      <c r="G250" s="55"/>
      <c r="H250" s="12"/>
    </row>
    <row r="251" ht="14.25" customHeight="1">
      <c r="C251" s="19"/>
      <c r="F251" s="55"/>
      <c r="G251" s="55"/>
      <c r="H251" s="12"/>
    </row>
    <row r="252" ht="14.25" customHeight="1">
      <c r="C252" s="19"/>
      <c r="F252" s="55"/>
      <c r="G252" s="55"/>
      <c r="H252" s="12"/>
    </row>
    <row r="253" ht="14.25" customHeight="1">
      <c r="C253" s="19"/>
      <c r="F253" s="55"/>
      <c r="G253" s="55"/>
      <c r="H253" s="12"/>
    </row>
    <row r="254" ht="14.25" customHeight="1">
      <c r="C254" s="19"/>
      <c r="F254" s="55"/>
      <c r="G254" s="55"/>
      <c r="H254" s="12"/>
    </row>
    <row r="255" ht="14.25" customHeight="1">
      <c r="C255" s="19"/>
      <c r="F255" s="55"/>
      <c r="G255" s="55"/>
      <c r="H255" s="12"/>
    </row>
    <row r="256" ht="14.25" customHeight="1">
      <c r="C256" s="19"/>
      <c r="F256" s="55"/>
      <c r="G256" s="55"/>
      <c r="H256" s="12"/>
    </row>
    <row r="257" ht="14.25" customHeight="1">
      <c r="C257" s="19"/>
      <c r="F257" s="55"/>
      <c r="G257" s="55"/>
      <c r="H257" s="12"/>
    </row>
    <row r="258" ht="14.25" customHeight="1">
      <c r="C258" s="19"/>
      <c r="F258" s="55"/>
      <c r="G258" s="55"/>
      <c r="H258" s="12"/>
    </row>
    <row r="259" ht="14.25" customHeight="1">
      <c r="C259" s="19"/>
      <c r="F259" s="55"/>
      <c r="G259" s="55"/>
      <c r="H259" s="12"/>
    </row>
    <row r="260" ht="14.25" customHeight="1">
      <c r="C260" s="19"/>
      <c r="F260" s="55"/>
      <c r="G260" s="55"/>
      <c r="H260" s="12"/>
    </row>
    <row r="261" ht="14.25" customHeight="1">
      <c r="C261" s="19"/>
      <c r="F261" s="55"/>
      <c r="G261" s="55"/>
      <c r="H261" s="12"/>
    </row>
    <row r="262" ht="14.25" customHeight="1">
      <c r="C262" s="19"/>
      <c r="F262" s="55"/>
      <c r="G262" s="55"/>
      <c r="H262" s="12"/>
    </row>
    <row r="263" ht="14.25" customHeight="1">
      <c r="C263" s="19"/>
      <c r="F263" s="55"/>
      <c r="G263" s="55"/>
      <c r="H263" s="12"/>
    </row>
    <row r="264" ht="14.25" customHeight="1">
      <c r="C264" s="19"/>
      <c r="F264" s="55"/>
      <c r="G264" s="55"/>
      <c r="H264" s="12"/>
    </row>
    <row r="265" ht="14.25" customHeight="1">
      <c r="C265" s="19"/>
      <c r="F265" s="55"/>
      <c r="G265" s="55"/>
      <c r="H265" s="12"/>
    </row>
    <row r="266" ht="14.25" customHeight="1">
      <c r="C266" s="19"/>
      <c r="F266" s="55"/>
      <c r="G266" s="55"/>
      <c r="H266" s="12"/>
    </row>
    <row r="267" ht="14.25" customHeight="1">
      <c r="C267" s="19"/>
      <c r="F267" s="55"/>
      <c r="G267" s="55"/>
      <c r="H267" s="12"/>
    </row>
    <row r="268" ht="14.25" customHeight="1">
      <c r="C268" s="19"/>
      <c r="F268" s="55"/>
      <c r="G268" s="55"/>
      <c r="H268" s="12"/>
    </row>
    <row r="269" ht="14.25" customHeight="1">
      <c r="C269" s="19"/>
      <c r="F269" s="55"/>
      <c r="G269" s="55"/>
      <c r="H269" s="12"/>
    </row>
    <row r="270" ht="14.25" customHeight="1">
      <c r="C270" s="19"/>
      <c r="F270" s="55"/>
      <c r="G270" s="55"/>
      <c r="H270" s="12"/>
    </row>
    <row r="271" ht="14.25" customHeight="1">
      <c r="C271" s="19"/>
      <c r="F271" s="55"/>
      <c r="G271" s="55"/>
      <c r="H271" s="12"/>
    </row>
    <row r="272" ht="14.25" customHeight="1">
      <c r="C272" s="19"/>
      <c r="F272" s="55"/>
      <c r="G272" s="55"/>
      <c r="H272" s="12"/>
    </row>
    <row r="273" ht="14.25" customHeight="1">
      <c r="C273" s="19"/>
      <c r="F273" s="55"/>
      <c r="G273" s="55"/>
      <c r="H273" s="12"/>
    </row>
    <row r="274" ht="14.25" customHeight="1">
      <c r="C274" s="19"/>
      <c r="F274" s="55"/>
      <c r="G274" s="55"/>
      <c r="H274" s="12"/>
    </row>
    <row r="275" ht="14.25" customHeight="1">
      <c r="C275" s="19"/>
      <c r="F275" s="55"/>
      <c r="G275" s="55"/>
      <c r="H275" s="12"/>
    </row>
    <row r="276" ht="14.25" customHeight="1">
      <c r="C276" s="19"/>
      <c r="F276" s="55"/>
      <c r="G276" s="55"/>
      <c r="H276" s="12"/>
    </row>
    <row r="277" ht="14.25" customHeight="1">
      <c r="C277" s="19"/>
      <c r="F277" s="55"/>
      <c r="G277" s="55"/>
      <c r="H277" s="12"/>
    </row>
    <row r="278" ht="14.25" customHeight="1">
      <c r="C278" s="19"/>
      <c r="F278" s="55"/>
      <c r="G278" s="55"/>
      <c r="H278" s="12"/>
    </row>
    <row r="279" ht="14.25" customHeight="1">
      <c r="C279" s="19"/>
      <c r="F279" s="55"/>
      <c r="G279" s="55"/>
      <c r="H279" s="12"/>
    </row>
    <row r="280" ht="14.25" customHeight="1">
      <c r="C280" s="19"/>
      <c r="F280" s="55"/>
      <c r="G280" s="55"/>
      <c r="H280" s="12"/>
    </row>
    <row r="281" ht="14.25" customHeight="1">
      <c r="C281" s="19"/>
      <c r="F281" s="55"/>
      <c r="G281" s="55"/>
      <c r="H281" s="12"/>
    </row>
    <row r="282" ht="14.25" customHeight="1">
      <c r="C282" s="19"/>
      <c r="F282" s="55"/>
      <c r="G282" s="55"/>
      <c r="H282" s="12"/>
    </row>
    <row r="283" ht="14.25" customHeight="1">
      <c r="C283" s="19"/>
      <c r="F283" s="55"/>
      <c r="G283" s="55"/>
      <c r="H283" s="12"/>
    </row>
    <row r="284" ht="14.25" customHeight="1">
      <c r="C284" s="19"/>
      <c r="F284" s="55"/>
      <c r="G284" s="55"/>
      <c r="H284" s="12"/>
    </row>
    <row r="285" ht="14.25" customHeight="1">
      <c r="C285" s="19"/>
      <c r="F285" s="55"/>
      <c r="G285" s="55"/>
      <c r="H285" s="12"/>
    </row>
    <row r="286" ht="14.25" customHeight="1">
      <c r="C286" s="19"/>
      <c r="F286" s="55"/>
      <c r="G286" s="55"/>
      <c r="H286" s="12"/>
    </row>
    <row r="287" ht="14.25" customHeight="1">
      <c r="C287" s="19"/>
      <c r="F287" s="55"/>
      <c r="G287" s="55"/>
      <c r="H287" s="12"/>
    </row>
    <row r="288" ht="14.25" customHeight="1">
      <c r="C288" s="19"/>
      <c r="F288" s="55"/>
      <c r="G288" s="55"/>
      <c r="H288" s="12"/>
    </row>
    <row r="289" ht="14.25" customHeight="1">
      <c r="C289" s="19"/>
      <c r="F289" s="55"/>
      <c r="G289" s="55"/>
      <c r="H289" s="12"/>
    </row>
    <row r="290" ht="14.25" customHeight="1">
      <c r="C290" s="19"/>
      <c r="F290" s="55"/>
      <c r="G290" s="55"/>
      <c r="H290" s="12"/>
    </row>
    <row r="291" ht="14.25" customHeight="1">
      <c r="C291" s="19"/>
      <c r="F291" s="55"/>
      <c r="G291" s="55"/>
      <c r="H291" s="12"/>
    </row>
    <row r="292" ht="14.25" customHeight="1">
      <c r="C292" s="19"/>
      <c r="F292" s="55"/>
      <c r="G292" s="55"/>
      <c r="H292" s="12"/>
    </row>
    <row r="293" ht="14.25" customHeight="1">
      <c r="C293" s="19"/>
      <c r="F293" s="55"/>
      <c r="G293" s="55"/>
      <c r="H293" s="12"/>
    </row>
    <row r="294" ht="14.25" customHeight="1">
      <c r="C294" s="19"/>
      <c r="F294" s="55"/>
      <c r="G294" s="55"/>
      <c r="H294" s="12"/>
    </row>
    <row r="295" ht="14.25" customHeight="1">
      <c r="C295" s="19"/>
      <c r="F295" s="55"/>
      <c r="G295" s="55"/>
      <c r="H295" s="12"/>
    </row>
    <row r="296" ht="14.25" customHeight="1">
      <c r="C296" s="19"/>
      <c r="F296" s="55"/>
      <c r="G296" s="55"/>
      <c r="H296" s="12"/>
    </row>
    <row r="297" ht="14.25" customHeight="1">
      <c r="C297" s="19"/>
      <c r="F297" s="55"/>
      <c r="G297" s="55"/>
      <c r="H297" s="12"/>
    </row>
    <row r="298" ht="14.25" customHeight="1">
      <c r="C298" s="19"/>
      <c r="F298" s="55"/>
      <c r="G298" s="55"/>
      <c r="H298" s="12"/>
    </row>
    <row r="299" ht="14.25" customHeight="1">
      <c r="C299" s="19"/>
      <c r="F299" s="55"/>
      <c r="G299" s="55"/>
      <c r="H299" s="12"/>
    </row>
    <row r="300" ht="14.25" customHeight="1">
      <c r="C300" s="19"/>
      <c r="F300" s="55"/>
      <c r="G300" s="55"/>
      <c r="H300" s="12"/>
    </row>
    <row r="301" ht="14.25" customHeight="1">
      <c r="C301" s="19"/>
      <c r="F301" s="55"/>
      <c r="G301" s="55"/>
      <c r="H301" s="12"/>
    </row>
    <row r="302" ht="14.25" customHeight="1">
      <c r="C302" s="19"/>
      <c r="F302" s="55"/>
      <c r="G302" s="55"/>
      <c r="H302" s="12"/>
    </row>
    <row r="303" ht="14.25" customHeight="1">
      <c r="C303" s="19"/>
      <c r="F303" s="55"/>
      <c r="G303" s="55"/>
      <c r="H303" s="12"/>
    </row>
    <row r="304" ht="14.25" customHeight="1">
      <c r="C304" s="19"/>
      <c r="F304" s="55"/>
      <c r="G304" s="55"/>
      <c r="H304" s="12"/>
    </row>
    <row r="305" ht="14.25" customHeight="1">
      <c r="C305" s="19"/>
      <c r="F305" s="55"/>
      <c r="G305" s="55"/>
      <c r="H305" s="12"/>
    </row>
    <row r="306" ht="14.25" customHeight="1">
      <c r="C306" s="19"/>
      <c r="F306" s="55"/>
      <c r="G306" s="55"/>
      <c r="H306" s="12"/>
    </row>
    <row r="307" ht="14.25" customHeight="1">
      <c r="C307" s="19"/>
      <c r="F307" s="55"/>
      <c r="G307" s="55"/>
      <c r="H307" s="12"/>
    </row>
    <row r="308" ht="14.25" customHeight="1">
      <c r="C308" s="19"/>
      <c r="F308" s="55"/>
      <c r="G308" s="55"/>
      <c r="H308" s="12"/>
    </row>
    <row r="309" ht="14.25" customHeight="1">
      <c r="C309" s="19"/>
      <c r="F309" s="55"/>
      <c r="G309" s="55"/>
      <c r="H309" s="12"/>
    </row>
    <row r="310" ht="14.25" customHeight="1">
      <c r="C310" s="19"/>
      <c r="F310" s="55"/>
      <c r="G310" s="55"/>
      <c r="H310" s="12"/>
    </row>
    <row r="311" ht="14.25" customHeight="1">
      <c r="C311" s="19"/>
      <c r="F311" s="55"/>
      <c r="G311" s="55"/>
      <c r="H311" s="12"/>
    </row>
    <row r="312" ht="14.25" customHeight="1">
      <c r="C312" s="19"/>
      <c r="F312" s="55"/>
      <c r="G312" s="55"/>
      <c r="H312" s="12"/>
    </row>
    <row r="313" ht="14.25" customHeight="1">
      <c r="C313" s="19"/>
      <c r="F313" s="55"/>
      <c r="G313" s="55"/>
      <c r="H313" s="12"/>
    </row>
    <row r="314" ht="14.25" customHeight="1">
      <c r="C314" s="19"/>
      <c r="F314" s="55"/>
      <c r="G314" s="55"/>
      <c r="H314" s="12"/>
    </row>
    <row r="315" ht="14.25" customHeight="1">
      <c r="C315" s="19"/>
      <c r="F315" s="55"/>
      <c r="G315" s="55"/>
      <c r="H315" s="12"/>
    </row>
    <row r="316" ht="14.25" customHeight="1">
      <c r="C316" s="19"/>
      <c r="F316" s="55"/>
      <c r="G316" s="55"/>
      <c r="H316" s="12"/>
    </row>
    <row r="317" ht="14.25" customHeight="1">
      <c r="C317" s="19"/>
      <c r="F317" s="55"/>
      <c r="G317" s="55"/>
      <c r="H317" s="12"/>
    </row>
    <row r="318" ht="14.25" customHeight="1">
      <c r="C318" s="19"/>
      <c r="F318" s="55"/>
      <c r="G318" s="55"/>
      <c r="H318" s="12"/>
    </row>
    <row r="319" ht="14.25" customHeight="1">
      <c r="C319" s="19"/>
      <c r="F319" s="55"/>
      <c r="G319" s="55"/>
      <c r="H319" s="12"/>
    </row>
    <row r="320" ht="14.25" customHeight="1">
      <c r="C320" s="19"/>
      <c r="F320" s="55"/>
      <c r="G320" s="55"/>
      <c r="H320" s="12"/>
    </row>
    <row r="321" ht="14.25" customHeight="1">
      <c r="C321" s="19"/>
      <c r="F321" s="55"/>
      <c r="G321" s="55"/>
      <c r="H321" s="12"/>
    </row>
    <row r="322" ht="14.25" customHeight="1">
      <c r="C322" s="19"/>
      <c r="F322" s="55"/>
      <c r="G322" s="55"/>
      <c r="H322" s="12"/>
    </row>
    <row r="323" ht="14.25" customHeight="1">
      <c r="C323" s="19"/>
      <c r="F323" s="55"/>
      <c r="G323" s="55"/>
      <c r="H323" s="12"/>
    </row>
    <row r="324" ht="14.25" customHeight="1">
      <c r="C324" s="19"/>
      <c r="F324" s="55"/>
      <c r="G324" s="55"/>
      <c r="H324" s="12"/>
    </row>
    <row r="325" ht="14.25" customHeight="1">
      <c r="C325" s="19"/>
      <c r="F325" s="55"/>
      <c r="G325" s="55"/>
      <c r="H325" s="12"/>
    </row>
    <row r="326" ht="14.25" customHeight="1">
      <c r="C326" s="19"/>
      <c r="F326" s="55"/>
      <c r="G326" s="55"/>
      <c r="H326" s="12"/>
    </row>
    <row r="327" ht="14.25" customHeight="1">
      <c r="C327" s="19"/>
      <c r="F327" s="55"/>
      <c r="G327" s="55"/>
      <c r="H327" s="12"/>
    </row>
    <row r="328" ht="14.25" customHeight="1">
      <c r="C328" s="19"/>
      <c r="F328" s="55"/>
      <c r="G328" s="55"/>
      <c r="H328" s="12"/>
    </row>
    <row r="329" ht="14.25" customHeight="1">
      <c r="C329" s="19"/>
      <c r="F329" s="55"/>
      <c r="G329" s="55"/>
      <c r="H329" s="12"/>
    </row>
    <row r="330" ht="14.25" customHeight="1">
      <c r="C330" s="19"/>
      <c r="F330" s="55"/>
      <c r="G330" s="55"/>
      <c r="H330" s="12"/>
    </row>
    <row r="331" ht="14.25" customHeight="1">
      <c r="C331" s="19"/>
      <c r="F331" s="55"/>
      <c r="G331" s="55"/>
      <c r="H331" s="12"/>
    </row>
    <row r="332" ht="14.25" customHeight="1">
      <c r="C332" s="19"/>
      <c r="F332" s="55"/>
      <c r="G332" s="55"/>
      <c r="H332" s="12"/>
    </row>
    <row r="333" ht="14.25" customHeight="1">
      <c r="C333" s="19"/>
      <c r="F333" s="55"/>
      <c r="G333" s="55"/>
      <c r="H333" s="12"/>
    </row>
    <row r="334" ht="14.25" customHeight="1">
      <c r="C334" s="19"/>
      <c r="F334" s="55"/>
      <c r="G334" s="55"/>
      <c r="H334" s="12"/>
    </row>
    <row r="335" ht="14.25" customHeight="1">
      <c r="C335" s="19"/>
      <c r="F335" s="55"/>
      <c r="G335" s="55"/>
      <c r="H335" s="12"/>
    </row>
    <row r="336" ht="14.25" customHeight="1">
      <c r="C336" s="19"/>
      <c r="F336" s="55"/>
      <c r="G336" s="55"/>
      <c r="H336" s="12"/>
    </row>
    <row r="337" ht="14.25" customHeight="1">
      <c r="C337" s="19"/>
      <c r="F337" s="55"/>
      <c r="G337" s="55"/>
      <c r="H337" s="12"/>
    </row>
    <row r="338" ht="14.25" customHeight="1">
      <c r="C338" s="19"/>
      <c r="F338" s="55"/>
      <c r="G338" s="55"/>
      <c r="H338" s="12"/>
    </row>
    <row r="339" ht="14.25" customHeight="1">
      <c r="C339" s="19"/>
      <c r="F339" s="55"/>
      <c r="G339" s="55"/>
      <c r="H339" s="12"/>
    </row>
    <row r="340" ht="14.25" customHeight="1">
      <c r="C340" s="19"/>
      <c r="F340" s="55"/>
      <c r="G340" s="55"/>
      <c r="H340" s="12"/>
    </row>
    <row r="341" ht="14.25" customHeight="1">
      <c r="C341" s="19"/>
      <c r="F341" s="55"/>
      <c r="G341" s="55"/>
      <c r="H341" s="12"/>
    </row>
    <row r="342" ht="14.25" customHeight="1">
      <c r="C342" s="19"/>
      <c r="F342" s="55"/>
      <c r="G342" s="55"/>
      <c r="H342" s="12"/>
    </row>
    <row r="343" ht="14.25" customHeight="1">
      <c r="C343" s="19"/>
      <c r="F343" s="55"/>
      <c r="G343" s="55"/>
      <c r="H343" s="12"/>
    </row>
    <row r="344" ht="14.25" customHeight="1">
      <c r="C344" s="19"/>
      <c r="F344" s="55"/>
      <c r="G344" s="55"/>
      <c r="H344" s="12"/>
    </row>
    <row r="345" ht="14.25" customHeight="1">
      <c r="C345" s="19"/>
      <c r="F345" s="55"/>
      <c r="G345" s="55"/>
      <c r="H345" s="12"/>
    </row>
    <row r="346" ht="14.25" customHeight="1">
      <c r="C346" s="19"/>
      <c r="F346" s="55"/>
      <c r="G346" s="55"/>
      <c r="H346" s="12"/>
    </row>
    <row r="347" ht="14.25" customHeight="1">
      <c r="C347" s="19"/>
      <c r="F347" s="55"/>
      <c r="G347" s="55"/>
      <c r="H347" s="12"/>
    </row>
    <row r="348" ht="14.25" customHeight="1">
      <c r="C348" s="19"/>
      <c r="F348" s="55"/>
      <c r="G348" s="55"/>
      <c r="H348" s="12"/>
    </row>
    <row r="349" ht="14.25" customHeight="1">
      <c r="C349" s="19"/>
      <c r="F349" s="55"/>
      <c r="G349" s="55"/>
      <c r="H349" s="12"/>
    </row>
    <row r="350" ht="14.25" customHeight="1">
      <c r="C350" s="19"/>
      <c r="F350" s="55"/>
      <c r="G350" s="55"/>
      <c r="H350" s="12"/>
    </row>
    <row r="351" ht="14.25" customHeight="1">
      <c r="C351" s="19"/>
      <c r="F351" s="55"/>
      <c r="G351" s="55"/>
      <c r="H351" s="12"/>
    </row>
    <row r="352" ht="14.25" customHeight="1">
      <c r="C352" s="19"/>
      <c r="F352" s="55"/>
      <c r="G352" s="55"/>
      <c r="H352" s="12"/>
    </row>
    <row r="353" ht="14.25" customHeight="1">
      <c r="C353" s="19"/>
      <c r="F353" s="55"/>
      <c r="G353" s="55"/>
      <c r="H353" s="12"/>
    </row>
    <row r="354" ht="14.25" customHeight="1">
      <c r="C354" s="19"/>
      <c r="F354" s="55"/>
      <c r="G354" s="55"/>
      <c r="H354" s="12"/>
    </row>
    <row r="355" ht="14.25" customHeight="1">
      <c r="C355" s="19"/>
      <c r="F355" s="55"/>
      <c r="G355" s="55"/>
      <c r="H355" s="12"/>
    </row>
    <row r="356" ht="14.25" customHeight="1">
      <c r="C356" s="19"/>
      <c r="F356" s="55"/>
      <c r="G356" s="55"/>
      <c r="H356" s="12"/>
    </row>
    <row r="357" ht="14.25" customHeight="1">
      <c r="C357" s="19"/>
      <c r="F357" s="55"/>
      <c r="G357" s="55"/>
      <c r="H357" s="12"/>
    </row>
    <row r="358" ht="14.25" customHeight="1">
      <c r="C358" s="19"/>
      <c r="F358" s="55"/>
      <c r="G358" s="55"/>
      <c r="H358" s="12"/>
    </row>
    <row r="359" ht="14.25" customHeight="1">
      <c r="C359" s="19"/>
      <c r="F359" s="55"/>
      <c r="G359" s="55"/>
      <c r="H359" s="12"/>
    </row>
    <row r="360" ht="14.25" customHeight="1">
      <c r="C360" s="19"/>
      <c r="F360" s="55"/>
      <c r="G360" s="55"/>
      <c r="H360" s="12"/>
    </row>
    <row r="361" ht="14.25" customHeight="1">
      <c r="C361" s="19"/>
      <c r="F361" s="55"/>
      <c r="G361" s="55"/>
      <c r="H361" s="12"/>
    </row>
    <row r="362" ht="14.25" customHeight="1">
      <c r="C362" s="19"/>
      <c r="F362" s="55"/>
      <c r="G362" s="55"/>
      <c r="H362" s="12"/>
    </row>
    <row r="363" ht="14.25" customHeight="1">
      <c r="C363" s="19"/>
      <c r="F363" s="55"/>
      <c r="G363" s="55"/>
      <c r="H363" s="12"/>
    </row>
    <row r="364" ht="14.25" customHeight="1">
      <c r="C364" s="19"/>
      <c r="F364" s="55"/>
      <c r="G364" s="55"/>
      <c r="H364" s="12"/>
    </row>
    <row r="365" ht="14.25" customHeight="1">
      <c r="C365" s="19"/>
      <c r="F365" s="55"/>
      <c r="G365" s="55"/>
      <c r="H365" s="12"/>
    </row>
    <row r="366" ht="14.25" customHeight="1">
      <c r="C366" s="19"/>
      <c r="F366" s="55"/>
      <c r="G366" s="55"/>
      <c r="H366" s="12"/>
    </row>
    <row r="367" ht="14.25" customHeight="1">
      <c r="C367" s="19"/>
      <c r="F367" s="55"/>
      <c r="G367" s="55"/>
      <c r="H367" s="12"/>
    </row>
    <row r="368" ht="14.25" customHeight="1">
      <c r="C368" s="19"/>
      <c r="F368" s="55"/>
      <c r="G368" s="55"/>
      <c r="H368" s="12"/>
    </row>
    <row r="369" ht="14.25" customHeight="1">
      <c r="C369" s="19"/>
      <c r="F369" s="55"/>
      <c r="G369" s="55"/>
      <c r="H369" s="12"/>
    </row>
    <row r="370" ht="14.25" customHeight="1">
      <c r="C370" s="19"/>
      <c r="F370" s="55"/>
      <c r="G370" s="55"/>
      <c r="H370" s="12"/>
    </row>
    <row r="371" ht="14.25" customHeight="1">
      <c r="C371" s="19"/>
      <c r="F371" s="55"/>
      <c r="G371" s="55"/>
      <c r="H371" s="12"/>
    </row>
    <row r="372" ht="14.25" customHeight="1">
      <c r="C372" s="19"/>
      <c r="F372" s="55"/>
      <c r="G372" s="55"/>
      <c r="H372" s="12"/>
    </row>
    <row r="373" ht="14.25" customHeight="1">
      <c r="C373" s="19"/>
      <c r="F373" s="55"/>
      <c r="G373" s="55"/>
      <c r="H373" s="12"/>
    </row>
    <row r="374" ht="14.25" customHeight="1">
      <c r="C374" s="19"/>
      <c r="F374" s="55"/>
      <c r="G374" s="55"/>
      <c r="H374" s="12"/>
    </row>
    <row r="375" ht="14.25" customHeight="1">
      <c r="C375" s="19"/>
      <c r="F375" s="55"/>
      <c r="G375" s="55"/>
      <c r="H375" s="12"/>
    </row>
    <row r="376" ht="14.25" customHeight="1">
      <c r="C376" s="19"/>
      <c r="F376" s="55"/>
      <c r="G376" s="55"/>
      <c r="H376" s="12"/>
    </row>
    <row r="377" ht="14.25" customHeight="1">
      <c r="C377" s="19"/>
      <c r="F377" s="55"/>
      <c r="G377" s="55"/>
      <c r="H377" s="12"/>
    </row>
    <row r="378" ht="14.25" customHeight="1">
      <c r="C378" s="19"/>
      <c r="F378" s="55"/>
      <c r="G378" s="55"/>
      <c r="H378" s="12"/>
    </row>
    <row r="379" ht="14.25" customHeight="1">
      <c r="C379" s="19"/>
      <c r="F379" s="55"/>
      <c r="G379" s="55"/>
      <c r="H379" s="12"/>
    </row>
    <row r="380" ht="14.25" customHeight="1">
      <c r="C380" s="19"/>
      <c r="F380" s="55"/>
      <c r="G380" s="55"/>
      <c r="H380" s="12"/>
    </row>
    <row r="381" ht="14.25" customHeight="1">
      <c r="C381" s="19"/>
      <c r="F381" s="55"/>
      <c r="G381" s="55"/>
      <c r="H381" s="12"/>
    </row>
    <row r="382" ht="14.25" customHeight="1">
      <c r="C382" s="19"/>
      <c r="F382" s="55"/>
      <c r="G382" s="55"/>
      <c r="H382" s="12"/>
    </row>
    <row r="383" ht="14.25" customHeight="1">
      <c r="C383" s="19"/>
      <c r="F383" s="55"/>
      <c r="G383" s="55"/>
      <c r="H383" s="12"/>
    </row>
    <row r="384" ht="14.25" customHeight="1">
      <c r="C384" s="19"/>
      <c r="F384" s="55"/>
      <c r="G384" s="55"/>
      <c r="H384" s="12"/>
    </row>
    <row r="385" ht="14.25" customHeight="1">
      <c r="C385" s="19"/>
      <c r="F385" s="55"/>
      <c r="G385" s="55"/>
      <c r="H385" s="12"/>
    </row>
    <row r="386" ht="14.25" customHeight="1">
      <c r="C386" s="19"/>
      <c r="F386" s="55"/>
      <c r="G386" s="55"/>
      <c r="H386" s="12"/>
    </row>
    <row r="387" ht="14.25" customHeight="1">
      <c r="C387" s="19"/>
      <c r="F387" s="55"/>
      <c r="G387" s="55"/>
      <c r="H387" s="12"/>
    </row>
    <row r="388" ht="14.25" customHeight="1">
      <c r="C388" s="19"/>
      <c r="F388" s="55"/>
      <c r="G388" s="55"/>
      <c r="H388" s="12"/>
    </row>
    <row r="389" ht="14.25" customHeight="1">
      <c r="C389" s="19"/>
      <c r="F389" s="55"/>
      <c r="G389" s="55"/>
      <c r="H389" s="12"/>
    </row>
    <row r="390" ht="14.25" customHeight="1">
      <c r="C390" s="19"/>
      <c r="F390" s="55"/>
      <c r="G390" s="55"/>
      <c r="H390" s="12"/>
    </row>
    <row r="391" ht="14.25" customHeight="1">
      <c r="C391" s="19"/>
      <c r="F391" s="55"/>
      <c r="G391" s="55"/>
      <c r="H391" s="12"/>
    </row>
    <row r="392" ht="14.25" customHeight="1">
      <c r="C392" s="19"/>
      <c r="F392" s="55"/>
      <c r="G392" s="55"/>
      <c r="H392" s="12"/>
    </row>
    <row r="393" ht="14.25" customHeight="1">
      <c r="C393" s="19"/>
      <c r="F393" s="55"/>
      <c r="G393" s="55"/>
      <c r="H393" s="12"/>
    </row>
    <row r="394" ht="14.25" customHeight="1">
      <c r="C394" s="19"/>
      <c r="F394" s="55"/>
      <c r="G394" s="55"/>
      <c r="H394" s="12"/>
    </row>
    <row r="395" ht="14.25" customHeight="1">
      <c r="C395" s="19"/>
      <c r="F395" s="55"/>
      <c r="G395" s="55"/>
      <c r="H395" s="12"/>
    </row>
    <row r="396" ht="14.25" customHeight="1">
      <c r="C396" s="19"/>
      <c r="F396" s="55"/>
      <c r="G396" s="55"/>
      <c r="H396" s="12"/>
    </row>
    <row r="397" ht="14.25" customHeight="1">
      <c r="C397" s="19"/>
      <c r="F397" s="55"/>
      <c r="G397" s="55"/>
      <c r="H397" s="12"/>
    </row>
    <row r="398" ht="14.25" customHeight="1">
      <c r="C398" s="19"/>
      <c r="F398" s="55"/>
      <c r="G398" s="55"/>
      <c r="H398" s="12"/>
    </row>
    <row r="399" ht="14.25" customHeight="1">
      <c r="C399" s="19"/>
      <c r="F399" s="55"/>
      <c r="G399" s="55"/>
      <c r="H399" s="12"/>
    </row>
    <row r="400" ht="14.25" customHeight="1">
      <c r="C400" s="19"/>
      <c r="F400" s="55"/>
      <c r="G400" s="55"/>
      <c r="H400" s="12"/>
    </row>
    <row r="401" ht="14.25" customHeight="1">
      <c r="C401" s="19"/>
      <c r="F401" s="55"/>
      <c r="G401" s="55"/>
      <c r="H401" s="12"/>
    </row>
    <row r="402" ht="14.25" customHeight="1">
      <c r="C402" s="19"/>
      <c r="F402" s="55"/>
      <c r="G402" s="55"/>
      <c r="H402" s="12"/>
    </row>
    <row r="403" ht="14.25" customHeight="1">
      <c r="C403" s="19"/>
      <c r="F403" s="55"/>
      <c r="G403" s="55"/>
      <c r="H403" s="12"/>
    </row>
    <row r="404" ht="14.25" customHeight="1">
      <c r="C404" s="19"/>
      <c r="F404" s="55"/>
      <c r="G404" s="55"/>
      <c r="H404" s="12"/>
    </row>
    <row r="405" ht="14.25" customHeight="1">
      <c r="C405" s="19"/>
      <c r="F405" s="55"/>
      <c r="G405" s="55"/>
      <c r="H405" s="12"/>
    </row>
    <row r="406" ht="14.25" customHeight="1">
      <c r="C406" s="19"/>
      <c r="F406" s="55"/>
      <c r="G406" s="55"/>
      <c r="H406" s="12"/>
    </row>
    <row r="407" ht="14.25" customHeight="1">
      <c r="C407" s="19"/>
      <c r="F407" s="55"/>
      <c r="G407" s="55"/>
      <c r="H407" s="12"/>
    </row>
    <row r="408" ht="14.25" customHeight="1">
      <c r="C408" s="19"/>
      <c r="F408" s="55"/>
      <c r="G408" s="55"/>
      <c r="H408" s="12"/>
    </row>
    <row r="409" ht="14.25" customHeight="1">
      <c r="C409" s="19"/>
      <c r="F409" s="55"/>
      <c r="G409" s="55"/>
      <c r="H409" s="12"/>
    </row>
    <row r="410" ht="14.25" customHeight="1">
      <c r="C410" s="19"/>
      <c r="F410" s="55"/>
      <c r="G410" s="55"/>
      <c r="H410" s="12"/>
    </row>
    <row r="411" ht="14.25" customHeight="1">
      <c r="C411" s="19"/>
      <c r="F411" s="55"/>
      <c r="G411" s="55"/>
      <c r="H411" s="12"/>
    </row>
    <row r="412" ht="14.25" customHeight="1">
      <c r="C412" s="19"/>
      <c r="F412" s="55"/>
      <c r="G412" s="55"/>
      <c r="H412" s="12"/>
    </row>
    <row r="413" ht="14.25" customHeight="1">
      <c r="C413" s="19"/>
      <c r="F413" s="55"/>
      <c r="G413" s="55"/>
      <c r="H413" s="12"/>
    </row>
    <row r="414" ht="14.25" customHeight="1">
      <c r="C414" s="19"/>
      <c r="F414" s="55"/>
      <c r="G414" s="55"/>
      <c r="H414" s="12"/>
    </row>
    <row r="415" ht="14.25" customHeight="1">
      <c r="C415" s="19"/>
      <c r="F415" s="55"/>
      <c r="G415" s="55"/>
      <c r="H415" s="12"/>
    </row>
    <row r="416" ht="14.25" customHeight="1">
      <c r="C416" s="19"/>
      <c r="F416" s="55"/>
      <c r="G416" s="55"/>
      <c r="H416" s="12"/>
    </row>
    <row r="417" ht="14.25" customHeight="1">
      <c r="C417" s="19"/>
      <c r="F417" s="55"/>
      <c r="G417" s="55"/>
      <c r="H417" s="12"/>
    </row>
    <row r="418" ht="14.25" customHeight="1">
      <c r="C418" s="19"/>
      <c r="F418" s="55"/>
      <c r="G418" s="55"/>
      <c r="H418" s="12"/>
    </row>
    <row r="419" ht="14.25" customHeight="1">
      <c r="C419" s="19"/>
      <c r="F419" s="55"/>
      <c r="G419" s="55"/>
      <c r="H419" s="12"/>
    </row>
    <row r="420" ht="14.25" customHeight="1">
      <c r="C420" s="19"/>
      <c r="F420" s="55"/>
      <c r="G420" s="55"/>
      <c r="H420" s="12"/>
    </row>
    <row r="421" ht="14.25" customHeight="1">
      <c r="C421" s="19"/>
      <c r="F421" s="55"/>
      <c r="G421" s="55"/>
      <c r="H421" s="12"/>
    </row>
    <row r="422" ht="14.25" customHeight="1">
      <c r="C422" s="19"/>
      <c r="F422" s="55"/>
      <c r="G422" s="55"/>
      <c r="H422" s="12"/>
    </row>
    <row r="423" ht="14.25" customHeight="1">
      <c r="C423" s="19"/>
      <c r="F423" s="55"/>
      <c r="G423" s="55"/>
      <c r="H423" s="12"/>
    </row>
    <row r="424" ht="14.25" customHeight="1">
      <c r="C424" s="19"/>
      <c r="F424" s="55"/>
      <c r="G424" s="55"/>
      <c r="H424" s="12"/>
    </row>
    <row r="425" ht="14.25" customHeight="1">
      <c r="C425" s="19"/>
      <c r="F425" s="55"/>
      <c r="G425" s="55"/>
      <c r="H425" s="12"/>
    </row>
    <row r="426" ht="14.25" customHeight="1">
      <c r="C426" s="19"/>
      <c r="F426" s="55"/>
      <c r="G426" s="55"/>
      <c r="H426" s="12"/>
    </row>
    <row r="427" ht="14.25" customHeight="1">
      <c r="C427" s="19"/>
      <c r="F427" s="55"/>
      <c r="G427" s="55"/>
      <c r="H427" s="12"/>
    </row>
    <row r="428" ht="14.25" customHeight="1">
      <c r="C428" s="19"/>
      <c r="F428" s="55"/>
      <c r="G428" s="55"/>
      <c r="H428" s="12"/>
    </row>
    <row r="429" ht="14.25" customHeight="1">
      <c r="C429" s="19"/>
      <c r="F429" s="55"/>
      <c r="G429" s="55"/>
      <c r="H429" s="12"/>
    </row>
    <row r="430" ht="14.25" customHeight="1">
      <c r="C430" s="19"/>
      <c r="F430" s="55"/>
      <c r="G430" s="55"/>
      <c r="H430" s="12"/>
    </row>
    <row r="431" ht="14.25" customHeight="1">
      <c r="C431" s="19"/>
      <c r="F431" s="55"/>
      <c r="G431" s="55"/>
      <c r="H431" s="12"/>
    </row>
    <row r="432" ht="14.25" customHeight="1">
      <c r="C432" s="19"/>
      <c r="F432" s="55"/>
      <c r="G432" s="55"/>
      <c r="H432" s="12"/>
    </row>
    <row r="433" ht="14.25" customHeight="1">
      <c r="C433" s="19"/>
      <c r="F433" s="55"/>
      <c r="G433" s="55"/>
      <c r="H433" s="12"/>
    </row>
    <row r="434" ht="14.25" customHeight="1">
      <c r="C434" s="19"/>
      <c r="F434" s="55"/>
      <c r="G434" s="55"/>
      <c r="H434" s="12"/>
    </row>
    <row r="435" ht="14.25" customHeight="1">
      <c r="C435" s="19"/>
      <c r="F435" s="55"/>
      <c r="G435" s="55"/>
      <c r="H435" s="12"/>
    </row>
    <row r="436" ht="14.25" customHeight="1">
      <c r="C436" s="19"/>
      <c r="F436" s="55"/>
      <c r="G436" s="55"/>
      <c r="H436" s="12"/>
    </row>
    <row r="437" ht="14.25" customHeight="1">
      <c r="C437" s="19"/>
      <c r="F437" s="55"/>
      <c r="G437" s="55"/>
      <c r="H437" s="12"/>
    </row>
    <row r="438" ht="14.25" customHeight="1">
      <c r="C438" s="19"/>
      <c r="F438" s="55"/>
      <c r="G438" s="55"/>
      <c r="H438" s="12"/>
    </row>
    <row r="439" ht="14.25" customHeight="1">
      <c r="C439" s="19"/>
      <c r="F439" s="55"/>
      <c r="G439" s="55"/>
      <c r="H439" s="12"/>
    </row>
    <row r="440" ht="14.25" customHeight="1">
      <c r="C440" s="19"/>
      <c r="F440" s="55"/>
      <c r="G440" s="55"/>
      <c r="H440" s="12"/>
    </row>
    <row r="441" ht="14.25" customHeight="1">
      <c r="C441" s="19"/>
      <c r="F441" s="55"/>
      <c r="G441" s="55"/>
      <c r="H441" s="12"/>
    </row>
    <row r="442" ht="14.25" customHeight="1">
      <c r="C442" s="19"/>
      <c r="F442" s="55"/>
      <c r="G442" s="55"/>
      <c r="H442" s="12"/>
    </row>
    <row r="443" ht="14.25" customHeight="1">
      <c r="C443" s="19"/>
      <c r="F443" s="55"/>
      <c r="G443" s="55"/>
      <c r="H443" s="12"/>
    </row>
    <row r="444" ht="14.25" customHeight="1">
      <c r="C444" s="19"/>
      <c r="F444" s="55"/>
      <c r="G444" s="55"/>
      <c r="H444" s="12"/>
    </row>
    <row r="445" ht="14.25" customHeight="1">
      <c r="C445" s="19"/>
      <c r="F445" s="55"/>
      <c r="G445" s="55"/>
      <c r="H445" s="12"/>
    </row>
    <row r="446" ht="14.25" customHeight="1">
      <c r="C446" s="19"/>
      <c r="F446" s="55"/>
      <c r="G446" s="55"/>
      <c r="H446" s="12"/>
    </row>
    <row r="447" ht="14.25" customHeight="1">
      <c r="C447" s="19"/>
      <c r="F447" s="55"/>
      <c r="G447" s="55"/>
      <c r="H447" s="12"/>
    </row>
    <row r="448" ht="14.25" customHeight="1">
      <c r="C448" s="19"/>
      <c r="F448" s="55"/>
      <c r="G448" s="55"/>
      <c r="H448" s="12"/>
    </row>
    <row r="449" ht="14.25" customHeight="1">
      <c r="C449" s="19"/>
      <c r="F449" s="55"/>
      <c r="G449" s="55"/>
      <c r="H449" s="12"/>
    </row>
    <row r="450" ht="14.25" customHeight="1">
      <c r="C450" s="19"/>
      <c r="F450" s="55"/>
      <c r="G450" s="55"/>
      <c r="H450" s="12"/>
    </row>
    <row r="451" ht="14.25" customHeight="1">
      <c r="C451" s="19"/>
      <c r="F451" s="55"/>
      <c r="G451" s="55"/>
      <c r="H451" s="12"/>
    </row>
    <row r="452" ht="14.25" customHeight="1">
      <c r="C452" s="19"/>
      <c r="F452" s="55"/>
      <c r="G452" s="55"/>
      <c r="H452" s="12"/>
    </row>
    <row r="453" ht="14.25" customHeight="1">
      <c r="C453" s="19"/>
      <c r="F453" s="55"/>
      <c r="G453" s="55"/>
      <c r="H453" s="12"/>
    </row>
    <row r="454" ht="14.25" customHeight="1">
      <c r="C454" s="19"/>
      <c r="F454" s="55"/>
      <c r="G454" s="55"/>
      <c r="H454" s="12"/>
    </row>
    <row r="455" ht="14.25" customHeight="1">
      <c r="C455" s="19"/>
      <c r="F455" s="55"/>
      <c r="G455" s="55"/>
      <c r="H455" s="12"/>
    </row>
    <row r="456" ht="14.25" customHeight="1">
      <c r="C456" s="19"/>
      <c r="F456" s="55"/>
      <c r="G456" s="55"/>
      <c r="H456" s="12"/>
    </row>
    <row r="457" ht="14.25" customHeight="1">
      <c r="C457" s="19"/>
      <c r="F457" s="55"/>
      <c r="G457" s="55"/>
      <c r="H457" s="12"/>
    </row>
    <row r="458" ht="14.25" customHeight="1">
      <c r="C458" s="19"/>
      <c r="F458" s="55"/>
      <c r="G458" s="55"/>
      <c r="H458" s="12"/>
    </row>
    <row r="459" ht="14.25" customHeight="1">
      <c r="C459" s="19"/>
      <c r="F459" s="55"/>
      <c r="G459" s="55"/>
      <c r="H459" s="12"/>
    </row>
    <row r="460" ht="14.25" customHeight="1">
      <c r="C460" s="19"/>
      <c r="F460" s="55"/>
      <c r="G460" s="55"/>
      <c r="H460" s="12"/>
    </row>
    <row r="461" ht="14.25" customHeight="1">
      <c r="C461" s="19"/>
      <c r="F461" s="55"/>
      <c r="G461" s="55"/>
      <c r="H461" s="12"/>
    </row>
    <row r="462" ht="14.25" customHeight="1">
      <c r="C462" s="19"/>
      <c r="F462" s="55"/>
      <c r="G462" s="55"/>
      <c r="H462" s="12"/>
    </row>
    <row r="463" ht="14.25" customHeight="1">
      <c r="C463" s="19"/>
      <c r="F463" s="55"/>
      <c r="G463" s="55"/>
      <c r="H463" s="12"/>
    </row>
    <row r="464" ht="14.25" customHeight="1">
      <c r="C464" s="19"/>
      <c r="F464" s="55"/>
      <c r="G464" s="55"/>
      <c r="H464" s="12"/>
    </row>
    <row r="465" ht="14.25" customHeight="1">
      <c r="C465" s="19"/>
      <c r="F465" s="55"/>
      <c r="G465" s="55"/>
      <c r="H465" s="12"/>
    </row>
    <row r="466" ht="14.25" customHeight="1">
      <c r="C466" s="19"/>
      <c r="F466" s="55"/>
      <c r="G466" s="55"/>
      <c r="H466" s="12"/>
    </row>
    <row r="467" ht="14.25" customHeight="1">
      <c r="C467" s="19"/>
      <c r="F467" s="55"/>
      <c r="G467" s="55"/>
      <c r="H467" s="12"/>
    </row>
    <row r="468" ht="14.25" customHeight="1">
      <c r="C468" s="19"/>
      <c r="F468" s="55"/>
      <c r="G468" s="55"/>
      <c r="H468" s="12"/>
    </row>
    <row r="469" ht="14.25" customHeight="1">
      <c r="C469" s="19"/>
      <c r="F469" s="55"/>
      <c r="G469" s="55"/>
      <c r="H469" s="12"/>
    </row>
    <row r="470" ht="14.25" customHeight="1">
      <c r="C470" s="19"/>
      <c r="F470" s="55"/>
      <c r="G470" s="55"/>
      <c r="H470" s="12"/>
    </row>
    <row r="471" ht="14.25" customHeight="1">
      <c r="C471" s="19"/>
      <c r="F471" s="55"/>
      <c r="G471" s="55"/>
      <c r="H471" s="12"/>
    </row>
    <row r="472" ht="14.25" customHeight="1">
      <c r="C472" s="19"/>
      <c r="F472" s="55"/>
      <c r="G472" s="55"/>
      <c r="H472" s="12"/>
    </row>
    <row r="473" ht="14.25" customHeight="1">
      <c r="C473" s="19"/>
      <c r="F473" s="55"/>
      <c r="G473" s="55"/>
      <c r="H473" s="12"/>
    </row>
    <row r="474" ht="14.25" customHeight="1">
      <c r="C474" s="19"/>
      <c r="F474" s="55"/>
      <c r="G474" s="55"/>
      <c r="H474" s="12"/>
    </row>
    <row r="475" ht="14.25" customHeight="1">
      <c r="C475" s="19"/>
      <c r="F475" s="55"/>
      <c r="G475" s="55"/>
      <c r="H475" s="12"/>
    </row>
    <row r="476" ht="14.25" customHeight="1">
      <c r="C476" s="19"/>
      <c r="F476" s="55"/>
      <c r="G476" s="55"/>
      <c r="H476" s="12"/>
    </row>
    <row r="477" ht="14.25" customHeight="1">
      <c r="C477" s="19"/>
      <c r="F477" s="55"/>
      <c r="G477" s="55"/>
      <c r="H477" s="12"/>
    </row>
    <row r="478" ht="14.25" customHeight="1">
      <c r="C478" s="19"/>
      <c r="F478" s="55"/>
      <c r="G478" s="55"/>
      <c r="H478" s="12"/>
    </row>
    <row r="479" ht="14.25" customHeight="1">
      <c r="C479" s="19"/>
      <c r="F479" s="55"/>
      <c r="G479" s="55"/>
      <c r="H479" s="12"/>
    </row>
    <row r="480" ht="14.25" customHeight="1">
      <c r="C480" s="19"/>
      <c r="F480" s="55"/>
      <c r="G480" s="55"/>
      <c r="H480" s="12"/>
    </row>
    <row r="481" ht="14.25" customHeight="1">
      <c r="C481" s="19"/>
      <c r="F481" s="55"/>
      <c r="G481" s="55"/>
      <c r="H481" s="12"/>
    </row>
    <row r="482" ht="14.25" customHeight="1">
      <c r="C482" s="19"/>
      <c r="F482" s="55"/>
      <c r="G482" s="55"/>
      <c r="H482" s="12"/>
    </row>
    <row r="483" ht="14.25" customHeight="1">
      <c r="C483" s="19"/>
      <c r="F483" s="55"/>
      <c r="G483" s="55"/>
      <c r="H483" s="12"/>
    </row>
    <row r="484" ht="14.25" customHeight="1">
      <c r="C484" s="19"/>
      <c r="F484" s="55"/>
      <c r="G484" s="55"/>
      <c r="H484" s="12"/>
    </row>
    <row r="485" ht="14.25" customHeight="1">
      <c r="C485" s="19"/>
      <c r="F485" s="55"/>
      <c r="G485" s="55"/>
      <c r="H485" s="12"/>
    </row>
    <row r="486" ht="14.25" customHeight="1">
      <c r="C486" s="19"/>
      <c r="F486" s="55"/>
      <c r="G486" s="55"/>
      <c r="H486" s="12"/>
    </row>
    <row r="487" ht="14.25" customHeight="1">
      <c r="C487" s="19"/>
      <c r="F487" s="55"/>
      <c r="G487" s="55"/>
      <c r="H487" s="12"/>
    </row>
    <row r="488" ht="14.25" customHeight="1">
      <c r="C488" s="19"/>
      <c r="F488" s="55"/>
      <c r="G488" s="55"/>
      <c r="H488" s="12"/>
    </row>
    <row r="489" ht="14.25" customHeight="1">
      <c r="C489" s="19"/>
      <c r="F489" s="55"/>
      <c r="G489" s="55"/>
      <c r="H489" s="12"/>
    </row>
    <row r="490" ht="14.25" customHeight="1">
      <c r="C490" s="19"/>
      <c r="F490" s="55"/>
      <c r="G490" s="55"/>
      <c r="H490" s="12"/>
    </row>
    <row r="491" ht="14.25" customHeight="1">
      <c r="C491" s="19"/>
      <c r="F491" s="55"/>
      <c r="G491" s="55"/>
      <c r="H491" s="12"/>
    </row>
    <row r="492" ht="14.25" customHeight="1">
      <c r="C492" s="19"/>
      <c r="F492" s="55"/>
      <c r="G492" s="55"/>
      <c r="H492" s="12"/>
    </row>
    <row r="493" ht="14.25" customHeight="1">
      <c r="C493" s="19"/>
      <c r="F493" s="55"/>
      <c r="G493" s="55"/>
      <c r="H493" s="12"/>
    </row>
    <row r="494" ht="14.25" customHeight="1">
      <c r="C494" s="19"/>
      <c r="F494" s="55"/>
      <c r="G494" s="55"/>
      <c r="H494" s="12"/>
    </row>
    <row r="495" ht="14.25" customHeight="1">
      <c r="C495" s="19"/>
      <c r="F495" s="55"/>
      <c r="G495" s="55"/>
      <c r="H495" s="12"/>
    </row>
    <row r="496" ht="14.25" customHeight="1">
      <c r="C496" s="19"/>
      <c r="F496" s="55"/>
      <c r="G496" s="55"/>
      <c r="H496" s="12"/>
    </row>
    <row r="497" ht="14.25" customHeight="1">
      <c r="C497" s="19"/>
      <c r="F497" s="55"/>
      <c r="G497" s="55"/>
      <c r="H497" s="12"/>
    </row>
    <row r="498" ht="14.25" customHeight="1">
      <c r="C498" s="19"/>
      <c r="F498" s="55"/>
      <c r="G498" s="55"/>
      <c r="H498" s="12"/>
    </row>
    <row r="499" ht="14.25" customHeight="1">
      <c r="C499" s="19"/>
      <c r="F499" s="55"/>
      <c r="G499" s="55"/>
      <c r="H499" s="12"/>
    </row>
    <row r="500" ht="14.25" customHeight="1">
      <c r="C500" s="19"/>
      <c r="F500" s="55"/>
      <c r="G500" s="55"/>
      <c r="H500" s="12"/>
    </row>
    <row r="501" ht="14.25" customHeight="1">
      <c r="C501" s="19"/>
      <c r="F501" s="55"/>
      <c r="G501" s="55"/>
      <c r="H501" s="12"/>
    </row>
    <row r="502" ht="14.25" customHeight="1">
      <c r="C502" s="19"/>
      <c r="F502" s="55"/>
      <c r="G502" s="55"/>
      <c r="H502" s="12"/>
    </row>
    <row r="503" ht="14.25" customHeight="1">
      <c r="C503" s="19"/>
      <c r="F503" s="55"/>
      <c r="G503" s="55"/>
      <c r="H503" s="12"/>
    </row>
    <row r="504" ht="14.25" customHeight="1">
      <c r="C504" s="19"/>
      <c r="F504" s="55"/>
      <c r="G504" s="55"/>
      <c r="H504" s="12"/>
    </row>
    <row r="505" ht="14.25" customHeight="1">
      <c r="C505" s="19"/>
      <c r="F505" s="55"/>
      <c r="G505" s="55"/>
      <c r="H505" s="12"/>
    </row>
    <row r="506" ht="14.25" customHeight="1">
      <c r="C506" s="19"/>
      <c r="F506" s="55"/>
      <c r="G506" s="55"/>
      <c r="H506" s="12"/>
    </row>
    <row r="507" ht="14.25" customHeight="1">
      <c r="C507" s="19"/>
      <c r="F507" s="55"/>
      <c r="G507" s="55"/>
      <c r="H507" s="12"/>
    </row>
    <row r="508" ht="14.25" customHeight="1">
      <c r="C508" s="19"/>
      <c r="F508" s="55"/>
      <c r="G508" s="55"/>
      <c r="H508" s="12"/>
    </row>
    <row r="509" ht="14.25" customHeight="1">
      <c r="C509" s="19"/>
      <c r="F509" s="55"/>
      <c r="G509" s="55"/>
      <c r="H509" s="12"/>
    </row>
    <row r="510" ht="14.25" customHeight="1">
      <c r="C510" s="19"/>
      <c r="F510" s="55"/>
      <c r="G510" s="55"/>
      <c r="H510" s="12"/>
    </row>
    <row r="511" ht="14.25" customHeight="1">
      <c r="C511" s="19"/>
      <c r="F511" s="55"/>
      <c r="G511" s="55"/>
      <c r="H511" s="12"/>
    </row>
    <row r="512" ht="14.25" customHeight="1">
      <c r="C512" s="19"/>
      <c r="F512" s="55"/>
      <c r="G512" s="55"/>
      <c r="H512" s="12"/>
    </row>
    <row r="513" ht="14.25" customHeight="1">
      <c r="C513" s="19"/>
      <c r="F513" s="55"/>
      <c r="G513" s="55"/>
      <c r="H513" s="12"/>
    </row>
    <row r="514" ht="14.25" customHeight="1">
      <c r="C514" s="19"/>
      <c r="F514" s="55"/>
      <c r="G514" s="55"/>
      <c r="H514" s="12"/>
    </row>
    <row r="515" ht="14.25" customHeight="1">
      <c r="C515" s="19"/>
      <c r="F515" s="55"/>
      <c r="G515" s="55"/>
      <c r="H515" s="12"/>
    </row>
    <row r="516" ht="14.25" customHeight="1">
      <c r="C516" s="19"/>
      <c r="F516" s="55"/>
      <c r="G516" s="55"/>
      <c r="H516" s="12"/>
    </row>
    <row r="517" ht="14.25" customHeight="1">
      <c r="C517" s="19"/>
      <c r="F517" s="55"/>
      <c r="G517" s="55"/>
      <c r="H517" s="12"/>
    </row>
    <row r="518" ht="14.25" customHeight="1">
      <c r="C518" s="19"/>
      <c r="F518" s="55"/>
      <c r="G518" s="55"/>
      <c r="H518" s="12"/>
    </row>
    <row r="519" ht="14.25" customHeight="1">
      <c r="C519" s="19"/>
      <c r="F519" s="55"/>
      <c r="G519" s="55"/>
      <c r="H519" s="12"/>
    </row>
    <row r="520" ht="14.25" customHeight="1">
      <c r="C520" s="19"/>
      <c r="F520" s="55"/>
      <c r="G520" s="55"/>
      <c r="H520" s="12"/>
    </row>
    <row r="521" ht="14.25" customHeight="1">
      <c r="C521" s="19"/>
      <c r="F521" s="55"/>
      <c r="G521" s="55"/>
      <c r="H521" s="12"/>
    </row>
    <row r="522" ht="14.25" customHeight="1">
      <c r="C522" s="19"/>
      <c r="F522" s="55"/>
      <c r="G522" s="55"/>
      <c r="H522" s="12"/>
    </row>
    <row r="523" ht="14.25" customHeight="1">
      <c r="C523" s="19"/>
      <c r="F523" s="55"/>
      <c r="G523" s="55"/>
      <c r="H523" s="12"/>
    </row>
    <row r="524" ht="14.25" customHeight="1">
      <c r="C524" s="19"/>
      <c r="F524" s="55"/>
      <c r="G524" s="55"/>
      <c r="H524" s="12"/>
    </row>
    <row r="525" ht="14.25" customHeight="1">
      <c r="C525" s="19"/>
      <c r="F525" s="55"/>
      <c r="G525" s="55"/>
      <c r="H525" s="12"/>
    </row>
    <row r="526" ht="14.25" customHeight="1">
      <c r="C526" s="19"/>
      <c r="F526" s="55"/>
      <c r="G526" s="55"/>
      <c r="H526" s="12"/>
    </row>
    <row r="527" ht="14.25" customHeight="1">
      <c r="C527" s="19"/>
      <c r="F527" s="55"/>
      <c r="G527" s="55"/>
      <c r="H527" s="12"/>
    </row>
    <row r="528" ht="14.25" customHeight="1">
      <c r="C528" s="19"/>
      <c r="F528" s="55"/>
      <c r="G528" s="55"/>
      <c r="H528" s="12"/>
    </row>
    <row r="529" ht="14.25" customHeight="1">
      <c r="C529" s="19"/>
      <c r="F529" s="55"/>
      <c r="G529" s="55"/>
      <c r="H529" s="12"/>
    </row>
    <row r="530" ht="14.25" customHeight="1">
      <c r="C530" s="19"/>
      <c r="F530" s="55"/>
      <c r="G530" s="55"/>
      <c r="H530" s="12"/>
    </row>
    <row r="531" ht="14.25" customHeight="1">
      <c r="C531" s="19"/>
      <c r="F531" s="55"/>
      <c r="G531" s="55"/>
      <c r="H531" s="12"/>
    </row>
    <row r="532" ht="14.25" customHeight="1">
      <c r="C532" s="19"/>
      <c r="F532" s="55"/>
      <c r="G532" s="55"/>
      <c r="H532" s="12"/>
    </row>
    <row r="533" ht="14.25" customHeight="1">
      <c r="C533" s="19"/>
      <c r="F533" s="55"/>
      <c r="G533" s="55"/>
      <c r="H533" s="12"/>
    </row>
    <row r="534" ht="14.25" customHeight="1">
      <c r="C534" s="19"/>
      <c r="F534" s="55"/>
      <c r="G534" s="55"/>
      <c r="H534" s="12"/>
    </row>
    <row r="535" ht="14.25" customHeight="1">
      <c r="C535" s="19"/>
      <c r="F535" s="55"/>
      <c r="G535" s="55"/>
      <c r="H535" s="12"/>
    </row>
    <row r="536" ht="14.25" customHeight="1">
      <c r="C536" s="19"/>
      <c r="F536" s="55"/>
      <c r="G536" s="55"/>
      <c r="H536" s="12"/>
    </row>
    <row r="537" ht="14.25" customHeight="1">
      <c r="C537" s="19"/>
      <c r="F537" s="55"/>
      <c r="G537" s="55"/>
      <c r="H537" s="12"/>
    </row>
    <row r="538" ht="14.25" customHeight="1">
      <c r="C538" s="19"/>
      <c r="F538" s="55"/>
      <c r="G538" s="55"/>
      <c r="H538" s="12"/>
    </row>
    <row r="539" ht="14.25" customHeight="1">
      <c r="C539" s="19"/>
      <c r="F539" s="55"/>
      <c r="G539" s="55"/>
      <c r="H539" s="12"/>
    </row>
    <row r="540" ht="14.25" customHeight="1">
      <c r="C540" s="19"/>
      <c r="F540" s="55"/>
      <c r="G540" s="55"/>
      <c r="H540" s="12"/>
    </row>
    <row r="541" ht="14.25" customHeight="1">
      <c r="C541" s="19"/>
      <c r="F541" s="55"/>
      <c r="G541" s="55"/>
      <c r="H541" s="12"/>
    </row>
    <row r="542" ht="14.25" customHeight="1">
      <c r="C542" s="19"/>
      <c r="F542" s="55"/>
      <c r="G542" s="55"/>
      <c r="H542" s="12"/>
    </row>
    <row r="543" ht="14.25" customHeight="1">
      <c r="C543" s="19"/>
      <c r="F543" s="55"/>
      <c r="G543" s="55"/>
      <c r="H543" s="12"/>
    </row>
    <row r="544" ht="14.25" customHeight="1">
      <c r="C544" s="19"/>
      <c r="F544" s="55"/>
      <c r="G544" s="55"/>
      <c r="H544" s="12"/>
    </row>
    <row r="545" ht="14.25" customHeight="1">
      <c r="C545" s="19"/>
      <c r="F545" s="55"/>
      <c r="G545" s="55"/>
      <c r="H545" s="12"/>
    </row>
    <row r="546" ht="14.25" customHeight="1">
      <c r="C546" s="19"/>
      <c r="F546" s="55"/>
      <c r="G546" s="55"/>
      <c r="H546" s="12"/>
    </row>
    <row r="547" ht="14.25" customHeight="1">
      <c r="C547" s="19"/>
      <c r="F547" s="55"/>
      <c r="G547" s="55"/>
      <c r="H547" s="12"/>
    </row>
    <row r="548" ht="14.25" customHeight="1">
      <c r="C548" s="19"/>
      <c r="F548" s="55"/>
      <c r="G548" s="55"/>
      <c r="H548" s="12"/>
    </row>
    <row r="549" ht="14.25" customHeight="1">
      <c r="C549" s="19"/>
      <c r="F549" s="55"/>
      <c r="G549" s="55"/>
      <c r="H549" s="12"/>
    </row>
    <row r="550" ht="14.25" customHeight="1">
      <c r="C550" s="19"/>
      <c r="F550" s="55"/>
      <c r="G550" s="55"/>
      <c r="H550" s="12"/>
    </row>
    <row r="551" ht="14.25" customHeight="1">
      <c r="C551" s="19"/>
      <c r="F551" s="55"/>
      <c r="G551" s="55"/>
      <c r="H551" s="12"/>
    </row>
    <row r="552" ht="14.25" customHeight="1">
      <c r="C552" s="19"/>
      <c r="F552" s="55"/>
      <c r="G552" s="55"/>
      <c r="H552" s="12"/>
    </row>
    <row r="553" ht="14.25" customHeight="1">
      <c r="C553" s="19"/>
      <c r="F553" s="55"/>
      <c r="G553" s="55"/>
      <c r="H553" s="12"/>
    </row>
    <row r="554" ht="14.25" customHeight="1">
      <c r="C554" s="19"/>
      <c r="F554" s="55"/>
      <c r="G554" s="55"/>
      <c r="H554" s="12"/>
    </row>
    <row r="555" ht="14.25" customHeight="1">
      <c r="C555" s="19"/>
      <c r="F555" s="55"/>
      <c r="G555" s="55"/>
      <c r="H555" s="12"/>
    </row>
    <row r="556" ht="14.25" customHeight="1">
      <c r="C556" s="19"/>
      <c r="F556" s="55"/>
      <c r="G556" s="55"/>
      <c r="H556" s="12"/>
    </row>
    <row r="557" ht="14.25" customHeight="1">
      <c r="C557" s="19"/>
      <c r="F557" s="55"/>
      <c r="G557" s="55"/>
      <c r="H557" s="12"/>
    </row>
    <row r="558" ht="14.25" customHeight="1">
      <c r="C558" s="19"/>
      <c r="F558" s="55"/>
      <c r="G558" s="55"/>
      <c r="H558" s="12"/>
    </row>
    <row r="559" ht="14.25" customHeight="1">
      <c r="C559" s="19"/>
      <c r="F559" s="55"/>
      <c r="G559" s="55"/>
      <c r="H559" s="12"/>
    </row>
    <row r="560" ht="14.25" customHeight="1">
      <c r="C560" s="19"/>
      <c r="F560" s="55"/>
      <c r="G560" s="55"/>
      <c r="H560" s="12"/>
    </row>
    <row r="561" ht="14.25" customHeight="1">
      <c r="C561" s="19"/>
      <c r="F561" s="55"/>
      <c r="G561" s="55"/>
      <c r="H561" s="12"/>
    </row>
    <row r="562" ht="14.25" customHeight="1">
      <c r="C562" s="19"/>
      <c r="F562" s="55"/>
      <c r="G562" s="55"/>
      <c r="H562" s="12"/>
    </row>
    <row r="563" ht="14.25" customHeight="1">
      <c r="C563" s="19"/>
      <c r="F563" s="55"/>
      <c r="G563" s="55"/>
      <c r="H563" s="12"/>
    </row>
    <row r="564" ht="14.25" customHeight="1">
      <c r="C564" s="19"/>
      <c r="F564" s="55"/>
      <c r="G564" s="55"/>
      <c r="H564" s="12"/>
    </row>
    <row r="565" ht="14.25" customHeight="1">
      <c r="C565" s="19"/>
      <c r="F565" s="55"/>
      <c r="G565" s="55"/>
      <c r="H565" s="12"/>
    </row>
    <row r="566" ht="14.25" customHeight="1">
      <c r="C566" s="19"/>
      <c r="F566" s="55"/>
      <c r="G566" s="55"/>
      <c r="H566" s="12"/>
    </row>
    <row r="567" ht="14.25" customHeight="1">
      <c r="C567" s="19"/>
      <c r="F567" s="55"/>
      <c r="G567" s="55"/>
      <c r="H567" s="12"/>
    </row>
    <row r="568" ht="14.25" customHeight="1">
      <c r="C568" s="19"/>
      <c r="F568" s="55"/>
      <c r="G568" s="55"/>
      <c r="H568" s="12"/>
    </row>
    <row r="569" ht="14.25" customHeight="1">
      <c r="C569" s="19"/>
      <c r="F569" s="55"/>
      <c r="G569" s="55"/>
      <c r="H569" s="12"/>
    </row>
    <row r="570" ht="14.25" customHeight="1">
      <c r="C570" s="19"/>
      <c r="F570" s="55"/>
      <c r="G570" s="55"/>
      <c r="H570" s="12"/>
    </row>
    <row r="571" ht="14.25" customHeight="1">
      <c r="C571" s="19"/>
      <c r="F571" s="55"/>
      <c r="G571" s="55"/>
      <c r="H571" s="12"/>
    </row>
    <row r="572" ht="14.25" customHeight="1">
      <c r="C572" s="19"/>
      <c r="F572" s="55"/>
      <c r="G572" s="55"/>
      <c r="H572" s="12"/>
    </row>
    <row r="573" ht="14.25" customHeight="1">
      <c r="C573" s="19"/>
      <c r="F573" s="55"/>
      <c r="G573" s="55"/>
      <c r="H573" s="12"/>
    </row>
    <row r="574" ht="14.25" customHeight="1">
      <c r="C574" s="19"/>
      <c r="F574" s="55"/>
      <c r="G574" s="55"/>
      <c r="H574" s="12"/>
    </row>
    <row r="575" ht="14.25" customHeight="1">
      <c r="C575" s="19"/>
      <c r="F575" s="55"/>
      <c r="G575" s="55"/>
      <c r="H575" s="12"/>
    </row>
    <row r="576" ht="14.25" customHeight="1">
      <c r="C576" s="19"/>
      <c r="F576" s="55"/>
      <c r="G576" s="55"/>
      <c r="H576" s="12"/>
    </row>
    <row r="577" ht="14.25" customHeight="1">
      <c r="C577" s="19"/>
      <c r="F577" s="55"/>
      <c r="G577" s="55"/>
      <c r="H577" s="12"/>
    </row>
    <row r="578" ht="14.25" customHeight="1">
      <c r="C578" s="19"/>
      <c r="F578" s="55"/>
      <c r="G578" s="55"/>
      <c r="H578" s="12"/>
    </row>
    <row r="579" ht="14.25" customHeight="1">
      <c r="C579" s="19"/>
      <c r="F579" s="55"/>
      <c r="G579" s="55"/>
      <c r="H579" s="12"/>
    </row>
    <row r="580" ht="14.25" customHeight="1">
      <c r="C580" s="19"/>
      <c r="F580" s="55"/>
      <c r="G580" s="55"/>
      <c r="H580" s="12"/>
    </row>
    <row r="581" ht="14.25" customHeight="1">
      <c r="C581" s="19"/>
      <c r="F581" s="55"/>
      <c r="G581" s="55"/>
      <c r="H581" s="12"/>
    </row>
    <row r="582" ht="14.25" customHeight="1">
      <c r="C582" s="19"/>
      <c r="F582" s="55"/>
      <c r="G582" s="55"/>
      <c r="H582" s="12"/>
    </row>
    <row r="583" ht="14.25" customHeight="1">
      <c r="C583" s="19"/>
      <c r="F583" s="55"/>
      <c r="G583" s="55"/>
      <c r="H583" s="12"/>
    </row>
    <row r="584" ht="14.25" customHeight="1">
      <c r="C584" s="19"/>
      <c r="F584" s="55"/>
      <c r="G584" s="55"/>
      <c r="H584" s="12"/>
    </row>
    <row r="585" ht="14.25" customHeight="1">
      <c r="C585" s="19"/>
      <c r="F585" s="55"/>
      <c r="G585" s="55"/>
      <c r="H585" s="12"/>
    </row>
    <row r="586" ht="14.25" customHeight="1">
      <c r="C586" s="19"/>
      <c r="F586" s="55"/>
      <c r="G586" s="55"/>
      <c r="H586" s="12"/>
    </row>
    <row r="587" ht="14.25" customHeight="1">
      <c r="C587" s="19"/>
      <c r="F587" s="55"/>
      <c r="G587" s="55"/>
      <c r="H587" s="12"/>
    </row>
    <row r="588" ht="14.25" customHeight="1">
      <c r="C588" s="19"/>
      <c r="F588" s="55"/>
      <c r="G588" s="55"/>
      <c r="H588" s="12"/>
    </row>
    <row r="589" ht="14.25" customHeight="1">
      <c r="C589" s="19"/>
      <c r="F589" s="55"/>
      <c r="G589" s="55"/>
      <c r="H589" s="12"/>
    </row>
    <row r="590" ht="14.25" customHeight="1">
      <c r="C590" s="19"/>
      <c r="F590" s="55"/>
      <c r="G590" s="55"/>
      <c r="H590" s="12"/>
    </row>
    <row r="591" ht="14.25" customHeight="1">
      <c r="C591" s="19"/>
      <c r="F591" s="55"/>
      <c r="G591" s="55"/>
      <c r="H591" s="12"/>
    </row>
    <row r="592" ht="14.25" customHeight="1">
      <c r="C592" s="19"/>
      <c r="F592" s="55"/>
      <c r="G592" s="55"/>
      <c r="H592" s="12"/>
    </row>
    <row r="593" ht="14.25" customHeight="1">
      <c r="C593" s="19"/>
      <c r="F593" s="55"/>
      <c r="G593" s="55"/>
      <c r="H593" s="12"/>
    </row>
    <row r="594" ht="14.25" customHeight="1">
      <c r="C594" s="19"/>
      <c r="F594" s="55"/>
      <c r="G594" s="55"/>
      <c r="H594" s="12"/>
    </row>
    <row r="595" ht="14.25" customHeight="1">
      <c r="C595" s="19"/>
      <c r="F595" s="55"/>
      <c r="G595" s="55"/>
      <c r="H595" s="12"/>
    </row>
    <row r="596" ht="14.25" customHeight="1">
      <c r="C596" s="19"/>
      <c r="F596" s="55"/>
      <c r="G596" s="55"/>
      <c r="H596" s="12"/>
    </row>
    <row r="597" ht="14.25" customHeight="1">
      <c r="C597" s="19"/>
      <c r="F597" s="55"/>
      <c r="G597" s="55"/>
      <c r="H597" s="12"/>
    </row>
    <row r="598" ht="14.25" customHeight="1">
      <c r="C598" s="19"/>
      <c r="F598" s="55"/>
      <c r="G598" s="55"/>
      <c r="H598" s="12"/>
    </row>
    <row r="599" ht="14.25" customHeight="1">
      <c r="C599" s="19"/>
      <c r="F599" s="55"/>
      <c r="G599" s="55"/>
      <c r="H599" s="12"/>
    </row>
    <row r="600" ht="14.25" customHeight="1">
      <c r="C600" s="19"/>
      <c r="F600" s="55"/>
      <c r="G600" s="55"/>
      <c r="H600" s="12"/>
    </row>
    <row r="601" ht="14.25" customHeight="1">
      <c r="C601" s="19"/>
      <c r="F601" s="55"/>
      <c r="G601" s="55"/>
      <c r="H601" s="12"/>
    </row>
    <row r="602" ht="14.25" customHeight="1">
      <c r="C602" s="19"/>
      <c r="F602" s="55"/>
      <c r="G602" s="55"/>
      <c r="H602" s="12"/>
    </row>
    <row r="603" ht="14.25" customHeight="1">
      <c r="C603" s="19"/>
      <c r="F603" s="55"/>
      <c r="G603" s="55"/>
      <c r="H603" s="12"/>
    </row>
    <row r="604" ht="14.25" customHeight="1">
      <c r="C604" s="19"/>
      <c r="F604" s="55"/>
      <c r="G604" s="55"/>
      <c r="H604" s="12"/>
    </row>
    <row r="605" ht="14.25" customHeight="1">
      <c r="C605" s="19"/>
      <c r="F605" s="55"/>
      <c r="G605" s="55"/>
      <c r="H605" s="12"/>
    </row>
    <row r="606" ht="14.25" customHeight="1">
      <c r="C606" s="19"/>
      <c r="F606" s="55"/>
      <c r="G606" s="55"/>
      <c r="H606" s="12"/>
    </row>
    <row r="607" ht="14.25" customHeight="1">
      <c r="C607" s="19"/>
      <c r="F607" s="55"/>
      <c r="G607" s="55"/>
      <c r="H607" s="12"/>
    </row>
    <row r="608" ht="14.25" customHeight="1">
      <c r="C608" s="19"/>
      <c r="F608" s="55"/>
      <c r="G608" s="55"/>
      <c r="H608" s="12"/>
    </row>
    <row r="609" ht="14.25" customHeight="1">
      <c r="C609" s="19"/>
      <c r="F609" s="55"/>
      <c r="G609" s="55"/>
      <c r="H609" s="12"/>
    </row>
    <row r="610" ht="14.25" customHeight="1">
      <c r="C610" s="19"/>
      <c r="F610" s="55"/>
      <c r="G610" s="55"/>
      <c r="H610" s="12"/>
    </row>
    <row r="611" ht="14.25" customHeight="1">
      <c r="C611" s="19"/>
      <c r="F611" s="55"/>
      <c r="G611" s="55"/>
      <c r="H611" s="12"/>
    </row>
    <row r="612" ht="14.25" customHeight="1">
      <c r="C612" s="19"/>
      <c r="F612" s="55"/>
      <c r="G612" s="55"/>
      <c r="H612" s="12"/>
    </row>
    <row r="613" ht="14.25" customHeight="1">
      <c r="C613" s="19"/>
      <c r="F613" s="55"/>
      <c r="G613" s="55"/>
      <c r="H613" s="12"/>
    </row>
    <row r="614" ht="14.25" customHeight="1">
      <c r="C614" s="19"/>
      <c r="F614" s="55"/>
      <c r="G614" s="55"/>
      <c r="H614" s="12"/>
    </row>
    <row r="615" ht="14.25" customHeight="1">
      <c r="C615" s="19"/>
      <c r="F615" s="55"/>
      <c r="G615" s="55"/>
      <c r="H615" s="12"/>
    </row>
    <row r="616" ht="14.25" customHeight="1">
      <c r="C616" s="19"/>
      <c r="F616" s="55"/>
      <c r="G616" s="55"/>
      <c r="H616" s="12"/>
    </row>
    <row r="617" ht="14.25" customHeight="1">
      <c r="C617" s="19"/>
      <c r="F617" s="55"/>
      <c r="G617" s="55"/>
      <c r="H617" s="12"/>
    </row>
    <row r="618" ht="14.25" customHeight="1">
      <c r="C618" s="19"/>
      <c r="F618" s="55"/>
      <c r="G618" s="55"/>
      <c r="H618" s="12"/>
    </row>
    <row r="619" ht="14.25" customHeight="1">
      <c r="C619" s="19"/>
      <c r="F619" s="55"/>
      <c r="G619" s="55"/>
      <c r="H619" s="12"/>
    </row>
    <row r="620" ht="14.25" customHeight="1">
      <c r="C620" s="19"/>
      <c r="F620" s="55"/>
      <c r="G620" s="55"/>
      <c r="H620" s="12"/>
    </row>
    <row r="621" ht="14.25" customHeight="1">
      <c r="C621" s="19"/>
      <c r="F621" s="55"/>
      <c r="G621" s="55"/>
      <c r="H621" s="12"/>
    </row>
    <row r="622" ht="14.25" customHeight="1">
      <c r="C622" s="19"/>
      <c r="F622" s="55"/>
      <c r="G622" s="55"/>
      <c r="H622" s="12"/>
    </row>
    <row r="623" ht="14.25" customHeight="1">
      <c r="C623" s="19"/>
      <c r="F623" s="55"/>
      <c r="G623" s="55"/>
      <c r="H623" s="12"/>
    </row>
    <row r="624" ht="14.25" customHeight="1">
      <c r="C624" s="19"/>
      <c r="F624" s="55"/>
      <c r="G624" s="55"/>
      <c r="H624" s="12"/>
    </row>
    <row r="625" ht="14.25" customHeight="1">
      <c r="C625" s="19"/>
      <c r="F625" s="55"/>
      <c r="G625" s="55"/>
      <c r="H625" s="12"/>
    </row>
    <row r="626" ht="14.25" customHeight="1">
      <c r="C626" s="19"/>
      <c r="F626" s="55"/>
      <c r="G626" s="55"/>
      <c r="H626" s="12"/>
    </row>
    <row r="627" ht="14.25" customHeight="1">
      <c r="C627" s="19"/>
      <c r="F627" s="55"/>
      <c r="G627" s="55"/>
      <c r="H627" s="12"/>
    </row>
    <row r="628" ht="14.25" customHeight="1">
      <c r="C628" s="19"/>
      <c r="F628" s="55"/>
      <c r="G628" s="55"/>
      <c r="H628" s="12"/>
    </row>
    <row r="629" ht="14.25" customHeight="1">
      <c r="C629" s="19"/>
      <c r="F629" s="55"/>
      <c r="G629" s="55"/>
      <c r="H629" s="12"/>
    </row>
    <row r="630" ht="14.25" customHeight="1">
      <c r="C630" s="19"/>
      <c r="F630" s="55"/>
      <c r="G630" s="55"/>
      <c r="H630" s="12"/>
    </row>
    <row r="631" ht="14.25" customHeight="1">
      <c r="C631" s="19"/>
      <c r="F631" s="55"/>
      <c r="G631" s="55"/>
      <c r="H631" s="12"/>
    </row>
    <row r="632" ht="14.25" customHeight="1">
      <c r="C632" s="19"/>
      <c r="F632" s="55"/>
      <c r="G632" s="55"/>
      <c r="H632" s="12"/>
    </row>
    <row r="633" ht="14.25" customHeight="1">
      <c r="C633" s="19"/>
      <c r="F633" s="55"/>
      <c r="G633" s="55"/>
      <c r="H633" s="12"/>
    </row>
    <row r="634" ht="14.25" customHeight="1">
      <c r="C634" s="19"/>
      <c r="F634" s="55"/>
      <c r="G634" s="55"/>
      <c r="H634" s="12"/>
    </row>
    <row r="635" ht="14.25" customHeight="1">
      <c r="C635" s="19"/>
      <c r="F635" s="55"/>
      <c r="G635" s="55"/>
      <c r="H635" s="12"/>
    </row>
    <row r="636" ht="14.25" customHeight="1">
      <c r="C636" s="19"/>
      <c r="F636" s="55"/>
      <c r="G636" s="55"/>
      <c r="H636" s="12"/>
    </row>
    <row r="637" ht="14.25" customHeight="1">
      <c r="C637" s="19"/>
      <c r="F637" s="55"/>
      <c r="G637" s="55"/>
      <c r="H637" s="12"/>
    </row>
    <row r="638" ht="14.25" customHeight="1">
      <c r="C638" s="19"/>
      <c r="F638" s="55"/>
      <c r="G638" s="55"/>
      <c r="H638" s="12"/>
    </row>
    <row r="639" ht="14.25" customHeight="1">
      <c r="C639" s="19"/>
      <c r="F639" s="55"/>
      <c r="G639" s="55"/>
      <c r="H639" s="12"/>
    </row>
    <row r="640" ht="14.25" customHeight="1">
      <c r="C640" s="19"/>
      <c r="F640" s="55"/>
      <c r="G640" s="55"/>
      <c r="H640" s="12"/>
    </row>
    <row r="641" ht="14.25" customHeight="1">
      <c r="C641" s="19"/>
      <c r="F641" s="55"/>
      <c r="G641" s="55"/>
      <c r="H641" s="12"/>
    </row>
    <row r="642" ht="14.25" customHeight="1">
      <c r="C642" s="19"/>
      <c r="F642" s="55"/>
      <c r="G642" s="55"/>
      <c r="H642" s="12"/>
    </row>
    <row r="643" ht="14.25" customHeight="1">
      <c r="C643" s="19"/>
      <c r="F643" s="55"/>
      <c r="G643" s="55"/>
      <c r="H643" s="12"/>
    </row>
    <row r="644" ht="14.25" customHeight="1">
      <c r="C644" s="19"/>
      <c r="F644" s="55"/>
      <c r="G644" s="55"/>
      <c r="H644" s="12"/>
    </row>
    <row r="645" ht="14.25" customHeight="1">
      <c r="C645" s="19"/>
      <c r="F645" s="55"/>
      <c r="G645" s="55"/>
      <c r="H645" s="12"/>
    </row>
    <row r="646" ht="14.25" customHeight="1">
      <c r="C646" s="19"/>
      <c r="F646" s="55"/>
      <c r="G646" s="55"/>
      <c r="H646" s="12"/>
    </row>
    <row r="647" ht="14.25" customHeight="1">
      <c r="C647" s="19"/>
      <c r="F647" s="55"/>
      <c r="G647" s="55"/>
      <c r="H647" s="12"/>
    </row>
    <row r="648" ht="14.25" customHeight="1">
      <c r="C648" s="19"/>
      <c r="F648" s="55"/>
      <c r="G648" s="55"/>
      <c r="H648" s="12"/>
    </row>
    <row r="649" ht="14.25" customHeight="1">
      <c r="C649" s="19"/>
      <c r="F649" s="55"/>
      <c r="G649" s="55"/>
      <c r="H649" s="12"/>
    </row>
    <row r="650" ht="14.25" customHeight="1">
      <c r="C650" s="19"/>
      <c r="F650" s="55"/>
      <c r="G650" s="55"/>
      <c r="H650" s="12"/>
    </row>
    <row r="651" ht="14.25" customHeight="1">
      <c r="C651" s="19"/>
      <c r="F651" s="55"/>
      <c r="G651" s="55"/>
      <c r="H651" s="12"/>
    </row>
    <row r="652" ht="14.25" customHeight="1">
      <c r="C652" s="19"/>
      <c r="F652" s="55"/>
      <c r="G652" s="55"/>
      <c r="H652" s="12"/>
    </row>
    <row r="653" ht="14.25" customHeight="1">
      <c r="C653" s="19"/>
      <c r="F653" s="55"/>
      <c r="G653" s="55"/>
      <c r="H653" s="12"/>
    </row>
    <row r="654" ht="14.25" customHeight="1">
      <c r="C654" s="19"/>
      <c r="F654" s="55"/>
      <c r="G654" s="55"/>
      <c r="H654" s="12"/>
    </row>
    <row r="655" ht="14.25" customHeight="1">
      <c r="C655" s="19"/>
      <c r="F655" s="55"/>
      <c r="G655" s="55"/>
      <c r="H655" s="12"/>
    </row>
    <row r="656" ht="14.25" customHeight="1">
      <c r="C656" s="19"/>
      <c r="F656" s="55"/>
      <c r="G656" s="55"/>
      <c r="H656" s="12"/>
    </row>
    <row r="657" ht="14.25" customHeight="1">
      <c r="C657" s="19"/>
      <c r="F657" s="55"/>
      <c r="G657" s="55"/>
      <c r="H657" s="12"/>
    </row>
    <row r="658" ht="14.25" customHeight="1">
      <c r="C658" s="19"/>
      <c r="F658" s="55"/>
      <c r="G658" s="55"/>
      <c r="H658" s="12"/>
    </row>
    <row r="659" ht="14.25" customHeight="1">
      <c r="C659" s="19"/>
      <c r="F659" s="55"/>
      <c r="G659" s="55"/>
      <c r="H659" s="12"/>
    </row>
    <row r="660" ht="14.25" customHeight="1">
      <c r="C660" s="19"/>
      <c r="F660" s="55"/>
      <c r="G660" s="55"/>
      <c r="H660" s="12"/>
    </row>
    <row r="661" ht="14.25" customHeight="1">
      <c r="C661" s="19"/>
      <c r="F661" s="55"/>
      <c r="G661" s="55"/>
      <c r="H661" s="12"/>
    </row>
    <row r="662" ht="14.25" customHeight="1">
      <c r="C662" s="19"/>
      <c r="F662" s="55"/>
      <c r="G662" s="55"/>
      <c r="H662" s="12"/>
    </row>
    <row r="663" ht="14.25" customHeight="1">
      <c r="C663" s="19"/>
      <c r="F663" s="55"/>
      <c r="G663" s="55"/>
      <c r="H663" s="12"/>
    </row>
    <row r="664" ht="14.25" customHeight="1">
      <c r="C664" s="19"/>
      <c r="F664" s="55"/>
      <c r="G664" s="55"/>
      <c r="H664" s="12"/>
    </row>
    <row r="665" ht="14.25" customHeight="1">
      <c r="C665" s="19"/>
      <c r="F665" s="55"/>
      <c r="G665" s="55"/>
      <c r="H665" s="12"/>
    </row>
    <row r="666" ht="14.25" customHeight="1">
      <c r="C666" s="19"/>
      <c r="F666" s="55"/>
      <c r="G666" s="55"/>
      <c r="H666" s="12"/>
    </row>
    <row r="667" ht="14.25" customHeight="1">
      <c r="C667" s="19"/>
      <c r="F667" s="55"/>
      <c r="G667" s="55"/>
      <c r="H667" s="12"/>
    </row>
    <row r="668" ht="14.25" customHeight="1">
      <c r="C668" s="19"/>
      <c r="F668" s="55"/>
      <c r="G668" s="55"/>
      <c r="H668" s="12"/>
    </row>
    <row r="669" ht="14.25" customHeight="1">
      <c r="C669" s="19"/>
      <c r="F669" s="55"/>
      <c r="G669" s="55"/>
      <c r="H669" s="12"/>
    </row>
    <row r="670" ht="14.25" customHeight="1">
      <c r="C670" s="19"/>
      <c r="F670" s="55"/>
      <c r="G670" s="55"/>
      <c r="H670" s="12"/>
    </row>
    <row r="671" ht="14.25" customHeight="1">
      <c r="C671" s="19"/>
      <c r="F671" s="55"/>
      <c r="G671" s="55"/>
      <c r="H671" s="12"/>
    </row>
    <row r="672" ht="14.25" customHeight="1">
      <c r="C672" s="19"/>
      <c r="F672" s="55"/>
      <c r="G672" s="55"/>
      <c r="H672" s="12"/>
    </row>
    <row r="673" ht="14.25" customHeight="1">
      <c r="C673" s="19"/>
      <c r="F673" s="55"/>
      <c r="G673" s="55"/>
      <c r="H673" s="12"/>
    </row>
    <row r="674" ht="14.25" customHeight="1">
      <c r="C674" s="19"/>
      <c r="F674" s="55"/>
      <c r="G674" s="55"/>
      <c r="H674" s="12"/>
    </row>
    <row r="675" ht="14.25" customHeight="1">
      <c r="C675" s="19"/>
      <c r="F675" s="55"/>
      <c r="G675" s="55"/>
      <c r="H675" s="12"/>
    </row>
    <row r="676" ht="14.25" customHeight="1">
      <c r="C676" s="19"/>
      <c r="F676" s="55"/>
      <c r="G676" s="55"/>
      <c r="H676" s="12"/>
    </row>
    <row r="677" ht="14.25" customHeight="1">
      <c r="C677" s="19"/>
      <c r="F677" s="55"/>
      <c r="G677" s="55"/>
      <c r="H677" s="12"/>
    </row>
    <row r="678" ht="14.25" customHeight="1">
      <c r="C678" s="19"/>
      <c r="F678" s="55"/>
      <c r="G678" s="55"/>
      <c r="H678" s="12"/>
    </row>
    <row r="679" ht="14.25" customHeight="1">
      <c r="C679" s="19"/>
      <c r="F679" s="55"/>
      <c r="G679" s="55"/>
      <c r="H679" s="12"/>
    </row>
    <row r="680" ht="14.25" customHeight="1">
      <c r="C680" s="19"/>
      <c r="F680" s="55"/>
      <c r="G680" s="55"/>
      <c r="H680" s="12"/>
    </row>
    <row r="681" ht="14.25" customHeight="1">
      <c r="C681" s="19"/>
      <c r="F681" s="55"/>
      <c r="G681" s="55"/>
      <c r="H681" s="12"/>
    </row>
    <row r="682" ht="14.25" customHeight="1">
      <c r="C682" s="19"/>
      <c r="F682" s="55"/>
      <c r="G682" s="55"/>
      <c r="H682" s="12"/>
    </row>
    <row r="683" ht="14.25" customHeight="1">
      <c r="C683" s="19"/>
      <c r="F683" s="55"/>
      <c r="G683" s="55"/>
      <c r="H683" s="12"/>
    </row>
    <row r="684" ht="14.25" customHeight="1">
      <c r="C684" s="19"/>
      <c r="F684" s="55"/>
      <c r="G684" s="55"/>
      <c r="H684" s="12"/>
    </row>
    <row r="685" ht="14.25" customHeight="1">
      <c r="C685" s="19"/>
      <c r="F685" s="55"/>
      <c r="G685" s="55"/>
      <c r="H685" s="12"/>
    </row>
    <row r="686" ht="14.25" customHeight="1">
      <c r="C686" s="19"/>
      <c r="F686" s="55"/>
      <c r="G686" s="55"/>
      <c r="H686" s="12"/>
    </row>
    <row r="687" ht="14.25" customHeight="1">
      <c r="C687" s="19"/>
      <c r="F687" s="55"/>
      <c r="G687" s="55"/>
      <c r="H687" s="12"/>
    </row>
    <row r="688" ht="14.25" customHeight="1">
      <c r="C688" s="19"/>
      <c r="F688" s="55"/>
      <c r="G688" s="55"/>
      <c r="H688" s="12"/>
    </row>
    <row r="689" ht="14.25" customHeight="1">
      <c r="C689" s="19"/>
      <c r="F689" s="55"/>
      <c r="G689" s="55"/>
      <c r="H689" s="12"/>
    </row>
    <row r="690" ht="14.25" customHeight="1">
      <c r="C690" s="19"/>
      <c r="F690" s="55"/>
      <c r="G690" s="55"/>
      <c r="H690" s="12"/>
    </row>
    <row r="691" ht="14.25" customHeight="1">
      <c r="C691" s="19"/>
      <c r="F691" s="55"/>
      <c r="G691" s="55"/>
      <c r="H691" s="12"/>
    </row>
    <row r="692" ht="14.25" customHeight="1">
      <c r="C692" s="19"/>
      <c r="F692" s="55"/>
      <c r="G692" s="55"/>
      <c r="H692" s="12"/>
    </row>
    <row r="693" ht="14.25" customHeight="1">
      <c r="C693" s="19"/>
      <c r="F693" s="55"/>
      <c r="G693" s="55"/>
      <c r="H693" s="12"/>
    </row>
    <row r="694" ht="14.25" customHeight="1">
      <c r="C694" s="19"/>
      <c r="F694" s="55"/>
      <c r="G694" s="55"/>
      <c r="H694" s="12"/>
    </row>
    <row r="695" ht="14.25" customHeight="1">
      <c r="C695" s="19"/>
      <c r="F695" s="55"/>
      <c r="G695" s="55"/>
      <c r="H695" s="12"/>
    </row>
    <row r="696" ht="14.25" customHeight="1">
      <c r="C696" s="19"/>
      <c r="F696" s="55"/>
      <c r="G696" s="55"/>
      <c r="H696" s="12"/>
    </row>
    <row r="697" ht="14.25" customHeight="1">
      <c r="C697" s="19"/>
      <c r="F697" s="55"/>
      <c r="G697" s="55"/>
      <c r="H697" s="12"/>
    </row>
    <row r="698" ht="14.25" customHeight="1">
      <c r="C698" s="19"/>
      <c r="F698" s="55"/>
      <c r="G698" s="55"/>
      <c r="H698" s="12"/>
    </row>
    <row r="699" ht="14.25" customHeight="1">
      <c r="C699" s="19"/>
      <c r="F699" s="55"/>
      <c r="G699" s="55"/>
      <c r="H699" s="12"/>
    </row>
    <row r="700" ht="14.25" customHeight="1">
      <c r="C700" s="19"/>
      <c r="F700" s="55"/>
      <c r="G700" s="55"/>
      <c r="H700" s="12"/>
    </row>
    <row r="701" ht="14.25" customHeight="1">
      <c r="C701" s="19"/>
      <c r="F701" s="55"/>
      <c r="G701" s="55"/>
      <c r="H701" s="12"/>
    </row>
    <row r="702" ht="14.25" customHeight="1">
      <c r="C702" s="19"/>
      <c r="F702" s="55"/>
      <c r="G702" s="55"/>
      <c r="H702" s="12"/>
    </row>
    <row r="703" ht="14.25" customHeight="1">
      <c r="C703" s="19"/>
      <c r="F703" s="55"/>
      <c r="G703" s="55"/>
      <c r="H703" s="12"/>
    </row>
    <row r="704" ht="14.25" customHeight="1">
      <c r="C704" s="19"/>
      <c r="F704" s="55"/>
      <c r="G704" s="55"/>
      <c r="H704" s="12"/>
    </row>
    <row r="705" ht="14.25" customHeight="1">
      <c r="C705" s="19"/>
      <c r="F705" s="55"/>
      <c r="G705" s="55"/>
      <c r="H705" s="12"/>
    </row>
    <row r="706" ht="14.25" customHeight="1">
      <c r="C706" s="19"/>
      <c r="F706" s="55"/>
      <c r="G706" s="55"/>
      <c r="H706" s="12"/>
    </row>
    <row r="707" ht="14.25" customHeight="1">
      <c r="C707" s="19"/>
      <c r="F707" s="55"/>
      <c r="G707" s="55"/>
      <c r="H707" s="12"/>
    </row>
    <row r="708" ht="14.25" customHeight="1">
      <c r="C708" s="19"/>
      <c r="F708" s="55"/>
      <c r="G708" s="55"/>
      <c r="H708" s="12"/>
    </row>
    <row r="709" ht="14.25" customHeight="1">
      <c r="C709" s="19"/>
      <c r="F709" s="55"/>
      <c r="G709" s="55"/>
      <c r="H709" s="12"/>
    </row>
    <row r="710" ht="14.25" customHeight="1">
      <c r="C710" s="19"/>
      <c r="F710" s="55"/>
      <c r="G710" s="55"/>
      <c r="H710" s="12"/>
    </row>
    <row r="711" ht="14.25" customHeight="1">
      <c r="C711" s="19"/>
      <c r="F711" s="55"/>
      <c r="G711" s="55"/>
      <c r="H711" s="12"/>
    </row>
    <row r="712" ht="14.25" customHeight="1">
      <c r="C712" s="19"/>
      <c r="F712" s="55"/>
      <c r="G712" s="55"/>
      <c r="H712" s="12"/>
    </row>
    <row r="713" ht="14.25" customHeight="1">
      <c r="C713" s="19"/>
      <c r="F713" s="55"/>
      <c r="G713" s="55"/>
      <c r="H713" s="12"/>
    </row>
    <row r="714" ht="14.25" customHeight="1">
      <c r="C714" s="19"/>
      <c r="F714" s="55"/>
      <c r="G714" s="55"/>
      <c r="H714" s="12"/>
    </row>
    <row r="715" ht="14.25" customHeight="1">
      <c r="C715" s="19"/>
      <c r="F715" s="55"/>
      <c r="G715" s="55"/>
      <c r="H715" s="12"/>
    </row>
    <row r="716" ht="14.25" customHeight="1">
      <c r="C716" s="19"/>
      <c r="F716" s="55"/>
      <c r="G716" s="55"/>
      <c r="H716" s="12"/>
    </row>
    <row r="717" ht="14.25" customHeight="1">
      <c r="C717" s="19"/>
      <c r="F717" s="55"/>
      <c r="G717" s="55"/>
      <c r="H717" s="12"/>
    </row>
    <row r="718" ht="14.25" customHeight="1">
      <c r="C718" s="19"/>
      <c r="F718" s="55"/>
      <c r="G718" s="55"/>
      <c r="H718" s="12"/>
    </row>
    <row r="719" ht="14.25" customHeight="1">
      <c r="C719" s="19"/>
      <c r="F719" s="55"/>
      <c r="G719" s="55"/>
      <c r="H719" s="12"/>
    </row>
    <row r="720" ht="14.25" customHeight="1">
      <c r="C720" s="19"/>
      <c r="F720" s="55"/>
      <c r="G720" s="55"/>
      <c r="H720" s="12"/>
    </row>
    <row r="721" ht="14.25" customHeight="1">
      <c r="C721" s="19"/>
      <c r="F721" s="55"/>
      <c r="G721" s="55"/>
      <c r="H721" s="12"/>
    </row>
    <row r="722" ht="14.25" customHeight="1">
      <c r="C722" s="19"/>
      <c r="F722" s="55"/>
      <c r="G722" s="55"/>
      <c r="H722" s="12"/>
    </row>
    <row r="723" ht="14.25" customHeight="1">
      <c r="C723" s="19"/>
      <c r="F723" s="55"/>
      <c r="G723" s="55"/>
      <c r="H723" s="12"/>
    </row>
    <row r="724" ht="14.25" customHeight="1">
      <c r="C724" s="19"/>
      <c r="F724" s="55"/>
      <c r="G724" s="55"/>
      <c r="H724" s="12"/>
    </row>
    <row r="725" ht="14.25" customHeight="1">
      <c r="C725" s="19"/>
      <c r="F725" s="55"/>
      <c r="G725" s="55"/>
      <c r="H725" s="12"/>
    </row>
    <row r="726" ht="14.25" customHeight="1">
      <c r="C726" s="19"/>
      <c r="F726" s="55"/>
      <c r="G726" s="55"/>
      <c r="H726" s="12"/>
    </row>
    <row r="727" ht="14.25" customHeight="1">
      <c r="C727" s="19"/>
      <c r="F727" s="55"/>
      <c r="G727" s="55"/>
      <c r="H727" s="12"/>
    </row>
    <row r="728" ht="14.25" customHeight="1">
      <c r="C728" s="19"/>
      <c r="F728" s="55"/>
      <c r="G728" s="55"/>
      <c r="H728" s="12"/>
    </row>
    <row r="729" ht="14.25" customHeight="1">
      <c r="C729" s="19"/>
      <c r="F729" s="55"/>
      <c r="G729" s="55"/>
      <c r="H729" s="12"/>
    </row>
    <row r="730" ht="14.25" customHeight="1">
      <c r="C730" s="19"/>
      <c r="F730" s="55"/>
      <c r="G730" s="55"/>
      <c r="H730" s="12"/>
    </row>
    <row r="731" ht="14.25" customHeight="1">
      <c r="C731" s="19"/>
      <c r="F731" s="55"/>
      <c r="G731" s="55"/>
      <c r="H731" s="12"/>
    </row>
    <row r="732" ht="14.25" customHeight="1">
      <c r="C732" s="19"/>
      <c r="F732" s="55"/>
      <c r="G732" s="55"/>
      <c r="H732" s="12"/>
    </row>
    <row r="733" ht="14.25" customHeight="1">
      <c r="C733" s="19"/>
      <c r="F733" s="55"/>
      <c r="G733" s="55"/>
      <c r="H733" s="12"/>
    </row>
    <row r="734" ht="14.25" customHeight="1">
      <c r="C734" s="19"/>
      <c r="F734" s="55"/>
      <c r="G734" s="55"/>
      <c r="H734" s="12"/>
    </row>
    <row r="735" ht="14.25" customHeight="1">
      <c r="C735" s="19"/>
      <c r="F735" s="55"/>
      <c r="G735" s="55"/>
      <c r="H735" s="12"/>
    </row>
    <row r="736" ht="14.25" customHeight="1">
      <c r="C736" s="19"/>
      <c r="F736" s="55"/>
      <c r="G736" s="55"/>
      <c r="H736" s="12"/>
    </row>
    <row r="737" ht="14.25" customHeight="1">
      <c r="C737" s="19"/>
      <c r="F737" s="55"/>
      <c r="G737" s="55"/>
      <c r="H737" s="12"/>
    </row>
    <row r="738" ht="14.25" customHeight="1">
      <c r="C738" s="19"/>
      <c r="F738" s="55"/>
      <c r="G738" s="55"/>
      <c r="H738" s="12"/>
    </row>
    <row r="739" ht="14.25" customHeight="1">
      <c r="C739" s="19"/>
      <c r="F739" s="55"/>
      <c r="G739" s="55"/>
      <c r="H739" s="12"/>
    </row>
    <row r="740" ht="14.25" customHeight="1">
      <c r="C740" s="19"/>
      <c r="F740" s="55"/>
      <c r="G740" s="55"/>
      <c r="H740" s="12"/>
    </row>
    <row r="741" ht="14.25" customHeight="1">
      <c r="C741" s="19"/>
      <c r="F741" s="55"/>
      <c r="G741" s="55"/>
      <c r="H741" s="12"/>
    </row>
    <row r="742" ht="14.25" customHeight="1">
      <c r="C742" s="19"/>
      <c r="F742" s="55"/>
      <c r="G742" s="55"/>
      <c r="H742" s="12"/>
    </row>
    <row r="743" ht="14.25" customHeight="1">
      <c r="C743" s="19"/>
      <c r="F743" s="55"/>
      <c r="G743" s="55"/>
      <c r="H743" s="12"/>
    </row>
    <row r="744" ht="14.25" customHeight="1">
      <c r="C744" s="19"/>
      <c r="F744" s="55"/>
      <c r="G744" s="55"/>
      <c r="H744" s="12"/>
    </row>
    <row r="745" ht="14.25" customHeight="1">
      <c r="C745" s="19"/>
      <c r="F745" s="55"/>
      <c r="G745" s="55"/>
      <c r="H745" s="12"/>
    </row>
    <row r="746" ht="14.25" customHeight="1">
      <c r="C746" s="19"/>
      <c r="F746" s="55"/>
      <c r="G746" s="55"/>
      <c r="H746" s="12"/>
    </row>
    <row r="747" ht="14.25" customHeight="1">
      <c r="C747" s="19"/>
      <c r="F747" s="55"/>
      <c r="G747" s="55"/>
      <c r="H747" s="12"/>
    </row>
    <row r="748" ht="14.25" customHeight="1">
      <c r="C748" s="19"/>
      <c r="F748" s="55"/>
      <c r="G748" s="55"/>
      <c r="H748" s="12"/>
    </row>
    <row r="749" ht="14.25" customHeight="1">
      <c r="C749" s="19"/>
      <c r="F749" s="55"/>
      <c r="G749" s="55"/>
      <c r="H749" s="12"/>
    </row>
    <row r="750" ht="14.25" customHeight="1">
      <c r="C750" s="19"/>
      <c r="F750" s="55"/>
      <c r="G750" s="55"/>
      <c r="H750" s="12"/>
    </row>
    <row r="751" ht="14.25" customHeight="1">
      <c r="C751" s="19"/>
      <c r="F751" s="55"/>
      <c r="G751" s="55"/>
      <c r="H751" s="12"/>
    </row>
    <row r="752" ht="14.25" customHeight="1">
      <c r="C752" s="19"/>
      <c r="F752" s="55"/>
      <c r="G752" s="55"/>
      <c r="H752" s="12"/>
    </row>
    <row r="753" ht="14.25" customHeight="1">
      <c r="C753" s="19"/>
      <c r="F753" s="55"/>
      <c r="G753" s="55"/>
      <c r="H753" s="12"/>
    </row>
    <row r="754" ht="14.25" customHeight="1">
      <c r="C754" s="19"/>
      <c r="F754" s="55"/>
      <c r="G754" s="55"/>
      <c r="H754" s="12"/>
    </row>
    <row r="755" ht="14.25" customHeight="1">
      <c r="C755" s="19"/>
      <c r="F755" s="55"/>
      <c r="G755" s="55"/>
      <c r="H755" s="12"/>
    </row>
    <row r="756" ht="14.25" customHeight="1">
      <c r="C756" s="19"/>
      <c r="F756" s="55"/>
      <c r="G756" s="55"/>
      <c r="H756" s="12"/>
    </row>
    <row r="757" ht="14.25" customHeight="1">
      <c r="C757" s="19"/>
      <c r="F757" s="55"/>
      <c r="G757" s="55"/>
      <c r="H757" s="12"/>
    </row>
    <row r="758" ht="14.25" customHeight="1">
      <c r="C758" s="19"/>
      <c r="F758" s="55"/>
      <c r="G758" s="55"/>
      <c r="H758" s="12"/>
    </row>
    <row r="759" ht="14.25" customHeight="1">
      <c r="C759" s="19"/>
      <c r="F759" s="55"/>
      <c r="G759" s="55"/>
      <c r="H759" s="12"/>
    </row>
    <row r="760" ht="14.25" customHeight="1">
      <c r="C760" s="19"/>
      <c r="F760" s="55"/>
      <c r="G760" s="55"/>
      <c r="H760" s="12"/>
    </row>
    <row r="761" ht="14.25" customHeight="1">
      <c r="C761" s="19"/>
      <c r="F761" s="55"/>
      <c r="G761" s="55"/>
      <c r="H761" s="12"/>
    </row>
    <row r="762" ht="14.25" customHeight="1">
      <c r="C762" s="19"/>
      <c r="F762" s="55"/>
      <c r="G762" s="55"/>
      <c r="H762" s="12"/>
    </row>
    <row r="763" ht="14.25" customHeight="1">
      <c r="C763" s="19"/>
      <c r="F763" s="55"/>
      <c r="G763" s="55"/>
      <c r="H763" s="12"/>
    </row>
    <row r="764" ht="14.25" customHeight="1">
      <c r="C764" s="19"/>
      <c r="F764" s="55"/>
      <c r="G764" s="55"/>
      <c r="H764" s="12"/>
    </row>
    <row r="765" ht="14.25" customHeight="1">
      <c r="C765" s="19"/>
      <c r="F765" s="55"/>
      <c r="G765" s="55"/>
      <c r="H765" s="12"/>
    </row>
    <row r="766" ht="14.25" customHeight="1">
      <c r="C766" s="19"/>
      <c r="F766" s="55"/>
      <c r="G766" s="55"/>
      <c r="H766" s="12"/>
    </row>
    <row r="767" ht="14.25" customHeight="1">
      <c r="C767" s="19"/>
      <c r="F767" s="55"/>
      <c r="G767" s="55"/>
      <c r="H767" s="12"/>
    </row>
    <row r="768" ht="14.25" customHeight="1">
      <c r="C768" s="19"/>
      <c r="F768" s="55"/>
      <c r="G768" s="55"/>
      <c r="H768" s="12"/>
    </row>
    <row r="769" ht="14.25" customHeight="1">
      <c r="C769" s="19"/>
      <c r="F769" s="55"/>
      <c r="G769" s="55"/>
      <c r="H769" s="12"/>
    </row>
    <row r="770" ht="14.25" customHeight="1">
      <c r="C770" s="19"/>
      <c r="F770" s="55"/>
      <c r="G770" s="55"/>
      <c r="H770" s="12"/>
    </row>
    <row r="771" ht="14.25" customHeight="1">
      <c r="C771" s="19"/>
      <c r="F771" s="55"/>
      <c r="G771" s="55"/>
      <c r="H771" s="12"/>
    </row>
    <row r="772" ht="14.25" customHeight="1">
      <c r="C772" s="19"/>
      <c r="F772" s="55"/>
      <c r="G772" s="55"/>
      <c r="H772" s="12"/>
    </row>
    <row r="773" ht="14.25" customHeight="1">
      <c r="C773" s="19"/>
      <c r="F773" s="55"/>
      <c r="G773" s="55"/>
      <c r="H773" s="12"/>
    </row>
    <row r="774" ht="14.25" customHeight="1">
      <c r="C774" s="19"/>
      <c r="F774" s="55"/>
      <c r="G774" s="55"/>
      <c r="H774" s="12"/>
    </row>
    <row r="775" ht="14.25" customHeight="1">
      <c r="C775" s="19"/>
      <c r="F775" s="55"/>
      <c r="G775" s="55"/>
      <c r="H775" s="12"/>
    </row>
    <row r="776" ht="14.25" customHeight="1">
      <c r="C776" s="19"/>
      <c r="F776" s="55"/>
      <c r="G776" s="55"/>
      <c r="H776" s="12"/>
    </row>
    <row r="777" ht="14.25" customHeight="1">
      <c r="C777" s="19"/>
      <c r="F777" s="55"/>
      <c r="G777" s="55"/>
      <c r="H777" s="12"/>
    </row>
    <row r="778" ht="14.25" customHeight="1">
      <c r="C778" s="19"/>
      <c r="F778" s="55"/>
      <c r="G778" s="55"/>
      <c r="H778" s="12"/>
    </row>
    <row r="779" ht="14.25" customHeight="1">
      <c r="C779" s="19"/>
      <c r="F779" s="55"/>
      <c r="G779" s="55"/>
      <c r="H779" s="12"/>
    </row>
    <row r="780" ht="14.25" customHeight="1">
      <c r="C780" s="19"/>
      <c r="F780" s="55"/>
      <c r="G780" s="55"/>
      <c r="H780" s="12"/>
    </row>
    <row r="781" ht="14.25" customHeight="1">
      <c r="C781" s="19"/>
      <c r="F781" s="55"/>
      <c r="G781" s="55"/>
      <c r="H781" s="12"/>
    </row>
    <row r="782" ht="14.25" customHeight="1">
      <c r="C782" s="19"/>
      <c r="F782" s="55"/>
      <c r="G782" s="55"/>
      <c r="H782" s="12"/>
    </row>
    <row r="783" ht="14.25" customHeight="1">
      <c r="C783" s="19"/>
      <c r="F783" s="55"/>
      <c r="G783" s="55"/>
      <c r="H783" s="12"/>
    </row>
    <row r="784" ht="14.25" customHeight="1">
      <c r="C784" s="19"/>
      <c r="F784" s="55"/>
      <c r="G784" s="55"/>
      <c r="H784" s="12"/>
    </row>
    <row r="785" ht="14.25" customHeight="1">
      <c r="C785" s="19"/>
      <c r="F785" s="55"/>
      <c r="G785" s="55"/>
      <c r="H785" s="12"/>
    </row>
    <row r="786" ht="14.25" customHeight="1">
      <c r="C786" s="19"/>
      <c r="F786" s="55"/>
      <c r="G786" s="55"/>
      <c r="H786" s="12"/>
    </row>
    <row r="787" ht="14.25" customHeight="1">
      <c r="C787" s="19"/>
      <c r="F787" s="55"/>
      <c r="G787" s="55"/>
      <c r="H787" s="12"/>
    </row>
    <row r="788" ht="14.25" customHeight="1">
      <c r="C788" s="19"/>
      <c r="F788" s="55"/>
      <c r="G788" s="55"/>
      <c r="H788" s="12"/>
    </row>
    <row r="789" ht="14.25" customHeight="1">
      <c r="C789" s="19"/>
      <c r="F789" s="55"/>
      <c r="G789" s="55"/>
      <c r="H789" s="12"/>
    </row>
    <row r="790" ht="14.25" customHeight="1">
      <c r="C790" s="19"/>
      <c r="F790" s="55"/>
      <c r="G790" s="55"/>
      <c r="H790" s="12"/>
    </row>
    <row r="791" ht="14.25" customHeight="1">
      <c r="C791" s="19"/>
      <c r="F791" s="55"/>
      <c r="G791" s="55"/>
      <c r="H791" s="12"/>
    </row>
    <row r="792" ht="14.25" customHeight="1">
      <c r="C792" s="19"/>
      <c r="F792" s="55"/>
      <c r="G792" s="55"/>
      <c r="H792" s="12"/>
    </row>
    <row r="793" ht="14.25" customHeight="1">
      <c r="C793" s="19"/>
      <c r="F793" s="55"/>
      <c r="G793" s="55"/>
      <c r="H793" s="12"/>
    </row>
    <row r="794" ht="14.25" customHeight="1">
      <c r="C794" s="19"/>
      <c r="F794" s="55"/>
      <c r="G794" s="55"/>
      <c r="H794" s="12"/>
    </row>
    <row r="795" ht="14.25" customHeight="1">
      <c r="C795" s="19"/>
      <c r="F795" s="55"/>
      <c r="G795" s="55"/>
      <c r="H795" s="12"/>
    </row>
    <row r="796" ht="14.25" customHeight="1">
      <c r="C796" s="19"/>
      <c r="F796" s="55"/>
      <c r="G796" s="55"/>
      <c r="H796" s="12"/>
    </row>
    <row r="797" ht="14.25" customHeight="1">
      <c r="C797" s="19"/>
      <c r="F797" s="55"/>
      <c r="G797" s="55"/>
      <c r="H797" s="12"/>
    </row>
    <row r="798" ht="14.25" customHeight="1">
      <c r="C798" s="19"/>
      <c r="F798" s="55"/>
      <c r="G798" s="55"/>
      <c r="H798" s="12"/>
    </row>
    <row r="799" ht="14.25" customHeight="1">
      <c r="C799" s="19"/>
      <c r="F799" s="55"/>
      <c r="G799" s="55"/>
      <c r="H799" s="12"/>
    </row>
    <row r="800" ht="14.25" customHeight="1">
      <c r="C800" s="19"/>
      <c r="F800" s="55"/>
      <c r="G800" s="55"/>
      <c r="H800" s="12"/>
    </row>
    <row r="801" ht="14.25" customHeight="1">
      <c r="C801" s="19"/>
      <c r="F801" s="55"/>
      <c r="G801" s="55"/>
      <c r="H801" s="12"/>
    </row>
    <row r="802" ht="14.25" customHeight="1">
      <c r="C802" s="19"/>
      <c r="F802" s="55"/>
      <c r="G802" s="55"/>
      <c r="H802" s="12"/>
    </row>
    <row r="803" ht="14.25" customHeight="1">
      <c r="C803" s="19"/>
      <c r="F803" s="55"/>
      <c r="G803" s="55"/>
      <c r="H803" s="12"/>
    </row>
    <row r="804" ht="14.25" customHeight="1">
      <c r="C804" s="19"/>
      <c r="F804" s="55"/>
      <c r="G804" s="55"/>
      <c r="H804" s="12"/>
    </row>
    <row r="805" ht="14.25" customHeight="1">
      <c r="C805" s="19"/>
      <c r="F805" s="55"/>
      <c r="G805" s="55"/>
      <c r="H805" s="12"/>
    </row>
    <row r="806" ht="14.25" customHeight="1">
      <c r="C806" s="19"/>
      <c r="F806" s="55"/>
      <c r="G806" s="55"/>
      <c r="H806" s="12"/>
    </row>
    <row r="807" ht="14.25" customHeight="1">
      <c r="C807" s="19"/>
      <c r="F807" s="55"/>
      <c r="G807" s="55"/>
      <c r="H807" s="12"/>
    </row>
    <row r="808" ht="14.25" customHeight="1">
      <c r="C808" s="19"/>
      <c r="F808" s="55"/>
      <c r="G808" s="55"/>
      <c r="H808" s="12"/>
    </row>
    <row r="809" ht="14.25" customHeight="1">
      <c r="C809" s="19"/>
      <c r="F809" s="55"/>
      <c r="G809" s="55"/>
      <c r="H809" s="12"/>
    </row>
    <row r="810" ht="14.25" customHeight="1">
      <c r="C810" s="19"/>
      <c r="F810" s="55"/>
      <c r="G810" s="55"/>
      <c r="H810" s="12"/>
    </row>
    <row r="811" ht="14.25" customHeight="1">
      <c r="C811" s="19"/>
      <c r="F811" s="55"/>
      <c r="G811" s="55"/>
      <c r="H811" s="12"/>
    </row>
    <row r="812" ht="14.25" customHeight="1">
      <c r="C812" s="19"/>
      <c r="F812" s="55"/>
      <c r="G812" s="55"/>
      <c r="H812" s="12"/>
    </row>
    <row r="813" ht="14.25" customHeight="1">
      <c r="C813" s="19"/>
      <c r="F813" s="55"/>
      <c r="G813" s="55"/>
      <c r="H813" s="12"/>
    </row>
    <row r="814" ht="14.25" customHeight="1">
      <c r="C814" s="19"/>
      <c r="F814" s="55"/>
      <c r="G814" s="55"/>
      <c r="H814" s="12"/>
    </row>
    <row r="815" ht="14.25" customHeight="1">
      <c r="C815" s="19"/>
      <c r="F815" s="55"/>
      <c r="G815" s="55"/>
      <c r="H815" s="12"/>
    </row>
    <row r="816" ht="14.25" customHeight="1">
      <c r="C816" s="19"/>
      <c r="F816" s="55"/>
      <c r="G816" s="55"/>
      <c r="H816" s="12"/>
    </row>
    <row r="817" ht="14.25" customHeight="1">
      <c r="C817" s="19"/>
      <c r="F817" s="55"/>
      <c r="G817" s="55"/>
      <c r="H817" s="12"/>
    </row>
    <row r="818" ht="14.25" customHeight="1">
      <c r="C818" s="19"/>
      <c r="F818" s="55"/>
      <c r="G818" s="55"/>
      <c r="H818" s="12"/>
    </row>
    <row r="819" ht="14.25" customHeight="1">
      <c r="C819" s="19"/>
      <c r="F819" s="55"/>
      <c r="G819" s="55"/>
      <c r="H819" s="12"/>
    </row>
    <row r="820" ht="14.25" customHeight="1">
      <c r="C820" s="19"/>
      <c r="F820" s="55"/>
      <c r="G820" s="55"/>
      <c r="H820" s="12"/>
    </row>
    <row r="821" ht="14.25" customHeight="1">
      <c r="C821" s="19"/>
      <c r="F821" s="55"/>
      <c r="G821" s="55"/>
      <c r="H821" s="12"/>
    </row>
    <row r="822" ht="14.25" customHeight="1">
      <c r="C822" s="19"/>
      <c r="F822" s="55"/>
      <c r="G822" s="55"/>
      <c r="H822" s="12"/>
    </row>
    <row r="823" ht="14.25" customHeight="1">
      <c r="C823" s="19"/>
      <c r="F823" s="55"/>
      <c r="G823" s="55"/>
      <c r="H823" s="12"/>
    </row>
    <row r="824" ht="14.25" customHeight="1">
      <c r="C824" s="19"/>
      <c r="F824" s="55"/>
      <c r="G824" s="55"/>
      <c r="H824" s="12"/>
    </row>
    <row r="825" ht="14.25" customHeight="1">
      <c r="C825" s="19"/>
      <c r="F825" s="55"/>
      <c r="G825" s="55"/>
      <c r="H825" s="12"/>
    </row>
    <row r="826" ht="14.25" customHeight="1">
      <c r="C826" s="19"/>
      <c r="F826" s="55"/>
      <c r="G826" s="55"/>
      <c r="H826" s="12"/>
    </row>
    <row r="827" ht="14.25" customHeight="1">
      <c r="C827" s="19"/>
      <c r="F827" s="55"/>
      <c r="G827" s="55"/>
      <c r="H827" s="12"/>
    </row>
    <row r="828" ht="14.25" customHeight="1">
      <c r="C828" s="19"/>
      <c r="F828" s="55"/>
      <c r="G828" s="55"/>
      <c r="H828" s="12"/>
    </row>
    <row r="829" ht="14.25" customHeight="1">
      <c r="C829" s="19"/>
      <c r="F829" s="55"/>
      <c r="G829" s="55"/>
      <c r="H829" s="12"/>
    </row>
    <row r="830" ht="14.25" customHeight="1">
      <c r="C830" s="19"/>
      <c r="F830" s="55"/>
      <c r="G830" s="55"/>
      <c r="H830" s="12"/>
    </row>
    <row r="831" ht="14.25" customHeight="1">
      <c r="C831" s="19"/>
      <c r="F831" s="55"/>
      <c r="G831" s="55"/>
      <c r="H831" s="12"/>
    </row>
    <row r="832" ht="14.25" customHeight="1">
      <c r="C832" s="19"/>
      <c r="F832" s="55"/>
      <c r="G832" s="55"/>
      <c r="H832" s="12"/>
    </row>
    <row r="833" ht="14.25" customHeight="1">
      <c r="C833" s="19"/>
      <c r="F833" s="55"/>
      <c r="G833" s="55"/>
      <c r="H833" s="12"/>
    </row>
    <row r="834" ht="14.25" customHeight="1">
      <c r="C834" s="19"/>
      <c r="F834" s="55"/>
      <c r="G834" s="55"/>
      <c r="H834" s="12"/>
    </row>
    <row r="835" ht="14.25" customHeight="1">
      <c r="C835" s="19"/>
      <c r="F835" s="55"/>
      <c r="G835" s="55"/>
      <c r="H835" s="12"/>
    </row>
    <row r="836" ht="14.25" customHeight="1">
      <c r="C836" s="19"/>
      <c r="F836" s="55"/>
      <c r="G836" s="55"/>
      <c r="H836" s="12"/>
    </row>
    <row r="837" ht="14.25" customHeight="1">
      <c r="C837" s="19"/>
      <c r="F837" s="55"/>
      <c r="G837" s="55"/>
      <c r="H837" s="12"/>
    </row>
    <row r="838" ht="14.25" customHeight="1">
      <c r="C838" s="19"/>
      <c r="F838" s="55"/>
      <c r="G838" s="55"/>
      <c r="H838" s="12"/>
    </row>
    <row r="839" ht="14.25" customHeight="1">
      <c r="C839" s="19"/>
      <c r="F839" s="55"/>
      <c r="G839" s="55"/>
      <c r="H839" s="12"/>
    </row>
    <row r="840" ht="14.25" customHeight="1">
      <c r="C840" s="19"/>
      <c r="F840" s="55"/>
      <c r="G840" s="55"/>
      <c r="H840" s="12"/>
    </row>
    <row r="841" ht="14.25" customHeight="1">
      <c r="C841" s="19"/>
      <c r="F841" s="55"/>
      <c r="G841" s="55"/>
      <c r="H841" s="12"/>
    </row>
    <row r="842" ht="14.25" customHeight="1">
      <c r="C842" s="19"/>
      <c r="F842" s="55"/>
      <c r="G842" s="55"/>
      <c r="H842" s="12"/>
    </row>
    <row r="843" ht="14.25" customHeight="1">
      <c r="C843" s="19"/>
      <c r="F843" s="55"/>
      <c r="G843" s="55"/>
      <c r="H843" s="12"/>
    </row>
    <row r="844" ht="14.25" customHeight="1">
      <c r="C844" s="19"/>
      <c r="F844" s="55"/>
      <c r="G844" s="55"/>
      <c r="H844" s="12"/>
    </row>
    <row r="845" ht="14.25" customHeight="1">
      <c r="C845" s="19"/>
      <c r="F845" s="55"/>
      <c r="G845" s="55"/>
      <c r="H845" s="12"/>
    </row>
    <row r="846" ht="14.25" customHeight="1">
      <c r="C846" s="19"/>
      <c r="F846" s="55"/>
      <c r="G846" s="55"/>
      <c r="H846" s="12"/>
    </row>
    <row r="847" ht="14.25" customHeight="1">
      <c r="C847" s="19"/>
      <c r="F847" s="55"/>
      <c r="G847" s="55"/>
      <c r="H847" s="12"/>
    </row>
    <row r="848" ht="14.25" customHeight="1">
      <c r="C848" s="19"/>
      <c r="F848" s="55"/>
      <c r="G848" s="55"/>
      <c r="H848" s="12"/>
    </row>
    <row r="849" ht="14.25" customHeight="1">
      <c r="C849" s="19"/>
      <c r="F849" s="55"/>
      <c r="G849" s="55"/>
      <c r="H849" s="12"/>
    </row>
    <row r="850" ht="14.25" customHeight="1">
      <c r="C850" s="19"/>
      <c r="F850" s="55"/>
      <c r="G850" s="55"/>
      <c r="H850" s="12"/>
    </row>
    <row r="851" ht="14.25" customHeight="1">
      <c r="C851" s="19"/>
      <c r="F851" s="55"/>
      <c r="G851" s="55"/>
      <c r="H851" s="12"/>
    </row>
    <row r="852" ht="14.25" customHeight="1">
      <c r="C852" s="19"/>
      <c r="F852" s="55"/>
      <c r="G852" s="55"/>
      <c r="H852" s="12"/>
    </row>
    <row r="853" ht="14.25" customHeight="1">
      <c r="C853" s="19"/>
      <c r="F853" s="55"/>
      <c r="G853" s="55"/>
      <c r="H853" s="12"/>
    </row>
    <row r="854" ht="14.25" customHeight="1">
      <c r="C854" s="19"/>
      <c r="F854" s="55"/>
      <c r="G854" s="55"/>
      <c r="H854" s="12"/>
    </row>
    <row r="855" ht="14.25" customHeight="1">
      <c r="C855" s="19"/>
      <c r="F855" s="55"/>
      <c r="G855" s="55"/>
      <c r="H855" s="12"/>
    </row>
    <row r="856" ht="14.25" customHeight="1">
      <c r="C856" s="19"/>
      <c r="F856" s="55"/>
      <c r="G856" s="55"/>
      <c r="H856" s="12"/>
    </row>
    <row r="857" ht="14.25" customHeight="1">
      <c r="C857" s="19"/>
      <c r="F857" s="55"/>
      <c r="G857" s="55"/>
      <c r="H857" s="12"/>
    </row>
    <row r="858" ht="14.25" customHeight="1">
      <c r="C858" s="19"/>
      <c r="F858" s="55"/>
      <c r="G858" s="55"/>
      <c r="H858" s="12"/>
    </row>
    <row r="859" ht="14.25" customHeight="1">
      <c r="C859" s="19"/>
      <c r="F859" s="55"/>
      <c r="G859" s="55"/>
      <c r="H859" s="12"/>
    </row>
    <row r="860" ht="14.25" customHeight="1">
      <c r="C860" s="19"/>
      <c r="F860" s="55"/>
      <c r="G860" s="55"/>
      <c r="H860" s="12"/>
    </row>
    <row r="861" ht="14.25" customHeight="1">
      <c r="C861" s="19"/>
      <c r="F861" s="55"/>
      <c r="G861" s="55"/>
      <c r="H861" s="12"/>
    </row>
    <row r="862" ht="14.25" customHeight="1">
      <c r="C862" s="19"/>
      <c r="F862" s="55"/>
      <c r="G862" s="55"/>
      <c r="H862" s="12"/>
    </row>
    <row r="863" ht="14.25" customHeight="1">
      <c r="C863" s="19"/>
      <c r="F863" s="55"/>
      <c r="G863" s="55"/>
      <c r="H863" s="12"/>
    </row>
    <row r="864" ht="14.25" customHeight="1">
      <c r="C864" s="19"/>
      <c r="F864" s="55"/>
      <c r="G864" s="55"/>
      <c r="H864" s="12"/>
    </row>
    <row r="865" ht="14.25" customHeight="1">
      <c r="C865" s="19"/>
      <c r="F865" s="55"/>
      <c r="G865" s="55"/>
      <c r="H865" s="12"/>
    </row>
    <row r="866" ht="14.25" customHeight="1">
      <c r="C866" s="19"/>
      <c r="F866" s="55"/>
      <c r="G866" s="55"/>
      <c r="H866" s="12"/>
    </row>
    <row r="867" ht="14.25" customHeight="1">
      <c r="C867" s="19"/>
      <c r="F867" s="55"/>
      <c r="G867" s="55"/>
      <c r="H867" s="12"/>
    </row>
    <row r="868" ht="14.25" customHeight="1">
      <c r="C868" s="19"/>
      <c r="F868" s="55"/>
      <c r="G868" s="55"/>
      <c r="H868" s="12"/>
    </row>
    <row r="869" ht="14.25" customHeight="1">
      <c r="C869" s="19"/>
      <c r="F869" s="55"/>
      <c r="G869" s="55"/>
      <c r="H869" s="12"/>
    </row>
    <row r="870" ht="14.25" customHeight="1">
      <c r="C870" s="19"/>
      <c r="F870" s="55"/>
      <c r="G870" s="55"/>
      <c r="H870" s="12"/>
    </row>
    <row r="871" ht="14.25" customHeight="1">
      <c r="C871" s="19"/>
      <c r="F871" s="55"/>
      <c r="G871" s="55"/>
      <c r="H871" s="12"/>
    </row>
    <row r="872" ht="14.25" customHeight="1">
      <c r="C872" s="19"/>
      <c r="F872" s="55"/>
      <c r="G872" s="55"/>
      <c r="H872" s="12"/>
    </row>
    <row r="873" ht="14.25" customHeight="1">
      <c r="C873" s="19"/>
      <c r="F873" s="55"/>
      <c r="G873" s="55"/>
      <c r="H873" s="12"/>
    </row>
    <row r="874" ht="14.25" customHeight="1">
      <c r="C874" s="19"/>
      <c r="F874" s="55"/>
      <c r="G874" s="55"/>
      <c r="H874" s="12"/>
    </row>
    <row r="875" ht="14.25" customHeight="1">
      <c r="C875" s="19"/>
      <c r="F875" s="55"/>
      <c r="G875" s="55"/>
      <c r="H875" s="12"/>
    </row>
    <row r="876" ht="14.25" customHeight="1">
      <c r="C876" s="19"/>
      <c r="F876" s="55"/>
      <c r="G876" s="55"/>
      <c r="H876" s="12"/>
    </row>
    <row r="877" ht="14.25" customHeight="1">
      <c r="C877" s="19"/>
      <c r="F877" s="55"/>
      <c r="G877" s="55"/>
      <c r="H877" s="12"/>
    </row>
    <row r="878" ht="14.25" customHeight="1">
      <c r="C878" s="19"/>
      <c r="F878" s="55"/>
      <c r="G878" s="55"/>
      <c r="H878" s="12"/>
    </row>
    <row r="879" ht="14.25" customHeight="1">
      <c r="C879" s="19"/>
      <c r="F879" s="55"/>
      <c r="G879" s="55"/>
      <c r="H879" s="12"/>
    </row>
    <row r="880" ht="14.25" customHeight="1">
      <c r="C880" s="19"/>
      <c r="F880" s="55"/>
      <c r="G880" s="55"/>
      <c r="H880" s="12"/>
    </row>
    <row r="881" ht="14.25" customHeight="1">
      <c r="C881" s="19"/>
      <c r="F881" s="55"/>
      <c r="G881" s="55"/>
      <c r="H881" s="12"/>
    </row>
    <row r="882" ht="14.25" customHeight="1">
      <c r="C882" s="19"/>
      <c r="F882" s="55"/>
      <c r="G882" s="55"/>
      <c r="H882" s="12"/>
    </row>
    <row r="883" ht="14.25" customHeight="1">
      <c r="C883" s="19"/>
      <c r="F883" s="55"/>
      <c r="G883" s="55"/>
      <c r="H883" s="12"/>
    </row>
    <row r="884" ht="14.25" customHeight="1">
      <c r="C884" s="19"/>
      <c r="F884" s="55"/>
      <c r="G884" s="55"/>
      <c r="H884" s="12"/>
    </row>
    <row r="885" ht="14.25" customHeight="1">
      <c r="C885" s="19"/>
      <c r="F885" s="55"/>
      <c r="G885" s="55"/>
      <c r="H885" s="12"/>
    </row>
    <row r="886" ht="14.25" customHeight="1">
      <c r="C886" s="19"/>
      <c r="F886" s="55"/>
      <c r="G886" s="55"/>
      <c r="H886" s="12"/>
    </row>
    <row r="887" ht="14.25" customHeight="1">
      <c r="C887" s="19"/>
      <c r="F887" s="55"/>
      <c r="G887" s="55"/>
      <c r="H887" s="12"/>
    </row>
    <row r="888" ht="14.25" customHeight="1">
      <c r="C888" s="19"/>
      <c r="F888" s="55"/>
      <c r="G888" s="55"/>
      <c r="H888" s="12"/>
    </row>
    <row r="889" ht="14.25" customHeight="1">
      <c r="C889" s="19"/>
      <c r="F889" s="55"/>
      <c r="G889" s="55"/>
      <c r="H889" s="12"/>
    </row>
    <row r="890" ht="14.25" customHeight="1">
      <c r="C890" s="19"/>
      <c r="F890" s="55"/>
      <c r="G890" s="55"/>
      <c r="H890" s="12"/>
    </row>
    <row r="891" ht="14.25" customHeight="1">
      <c r="C891" s="19"/>
      <c r="F891" s="55"/>
      <c r="G891" s="55"/>
      <c r="H891" s="12"/>
    </row>
    <row r="892" ht="14.25" customHeight="1">
      <c r="C892" s="19"/>
      <c r="F892" s="55"/>
      <c r="G892" s="55"/>
      <c r="H892" s="12"/>
    </row>
    <row r="893" ht="14.25" customHeight="1">
      <c r="C893" s="19"/>
      <c r="F893" s="55"/>
      <c r="G893" s="55"/>
      <c r="H893" s="12"/>
    </row>
    <row r="894" ht="14.25" customHeight="1">
      <c r="C894" s="19"/>
      <c r="F894" s="55"/>
      <c r="G894" s="55"/>
      <c r="H894" s="12"/>
    </row>
    <row r="895" ht="14.25" customHeight="1">
      <c r="C895" s="19"/>
      <c r="F895" s="55"/>
      <c r="G895" s="55"/>
      <c r="H895" s="12"/>
    </row>
    <row r="896" ht="14.25" customHeight="1">
      <c r="C896" s="19"/>
      <c r="F896" s="55"/>
      <c r="G896" s="55"/>
      <c r="H896" s="12"/>
    </row>
    <row r="897" ht="14.25" customHeight="1">
      <c r="C897" s="19"/>
      <c r="F897" s="55"/>
      <c r="G897" s="55"/>
      <c r="H897" s="12"/>
    </row>
    <row r="898" ht="14.25" customHeight="1">
      <c r="C898" s="19"/>
      <c r="F898" s="55"/>
      <c r="G898" s="55"/>
      <c r="H898" s="12"/>
    </row>
    <row r="899" ht="14.25" customHeight="1">
      <c r="C899" s="19"/>
      <c r="F899" s="55"/>
      <c r="G899" s="55"/>
      <c r="H899" s="12"/>
    </row>
    <row r="900" ht="14.25" customHeight="1">
      <c r="C900" s="19"/>
      <c r="F900" s="55"/>
      <c r="G900" s="55"/>
      <c r="H900" s="12"/>
    </row>
    <row r="901" ht="14.25" customHeight="1">
      <c r="C901" s="19"/>
      <c r="F901" s="55"/>
      <c r="G901" s="55"/>
      <c r="H901" s="12"/>
    </row>
    <row r="902" ht="14.25" customHeight="1">
      <c r="C902" s="19"/>
      <c r="F902" s="55"/>
      <c r="G902" s="55"/>
      <c r="H902" s="12"/>
    </row>
    <row r="903" ht="14.25" customHeight="1">
      <c r="C903" s="19"/>
      <c r="F903" s="55"/>
      <c r="G903" s="55"/>
      <c r="H903" s="12"/>
    </row>
    <row r="904" ht="14.25" customHeight="1">
      <c r="C904" s="19"/>
      <c r="F904" s="55"/>
      <c r="G904" s="55"/>
      <c r="H904" s="12"/>
    </row>
    <row r="905" ht="14.25" customHeight="1">
      <c r="C905" s="19"/>
      <c r="F905" s="55"/>
      <c r="G905" s="55"/>
      <c r="H905" s="12"/>
    </row>
    <row r="906" ht="14.25" customHeight="1">
      <c r="C906" s="19"/>
      <c r="F906" s="55"/>
      <c r="G906" s="55"/>
      <c r="H906" s="12"/>
    </row>
    <row r="907" ht="14.25" customHeight="1">
      <c r="C907" s="19"/>
      <c r="F907" s="55"/>
      <c r="G907" s="55"/>
      <c r="H907" s="12"/>
    </row>
    <row r="908" ht="14.25" customHeight="1">
      <c r="C908" s="19"/>
      <c r="F908" s="55"/>
      <c r="G908" s="55"/>
      <c r="H908" s="12"/>
    </row>
    <row r="909" ht="14.25" customHeight="1">
      <c r="C909" s="19"/>
      <c r="F909" s="55"/>
      <c r="G909" s="55"/>
      <c r="H909" s="12"/>
    </row>
    <row r="910" ht="14.25" customHeight="1">
      <c r="C910" s="19"/>
      <c r="F910" s="55"/>
      <c r="G910" s="55"/>
      <c r="H910" s="12"/>
    </row>
    <row r="911" ht="14.25" customHeight="1">
      <c r="C911" s="19"/>
      <c r="F911" s="55"/>
      <c r="G911" s="55"/>
      <c r="H911" s="12"/>
    </row>
    <row r="912" ht="14.25" customHeight="1">
      <c r="C912" s="19"/>
      <c r="F912" s="55"/>
      <c r="G912" s="55"/>
      <c r="H912" s="12"/>
    </row>
    <row r="913" ht="14.25" customHeight="1">
      <c r="C913" s="19"/>
      <c r="F913" s="55"/>
      <c r="G913" s="55"/>
      <c r="H913" s="12"/>
    </row>
    <row r="914" ht="14.25" customHeight="1">
      <c r="C914" s="19"/>
      <c r="F914" s="55"/>
      <c r="G914" s="55"/>
      <c r="H914" s="12"/>
    </row>
    <row r="915" ht="14.25" customHeight="1">
      <c r="C915" s="19"/>
      <c r="F915" s="55"/>
      <c r="G915" s="55"/>
      <c r="H915" s="12"/>
    </row>
    <row r="916" ht="14.25" customHeight="1">
      <c r="C916" s="19"/>
      <c r="F916" s="55"/>
      <c r="G916" s="55"/>
      <c r="H916" s="12"/>
    </row>
    <row r="917" ht="14.25" customHeight="1">
      <c r="C917" s="19"/>
      <c r="F917" s="55"/>
      <c r="G917" s="55"/>
      <c r="H917" s="12"/>
    </row>
    <row r="918" ht="14.25" customHeight="1">
      <c r="C918" s="19"/>
      <c r="F918" s="55"/>
      <c r="G918" s="55"/>
      <c r="H918" s="12"/>
    </row>
    <row r="919" ht="14.25" customHeight="1">
      <c r="C919" s="19"/>
      <c r="F919" s="55"/>
      <c r="G919" s="55"/>
      <c r="H919" s="12"/>
    </row>
    <row r="920" ht="14.25" customHeight="1">
      <c r="C920" s="19"/>
      <c r="F920" s="55"/>
      <c r="G920" s="55"/>
      <c r="H920" s="12"/>
    </row>
    <row r="921" ht="14.25" customHeight="1">
      <c r="C921" s="19"/>
      <c r="F921" s="55"/>
      <c r="G921" s="55"/>
      <c r="H921" s="12"/>
    </row>
    <row r="922" ht="14.25" customHeight="1">
      <c r="C922" s="19"/>
      <c r="F922" s="55"/>
      <c r="G922" s="55"/>
      <c r="H922" s="12"/>
    </row>
    <row r="923" ht="14.25" customHeight="1">
      <c r="C923" s="19"/>
      <c r="F923" s="55"/>
      <c r="G923" s="55"/>
      <c r="H923" s="12"/>
    </row>
    <row r="924" ht="14.25" customHeight="1">
      <c r="C924" s="19"/>
      <c r="F924" s="55"/>
      <c r="G924" s="55"/>
      <c r="H924" s="12"/>
    </row>
    <row r="925" ht="14.25" customHeight="1">
      <c r="C925" s="19"/>
      <c r="F925" s="55"/>
      <c r="G925" s="55"/>
      <c r="H925" s="12"/>
    </row>
    <row r="926" ht="14.25" customHeight="1">
      <c r="C926" s="19"/>
      <c r="F926" s="55"/>
      <c r="G926" s="55"/>
      <c r="H926" s="12"/>
    </row>
    <row r="927" ht="14.25" customHeight="1">
      <c r="C927" s="19"/>
      <c r="F927" s="55"/>
      <c r="G927" s="55"/>
      <c r="H927" s="12"/>
    </row>
    <row r="928" ht="14.25" customHeight="1">
      <c r="C928" s="19"/>
      <c r="F928" s="55"/>
      <c r="G928" s="55"/>
      <c r="H928" s="12"/>
    </row>
    <row r="929" ht="14.25" customHeight="1">
      <c r="C929" s="19"/>
      <c r="F929" s="55"/>
      <c r="G929" s="55"/>
      <c r="H929" s="12"/>
    </row>
    <row r="930" ht="14.25" customHeight="1">
      <c r="C930" s="19"/>
      <c r="F930" s="55"/>
      <c r="G930" s="55"/>
      <c r="H930" s="12"/>
    </row>
    <row r="931" ht="14.25" customHeight="1">
      <c r="C931" s="19"/>
      <c r="F931" s="55"/>
      <c r="G931" s="55"/>
      <c r="H931" s="12"/>
    </row>
    <row r="932" ht="14.25" customHeight="1">
      <c r="C932" s="19"/>
      <c r="F932" s="55"/>
      <c r="G932" s="55"/>
      <c r="H932" s="12"/>
    </row>
    <row r="933" ht="14.25" customHeight="1">
      <c r="C933" s="19"/>
      <c r="F933" s="55"/>
      <c r="G933" s="55"/>
      <c r="H933" s="12"/>
    </row>
    <row r="934" ht="14.25" customHeight="1">
      <c r="C934" s="19"/>
      <c r="F934" s="55"/>
      <c r="G934" s="55"/>
      <c r="H934" s="12"/>
    </row>
    <row r="935" ht="14.25" customHeight="1">
      <c r="C935" s="19"/>
      <c r="F935" s="55"/>
      <c r="G935" s="55"/>
      <c r="H935" s="12"/>
    </row>
    <row r="936" ht="14.25" customHeight="1">
      <c r="C936" s="19"/>
      <c r="F936" s="55"/>
      <c r="G936" s="55"/>
      <c r="H936" s="12"/>
    </row>
    <row r="937" ht="14.25" customHeight="1">
      <c r="C937" s="19"/>
      <c r="F937" s="55"/>
      <c r="G937" s="55"/>
      <c r="H937" s="12"/>
    </row>
    <row r="938" ht="14.25" customHeight="1">
      <c r="C938" s="19"/>
      <c r="F938" s="55"/>
      <c r="G938" s="55"/>
      <c r="H938" s="12"/>
    </row>
    <row r="939" ht="14.25" customHeight="1">
      <c r="C939" s="19"/>
      <c r="F939" s="55"/>
      <c r="G939" s="55"/>
      <c r="H939" s="12"/>
    </row>
    <row r="940" ht="14.25" customHeight="1">
      <c r="C940" s="19"/>
      <c r="F940" s="55"/>
      <c r="G940" s="55"/>
      <c r="H940" s="12"/>
    </row>
    <row r="941" ht="14.25" customHeight="1">
      <c r="C941" s="19"/>
      <c r="F941" s="55"/>
      <c r="G941" s="55"/>
      <c r="H941" s="12"/>
    </row>
    <row r="942" ht="14.25" customHeight="1">
      <c r="C942" s="19"/>
      <c r="F942" s="55"/>
      <c r="G942" s="55"/>
      <c r="H942" s="12"/>
    </row>
    <row r="943" ht="14.25" customHeight="1">
      <c r="C943" s="19"/>
      <c r="F943" s="55"/>
      <c r="G943" s="55"/>
      <c r="H943" s="12"/>
    </row>
    <row r="944" ht="14.25" customHeight="1">
      <c r="C944" s="19"/>
      <c r="F944" s="55"/>
      <c r="G944" s="55"/>
      <c r="H944" s="12"/>
    </row>
    <row r="945" ht="14.25" customHeight="1">
      <c r="C945" s="19"/>
      <c r="F945" s="55"/>
      <c r="G945" s="55"/>
      <c r="H945" s="12"/>
    </row>
    <row r="946" ht="14.25" customHeight="1">
      <c r="C946" s="19"/>
      <c r="F946" s="55"/>
      <c r="G946" s="55"/>
      <c r="H946" s="12"/>
    </row>
    <row r="947" ht="14.25" customHeight="1">
      <c r="C947" s="19"/>
      <c r="F947" s="55"/>
      <c r="G947" s="55"/>
      <c r="H947" s="12"/>
    </row>
    <row r="948" ht="14.25" customHeight="1">
      <c r="C948" s="19"/>
      <c r="F948" s="55"/>
      <c r="G948" s="55"/>
      <c r="H948" s="12"/>
    </row>
    <row r="949" ht="14.25" customHeight="1">
      <c r="C949" s="19"/>
      <c r="F949" s="55"/>
      <c r="G949" s="55"/>
      <c r="H949" s="12"/>
    </row>
    <row r="950" ht="14.25" customHeight="1">
      <c r="C950" s="19"/>
      <c r="F950" s="55"/>
      <c r="G950" s="55"/>
      <c r="H950" s="12"/>
    </row>
    <row r="951" ht="14.25" customHeight="1">
      <c r="C951" s="19"/>
      <c r="F951" s="55"/>
      <c r="G951" s="55"/>
      <c r="H951" s="12"/>
    </row>
    <row r="952" ht="14.25" customHeight="1">
      <c r="C952" s="19"/>
      <c r="F952" s="55"/>
      <c r="G952" s="55"/>
      <c r="H952" s="12"/>
    </row>
    <row r="953" ht="14.25" customHeight="1">
      <c r="C953" s="19"/>
      <c r="F953" s="55"/>
      <c r="G953" s="55"/>
      <c r="H953" s="12"/>
    </row>
    <row r="954" ht="14.25" customHeight="1">
      <c r="C954" s="19"/>
      <c r="F954" s="55"/>
      <c r="G954" s="55"/>
      <c r="H954" s="12"/>
    </row>
    <row r="955" ht="14.25" customHeight="1">
      <c r="C955" s="19"/>
      <c r="F955" s="55"/>
      <c r="G955" s="55"/>
      <c r="H955" s="12"/>
    </row>
    <row r="956" ht="14.25" customHeight="1">
      <c r="C956" s="19"/>
      <c r="F956" s="55"/>
      <c r="G956" s="55"/>
      <c r="H956" s="12"/>
    </row>
    <row r="957" ht="14.25" customHeight="1">
      <c r="C957" s="19"/>
      <c r="F957" s="55"/>
      <c r="G957" s="55"/>
      <c r="H957" s="12"/>
    </row>
    <row r="958" ht="14.25" customHeight="1">
      <c r="C958" s="19"/>
      <c r="F958" s="55"/>
      <c r="G958" s="55"/>
      <c r="H958" s="12"/>
    </row>
    <row r="959" ht="14.25" customHeight="1">
      <c r="C959" s="19"/>
      <c r="F959" s="55"/>
      <c r="G959" s="55"/>
      <c r="H959" s="12"/>
    </row>
    <row r="960" ht="14.25" customHeight="1">
      <c r="C960" s="19"/>
      <c r="F960" s="55"/>
      <c r="G960" s="55"/>
      <c r="H960" s="12"/>
    </row>
    <row r="961" ht="14.25" customHeight="1">
      <c r="C961" s="19"/>
      <c r="F961" s="55"/>
      <c r="G961" s="55"/>
      <c r="H961" s="12"/>
    </row>
    <row r="962" ht="14.25" customHeight="1">
      <c r="C962" s="19"/>
      <c r="F962" s="55"/>
      <c r="G962" s="55"/>
      <c r="H962" s="12"/>
    </row>
    <row r="963" ht="14.25" customHeight="1">
      <c r="C963" s="19"/>
      <c r="F963" s="55"/>
      <c r="G963" s="55"/>
      <c r="H963" s="12"/>
    </row>
    <row r="964" ht="14.25" customHeight="1">
      <c r="C964" s="19"/>
      <c r="F964" s="55"/>
      <c r="G964" s="55"/>
      <c r="H964" s="12"/>
    </row>
    <row r="965" ht="14.25" customHeight="1">
      <c r="C965" s="19"/>
      <c r="F965" s="55"/>
      <c r="G965" s="55"/>
      <c r="H965" s="12"/>
    </row>
    <row r="966" ht="14.25" customHeight="1">
      <c r="C966" s="19"/>
      <c r="F966" s="55"/>
      <c r="G966" s="55"/>
      <c r="H966" s="12"/>
    </row>
    <row r="967" ht="14.25" customHeight="1">
      <c r="C967" s="19"/>
      <c r="F967" s="55"/>
      <c r="G967" s="55"/>
      <c r="H967" s="12"/>
    </row>
    <row r="968" ht="14.25" customHeight="1">
      <c r="C968" s="19"/>
      <c r="F968" s="55"/>
      <c r="G968" s="55"/>
      <c r="H968" s="12"/>
    </row>
    <row r="969" ht="14.25" customHeight="1">
      <c r="C969" s="19"/>
      <c r="F969" s="55"/>
      <c r="G969" s="55"/>
      <c r="H969" s="12"/>
    </row>
    <row r="970" ht="14.25" customHeight="1">
      <c r="C970" s="19"/>
      <c r="F970" s="55"/>
      <c r="G970" s="55"/>
      <c r="H970" s="12"/>
    </row>
    <row r="971" ht="14.25" customHeight="1">
      <c r="C971" s="19"/>
      <c r="F971" s="55"/>
      <c r="G971" s="55"/>
      <c r="H971" s="12"/>
    </row>
    <row r="972" ht="14.25" customHeight="1">
      <c r="C972" s="19"/>
      <c r="F972" s="55"/>
      <c r="G972" s="55"/>
      <c r="H972" s="12"/>
    </row>
    <row r="973" ht="14.25" customHeight="1">
      <c r="C973" s="19"/>
      <c r="F973" s="55"/>
      <c r="G973" s="55"/>
      <c r="H973" s="12"/>
    </row>
    <row r="974" ht="14.25" customHeight="1">
      <c r="C974" s="19"/>
      <c r="F974" s="55"/>
      <c r="G974" s="55"/>
      <c r="H974" s="12"/>
    </row>
    <row r="975" ht="14.25" customHeight="1">
      <c r="C975" s="19"/>
      <c r="F975" s="55"/>
      <c r="G975" s="55"/>
      <c r="H975" s="12"/>
    </row>
    <row r="976" ht="14.25" customHeight="1">
      <c r="C976" s="19"/>
      <c r="F976" s="55"/>
      <c r="G976" s="55"/>
      <c r="H976" s="12"/>
    </row>
    <row r="977" ht="14.25" customHeight="1">
      <c r="C977" s="19"/>
      <c r="F977" s="55"/>
      <c r="G977" s="55"/>
      <c r="H977" s="12"/>
    </row>
    <row r="978" ht="14.25" customHeight="1">
      <c r="C978" s="19"/>
      <c r="F978" s="55"/>
      <c r="G978" s="55"/>
      <c r="H978" s="12"/>
    </row>
    <row r="979" ht="14.25" customHeight="1">
      <c r="C979" s="19"/>
      <c r="F979" s="55"/>
      <c r="G979" s="55"/>
      <c r="H979" s="12"/>
    </row>
    <row r="980" ht="14.25" customHeight="1">
      <c r="C980" s="19"/>
      <c r="F980" s="55"/>
      <c r="G980" s="55"/>
      <c r="H980" s="12"/>
    </row>
    <row r="981" ht="14.25" customHeight="1">
      <c r="C981" s="19"/>
      <c r="F981" s="55"/>
      <c r="G981" s="55"/>
      <c r="H981" s="12"/>
    </row>
    <row r="982" ht="14.25" customHeight="1">
      <c r="C982" s="19"/>
      <c r="F982" s="55"/>
      <c r="G982" s="55"/>
      <c r="H982" s="12"/>
    </row>
    <row r="983" ht="14.25" customHeight="1">
      <c r="C983" s="19"/>
      <c r="F983" s="55"/>
      <c r="G983" s="55"/>
      <c r="H983" s="12"/>
    </row>
    <row r="984" ht="14.25" customHeight="1">
      <c r="C984" s="19"/>
      <c r="F984" s="55"/>
      <c r="G984" s="55"/>
      <c r="H984" s="12"/>
    </row>
    <row r="985" ht="14.25" customHeight="1">
      <c r="C985" s="19"/>
      <c r="F985" s="55"/>
      <c r="G985" s="55"/>
      <c r="H985" s="12"/>
    </row>
    <row r="986" ht="14.25" customHeight="1">
      <c r="C986" s="19"/>
      <c r="F986" s="55"/>
      <c r="G986" s="55"/>
      <c r="H986" s="12"/>
    </row>
    <row r="987" ht="14.25" customHeight="1">
      <c r="C987" s="19"/>
      <c r="F987" s="55"/>
      <c r="G987" s="55"/>
      <c r="H987" s="12"/>
    </row>
    <row r="988" ht="14.25" customHeight="1">
      <c r="C988" s="19"/>
      <c r="F988" s="55"/>
      <c r="G988" s="55"/>
      <c r="H988" s="12"/>
    </row>
    <row r="989" ht="14.25" customHeight="1">
      <c r="C989" s="19"/>
      <c r="F989" s="55"/>
      <c r="G989" s="55"/>
      <c r="H989" s="12"/>
    </row>
    <row r="990" ht="14.25" customHeight="1">
      <c r="C990" s="19"/>
      <c r="F990" s="55"/>
      <c r="G990" s="55"/>
      <c r="H990" s="12"/>
    </row>
    <row r="991" ht="14.25" customHeight="1">
      <c r="C991" s="19"/>
      <c r="F991" s="55"/>
      <c r="G991" s="55"/>
      <c r="H991" s="12"/>
    </row>
    <row r="992" ht="14.25" customHeight="1">
      <c r="C992" s="19"/>
      <c r="F992" s="55"/>
      <c r="G992" s="55"/>
      <c r="H992" s="12"/>
    </row>
    <row r="993" ht="14.25" customHeight="1">
      <c r="C993" s="19"/>
      <c r="F993" s="55"/>
      <c r="G993" s="55"/>
      <c r="H993" s="12"/>
    </row>
    <row r="994" ht="14.25" customHeight="1">
      <c r="C994" s="19"/>
      <c r="F994" s="55"/>
      <c r="G994" s="55"/>
      <c r="H994" s="12"/>
    </row>
    <row r="995" ht="14.25" customHeight="1">
      <c r="C995" s="19"/>
      <c r="F995" s="55"/>
      <c r="G995" s="55"/>
      <c r="H995" s="12"/>
    </row>
    <row r="996" ht="14.25" customHeight="1">
      <c r="C996" s="19"/>
      <c r="F996" s="55"/>
      <c r="G996" s="55"/>
      <c r="H996" s="12"/>
    </row>
    <row r="997" ht="14.25" customHeight="1">
      <c r="C997" s="19"/>
      <c r="F997" s="55"/>
      <c r="G997" s="55"/>
      <c r="H997" s="12"/>
    </row>
    <row r="998" ht="14.25" customHeight="1">
      <c r="C998" s="19"/>
      <c r="F998" s="55"/>
      <c r="G998" s="55"/>
      <c r="H998" s="12"/>
    </row>
    <row r="999" ht="14.25" customHeight="1">
      <c r="C999" s="19"/>
      <c r="F999" s="55"/>
      <c r="G999" s="55"/>
      <c r="H999" s="12"/>
    </row>
    <row r="1000" ht="14.25" customHeight="1">
      <c r="C1000" s="19"/>
      <c r="F1000" s="55"/>
      <c r="G1000" s="55"/>
      <c r="H1000" s="12"/>
    </row>
    <row r="1001" ht="14.25" customHeight="1">
      <c r="C1001" s="19"/>
      <c r="F1001" s="55"/>
      <c r="G1001" s="55"/>
      <c r="H1001" s="12"/>
    </row>
    <row r="1002" ht="14.25" customHeight="1">
      <c r="C1002" s="19"/>
      <c r="F1002" s="55"/>
      <c r="G1002" s="55"/>
      <c r="H1002" s="12"/>
    </row>
    <row r="1003" ht="14.25" customHeight="1">
      <c r="C1003" s="19"/>
      <c r="F1003" s="55"/>
      <c r="G1003" s="55"/>
      <c r="H1003" s="12"/>
    </row>
    <row r="1004" ht="14.25" customHeight="1">
      <c r="C1004" s="19"/>
      <c r="F1004" s="55"/>
      <c r="G1004" s="55"/>
      <c r="H1004" s="12"/>
    </row>
    <row r="1005" ht="14.25" customHeight="1">
      <c r="C1005" s="19"/>
      <c r="F1005" s="55"/>
      <c r="G1005" s="55"/>
      <c r="H1005" s="12"/>
    </row>
    <row r="1006" ht="14.25" customHeight="1">
      <c r="C1006" s="19"/>
      <c r="F1006" s="55"/>
      <c r="G1006" s="55"/>
      <c r="H1006" s="12"/>
    </row>
    <row r="1007" ht="14.25" customHeight="1">
      <c r="C1007" s="19"/>
      <c r="F1007" s="55"/>
      <c r="G1007" s="55"/>
      <c r="H1007" s="12"/>
    </row>
    <row r="1008" ht="14.25" customHeight="1">
      <c r="C1008" s="19"/>
      <c r="F1008" s="55"/>
      <c r="G1008" s="55"/>
      <c r="H1008" s="12"/>
    </row>
  </sheetData>
  <mergeCells count="10">
    <mergeCell ref="F5:G5"/>
    <mergeCell ref="F6:G6"/>
    <mergeCell ref="F48:I48"/>
    <mergeCell ref="A1:G1"/>
    <mergeCell ref="C2:D2"/>
    <mergeCell ref="B3:D3"/>
    <mergeCell ref="F3:G3"/>
    <mergeCell ref="B4:D4"/>
    <mergeCell ref="F4:G4"/>
    <mergeCell ref="B5:D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7.71"/>
    <col customWidth="1" min="7" max="7" width="22.29"/>
    <col customWidth="1" min="8" max="8" width="12.14"/>
    <col customWidth="1" min="9" max="28" width="8.71"/>
  </cols>
  <sheetData>
    <row r="1" ht="32.25" customHeight="1">
      <c r="A1" s="11" t="s">
        <v>42</v>
      </c>
      <c r="G1" s="55"/>
      <c r="H1" s="12"/>
    </row>
    <row r="2" ht="27.0" customHeight="1">
      <c r="C2" s="79" t="s">
        <v>43</v>
      </c>
      <c r="F2" s="55"/>
      <c r="G2" s="55"/>
      <c r="H2" s="12"/>
    </row>
    <row r="3" ht="14.25" customHeight="1">
      <c r="A3" s="14" t="s">
        <v>44</v>
      </c>
      <c r="B3" s="17" t="s">
        <v>151</v>
      </c>
      <c r="E3" s="14" t="s">
        <v>46</v>
      </c>
      <c r="F3" s="80" t="s">
        <v>152</v>
      </c>
      <c r="H3" s="12"/>
    </row>
    <row r="4" ht="14.25" customHeight="1">
      <c r="A4" s="14" t="s">
        <v>48</v>
      </c>
      <c r="B4" s="56" t="s">
        <v>153</v>
      </c>
      <c r="E4" s="14" t="s">
        <v>105</v>
      </c>
      <c r="F4" s="80">
        <v>8.004181100045E12</v>
      </c>
      <c r="H4" s="12"/>
    </row>
    <row r="5" ht="14.25" customHeight="1">
      <c r="A5" s="14" t="s">
        <v>51</v>
      </c>
      <c r="B5" s="17" t="s">
        <v>154</v>
      </c>
      <c r="E5" s="14" t="s">
        <v>53</v>
      </c>
      <c r="F5" s="80" t="s">
        <v>153</v>
      </c>
      <c r="H5" s="12"/>
    </row>
    <row r="6" ht="14.25" customHeight="1">
      <c r="A6" s="14" t="s">
        <v>54</v>
      </c>
      <c r="B6" s="18"/>
      <c r="E6" s="14" t="s">
        <v>55</v>
      </c>
      <c r="F6" s="80">
        <v>1.2990684926E10</v>
      </c>
      <c r="H6" s="12"/>
    </row>
    <row r="7" ht="14.25" customHeight="1">
      <c r="C7" s="19"/>
      <c r="F7" s="55"/>
      <c r="G7" s="55"/>
      <c r="H7" s="12"/>
    </row>
    <row r="8" ht="14.25" customHeight="1">
      <c r="C8" s="19"/>
      <c r="F8" s="55"/>
      <c r="G8" s="55"/>
      <c r="H8" s="12"/>
    </row>
    <row r="9" ht="14.25" customHeight="1">
      <c r="A9" s="20" t="s">
        <v>56</v>
      </c>
      <c r="B9" s="20" t="s">
        <v>107</v>
      </c>
      <c r="C9" s="57" t="s">
        <v>58</v>
      </c>
      <c r="D9" s="20" t="s">
        <v>59</v>
      </c>
      <c r="E9" s="20" t="s">
        <v>60</v>
      </c>
      <c r="F9" s="58" t="s">
        <v>61</v>
      </c>
      <c r="G9" s="58" t="s">
        <v>62</v>
      </c>
      <c r="H9" s="81" t="s">
        <v>63</v>
      </c>
      <c r="I9" s="20" t="s">
        <v>64</v>
      </c>
    </row>
    <row r="10" ht="14.25" customHeight="1">
      <c r="A10" s="82" t="s">
        <v>155</v>
      </c>
      <c r="B10" s="83">
        <v>7.6883946E7</v>
      </c>
      <c r="C10" s="29" t="s">
        <v>156</v>
      </c>
      <c r="D10" s="28"/>
      <c r="E10" s="28"/>
      <c r="F10" s="63">
        <v>1.0</v>
      </c>
      <c r="G10" s="30">
        <v>1.0</v>
      </c>
      <c r="H10" s="84">
        <f t="shared" ref="H10:H38" si="1">G10*200</f>
        <v>200</v>
      </c>
      <c r="I10" s="23"/>
    </row>
    <row r="11" ht="14.25" customHeight="1">
      <c r="A11" s="85" t="s">
        <v>157</v>
      </c>
      <c r="B11" s="83">
        <v>7.6384871E7</v>
      </c>
      <c r="C11" s="70" t="s">
        <v>156</v>
      </c>
      <c r="D11" s="28"/>
      <c r="E11" s="28"/>
      <c r="F11" s="60">
        <v>1.0</v>
      </c>
      <c r="G11" s="30">
        <v>1.0</v>
      </c>
      <c r="H11" s="84">
        <f t="shared" si="1"/>
        <v>200</v>
      </c>
      <c r="I11" s="23"/>
    </row>
    <row r="12" ht="14.25" customHeight="1">
      <c r="A12" s="85" t="s">
        <v>158</v>
      </c>
      <c r="B12" s="83">
        <v>7.6056406E7</v>
      </c>
      <c r="C12" s="70" t="s">
        <v>156</v>
      </c>
      <c r="D12" s="28"/>
      <c r="E12" s="28"/>
      <c r="F12" s="60">
        <v>1.0</v>
      </c>
      <c r="G12" s="86">
        <v>1.0</v>
      </c>
      <c r="H12" s="84">
        <f t="shared" si="1"/>
        <v>200</v>
      </c>
      <c r="I12" s="23"/>
    </row>
    <row r="13" ht="14.25" customHeight="1">
      <c r="A13" s="85" t="s">
        <v>159</v>
      </c>
      <c r="B13" s="83">
        <v>7.6279824E7</v>
      </c>
      <c r="C13" s="70" t="s">
        <v>156</v>
      </c>
      <c r="D13" s="62"/>
      <c r="E13" s="62"/>
      <c r="F13" s="60">
        <v>1.0</v>
      </c>
      <c r="G13" s="30">
        <v>1.0</v>
      </c>
      <c r="H13" s="84">
        <f t="shared" si="1"/>
        <v>200</v>
      </c>
      <c r="I13" s="23"/>
    </row>
    <row r="14" ht="14.25" customHeight="1">
      <c r="A14" s="85" t="s">
        <v>160</v>
      </c>
      <c r="B14" s="83">
        <v>7.6363799E7</v>
      </c>
      <c r="C14" s="70" t="s">
        <v>156</v>
      </c>
      <c r="D14" s="62"/>
      <c r="E14" s="62"/>
      <c r="F14" s="60">
        <v>1.0</v>
      </c>
      <c r="G14" s="30">
        <v>1.0</v>
      </c>
      <c r="H14" s="84">
        <f t="shared" si="1"/>
        <v>200</v>
      </c>
      <c r="I14" s="23"/>
    </row>
    <row r="15" ht="14.25" customHeight="1">
      <c r="A15" s="87" t="s">
        <v>161</v>
      </c>
      <c r="B15" s="83">
        <v>7.6129866E7</v>
      </c>
      <c r="C15" s="70" t="s">
        <v>156</v>
      </c>
      <c r="D15" s="62"/>
      <c r="E15" s="62"/>
      <c r="F15" s="69">
        <v>1.0</v>
      </c>
      <c r="G15" s="30">
        <v>1.0</v>
      </c>
      <c r="H15" s="84">
        <f t="shared" si="1"/>
        <v>200</v>
      </c>
      <c r="I15" s="23"/>
    </row>
    <row r="16" ht="14.25" customHeight="1">
      <c r="A16" s="85" t="s">
        <v>162</v>
      </c>
      <c r="B16" s="83">
        <v>7.6376831E7</v>
      </c>
      <c r="C16" s="70" t="s">
        <v>156</v>
      </c>
      <c r="D16" s="62"/>
      <c r="E16" s="62"/>
      <c r="F16" s="60">
        <v>1.0</v>
      </c>
      <c r="G16" s="30">
        <v>1.0</v>
      </c>
      <c r="H16" s="84">
        <f t="shared" si="1"/>
        <v>200</v>
      </c>
      <c r="I16" s="23"/>
    </row>
    <row r="17" ht="14.25" customHeight="1">
      <c r="A17" s="87" t="s">
        <v>163</v>
      </c>
      <c r="B17" s="83">
        <v>7.6528933E7</v>
      </c>
      <c r="C17" s="70" t="s">
        <v>156</v>
      </c>
      <c r="D17" s="62"/>
      <c r="E17" s="62"/>
      <c r="F17" s="60">
        <v>1.0</v>
      </c>
      <c r="G17" s="30">
        <v>1.0</v>
      </c>
      <c r="H17" s="84">
        <f t="shared" si="1"/>
        <v>200</v>
      </c>
      <c r="I17" s="23"/>
    </row>
    <row r="18" ht="14.25" customHeight="1">
      <c r="A18" s="85" t="s">
        <v>164</v>
      </c>
      <c r="B18" s="83">
        <v>7.6239853E7</v>
      </c>
      <c r="C18" s="70" t="s">
        <v>165</v>
      </c>
      <c r="D18" s="62"/>
      <c r="E18" s="62"/>
      <c r="F18" s="60">
        <v>1.0</v>
      </c>
      <c r="G18" s="30">
        <v>1.0</v>
      </c>
      <c r="H18" s="84">
        <f t="shared" si="1"/>
        <v>200</v>
      </c>
      <c r="I18" s="23"/>
    </row>
    <row r="19" ht="14.25" customHeight="1">
      <c r="A19" s="87" t="s">
        <v>166</v>
      </c>
      <c r="B19" s="83">
        <v>7.838755E7</v>
      </c>
      <c r="C19" s="70" t="s">
        <v>165</v>
      </c>
      <c r="D19" s="62"/>
      <c r="E19" s="62"/>
      <c r="F19" s="69">
        <v>1.0</v>
      </c>
      <c r="G19" s="30">
        <v>1.0</v>
      </c>
      <c r="H19" s="84">
        <f t="shared" si="1"/>
        <v>200</v>
      </c>
      <c r="I19" s="23"/>
    </row>
    <row r="20" ht="14.25" customHeight="1">
      <c r="A20" s="85" t="s">
        <v>167</v>
      </c>
      <c r="B20" s="83">
        <v>7.6152846E7</v>
      </c>
      <c r="C20" s="70" t="s">
        <v>165</v>
      </c>
      <c r="D20" s="62"/>
      <c r="E20" s="62"/>
      <c r="F20" s="60">
        <v>1.0</v>
      </c>
      <c r="G20" s="30">
        <v>1.0</v>
      </c>
      <c r="H20" s="84">
        <f t="shared" si="1"/>
        <v>200</v>
      </c>
      <c r="I20" s="23"/>
    </row>
    <row r="21" ht="14.25" customHeight="1">
      <c r="A21" s="85" t="s">
        <v>168</v>
      </c>
      <c r="B21" s="83">
        <v>7.6250181E7</v>
      </c>
      <c r="C21" s="70" t="s">
        <v>165</v>
      </c>
      <c r="D21" s="62"/>
      <c r="E21" s="62"/>
      <c r="F21" s="60">
        <v>1.0</v>
      </c>
      <c r="G21" s="30">
        <v>1.0</v>
      </c>
      <c r="H21" s="84">
        <f t="shared" si="1"/>
        <v>200</v>
      </c>
      <c r="I21" s="23"/>
    </row>
    <row r="22" ht="14.25" customHeight="1">
      <c r="A22" s="85" t="s">
        <v>169</v>
      </c>
      <c r="B22" s="83">
        <v>7.6607125E7</v>
      </c>
      <c r="C22" s="70" t="s">
        <v>165</v>
      </c>
      <c r="D22" s="62"/>
      <c r="E22" s="62"/>
      <c r="F22" s="60">
        <v>1.0</v>
      </c>
      <c r="G22" s="30">
        <v>1.0</v>
      </c>
      <c r="H22" s="84">
        <f t="shared" si="1"/>
        <v>200</v>
      </c>
      <c r="I22" s="23"/>
    </row>
    <row r="23" ht="14.25" customHeight="1">
      <c r="A23" s="88" t="s">
        <v>170</v>
      </c>
      <c r="B23" s="83">
        <v>7.6082313E7</v>
      </c>
      <c r="C23" s="88" t="s">
        <v>171</v>
      </c>
      <c r="D23" s="43"/>
      <c r="E23" s="43"/>
      <c r="F23" s="89">
        <v>3.0</v>
      </c>
      <c r="G23" s="89">
        <v>3.0</v>
      </c>
      <c r="H23" s="84">
        <f t="shared" si="1"/>
        <v>600</v>
      </c>
      <c r="I23" s="23"/>
    </row>
    <row r="24" ht="14.25" customHeight="1">
      <c r="A24" s="88" t="s">
        <v>172</v>
      </c>
      <c r="B24" s="83">
        <v>7.6392112E7</v>
      </c>
      <c r="C24" s="88" t="s">
        <v>171</v>
      </c>
      <c r="D24" s="43"/>
      <c r="E24" s="43"/>
      <c r="F24" s="89">
        <v>1.0</v>
      </c>
      <c r="G24" s="89">
        <v>1.0</v>
      </c>
      <c r="H24" s="84">
        <f t="shared" si="1"/>
        <v>200</v>
      </c>
      <c r="I24" s="23"/>
    </row>
    <row r="25" ht="14.25" customHeight="1">
      <c r="A25" s="88" t="s">
        <v>173</v>
      </c>
      <c r="B25" s="83">
        <v>7.6273033E7</v>
      </c>
      <c r="C25" s="88" t="s">
        <v>171</v>
      </c>
      <c r="D25" s="43"/>
      <c r="E25" s="43"/>
      <c r="F25" s="89">
        <v>2.0</v>
      </c>
      <c r="G25" s="89">
        <v>2.0</v>
      </c>
      <c r="H25" s="84">
        <f t="shared" si="1"/>
        <v>400</v>
      </c>
      <c r="I25" s="23"/>
    </row>
    <row r="26" ht="14.25" customHeight="1">
      <c r="A26" s="87" t="s">
        <v>174</v>
      </c>
      <c r="B26" s="83">
        <v>7.6259172E7</v>
      </c>
      <c r="C26" s="90">
        <v>44937.0</v>
      </c>
      <c r="D26" s="62"/>
      <c r="E26" s="62"/>
      <c r="F26" s="60">
        <v>1.0</v>
      </c>
      <c r="G26" s="30">
        <v>1.0</v>
      </c>
      <c r="H26" s="84">
        <f t="shared" si="1"/>
        <v>200</v>
      </c>
      <c r="I26" s="23"/>
    </row>
    <row r="27" ht="14.25" customHeight="1">
      <c r="A27" s="85" t="s">
        <v>175</v>
      </c>
      <c r="B27" s="83">
        <v>7.6417178E7</v>
      </c>
      <c r="C27" s="90">
        <v>44937.0</v>
      </c>
      <c r="D27" s="62"/>
      <c r="E27" s="62"/>
      <c r="F27" s="60">
        <v>2.0</v>
      </c>
      <c r="G27" s="30">
        <v>2.0</v>
      </c>
      <c r="H27" s="84">
        <f t="shared" si="1"/>
        <v>400</v>
      </c>
      <c r="I27" s="23"/>
    </row>
    <row r="28" ht="14.25" customHeight="1">
      <c r="A28" s="85" t="s">
        <v>173</v>
      </c>
      <c r="B28" s="83">
        <v>7.6273033E7</v>
      </c>
      <c r="C28" s="90">
        <v>44937.0</v>
      </c>
      <c r="D28" s="62"/>
      <c r="E28" s="62"/>
      <c r="F28" s="60">
        <v>1.0</v>
      </c>
      <c r="G28" s="30">
        <v>1.0</v>
      </c>
      <c r="H28" s="84">
        <f t="shared" si="1"/>
        <v>200</v>
      </c>
      <c r="I28" s="23"/>
    </row>
    <row r="29" ht="14.25" customHeight="1">
      <c r="A29" s="85" t="s">
        <v>176</v>
      </c>
      <c r="B29" s="83">
        <v>7.6079069E7</v>
      </c>
      <c r="C29" s="90">
        <v>44937.0</v>
      </c>
      <c r="D29" s="62"/>
      <c r="E29" s="62"/>
      <c r="F29" s="60">
        <v>1.0</v>
      </c>
      <c r="G29" s="30">
        <v>1.0</v>
      </c>
      <c r="H29" s="84">
        <f t="shared" si="1"/>
        <v>200</v>
      </c>
      <c r="I29" s="23"/>
    </row>
    <row r="30" ht="14.25" customHeight="1">
      <c r="A30" s="85" t="s">
        <v>177</v>
      </c>
      <c r="B30" s="83">
        <v>7.6771058E7</v>
      </c>
      <c r="C30" s="90">
        <v>44937.0</v>
      </c>
      <c r="D30" s="62"/>
      <c r="E30" s="62"/>
      <c r="F30" s="60">
        <v>1.0</v>
      </c>
      <c r="G30" s="30">
        <v>1.0</v>
      </c>
      <c r="H30" s="84">
        <f t="shared" si="1"/>
        <v>200</v>
      </c>
      <c r="I30" s="23"/>
    </row>
    <row r="31" ht="14.25" customHeight="1">
      <c r="A31" s="85" t="s">
        <v>178</v>
      </c>
      <c r="B31" s="83">
        <v>7.6771058E7</v>
      </c>
      <c r="C31" s="70" t="s">
        <v>179</v>
      </c>
      <c r="D31" s="62"/>
      <c r="E31" s="62"/>
      <c r="F31" s="60">
        <v>2.0</v>
      </c>
      <c r="G31" s="30">
        <v>2.0</v>
      </c>
      <c r="H31" s="84">
        <f t="shared" si="1"/>
        <v>400</v>
      </c>
      <c r="I31" s="23"/>
    </row>
    <row r="32" ht="14.25" customHeight="1">
      <c r="A32" s="85" t="s">
        <v>180</v>
      </c>
      <c r="B32" s="83">
        <v>7.9151954E7</v>
      </c>
      <c r="C32" s="70" t="s">
        <v>179</v>
      </c>
      <c r="D32" s="62"/>
      <c r="E32" s="62"/>
      <c r="F32" s="60">
        <v>2.0</v>
      </c>
      <c r="G32" s="30">
        <v>2.0</v>
      </c>
      <c r="H32" s="84">
        <f t="shared" si="1"/>
        <v>400</v>
      </c>
      <c r="I32" s="23"/>
    </row>
    <row r="33" ht="14.25" customHeight="1">
      <c r="A33" s="85" t="s">
        <v>181</v>
      </c>
      <c r="B33" s="83">
        <v>7.6279824E7</v>
      </c>
      <c r="C33" s="70" t="s">
        <v>179</v>
      </c>
      <c r="D33" s="62"/>
      <c r="E33" s="62"/>
      <c r="F33" s="60">
        <v>1.0</v>
      </c>
      <c r="G33" s="30">
        <v>1.0</v>
      </c>
      <c r="H33" s="84">
        <f t="shared" si="1"/>
        <v>200</v>
      </c>
      <c r="I33" s="23"/>
    </row>
    <row r="34" ht="14.25" customHeight="1">
      <c r="A34" s="87" t="s">
        <v>182</v>
      </c>
      <c r="B34" s="83">
        <v>7.6045017E7</v>
      </c>
      <c r="C34" s="70" t="s">
        <v>179</v>
      </c>
      <c r="D34" s="62"/>
      <c r="E34" s="62"/>
      <c r="F34" s="60">
        <v>1.0</v>
      </c>
      <c r="G34" s="30">
        <v>1.0</v>
      </c>
      <c r="H34" s="84">
        <f t="shared" si="1"/>
        <v>200</v>
      </c>
      <c r="I34" s="23"/>
    </row>
    <row r="35" ht="14.25" customHeight="1">
      <c r="A35" s="87" t="s">
        <v>183</v>
      </c>
      <c r="B35" s="83">
        <v>7.6698808E7</v>
      </c>
      <c r="C35" s="70" t="s">
        <v>179</v>
      </c>
      <c r="D35" s="23"/>
      <c r="E35" s="23"/>
      <c r="F35" s="63">
        <v>2.0</v>
      </c>
      <c r="G35" s="30">
        <v>2.0</v>
      </c>
      <c r="H35" s="84">
        <f t="shared" si="1"/>
        <v>400</v>
      </c>
      <c r="I35" s="23"/>
    </row>
    <row r="36" ht="14.25" customHeight="1">
      <c r="A36" s="87" t="s">
        <v>184</v>
      </c>
      <c r="B36" s="83">
        <v>7.8680447E7</v>
      </c>
      <c r="C36" s="70" t="s">
        <v>179</v>
      </c>
      <c r="D36" s="23"/>
      <c r="E36" s="23"/>
      <c r="F36" s="63">
        <v>2.0</v>
      </c>
      <c r="G36" s="30">
        <v>2.0</v>
      </c>
      <c r="H36" s="84">
        <f t="shared" si="1"/>
        <v>400</v>
      </c>
      <c r="I36" s="23"/>
    </row>
    <row r="37" ht="14.25" customHeight="1">
      <c r="A37" s="85" t="s">
        <v>185</v>
      </c>
      <c r="B37" s="83">
        <v>7.6124165E7</v>
      </c>
      <c r="C37" s="70" t="s">
        <v>179</v>
      </c>
      <c r="D37" s="23"/>
      <c r="E37" s="23"/>
      <c r="F37" s="63">
        <v>1.0</v>
      </c>
      <c r="G37" s="30">
        <v>1.0</v>
      </c>
      <c r="H37" s="84">
        <f t="shared" si="1"/>
        <v>200</v>
      </c>
      <c r="I37" s="23"/>
    </row>
    <row r="38" ht="14.25" customHeight="1">
      <c r="A38" s="91"/>
      <c r="B38" s="92"/>
      <c r="C38" s="72"/>
      <c r="D38" s="23"/>
      <c r="E38" s="23"/>
      <c r="F38" s="93"/>
      <c r="G38" s="26"/>
      <c r="H38" s="84">
        <f t="shared" si="1"/>
        <v>0</v>
      </c>
      <c r="I38" s="23"/>
    </row>
    <row r="39" ht="19.5" customHeight="1">
      <c r="A39" s="73"/>
      <c r="B39" s="73"/>
      <c r="C39" s="75"/>
      <c r="D39" s="73"/>
      <c r="E39" s="38" t="s">
        <v>99</v>
      </c>
      <c r="F39" s="39">
        <f>sum(F10:F38)</f>
        <v>36</v>
      </c>
      <c r="G39" s="40">
        <f t="shared" ref="G39:H39" si="2">SUM(G10:G38)</f>
        <v>36</v>
      </c>
      <c r="H39" s="41">
        <f t="shared" si="2"/>
        <v>7200</v>
      </c>
      <c r="I39" s="94"/>
    </row>
    <row r="40" ht="21.0" customHeight="1">
      <c r="A40" s="43"/>
      <c r="B40" s="43"/>
      <c r="C40" s="95"/>
      <c r="D40" s="43"/>
      <c r="E40" s="96" t="s">
        <v>100</v>
      </c>
      <c r="F40" s="97">
        <f>COUNT(G10:G38)</f>
        <v>28</v>
      </c>
      <c r="G40" s="47"/>
      <c r="H40" s="47"/>
      <c r="I40" s="48"/>
    </row>
    <row r="41" ht="14.25" customHeight="1">
      <c r="C41" s="19"/>
      <c r="F41" s="55"/>
      <c r="G41" s="55"/>
      <c r="H41" s="12"/>
    </row>
    <row r="42" ht="14.25" customHeight="1">
      <c r="C42" s="19"/>
      <c r="D42" s="49" t="s">
        <v>101</v>
      </c>
      <c r="E42" s="50"/>
      <c r="F42" s="55"/>
      <c r="G42" s="55"/>
      <c r="H42" s="12"/>
    </row>
    <row r="43" ht="14.25" customHeight="1">
      <c r="C43" s="19"/>
      <c r="F43" s="55"/>
      <c r="G43" s="55"/>
      <c r="H43" s="12"/>
    </row>
    <row r="44" ht="14.25" customHeight="1">
      <c r="C44" s="19"/>
      <c r="D44" s="51" t="s">
        <v>102</v>
      </c>
      <c r="E44" s="50"/>
      <c r="F44" s="55"/>
      <c r="G44" s="55"/>
      <c r="H44" s="12"/>
    </row>
    <row r="45" ht="14.25" customHeight="1">
      <c r="C45" s="19"/>
      <c r="F45" s="55"/>
      <c r="G45" s="55"/>
      <c r="H45" s="12"/>
    </row>
    <row r="46" ht="14.25" customHeight="1">
      <c r="C46" s="19"/>
      <c r="D46" s="52" t="s">
        <v>58</v>
      </c>
      <c r="E46" s="53"/>
      <c r="F46" s="55"/>
      <c r="G46" s="55"/>
      <c r="H46" s="12"/>
    </row>
    <row r="47" ht="14.25" customHeight="1">
      <c r="C47" s="19"/>
      <c r="F47" s="55"/>
      <c r="G47" s="55"/>
      <c r="H47" s="12"/>
    </row>
    <row r="48" ht="14.25" customHeight="1">
      <c r="C48" s="19"/>
      <c r="F48" s="55"/>
      <c r="G48" s="55"/>
      <c r="H48" s="12"/>
    </row>
    <row r="49" ht="14.25" customHeight="1">
      <c r="C49" s="19"/>
      <c r="F49" s="55"/>
      <c r="G49" s="55"/>
      <c r="H49" s="12"/>
    </row>
    <row r="50" ht="14.25" customHeight="1">
      <c r="C50" s="19"/>
      <c r="F50" s="55"/>
      <c r="G50" s="55"/>
      <c r="H50" s="12"/>
    </row>
    <row r="51" ht="14.25" customHeight="1">
      <c r="C51" s="19"/>
      <c r="F51" s="55"/>
      <c r="G51" s="55"/>
      <c r="H51" s="12"/>
    </row>
    <row r="52" ht="14.25" customHeight="1">
      <c r="C52" s="19"/>
      <c r="F52" s="55"/>
      <c r="G52" s="55"/>
      <c r="H52" s="12"/>
    </row>
    <row r="53" ht="14.25" customHeight="1">
      <c r="C53" s="19"/>
      <c r="F53" s="55"/>
      <c r="G53" s="55"/>
      <c r="H53" s="12"/>
    </row>
    <row r="54" ht="14.25" customHeight="1">
      <c r="C54" s="19"/>
      <c r="F54" s="55"/>
      <c r="G54" s="55"/>
      <c r="H54" s="12"/>
    </row>
    <row r="55" ht="14.25" customHeight="1">
      <c r="C55" s="19"/>
      <c r="F55" s="55"/>
      <c r="G55" s="55"/>
      <c r="H55" s="12"/>
    </row>
    <row r="56" ht="14.25" customHeight="1">
      <c r="C56" s="19"/>
      <c r="F56" s="55"/>
      <c r="G56" s="55"/>
      <c r="H56" s="12"/>
    </row>
    <row r="57" ht="14.25" customHeight="1">
      <c r="C57" s="19"/>
      <c r="F57" s="55"/>
      <c r="G57" s="55"/>
      <c r="H57" s="12"/>
    </row>
    <row r="58" ht="14.25" customHeight="1">
      <c r="C58" s="19"/>
      <c r="F58" s="55"/>
      <c r="G58" s="55"/>
      <c r="H58" s="12"/>
    </row>
    <row r="59" ht="14.25" customHeight="1">
      <c r="C59" s="19"/>
      <c r="F59" s="55"/>
      <c r="G59" s="55"/>
      <c r="H59" s="12"/>
    </row>
    <row r="60" ht="14.25" customHeight="1">
      <c r="C60" s="19"/>
      <c r="F60" s="55"/>
      <c r="G60" s="55"/>
      <c r="H60" s="12"/>
    </row>
    <row r="61" ht="14.25" customHeight="1">
      <c r="C61" s="19"/>
      <c r="F61" s="55"/>
      <c r="G61" s="55"/>
      <c r="H61" s="12"/>
    </row>
    <row r="62" ht="14.25" customHeight="1">
      <c r="C62" s="19"/>
      <c r="F62" s="55"/>
      <c r="G62" s="55"/>
      <c r="H62" s="12"/>
    </row>
    <row r="63" ht="14.25" customHeight="1">
      <c r="C63" s="19"/>
      <c r="F63" s="55"/>
      <c r="G63" s="55"/>
      <c r="H63" s="12"/>
    </row>
    <row r="64" ht="14.25" customHeight="1">
      <c r="C64" s="19"/>
      <c r="F64" s="55"/>
      <c r="G64" s="55"/>
      <c r="H64" s="12"/>
    </row>
    <row r="65" ht="14.25" customHeight="1">
      <c r="C65" s="19"/>
      <c r="F65" s="55"/>
      <c r="G65" s="55"/>
      <c r="H65" s="12"/>
    </row>
    <row r="66" ht="14.25" customHeight="1">
      <c r="C66" s="19"/>
      <c r="F66" s="55"/>
      <c r="G66" s="55"/>
      <c r="H66" s="12"/>
    </row>
    <row r="67" ht="14.25" customHeight="1">
      <c r="C67" s="19"/>
      <c r="F67" s="55"/>
      <c r="G67" s="55"/>
      <c r="H67" s="12"/>
    </row>
    <row r="68" ht="14.25" customHeight="1">
      <c r="C68" s="19"/>
      <c r="F68" s="55"/>
      <c r="G68" s="55"/>
      <c r="H68" s="12"/>
    </row>
    <row r="69" ht="14.25" customHeight="1">
      <c r="C69" s="19"/>
      <c r="F69" s="55"/>
      <c r="G69" s="55"/>
      <c r="H69" s="12"/>
    </row>
    <row r="70" ht="14.25" customHeight="1">
      <c r="C70" s="19"/>
      <c r="F70" s="55"/>
      <c r="G70" s="55"/>
      <c r="H70" s="12"/>
    </row>
    <row r="71" ht="14.25" customHeight="1">
      <c r="C71" s="19"/>
      <c r="F71" s="55"/>
      <c r="G71" s="55"/>
      <c r="H71" s="12"/>
    </row>
    <row r="72" ht="14.25" customHeight="1">
      <c r="C72" s="19"/>
      <c r="F72" s="55"/>
      <c r="G72" s="55"/>
      <c r="H72" s="12"/>
    </row>
    <row r="73" ht="14.25" customHeight="1">
      <c r="C73" s="19"/>
      <c r="F73" s="55"/>
      <c r="G73" s="55"/>
      <c r="H73" s="12"/>
    </row>
    <row r="74" ht="14.25" customHeight="1">
      <c r="C74" s="19"/>
      <c r="F74" s="55"/>
      <c r="G74" s="55"/>
      <c r="H74" s="12"/>
    </row>
    <row r="75" ht="14.25" customHeight="1">
      <c r="C75" s="19"/>
      <c r="F75" s="55"/>
      <c r="G75" s="55"/>
      <c r="H75" s="12"/>
    </row>
    <row r="76" ht="14.25" customHeight="1">
      <c r="C76" s="19"/>
      <c r="F76" s="55"/>
      <c r="G76" s="55"/>
      <c r="H76" s="12"/>
    </row>
    <row r="77" ht="14.25" customHeight="1">
      <c r="C77" s="19"/>
      <c r="F77" s="55"/>
      <c r="G77" s="55"/>
      <c r="H77" s="12"/>
    </row>
    <row r="78" ht="14.25" customHeight="1">
      <c r="C78" s="19"/>
      <c r="F78" s="55"/>
      <c r="G78" s="55"/>
      <c r="H78" s="12"/>
    </row>
    <row r="79" ht="14.25" customHeight="1">
      <c r="C79" s="19"/>
      <c r="F79" s="55"/>
      <c r="G79" s="55"/>
      <c r="H79" s="12"/>
    </row>
    <row r="80" ht="14.25" customHeight="1">
      <c r="C80" s="19"/>
      <c r="F80" s="55"/>
      <c r="G80" s="55"/>
      <c r="H80" s="12"/>
    </row>
    <row r="81" ht="14.25" customHeight="1">
      <c r="C81" s="19"/>
      <c r="F81" s="55"/>
      <c r="G81" s="55"/>
      <c r="H81" s="12"/>
    </row>
    <row r="82" ht="14.25" customHeight="1">
      <c r="C82" s="19"/>
      <c r="F82" s="55"/>
      <c r="G82" s="55"/>
      <c r="H82" s="12"/>
    </row>
    <row r="83" ht="14.25" customHeight="1">
      <c r="C83" s="19"/>
      <c r="F83" s="55"/>
      <c r="G83" s="55"/>
      <c r="H83" s="12"/>
    </row>
    <row r="84" ht="14.25" customHeight="1">
      <c r="C84" s="19"/>
      <c r="F84" s="55"/>
      <c r="G84" s="55"/>
      <c r="H84" s="12"/>
    </row>
    <row r="85" ht="14.25" customHeight="1">
      <c r="C85" s="19"/>
      <c r="F85" s="55"/>
      <c r="G85" s="55"/>
      <c r="H85" s="12"/>
    </row>
    <row r="86" ht="14.25" customHeight="1">
      <c r="C86" s="19"/>
      <c r="F86" s="55"/>
      <c r="G86" s="55"/>
      <c r="H86" s="12"/>
    </row>
    <row r="87" ht="14.25" customHeight="1">
      <c r="C87" s="19"/>
      <c r="F87" s="55"/>
      <c r="G87" s="55"/>
      <c r="H87" s="12"/>
    </row>
    <row r="88" ht="14.25" customHeight="1">
      <c r="C88" s="19"/>
      <c r="F88" s="55"/>
      <c r="G88" s="55"/>
      <c r="H88" s="12"/>
    </row>
    <row r="89" ht="14.25" customHeight="1">
      <c r="C89" s="19"/>
      <c r="F89" s="55"/>
      <c r="G89" s="55"/>
      <c r="H89" s="12"/>
    </row>
    <row r="90" ht="14.25" customHeight="1">
      <c r="C90" s="19"/>
      <c r="F90" s="55"/>
      <c r="G90" s="55"/>
      <c r="H90" s="12"/>
    </row>
    <row r="91" ht="14.25" customHeight="1">
      <c r="C91" s="19"/>
      <c r="F91" s="55"/>
      <c r="G91" s="55"/>
      <c r="H91" s="12"/>
    </row>
    <row r="92" ht="14.25" customHeight="1">
      <c r="C92" s="19"/>
      <c r="F92" s="55"/>
      <c r="G92" s="55"/>
      <c r="H92" s="12"/>
    </row>
    <row r="93" ht="14.25" customHeight="1">
      <c r="C93" s="19"/>
      <c r="F93" s="55"/>
      <c r="G93" s="55"/>
      <c r="H93" s="12"/>
    </row>
    <row r="94" ht="14.25" customHeight="1">
      <c r="C94" s="19"/>
      <c r="F94" s="55"/>
      <c r="G94" s="55"/>
      <c r="H94" s="12"/>
    </row>
    <row r="95" ht="14.25" customHeight="1">
      <c r="C95" s="19"/>
      <c r="F95" s="55"/>
      <c r="G95" s="55"/>
      <c r="H95" s="12"/>
    </row>
    <row r="96" ht="14.25" customHeight="1">
      <c r="C96" s="19"/>
      <c r="F96" s="55"/>
      <c r="G96" s="55"/>
      <c r="H96" s="12"/>
    </row>
    <row r="97" ht="14.25" customHeight="1">
      <c r="C97" s="19"/>
      <c r="F97" s="55"/>
      <c r="G97" s="55"/>
      <c r="H97" s="12"/>
    </row>
    <row r="98" ht="14.25" customHeight="1">
      <c r="C98" s="19"/>
      <c r="F98" s="55"/>
      <c r="G98" s="55"/>
      <c r="H98" s="12"/>
    </row>
    <row r="99" ht="14.25" customHeight="1">
      <c r="C99" s="19"/>
      <c r="F99" s="55"/>
      <c r="G99" s="55"/>
      <c r="H99" s="12"/>
    </row>
    <row r="100" ht="14.25" customHeight="1">
      <c r="C100" s="19"/>
      <c r="F100" s="55"/>
      <c r="G100" s="55"/>
      <c r="H100" s="12"/>
    </row>
    <row r="101" ht="14.25" customHeight="1">
      <c r="C101" s="19"/>
      <c r="F101" s="55"/>
      <c r="G101" s="55"/>
      <c r="H101" s="12"/>
    </row>
    <row r="102" ht="14.25" customHeight="1">
      <c r="C102" s="19"/>
      <c r="F102" s="55"/>
      <c r="G102" s="55"/>
      <c r="H102" s="12"/>
    </row>
    <row r="103" ht="14.25" customHeight="1">
      <c r="C103" s="19"/>
      <c r="F103" s="55"/>
      <c r="G103" s="55"/>
      <c r="H103" s="12"/>
    </row>
    <row r="104" ht="14.25" customHeight="1">
      <c r="C104" s="19"/>
      <c r="F104" s="55"/>
      <c r="G104" s="55"/>
      <c r="H104" s="12"/>
    </row>
    <row r="105" ht="14.25" customHeight="1">
      <c r="C105" s="19"/>
      <c r="F105" s="55"/>
      <c r="G105" s="55"/>
      <c r="H105" s="12"/>
    </row>
    <row r="106" ht="14.25" customHeight="1">
      <c r="C106" s="19"/>
      <c r="F106" s="55"/>
      <c r="G106" s="55"/>
      <c r="H106" s="12"/>
    </row>
    <row r="107" ht="14.25" customHeight="1">
      <c r="C107" s="19"/>
      <c r="F107" s="55"/>
      <c r="G107" s="55"/>
      <c r="H107" s="12"/>
    </row>
    <row r="108" ht="14.25" customHeight="1">
      <c r="C108" s="19"/>
      <c r="F108" s="55"/>
      <c r="G108" s="55"/>
      <c r="H108" s="12"/>
    </row>
    <row r="109" ht="14.25" customHeight="1">
      <c r="C109" s="19"/>
      <c r="F109" s="55"/>
      <c r="G109" s="55"/>
      <c r="H109" s="12"/>
    </row>
    <row r="110" ht="14.25" customHeight="1">
      <c r="C110" s="19"/>
      <c r="F110" s="55"/>
      <c r="G110" s="55"/>
      <c r="H110" s="12"/>
    </row>
    <row r="111" ht="14.25" customHeight="1">
      <c r="C111" s="19"/>
      <c r="F111" s="55"/>
      <c r="G111" s="55"/>
      <c r="H111" s="12"/>
    </row>
    <row r="112" ht="14.25" customHeight="1">
      <c r="C112" s="19"/>
      <c r="F112" s="55"/>
      <c r="G112" s="55"/>
      <c r="H112" s="12"/>
    </row>
    <row r="113" ht="14.25" customHeight="1">
      <c r="C113" s="19"/>
      <c r="F113" s="55"/>
      <c r="G113" s="55"/>
      <c r="H113" s="12"/>
    </row>
    <row r="114" ht="14.25" customHeight="1">
      <c r="C114" s="19"/>
      <c r="F114" s="55"/>
      <c r="G114" s="55"/>
      <c r="H114" s="12"/>
    </row>
    <row r="115" ht="14.25" customHeight="1">
      <c r="C115" s="19"/>
      <c r="F115" s="55"/>
      <c r="G115" s="55"/>
      <c r="H115" s="12"/>
    </row>
    <row r="116" ht="14.25" customHeight="1">
      <c r="C116" s="19"/>
      <c r="F116" s="55"/>
      <c r="G116" s="55"/>
      <c r="H116" s="12"/>
    </row>
    <row r="117" ht="14.25" customHeight="1">
      <c r="C117" s="19"/>
      <c r="F117" s="55"/>
      <c r="G117" s="55"/>
      <c r="H117" s="12"/>
    </row>
    <row r="118" ht="14.25" customHeight="1">
      <c r="C118" s="19"/>
      <c r="F118" s="55"/>
      <c r="G118" s="55"/>
      <c r="H118" s="12"/>
    </row>
    <row r="119" ht="14.25" customHeight="1">
      <c r="C119" s="19"/>
      <c r="F119" s="55"/>
      <c r="G119" s="55"/>
      <c r="H119" s="12"/>
    </row>
    <row r="120" ht="14.25" customHeight="1">
      <c r="C120" s="19"/>
      <c r="F120" s="55"/>
      <c r="G120" s="55"/>
      <c r="H120" s="12"/>
    </row>
    <row r="121" ht="14.25" customHeight="1">
      <c r="C121" s="19"/>
      <c r="F121" s="55"/>
      <c r="G121" s="55"/>
      <c r="H121" s="12"/>
    </row>
    <row r="122" ht="14.25" customHeight="1">
      <c r="C122" s="19"/>
      <c r="F122" s="55"/>
      <c r="G122" s="55"/>
      <c r="H122" s="12"/>
    </row>
    <row r="123" ht="14.25" customHeight="1">
      <c r="C123" s="19"/>
      <c r="F123" s="55"/>
      <c r="G123" s="55"/>
      <c r="H123" s="12"/>
    </row>
    <row r="124" ht="14.25" customHeight="1">
      <c r="C124" s="19"/>
      <c r="F124" s="55"/>
      <c r="G124" s="55"/>
      <c r="H124" s="12"/>
    </row>
    <row r="125" ht="14.25" customHeight="1">
      <c r="C125" s="19"/>
      <c r="F125" s="55"/>
      <c r="G125" s="55"/>
      <c r="H125" s="12"/>
    </row>
    <row r="126" ht="14.25" customHeight="1">
      <c r="C126" s="19"/>
      <c r="F126" s="55"/>
      <c r="G126" s="55"/>
      <c r="H126" s="12"/>
    </row>
    <row r="127" ht="14.25" customHeight="1">
      <c r="C127" s="19"/>
      <c r="F127" s="55"/>
      <c r="G127" s="55"/>
      <c r="H127" s="12"/>
    </row>
    <row r="128" ht="14.25" customHeight="1">
      <c r="C128" s="19"/>
      <c r="F128" s="55"/>
      <c r="G128" s="55"/>
      <c r="H128" s="12"/>
    </row>
    <row r="129" ht="14.25" customHeight="1">
      <c r="C129" s="19"/>
      <c r="F129" s="55"/>
      <c r="G129" s="55"/>
      <c r="H129" s="12"/>
    </row>
    <row r="130" ht="14.25" customHeight="1">
      <c r="C130" s="19"/>
      <c r="F130" s="55"/>
      <c r="G130" s="55"/>
      <c r="H130" s="12"/>
    </row>
    <row r="131" ht="14.25" customHeight="1">
      <c r="C131" s="19"/>
      <c r="F131" s="55"/>
      <c r="G131" s="55"/>
      <c r="H131" s="12"/>
    </row>
    <row r="132" ht="14.25" customHeight="1">
      <c r="C132" s="19"/>
      <c r="F132" s="55"/>
      <c r="G132" s="55"/>
      <c r="H132" s="12"/>
    </row>
    <row r="133" ht="14.25" customHeight="1">
      <c r="C133" s="19"/>
      <c r="F133" s="55"/>
      <c r="G133" s="55"/>
      <c r="H133" s="12"/>
    </row>
    <row r="134" ht="14.25" customHeight="1">
      <c r="C134" s="19"/>
      <c r="F134" s="55"/>
      <c r="G134" s="55"/>
      <c r="H134" s="12"/>
    </row>
    <row r="135" ht="14.25" customHeight="1">
      <c r="C135" s="19"/>
      <c r="F135" s="55"/>
      <c r="G135" s="55"/>
      <c r="H135" s="12"/>
    </row>
    <row r="136" ht="14.25" customHeight="1">
      <c r="C136" s="19"/>
      <c r="F136" s="55"/>
      <c r="G136" s="55"/>
      <c r="H136" s="12"/>
    </row>
    <row r="137" ht="14.25" customHeight="1">
      <c r="C137" s="19"/>
      <c r="F137" s="55"/>
      <c r="G137" s="55"/>
      <c r="H137" s="12"/>
    </row>
    <row r="138" ht="14.25" customHeight="1">
      <c r="C138" s="19"/>
      <c r="F138" s="55"/>
      <c r="G138" s="55"/>
      <c r="H138" s="12"/>
    </row>
    <row r="139" ht="14.25" customHeight="1">
      <c r="C139" s="19"/>
      <c r="F139" s="55"/>
      <c r="G139" s="55"/>
      <c r="H139" s="12"/>
    </row>
    <row r="140" ht="14.25" customHeight="1">
      <c r="C140" s="19"/>
      <c r="F140" s="55"/>
      <c r="G140" s="55"/>
      <c r="H140" s="12"/>
    </row>
    <row r="141" ht="14.25" customHeight="1">
      <c r="C141" s="19"/>
      <c r="F141" s="55"/>
      <c r="G141" s="55"/>
      <c r="H141" s="12"/>
    </row>
    <row r="142" ht="14.25" customHeight="1">
      <c r="C142" s="19"/>
      <c r="F142" s="55"/>
      <c r="G142" s="55"/>
      <c r="H142" s="12"/>
    </row>
    <row r="143" ht="14.25" customHeight="1">
      <c r="C143" s="19"/>
      <c r="F143" s="55"/>
      <c r="G143" s="55"/>
      <c r="H143" s="12"/>
    </row>
    <row r="144" ht="14.25" customHeight="1">
      <c r="C144" s="19"/>
      <c r="F144" s="55"/>
      <c r="G144" s="55"/>
      <c r="H144" s="12"/>
    </row>
    <row r="145" ht="14.25" customHeight="1">
      <c r="C145" s="19"/>
      <c r="F145" s="55"/>
      <c r="G145" s="55"/>
      <c r="H145" s="12"/>
    </row>
    <row r="146" ht="14.25" customHeight="1">
      <c r="C146" s="19"/>
      <c r="F146" s="55"/>
      <c r="G146" s="55"/>
      <c r="H146" s="12"/>
    </row>
    <row r="147" ht="14.25" customHeight="1">
      <c r="C147" s="19"/>
      <c r="F147" s="55"/>
      <c r="G147" s="55"/>
      <c r="H147" s="12"/>
    </row>
    <row r="148" ht="14.25" customHeight="1">
      <c r="C148" s="19"/>
      <c r="F148" s="55"/>
      <c r="G148" s="55"/>
      <c r="H148" s="12"/>
    </row>
    <row r="149" ht="14.25" customHeight="1">
      <c r="C149" s="19"/>
      <c r="F149" s="55"/>
      <c r="G149" s="55"/>
      <c r="H149" s="12"/>
    </row>
    <row r="150" ht="14.25" customHeight="1">
      <c r="C150" s="19"/>
      <c r="F150" s="55"/>
      <c r="G150" s="55"/>
      <c r="H150" s="12"/>
    </row>
    <row r="151" ht="14.25" customHeight="1">
      <c r="C151" s="19"/>
      <c r="F151" s="55"/>
      <c r="G151" s="55"/>
      <c r="H151" s="12"/>
    </row>
    <row r="152" ht="14.25" customHeight="1">
      <c r="C152" s="19"/>
      <c r="F152" s="55"/>
      <c r="G152" s="55"/>
      <c r="H152" s="12"/>
    </row>
    <row r="153" ht="14.25" customHeight="1">
      <c r="C153" s="19"/>
      <c r="F153" s="55"/>
      <c r="G153" s="55"/>
      <c r="H153" s="12"/>
    </row>
    <row r="154" ht="14.25" customHeight="1">
      <c r="C154" s="19"/>
      <c r="F154" s="55"/>
      <c r="G154" s="55"/>
      <c r="H154" s="12"/>
    </row>
    <row r="155" ht="14.25" customHeight="1">
      <c r="C155" s="19"/>
      <c r="F155" s="55"/>
      <c r="G155" s="55"/>
      <c r="H155" s="12"/>
    </row>
    <row r="156" ht="14.25" customHeight="1">
      <c r="C156" s="19"/>
      <c r="F156" s="55"/>
      <c r="G156" s="55"/>
      <c r="H156" s="12"/>
    </row>
    <row r="157" ht="14.25" customHeight="1">
      <c r="C157" s="19"/>
      <c r="F157" s="55"/>
      <c r="G157" s="55"/>
      <c r="H157" s="12"/>
    </row>
    <row r="158" ht="14.25" customHeight="1">
      <c r="C158" s="19"/>
      <c r="F158" s="55"/>
      <c r="G158" s="55"/>
      <c r="H158" s="12"/>
    </row>
    <row r="159" ht="14.25" customHeight="1">
      <c r="C159" s="19"/>
      <c r="F159" s="55"/>
      <c r="G159" s="55"/>
      <c r="H159" s="12"/>
    </row>
    <row r="160" ht="14.25" customHeight="1">
      <c r="C160" s="19"/>
      <c r="F160" s="55"/>
      <c r="G160" s="55"/>
      <c r="H160" s="12"/>
    </row>
    <row r="161" ht="14.25" customHeight="1">
      <c r="C161" s="19"/>
      <c r="F161" s="55"/>
      <c r="G161" s="55"/>
      <c r="H161" s="12"/>
    </row>
    <row r="162" ht="14.25" customHeight="1">
      <c r="C162" s="19"/>
      <c r="F162" s="55"/>
      <c r="G162" s="55"/>
      <c r="H162" s="12"/>
    </row>
    <row r="163" ht="14.25" customHeight="1">
      <c r="C163" s="19"/>
      <c r="F163" s="55"/>
      <c r="G163" s="55"/>
      <c r="H163" s="12"/>
    </row>
    <row r="164" ht="14.25" customHeight="1">
      <c r="C164" s="19"/>
      <c r="F164" s="55"/>
      <c r="G164" s="55"/>
      <c r="H164" s="12"/>
    </row>
    <row r="165" ht="14.25" customHeight="1">
      <c r="C165" s="19"/>
      <c r="F165" s="55"/>
      <c r="G165" s="55"/>
      <c r="H165" s="12"/>
    </row>
    <row r="166" ht="14.25" customHeight="1">
      <c r="C166" s="19"/>
      <c r="F166" s="55"/>
      <c r="G166" s="55"/>
      <c r="H166" s="12"/>
    </row>
    <row r="167" ht="14.25" customHeight="1">
      <c r="C167" s="19"/>
      <c r="F167" s="55"/>
      <c r="G167" s="55"/>
      <c r="H167" s="12"/>
    </row>
    <row r="168" ht="14.25" customHeight="1">
      <c r="C168" s="19"/>
      <c r="F168" s="55"/>
      <c r="G168" s="55"/>
      <c r="H168" s="12"/>
    </row>
    <row r="169" ht="14.25" customHeight="1">
      <c r="C169" s="19"/>
      <c r="F169" s="55"/>
      <c r="G169" s="55"/>
      <c r="H169" s="12"/>
    </row>
    <row r="170" ht="14.25" customHeight="1">
      <c r="C170" s="19"/>
      <c r="F170" s="55"/>
      <c r="G170" s="55"/>
      <c r="H170" s="12"/>
    </row>
    <row r="171" ht="14.25" customHeight="1">
      <c r="C171" s="19"/>
      <c r="F171" s="55"/>
      <c r="G171" s="55"/>
      <c r="H171" s="12"/>
    </row>
    <row r="172" ht="14.25" customHeight="1">
      <c r="C172" s="19"/>
      <c r="F172" s="55"/>
      <c r="G172" s="55"/>
      <c r="H172" s="12"/>
    </row>
    <row r="173" ht="14.25" customHeight="1">
      <c r="C173" s="19"/>
      <c r="F173" s="55"/>
      <c r="G173" s="55"/>
      <c r="H173" s="12"/>
    </row>
    <row r="174" ht="14.25" customHeight="1">
      <c r="C174" s="19"/>
      <c r="F174" s="55"/>
      <c r="G174" s="55"/>
      <c r="H174" s="12"/>
    </row>
    <row r="175" ht="14.25" customHeight="1">
      <c r="C175" s="19"/>
      <c r="F175" s="55"/>
      <c r="G175" s="55"/>
      <c r="H175" s="12"/>
    </row>
    <row r="176" ht="14.25" customHeight="1">
      <c r="C176" s="19"/>
      <c r="F176" s="55"/>
      <c r="G176" s="55"/>
      <c r="H176" s="12"/>
    </row>
    <row r="177" ht="14.25" customHeight="1">
      <c r="C177" s="19"/>
      <c r="F177" s="55"/>
      <c r="G177" s="55"/>
      <c r="H177" s="12"/>
    </row>
    <row r="178" ht="14.25" customHeight="1">
      <c r="C178" s="19"/>
      <c r="F178" s="55"/>
      <c r="G178" s="55"/>
      <c r="H178" s="12"/>
    </row>
    <row r="179" ht="14.25" customHeight="1">
      <c r="C179" s="19"/>
      <c r="F179" s="55"/>
      <c r="G179" s="55"/>
      <c r="H179" s="12"/>
    </row>
    <row r="180" ht="14.25" customHeight="1">
      <c r="C180" s="19"/>
      <c r="F180" s="55"/>
      <c r="G180" s="55"/>
      <c r="H180" s="12"/>
    </row>
    <row r="181" ht="14.25" customHeight="1">
      <c r="C181" s="19"/>
      <c r="F181" s="55"/>
      <c r="G181" s="55"/>
      <c r="H181" s="12"/>
    </row>
    <row r="182" ht="14.25" customHeight="1">
      <c r="C182" s="19"/>
      <c r="F182" s="55"/>
      <c r="G182" s="55"/>
      <c r="H182" s="12"/>
    </row>
    <row r="183" ht="14.25" customHeight="1">
      <c r="C183" s="19"/>
      <c r="F183" s="55"/>
      <c r="G183" s="55"/>
      <c r="H183" s="12"/>
    </row>
    <row r="184" ht="14.25" customHeight="1">
      <c r="C184" s="19"/>
      <c r="F184" s="55"/>
      <c r="G184" s="55"/>
      <c r="H184" s="12"/>
    </row>
    <row r="185" ht="14.25" customHeight="1">
      <c r="C185" s="19"/>
      <c r="F185" s="55"/>
      <c r="G185" s="55"/>
      <c r="H185" s="12"/>
    </row>
    <row r="186" ht="14.25" customHeight="1">
      <c r="C186" s="19"/>
      <c r="F186" s="55"/>
      <c r="G186" s="55"/>
      <c r="H186" s="12"/>
    </row>
    <row r="187" ht="14.25" customHeight="1">
      <c r="C187" s="19"/>
      <c r="F187" s="55"/>
      <c r="G187" s="55"/>
      <c r="H187" s="12"/>
    </row>
    <row r="188" ht="14.25" customHeight="1">
      <c r="C188" s="19"/>
      <c r="F188" s="55"/>
      <c r="G188" s="55"/>
      <c r="H188" s="12"/>
    </row>
    <row r="189" ht="14.25" customHeight="1">
      <c r="C189" s="19"/>
      <c r="F189" s="55"/>
      <c r="G189" s="55"/>
      <c r="H189" s="12"/>
    </row>
    <row r="190" ht="14.25" customHeight="1">
      <c r="C190" s="19"/>
      <c r="F190" s="55"/>
      <c r="G190" s="55"/>
      <c r="H190" s="12"/>
    </row>
    <row r="191" ht="14.25" customHeight="1">
      <c r="C191" s="19"/>
      <c r="F191" s="55"/>
      <c r="G191" s="55"/>
      <c r="H191" s="12"/>
    </row>
    <row r="192" ht="14.25" customHeight="1">
      <c r="C192" s="19"/>
      <c r="F192" s="55"/>
      <c r="G192" s="55"/>
      <c r="H192" s="12"/>
    </row>
    <row r="193" ht="14.25" customHeight="1">
      <c r="C193" s="19"/>
      <c r="F193" s="55"/>
      <c r="G193" s="55"/>
      <c r="H193" s="12"/>
    </row>
    <row r="194" ht="14.25" customHeight="1">
      <c r="C194" s="19"/>
      <c r="F194" s="55"/>
      <c r="G194" s="55"/>
      <c r="H194" s="12"/>
    </row>
    <row r="195" ht="14.25" customHeight="1">
      <c r="C195" s="19"/>
      <c r="F195" s="55"/>
      <c r="G195" s="55"/>
      <c r="H195" s="12"/>
    </row>
    <row r="196" ht="14.25" customHeight="1">
      <c r="C196" s="19"/>
      <c r="F196" s="55"/>
      <c r="G196" s="55"/>
      <c r="H196" s="12"/>
    </row>
    <row r="197" ht="14.25" customHeight="1">
      <c r="C197" s="19"/>
      <c r="F197" s="55"/>
      <c r="G197" s="55"/>
      <c r="H197" s="12"/>
    </row>
    <row r="198" ht="14.25" customHeight="1">
      <c r="C198" s="19"/>
      <c r="F198" s="55"/>
      <c r="G198" s="55"/>
      <c r="H198" s="12"/>
    </row>
    <row r="199" ht="14.25" customHeight="1">
      <c r="C199" s="19"/>
      <c r="F199" s="55"/>
      <c r="G199" s="55"/>
      <c r="H199" s="12"/>
    </row>
    <row r="200" ht="14.25" customHeight="1">
      <c r="C200" s="19"/>
      <c r="F200" s="55"/>
      <c r="G200" s="55"/>
      <c r="H200" s="12"/>
    </row>
    <row r="201" ht="14.25" customHeight="1">
      <c r="C201" s="19"/>
      <c r="F201" s="55"/>
      <c r="G201" s="55"/>
      <c r="H201" s="12"/>
    </row>
    <row r="202" ht="14.25" customHeight="1">
      <c r="C202" s="19"/>
      <c r="F202" s="55"/>
      <c r="G202" s="55"/>
      <c r="H202" s="12"/>
    </row>
    <row r="203" ht="14.25" customHeight="1">
      <c r="C203" s="19"/>
      <c r="F203" s="55"/>
      <c r="G203" s="55"/>
      <c r="H203" s="12"/>
    </row>
    <row r="204" ht="14.25" customHeight="1">
      <c r="C204" s="19"/>
      <c r="F204" s="55"/>
      <c r="G204" s="55"/>
      <c r="H204" s="12"/>
    </row>
    <row r="205" ht="14.25" customHeight="1">
      <c r="C205" s="19"/>
      <c r="F205" s="55"/>
      <c r="G205" s="55"/>
      <c r="H205" s="12"/>
    </row>
    <row r="206" ht="14.25" customHeight="1">
      <c r="C206" s="19"/>
      <c r="F206" s="55"/>
      <c r="G206" s="55"/>
      <c r="H206" s="12"/>
    </row>
    <row r="207" ht="14.25" customHeight="1">
      <c r="C207" s="19"/>
      <c r="F207" s="55"/>
      <c r="G207" s="55"/>
      <c r="H207" s="12"/>
    </row>
    <row r="208" ht="14.25" customHeight="1">
      <c r="C208" s="19"/>
      <c r="F208" s="55"/>
      <c r="G208" s="55"/>
      <c r="H208" s="12"/>
    </row>
    <row r="209" ht="14.25" customHeight="1">
      <c r="C209" s="19"/>
      <c r="F209" s="55"/>
      <c r="G209" s="55"/>
      <c r="H209" s="12"/>
    </row>
    <row r="210" ht="14.25" customHeight="1">
      <c r="C210" s="19"/>
      <c r="F210" s="55"/>
      <c r="G210" s="55"/>
      <c r="H210" s="12"/>
    </row>
    <row r="211" ht="14.25" customHeight="1">
      <c r="C211" s="19"/>
      <c r="F211" s="55"/>
      <c r="G211" s="55"/>
      <c r="H211" s="12"/>
    </row>
    <row r="212" ht="14.25" customHeight="1">
      <c r="C212" s="19"/>
      <c r="F212" s="55"/>
      <c r="G212" s="55"/>
      <c r="H212" s="12"/>
    </row>
    <row r="213" ht="14.25" customHeight="1">
      <c r="C213" s="19"/>
      <c r="F213" s="55"/>
      <c r="G213" s="55"/>
      <c r="H213" s="12"/>
    </row>
    <row r="214" ht="14.25" customHeight="1">
      <c r="C214" s="19"/>
      <c r="F214" s="55"/>
      <c r="G214" s="55"/>
      <c r="H214" s="12"/>
    </row>
    <row r="215" ht="14.25" customHeight="1">
      <c r="C215" s="19"/>
      <c r="F215" s="55"/>
      <c r="G215" s="55"/>
      <c r="H215" s="12"/>
    </row>
    <row r="216" ht="14.25" customHeight="1">
      <c r="C216" s="19"/>
      <c r="F216" s="55"/>
      <c r="G216" s="55"/>
      <c r="H216" s="12"/>
    </row>
    <row r="217" ht="14.25" customHeight="1">
      <c r="C217" s="19"/>
      <c r="F217" s="55"/>
      <c r="G217" s="55"/>
      <c r="H217" s="12"/>
    </row>
    <row r="218" ht="14.25" customHeight="1">
      <c r="C218" s="19"/>
      <c r="F218" s="55"/>
      <c r="G218" s="55"/>
      <c r="H218" s="12"/>
    </row>
    <row r="219" ht="14.25" customHeight="1">
      <c r="C219" s="19"/>
      <c r="F219" s="55"/>
      <c r="G219" s="55"/>
      <c r="H219" s="12"/>
    </row>
    <row r="220" ht="14.25" customHeight="1">
      <c r="C220" s="19"/>
      <c r="F220" s="55"/>
      <c r="G220" s="55"/>
      <c r="H220" s="12"/>
    </row>
    <row r="221" ht="14.25" customHeight="1">
      <c r="C221" s="19"/>
      <c r="F221" s="55"/>
      <c r="G221" s="55"/>
      <c r="H221" s="12"/>
    </row>
    <row r="222" ht="14.25" customHeight="1">
      <c r="C222" s="19"/>
      <c r="F222" s="55"/>
      <c r="G222" s="55"/>
      <c r="H222" s="12"/>
    </row>
    <row r="223" ht="14.25" customHeight="1">
      <c r="C223" s="19"/>
      <c r="F223" s="55"/>
      <c r="G223" s="55"/>
      <c r="H223" s="12"/>
    </row>
    <row r="224" ht="14.25" customHeight="1">
      <c r="C224" s="19"/>
      <c r="F224" s="55"/>
      <c r="G224" s="55"/>
      <c r="H224" s="12"/>
    </row>
    <row r="225" ht="14.25" customHeight="1">
      <c r="C225" s="19"/>
      <c r="F225" s="55"/>
      <c r="G225" s="55"/>
      <c r="H225" s="12"/>
    </row>
    <row r="226" ht="14.25" customHeight="1">
      <c r="C226" s="19"/>
      <c r="F226" s="55"/>
      <c r="G226" s="55"/>
      <c r="H226" s="12"/>
    </row>
    <row r="227" ht="14.25" customHeight="1">
      <c r="C227" s="19"/>
      <c r="F227" s="55"/>
      <c r="G227" s="55"/>
      <c r="H227" s="12"/>
    </row>
    <row r="228" ht="14.25" customHeight="1">
      <c r="C228" s="19"/>
      <c r="F228" s="55"/>
      <c r="G228" s="55"/>
      <c r="H228" s="12"/>
    </row>
    <row r="229" ht="14.25" customHeight="1">
      <c r="C229" s="19"/>
      <c r="F229" s="55"/>
      <c r="G229" s="55"/>
      <c r="H229" s="12"/>
    </row>
    <row r="230" ht="14.25" customHeight="1">
      <c r="C230" s="19"/>
      <c r="F230" s="55"/>
      <c r="G230" s="55"/>
      <c r="H230" s="12"/>
    </row>
    <row r="231" ht="14.25" customHeight="1">
      <c r="C231" s="19"/>
      <c r="F231" s="55"/>
      <c r="G231" s="55"/>
      <c r="H231" s="12"/>
    </row>
    <row r="232" ht="14.25" customHeight="1">
      <c r="C232" s="19"/>
      <c r="F232" s="55"/>
      <c r="G232" s="55"/>
      <c r="H232" s="12"/>
    </row>
    <row r="233" ht="14.25" customHeight="1">
      <c r="C233" s="19"/>
      <c r="F233" s="55"/>
      <c r="G233" s="55"/>
      <c r="H233" s="12"/>
    </row>
    <row r="234" ht="14.25" customHeight="1">
      <c r="C234" s="19"/>
      <c r="F234" s="55"/>
      <c r="G234" s="55"/>
      <c r="H234" s="12"/>
    </row>
    <row r="235" ht="14.25" customHeight="1">
      <c r="C235" s="19"/>
      <c r="F235" s="55"/>
      <c r="G235" s="55"/>
      <c r="H235" s="12"/>
    </row>
    <row r="236" ht="14.25" customHeight="1">
      <c r="C236" s="19"/>
      <c r="F236" s="55"/>
      <c r="G236" s="55"/>
      <c r="H236" s="12"/>
    </row>
    <row r="237" ht="14.25" customHeight="1">
      <c r="C237" s="19"/>
      <c r="F237" s="55"/>
      <c r="G237" s="55"/>
      <c r="H237" s="12"/>
    </row>
    <row r="238" ht="14.25" customHeight="1">
      <c r="C238" s="19"/>
      <c r="F238" s="55"/>
      <c r="G238" s="55"/>
      <c r="H238" s="12"/>
    </row>
    <row r="239" ht="14.25" customHeight="1">
      <c r="C239" s="19"/>
      <c r="F239" s="55"/>
      <c r="G239" s="55"/>
      <c r="H239" s="12"/>
    </row>
    <row r="240" ht="14.25" customHeight="1">
      <c r="C240" s="19"/>
      <c r="F240" s="55"/>
      <c r="G240" s="55"/>
      <c r="H240" s="12"/>
    </row>
    <row r="241" ht="14.25" customHeight="1">
      <c r="C241" s="19"/>
      <c r="F241" s="55"/>
      <c r="G241" s="55"/>
      <c r="H241" s="12"/>
    </row>
    <row r="242" ht="14.25" customHeight="1">
      <c r="C242" s="19"/>
      <c r="F242" s="55"/>
      <c r="G242" s="55"/>
      <c r="H242" s="12"/>
    </row>
    <row r="243" ht="14.25" customHeight="1">
      <c r="C243" s="19"/>
      <c r="F243" s="55"/>
      <c r="G243" s="55"/>
      <c r="H243" s="12"/>
    </row>
    <row r="244" ht="14.25" customHeight="1">
      <c r="C244" s="19"/>
      <c r="F244" s="55"/>
      <c r="G244" s="55"/>
      <c r="H244" s="12"/>
    </row>
    <row r="245" ht="14.25" customHeight="1">
      <c r="C245" s="19"/>
      <c r="F245" s="55"/>
      <c r="G245" s="55"/>
      <c r="H245" s="12"/>
    </row>
    <row r="246" ht="14.25" customHeight="1">
      <c r="C246" s="19"/>
      <c r="F246" s="55"/>
      <c r="G246" s="55"/>
      <c r="H246" s="12"/>
    </row>
    <row r="247" ht="14.25" customHeight="1">
      <c r="C247" s="19"/>
      <c r="F247" s="55"/>
      <c r="G247" s="55"/>
      <c r="H247" s="12"/>
    </row>
    <row r="248" ht="14.25" customHeight="1">
      <c r="C248" s="19"/>
      <c r="F248" s="55"/>
      <c r="G248" s="55"/>
      <c r="H248" s="12"/>
    </row>
    <row r="249" ht="14.25" customHeight="1">
      <c r="C249" s="19"/>
      <c r="F249" s="55"/>
      <c r="G249" s="55"/>
      <c r="H249" s="12"/>
    </row>
    <row r="250" ht="14.25" customHeight="1">
      <c r="C250" s="19"/>
      <c r="F250" s="55"/>
      <c r="G250" s="55"/>
      <c r="H250" s="12"/>
    </row>
    <row r="251" ht="14.25" customHeight="1">
      <c r="C251" s="19"/>
      <c r="F251" s="55"/>
      <c r="G251" s="55"/>
      <c r="H251" s="12"/>
    </row>
    <row r="252" ht="14.25" customHeight="1">
      <c r="C252" s="19"/>
      <c r="F252" s="55"/>
      <c r="G252" s="55"/>
      <c r="H252" s="12"/>
    </row>
    <row r="253" ht="14.25" customHeight="1">
      <c r="C253" s="19"/>
      <c r="F253" s="55"/>
      <c r="G253" s="55"/>
      <c r="H253" s="12"/>
    </row>
    <row r="254" ht="14.25" customHeight="1">
      <c r="C254" s="19"/>
      <c r="F254" s="55"/>
      <c r="G254" s="55"/>
      <c r="H254" s="12"/>
    </row>
    <row r="255" ht="14.25" customHeight="1">
      <c r="C255" s="19"/>
      <c r="F255" s="55"/>
      <c r="G255" s="55"/>
      <c r="H255" s="12"/>
    </row>
    <row r="256" ht="14.25" customHeight="1">
      <c r="C256" s="19"/>
      <c r="F256" s="55"/>
      <c r="G256" s="55"/>
      <c r="H256" s="12"/>
    </row>
    <row r="257" ht="14.25" customHeight="1">
      <c r="C257" s="19"/>
      <c r="F257" s="55"/>
      <c r="G257" s="55"/>
      <c r="H257" s="12"/>
    </row>
    <row r="258" ht="14.25" customHeight="1">
      <c r="C258" s="19"/>
      <c r="F258" s="55"/>
      <c r="G258" s="55"/>
      <c r="H258" s="12"/>
    </row>
    <row r="259" ht="14.25" customHeight="1">
      <c r="C259" s="19"/>
      <c r="F259" s="55"/>
      <c r="G259" s="55"/>
      <c r="H259" s="12"/>
    </row>
    <row r="260" ht="14.25" customHeight="1">
      <c r="C260" s="19"/>
      <c r="F260" s="55"/>
      <c r="G260" s="55"/>
      <c r="H260" s="12"/>
    </row>
    <row r="261" ht="14.25" customHeight="1">
      <c r="C261" s="19"/>
      <c r="F261" s="55"/>
      <c r="G261" s="55"/>
      <c r="H261" s="12"/>
    </row>
    <row r="262" ht="14.25" customHeight="1">
      <c r="C262" s="19"/>
      <c r="F262" s="55"/>
      <c r="G262" s="55"/>
      <c r="H262" s="12"/>
    </row>
    <row r="263" ht="14.25" customHeight="1">
      <c r="C263" s="19"/>
      <c r="F263" s="55"/>
      <c r="G263" s="55"/>
      <c r="H263" s="12"/>
    </row>
    <row r="264" ht="14.25" customHeight="1">
      <c r="C264" s="19"/>
      <c r="F264" s="55"/>
      <c r="G264" s="55"/>
      <c r="H264" s="12"/>
    </row>
    <row r="265" ht="14.25" customHeight="1">
      <c r="C265" s="19"/>
      <c r="F265" s="55"/>
      <c r="G265" s="55"/>
      <c r="H265" s="12"/>
    </row>
    <row r="266" ht="14.25" customHeight="1">
      <c r="C266" s="19"/>
      <c r="F266" s="55"/>
      <c r="G266" s="55"/>
      <c r="H266" s="12"/>
    </row>
    <row r="267" ht="14.25" customHeight="1">
      <c r="C267" s="19"/>
      <c r="F267" s="55"/>
      <c r="G267" s="55"/>
      <c r="H267" s="12"/>
    </row>
    <row r="268" ht="14.25" customHeight="1">
      <c r="C268" s="19"/>
      <c r="F268" s="55"/>
      <c r="G268" s="55"/>
      <c r="H268" s="12"/>
    </row>
    <row r="269" ht="14.25" customHeight="1">
      <c r="C269" s="19"/>
      <c r="F269" s="55"/>
      <c r="G269" s="55"/>
      <c r="H269" s="12"/>
    </row>
    <row r="270" ht="14.25" customHeight="1">
      <c r="C270" s="19"/>
      <c r="F270" s="55"/>
      <c r="G270" s="55"/>
      <c r="H270" s="12"/>
    </row>
    <row r="271" ht="14.25" customHeight="1">
      <c r="C271" s="19"/>
      <c r="F271" s="55"/>
      <c r="G271" s="55"/>
      <c r="H271" s="12"/>
    </row>
    <row r="272" ht="14.25" customHeight="1">
      <c r="C272" s="19"/>
      <c r="F272" s="55"/>
      <c r="G272" s="55"/>
      <c r="H272" s="12"/>
    </row>
    <row r="273" ht="14.25" customHeight="1">
      <c r="C273" s="19"/>
      <c r="F273" s="55"/>
      <c r="G273" s="55"/>
      <c r="H273" s="12"/>
    </row>
    <row r="274" ht="14.25" customHeight="1">
      <c r="C274" s="19"/>
      <c r="F274" s="55"/>
      <c r="G274" s="55"/>
      <c r="H274" s="12"/>
    </row>
    <row r="275" ht="14.25" customHeight="1">
      <c r="C275" s="19"/>
      <c r="F275" s="55"/>
      <c r="G275" s="55"/>
      <c r="H275" s="12"/>
    </row>
    <row r="276" ht="14.25" customHeight="1">
      <c r="C276" s="19"/>
      <c r="F276" s="55"/>
      <c r="G276" s="55"/>
      <c r="H276" s="12"/>
    </row>
    <row r="277" ht="14.25" customHeight="1">
      <c r="C277" s="19"/>
      <c r="F277" s="55"/>
      <c r="G277" s="55"/>
      <c r="H277" s="12"/>
    </row>
    <row r="278" ht="14.25" customHeight="1">
      <c r="C278" s="19"/>
      <c r="F278" s="55"/>
      <c r="G278" s="55"/>
      <c r="H278" s="12"/>
    </row>
    <row r="279" ht="14.25" customHeight="1">
      <c r="C279" s="19"/>
      <c r="F279" s="55"/>
      <c r="G279" s="55"/>
      <c r="H279" s="12"/>
    </row>
    <row r="280" ht="14.25" customHeight="1">
      <c r="C280" s="19"/>
      <c r="F280" s="55"/>
      <c r="G280" s="55"/>
      <c r="H280" s="12"/>
    </row>
    <row r="281" ht="14.25" customHeight="1">
      <c r="C281" s="19"/>
      <c r="F281" s="55"/>
      <c r="G281" s="55"/>
      <c r="H281" s="12"/>
    </row>
    <row r="282" ht="14.25" customHeight="1">
      <c r="C282" s="19"/>
      <c r="F282" s="55"/>
      <c r="G282" s="55"/>
      <c r="H282" s="12"/>
    </row>
    <row r="283" ht="14.25" customHeight="1">
      <c r="C283" s="19"/>
      <c r="F283" s="55"/>
      <c r="G283" s="55"/>
      <c r="H283" s="12"/>
    </row>
    <row r="284" ht="14.25" customHeight="1">
      <c r="C284" s="19"/>
      <c r="F284" s="55"/>
      <c r="G284" s="55"/>
      <c r="H284" s="12"/>
    </row>
    <row r="285" ht="14.25" customHeight="1">
      <c r="C285" s="19"/>
      <c r="F285" s="55"/>
      <c r="G285" s="55"/>
      <c r="H285" s="12"/>
    </row>
    <row r="286" ht="14.25" customHeight="1">
      <c r="C286" s="19"/>
      <c r="F286" s="55"/>
      <c r="G286" s="55"/>
      <c r="H286" s="12"/>
    </row>
    <row r="287" ht="14.25" customHeight="1">
      <c r="C287" s="19"/>
      <c r="F287" s="55"/>
      <c r="G287" s="55"/>
      <c r="H287" s="12"/>
    </row>
    <row r="288" ht="14.25" customHeight="1">
      <c r="C288" s="19"/>
      <c r="F288" s="55"/>
      <c r="G288" s="55"/>
      <c r="H288" s="12"/>
    </row>
    <row r="289" ht="14.25" customHeight="1">
      <c r="C289" s="19"/>
      <c r="F289" s="55"/>
      <c r="G289" s="55"/>
      <c r="H289" s="12"/>
    </row>
    <row r="290" ht="14.25" customHeight="1">
      <c r="C290" s="19"/>
      <c r="F290" s="55"/>
      <c r="G290" s="55"/>
      <c r="H290" s="12"/>
    </row>
    <row r="291" ht="14.25" customHeight="1">
      <c r="C291" s="19"/>
      <c r="F291" s="55"/>
      <c r="G291" s="55"/>
      <c r="H291" s="12"/>
    </row>
    <row r="292" ht="14.25" customHeight="1">
      <c r="C292" s="19"/>
      <c r="F292" s="55"/>
      <c r="G292" s="55"/>
      <c r="H292" s="12"/>
    </row>
    <row r="293" ht="14.25" customHeight="1">
      <c r="C293" s="19"/>
      <c r="F293" s="55"/>
      <c r="G293" s="55"/>
      <c r="H293" s="12"/>
    </row>
    <row r="294" ht="14.25" customHeight="1">
      <c r="C294" s="19"/>
      <c r="F294" s="55"/>
      <c r="G294" s="55"/>
      <c r="H294" s="12"/>
    </row>
    <row r="295" ht="14.25" customHeight="1">
      <c r="C295" s="19"/>
      <c r="F295" s="55"/>
      <c r="G295" s="55"/>
      <c r="H295" s="12"/>
    </row>
    <row r="296" ht="14.25" customHeight="1">
      <c r="C296" s="19"/>
      <c r="F296" s="55"/>
      <c r="G296" s="55"/>
      <c r="H296" s="12"/>
    </row>
    <row r="297" ht="14.25" customHeight="1">
      <c r="C297" s="19"/>
      <c r="F297" s="55"/>
      <c r="G297" s="55"/>
      <c r="H297" s="12"/>
    </row>
    <row r="298" ht="14.25" customHeight="1">
      <c r="C298" s="19"/>
      <c r="F298" s="55"/>
      <c r="G298" s="55"/>
      <c r="H298" s="12"/>
    </row>
    <row r="299" ht="14.25" customHeight="1">
      <c r="C299" s="19"/>
      <c r="F299" s="55"/>
      <c r="G299" s="55"/>
      <c r="H299" s="12"/>
    </row>
    <row r="300" ht="14.25" customHeight="1">
      <c r="C300" s="19"/>
      <c r="F300" s="55"/>
      <c r="G300" s="55"/>
      <c r="H300" s="12"/>
    </row>
    <row r="301" ht="14.25" customHeight="1">
      <c r="C301" s="19"/>
      <c r="F301" s="55"/>
      <c r="G301" s="55"/>
      <c r="H301" s="12"/>
    </row>
    <row r="302" ht="14.25" customHeight="1">
      <c r="C302" s="19"/>
      <c r="F302" s="55"/>
      <c r="G302" s="55"/>
      <c r="H302" s="12"/>
    </row>
    <row r="303" ht="14.25" customHeight="1">
      <c r="C303" s="19"/>
      <c r="F303" s="55"/>
      <c r="G303" s="55"/>
      <c r="H303" s="12"/>
    </row>
    <row r="304" ht="14.25" customHeight="1">
      <c r="C304" s="19"/>
      <c r="F304" s="55"/>
      <c r="G304" s="55"/>
      <c r="H304" s="12"/>
    </row>
    <row r="305" ht="14.25" customHeight="1">
      <c r="C305" s="19"/>
      <c r="F305" s="55"/>
      <c r="G305" s="55"/>
      <c r="H305" s="12"/>
    </row>
    <row r="306" ht="14.25" customHeight="1">
      <c r="C306" s="19"/>
      <c r="F306" s="55"/>
      <c r="G306" s="55"/>
      <c r="H306" s="12"/>
    </row>
    <row r="307" ht="14.25" customHeight="1">
      <c r="C307" s="19"/>
      <c r="F307" s="55"/>
      <c r="G307" s="55"/>
      <c r="H307" s="12"/>
    </row>
    <row r="308" ht="14.25" customHeight="1">
      <c r="C308" s="19"/>
      <c r="F308" s="55"/>
      <c r="G308" s="55"/>
      <c r="H308" s="12"/>
    </row>
    <row r="309" ht="14.25" customHeight="1">
      <c r="C309" s="19"/>
      <c r="F309" s="55"/>
      <c r="G309" s="55"/>
      <c r="H309" s="12"/>
    </row>
    <row r="310" ht="14.25" customHeight="1">
      <c r="C310" s="19"/>
      <c r="F310" s="55"/>
      <c r="G310" s="55"/>
      <c r="H310" s="12"/>
    </row>
    <row r="311" ht="14.25" customHeight="1">
      <c r="C311" s="19"/>
      <c r="F311" s="55"/>
      <c r="G311" s="55"/>
      <c r="H311" s="12"/>
    </row>
    <row r="312" ht="14.25" customHeight="1">
      <c r="C312" s="19"/>
      <c r="F312" s="55"/>
      <c r="G312" s="55"/>
      <c r="H312" s="12"/>
    </row>
    <row r="313" ht="14.25" customHeight="1">
      <c r="C313" s="19"/>
      <c r="F313" s="55"/>
      <c r="G313" s="55"/>
      <c r="H313" s="12"/>
    </row>
    <row r="314" ht="14.25" customHeight="1">
      <c r="C314" s="19"/>
      <c r="F314" s="55"/>
      <c r="G314" s="55"/>
      <c r="H314" s="12"/>
    </row>
    <row r="315" ht="14.25" customHeight="1">
      <c r="C315" s="19"/>
      <c r="F315" s="55"/>
      <c r="G315" s="55"/>
      <c r="H315" s="12"/>
    </row>
    <row r="316" ht="14.25" customHeight="1">
      <c r="C316" s="19"/>
      <c r="F316" s="55"/>
      <c r="G316" s="55"/>
      <c r="H316" s="12"/>
    </row>
    <row r="317" ht="14.25" customHeight="1">
      <c r="C317" s="19"/>
      <c r="F317" s="55"/>
      <c r="G317" s="55"/>
      <c r="H317" s="12"/>
    </row>
    <row r="318" ht="14.25" customHeight="1">
      <c r="C318" s="19"/>
      <c r="F318" s="55"/>
      <c r="G318" s="55"/>
      <c r="H318" s="12"/>
    </row>
    <row r="319" ht="14.25" customHeight="1">
      <c r="C319" s="19"/>
      <c r="F319" s="55"/>
      <c r="G319" s="55"/>
      <c r="H319" s="12"/>
    </row>
    <row r="320" ht="14.25" customHeight="1">
      <c r="C320" s="19"/>
      <c r="F320" s="55"/>
      <c r="G320" s="55"/>
      <c r="H320" s="12"/>
    </row>
    <row r="321" ht="14.25" customHeight="1">
      <c r="C321" s="19"/>
      <c r="F321" s="55"/>
      <c r="G321" s="55"/>
      <c r="H321" s="12"/>
    </row>
    <row r="322" ht="14.25" customHeight="1">
      <c r="C322" s="19"/>
      <c r="F322" s="55"/>
      <c r="G322" s="55"/>
      <c r="H322" s="12"/>
    </row>
    <row r="323" ht="14.25" customHeight="1">
      <c r="C323" s="19"/>
      <c r="F323" s="55"/>
      <c r="G323" s="55"/>
      <c r="H323" s="12"/>
    </row>
    <row r="324" ht="14.25" customHeight="1">
      <c r="C324" s="19"/>
      <c r="F324" s="55"/>
      <c r="G324" s="55"/>
      <c r="H324" s="12"/>
    </row>
    <row r="325" ht="14.25" customHeight="1">
      <c r="C325" s="19"/>
      <c r="F325" s="55"/>
      <c r="G325" s="55"/>
      <c r="H325" s="12"/>
    </row>
    <row r="326" ht="14.25" customHeight="1">
      <c r="C326" s="19"/>
      <c r="F326" s="55"/>
      <c r="G326" s="55"/>
      <c r="H326" s="12"/>
    </row>
    <row r="327" ht="14.25" customHeight="1">
      <c r="C327" s="19"/>
      <c r="F327" s="55"/>
      <c r="G327" s="55"/>
      <c r="H327" s="12"/>
    </row>
    <row r="328" ht="14.25" customHeight="1">
      <c r="C328" s="19"/>
      <c r="F328" s="55"/>
      <c r="G328" s="55"/>
      <c r="H328" s="12"/>
    </row>
    <row r="329" ht="14.25" customHeight="1">
      <c r="C329" s="19"/>
      <c r="F329" s="55"/>
      <c r="G329" s="55"/>
      <c r="H329" s="12"/>
    </row>
    <row r="330" ht="14.25" customHeight="1">
      <c r="C330" s="19"/>
      <c r="F330" s="55"/>
      <c r="G330" s="55"/>
      <c r="H330" s="12"/>
    </row>
    <row r="331" ht="14.25" customHeight="1">
      <c r="C331" s="19"/>
      <c r="F331" s="55"/>
      <c r="G331" s="55"/>
      <c r="H331" s="12"/>
    </row>
    <row r="332" ht="14.25" customHeight="1">
      <c r="C332" s="19"/>
      <c r="F332" s="55"/>
      <c r="G332" s="55"/>
      <c r="H332" s="12"/>
    </row>
    <row r="333" ht="14.25" customHeight="1">
      <c r="C333" s="19"/>
      <c r="F333" s="55"/>
      <c r="G333" s="55"/>
      <c r="H333" s="12"/>
    </row>
    <row r="334" ht="14.25" customHeight="1">
      <c r="C334" s="19"/>
      <c r="F334" s="55"/>
      <c r="G334" s="55"/>
      <c r="H334" s="12"/>
    </row>
    <row r="335" ht="14.25" customHeight="1">
      <c r="C335" s="19"/>
      <c r="F335" s="55"/>
      <c r="G335" s="55"/>
      <c r="H335" s="12"/>
    </row>
    <row r="336" ht="14.25" customHeight="1">
      <c r="C336" s="19"/>
      <c r="F336" s="55"/>
      <c r="G336" s="55"/>
      <c r="H336" s="12"/>
    </row>
    <row r="337" ht="14.25" customHeight="1">
      <c r="C337" s="19"/>
      <c r="F337" s="55"/>
      <c r="G337" s="55"/>
      <c r="H337" s="12"/>
    </row>
    <row r="338" ht="14.25" customHeight="1">
      <c r="C338" s="19"/>
      <c r="F338" s="55"/>
      <c r="G338" s="55"/>
      <c r="H338" s="12"/>
    </row>
    <row r="339" ht="14.25" customHeight="1">
      <c r="C339" s="19"/>
      <c r="F339" s="55"/>
      <c r="G339" s="55"/>
      <c r="H339" s="12"/>
    </row>
    <row r="340" ht="14.25" customHeight="1">
      <c r="C340" s="19"/>
      <c r="F340" s="55"/>
      <c r="G340" s="55"/>
      <c r="H340" s="12"/>
    </row>
    <row r="341" ht="14.25" customHeight="1">
      <c r="C341" s="19"/>
      <c r="F341" s="55"/>
      <c r="G341" s="55"/>
      <c r="H341" s="12"/>
    </row>
    <row r="342" ht="14.25" customHeight="1">
      <c r="C342" s="19"/>
      <c r="F342" s="55"/>
      <c r="G342" s="55"/>
      <c r="H342" s="12"/>
    </row>
    <row r="343" ht="14.25" customHeight="1">
      <c r="C343" s="19"/>
      <c r="F343" s="55"/>
      <c r="G343" s="55"/>
      <c r="H343" s="12"/>
    </row>
    <row r="344" ht="14.25" customHeight="1">
      <c r="C344" s="19"/>
      <c r="F344" s="55"/>
      <c r="G344" s="55"/>
      <c r="H344" s="12"/>
    </row>
    <row r="345" ht="14.25" customHeight="1">
      <c r="C345" s="19"/>
      <c r="F345" s="55"/>
      <c r="G345" s="55"/>
      <c r="H345" s="12"/>
    </row>
    <row r="346" ht="14.25" customHeight="1">
      <c r="C346" s="19"/>
      <c r="F346" s="55"/>
      <c r="G346" s="55"/>
      <c r="H346" s="12"/>
    </row>
    <row r="347" ht="14.25" customHeight="1">
      <c r="C347" s="19"/>
      <c r="F347" s="55"/>
      <c r="G347" s="55"/>
      <c r="H347" s="12"/>
    </row>
    <row r="348" ht="14.25" customHeight="1">
      <c r="C348" s="19"/>
      <c r="F348" s="55"/>
      <c r="G348" s="55"/>
      <c r="H348" s="12"/>
    </row>
    <row r="349" ht="14.25" customHeight="1">
      <c r="C349" s="19"/>
      <c r="F349" s="55"/>
      <c r="G349" s="55"/>
      <c r="H349" s="12"/>
    </row>
    <row r="350" ht="14.25" customHeight="1">
      <c r="C350" s="19"/>
      <c r="F350" s="55"/>
      <c r="G350" s="55"/>
      <c r="H350" s="12"/>
    </row>
    <row r="351" ht="14.25" customHeight="1">
      <c r="C351" s="19"/>
      <c r="F351" s="55"/>
      <c r="G351" s="55"/>
      <c r="H351" s="12"/>
    </row>
    <row r="352" ht="14.25" customHeight="1">
      <c r="C352" s="19"/>
      <c r="F352" s="55"/>
      <c r="G352" s="55"/>
      <c r="H352" s="12"/>
    </row>
    <row r="353" ht="14.25" customHeight="1">
      <c r="C353" s="19"/>
      <c r="F353" s="55"/>
      <c r="G353" s="55"/>
      <c r="H353" s="12"/>
    </row>
    <row r="354" ht="14.25" customHeight="1">
      <c r="C354" s="19"/>
      <c r="F354" s="55"/>
      <c r="G354" s="55"/>
      <c r="H354" s="12"/>
    </row>
    <row r="355" ht="14.25" customHeight="1">
      <c r="C355" s="19"/>
      <c r="F355" s="55"/>
      <c r="G355" s="55"/>
      <c r="H355" s="12"/>
    </row>
    <row r="356" ht="14.25" customHeight="1">
      <c r="C356" s="19"/>
      <c r="F356" s="55"/>
      <c r="G356" s="55"/>
      <c r="H356" s="12"/>
    </row>
    <row r="357" ht="14.25" customHeight="1">
      <c r="C357" s="19"/>
      <c r="F357" s="55"/>
      <c r="G357" s="55"/>
      <c r="H357" s="12"/>
    </row>
    <row r="358" ht="14.25" customHeight="1">
      <c r="C358" s="19"/>
      <c r="F358" s="55"/>
      <c r="G358" s="55"/>
      <c r="H358" s="12"/>
    </row>
    <row r="359" ht="14.25" customHeight="1">
      <c r="C359" s="19"/>
      <c r="F359" s="55"/>
      <c r="G359" s="55"/>
      <c r="H359" s="12"/>
    </row>
    <row r="360" ht="14.25" customHeight="1">
      <c r="C360" s="19"/>
      <c r="F360" s="55"/>
      <c r="G360" s="55"/>
      <c r="H360" s="12"/>
    </row>
    <row r="361" ht="14.25" customHeight="1">
      <c r="C361" s="19"/>
      <c r="F361" s="55"/>
      <c r="G361" s="55"/>
      <c r="H361" s="12"/>
    </row>
    <row r="362" ht="14.25" customHeight="1">
      <c r="C362" s="19"/>
      <c r="F362" s="55"/>
      <c r="G362" s="55"/>
      <c r="H362" s="12"/>
    </row>
    <row r="363" ht="14.25" customHeight="1">
      <c r="C363" s="19"/>
      <c r="F363" s="55"/>
      <c r="G363" s="55"/>
      <c r="H363" s="12"/>
    </row>
    <row r="364" ht="14.25" customHeight="1">
      <c r="C364" s="19"/>
      <c r="F364" s="55"/>
      <c r="G364" s="55"/>
      <c r="H364" s="12"/>
    </row>
    <row r="365" ht="14.25" customHeight="1">
      <c r="C365" s="19"/>
      <c r="F365" s="55"/>
      <c r="G365" s="55"/>
      <c r="H365" s="12"/>
    </row>
    <row r="366" ht="14.25" customHeight="1">
      <c r="C366" s="19"/>
      <c r="F366" s="55"/>
      <c r="G366" s="55"/>
      <c r="H366" s="12"/>
    </row>
    <row r="367" ht="14.25" customHeight="1">
      <c r="C367" s="19"/>
      <c r="F367" s="55"/>
      <c r="G367" s="55"/>
      <c r="H367" s="12"/>
    </row>
    <row r="368" ht="14.25" customHeight="1">
      <c r="C368" s="19"/>
      <c r="F368" s="55"/>
      <c r="G368" s="55"/>
      <c r="H368" s="12"/>
    </row>
    <row r="369" ht="14.25" customHeight="1">
      <c r="C369" s="19"/>
      <c r="F369" s="55"/>
      <c r="G369" s="55"/>
      <c r="H369" s="12"/>
    </row>
    <row r="370" ht="14.25" customHeight="1">
      <c r="C370" s="19"/>
      <c r="F370" s="55"/>
      <c r="G370" s="55"/>
      <c r="H370" s="12"/>
    </row>
    <row r="371" ht="14.25" customHeight="1">
      <c r="C371" s="19"/>
      <c r="F371" s="55"/>
      <c r="G371" s="55"/>
      <c r="H371" s="12"/>
    </row>
    <row r="372" ht="14.25" customHeight="1">
      <c r="C372" s="19"/>
      <c r="F372" s="55"/>
      <c r="G372" s="55"/>
      <c r="H372" s="12"/>
    </row>
    <row r="373" ht="14.25" customHeight="1">
      <c r="C373" s="19"/>
      <c r="F373" s="55"/>
      <c r="G373" s="55"/>
      <c r="H373" s="12"/>
    </row>
    <row r="374" ht="14.25" customHeight="1">
      <c r="C374" s="19"/>
      <c r="F374" s="55"/>
      <c r="G374" s="55"/>
      <c r="H374" s="12"/>
    </row>
    <row r="375" ht="14.25" customHeight="1">
      <c r="C375" s="19"/>
      <c r="F375" s="55"/>
      <c r="G375" s="55"/>
      <c r="H375" s="12"/>
    </row>
    <row r="376" ht="14.25" customHeight="1">
      <c r="C376" s="19"/>
      <c r="F376" s="55"/>
      <c r="G376" s="55"/>
      <c r="H376" s="12"/>
    </row>
    <row r="377" ht="14.25" customHeight="1">
      <c r="C377" s="19"/>
      <c r="F377" s="55"/>
      <c r="G377" s="55"/>
      <c r="H377" s="12"/>
    </row>
    <row r="378" ht="14.25" customHeight="1">
      <c r="C378" s="19"/>
      <c r="F378" s="55"/>
      <c r="G378" s="55"/>
      <c r="H378" s="12"/>
    </row>
    <row r="379" ht="14.25" customHeight="1">
      <c r="C379" s="19"/>
      <c r="F379" s="55"/>
      <c r="G379" s="55"/>
      <c r="H379" s="12"/>
    </row>
    <row r="380" ht="14.25" customHeight="1">
      <c r="C380" s="19"/>
      <c r="F380" s="55"/>
      <c r="G380" s="55"/>
      <c r="H380" s="12"/>
    </row>
    <row r="381" ht="14.25" customHeight="1">
      <c r="C381" s="19"/>
      <c r="F381" s="55"/>
      <c r="G381" s="55"/>
      <c r="H381" s="12"/>
    </row>
    <row r="382" ht="14.25" customHeight="1">
      <c r="C382" s="19"/>
      <c r="F382" s="55"/>
      <c r="G382" s="55"/>
      <c r="H382" s="12"/>
    </row>
    <row r="383" ht="14.25" customHeight="1">
      <c r="C383" s="19"/>
      <c r="F383" s="55"/>
      <c r="G383" s="55"/>
      <c r="H383" s="12"/>
    </row>
    <row r="384" ht="14.25" customHeight="1">
      <c r="C384" s="19"/>
      <c r="F384" s="55"/>
      <c r="G384" s="55"/>
      <c r="H384" s="12"/>
    </row>
    <row r="385" ht="14.25" customHeight="1">
      <c r="C385" s="19"/>
      <c r="F385" s="55"/>
      <c r="G385" s="55"/>
      <c r="H385" s="12"/>
    </row>
    <row r="386" ht="14.25" customHeight="1">
      <c r="C386" s="19"/>
      <c r="F386" s="55"/>
      <c r="G386" s="55"/>
      <c r="H386" s="12"/>
    </row>
    <row r="387" ht="14.25" customHeight="1">
      <c r="C387" s="19"/>
      <c r="F387" s="55"/>
      <c r="G387" s="55"/>
      <c r="H387" s="12"/>
    </row>
    <row r="388" ht="14.25" customHeight="1">
      <c r="C388" s="19"/>
      <c r="F388" s="55"/>
      <c r="G388" s="55"/>
      <c r="H388" s="12"/>
    </row>
    <row r="389" ht="14.25" customHeight="1">
      <c r="C389" s="19"/>
      <c r="F389" s="55"/>
      <c r="G389" s="55"/>
      <c r="H389" s="12"/>
    </row>
    <row r="390" ht="14.25" customHeight="1">
      <c r="C390" s="19"/>
      <c r="F390" s="55"/>
      <c r="G390" s="55"/>
      <c r="H390" s="12"/>
    </row>
    <row r="391" ht="14.25" customHeight="1">
      <c r="C391" s="19"/>
      <c r="F391" s="55"/>
      <c r="G391" s="55"/>
      <c r="H391" s="12"/>
    </row>
    <row r="392" ht="14.25" customHeight="1">
      <c r="C392" s="19"/>
      <c r="F392" s="55"/>
      <c r="G392" s="55"/>
      <c r="H392" s="12"/>
    </row>
    <row r="393" ht="14.25" customHeight="1">
      <c r="C393" s="19"/>
      <c r="F393" s="55"/>
      <c r="G393" s="55"/>
      <c r="H393" s="12"/>
    </row>
    <row r="394" ht="14.25" customHeight="1">
      <c r="C394" s="19"/>
      <c r="F394" s="55"/>
      <c r="G394" s="55"/>
      <c r="H394" s="12"/>
    </row>
    <row r="395" ht="14.25" customHeight="1">
      <c r="C395" s="19"/>
      <c r="F395" s="55"/>
      <c r="G395" s="55"/>
      <c r="H395" s="12"/>
    </row>
    <row r="396" ht="14.25" customHeight="1">
      <c r="C396" s="19"/>
      <c r="F396" s="55"/>
      <c r="G396" s="55"/>
      <c r="H396" s="12"/>
    </row>
    <row r="397" ht="14.25" customHeight="1">
      <c r="C397" s="19"/>
      <c r="F397" s="55"/>
      <c r="G397" s="55"/>
      <c r="H397" s="12"/>
    </row>
    <row r="398" ht="14.25" customHeight="1">
      <c r="C398" s="19"/>
      <c r="F398" s="55"/>
      <c r="G398" s="55"/>
      <c r="H398" s="12"/>
    </row>
    <row r="399" ht="14.25" customHeight="1">
      <c r="C399" s="19"/>
      <c r="F399" s="55"/>
      <c r="G399" s="55"/>
      <c r="H399" s="12"/>
    </row>
    <row r="400" ht="14.25" customHeight="1">
      <c r="C400" s="19"/>
      <c r="F400" s="55"/>
      <c r="G400" s="55"/>
      <c r="H400" s="12"/>
    </row>
    <row r="401" ht="14.25" customHeight="1">
      <c r="C401" s="19"/>
      <c r="F401" s="55"/>
      <c r="G401" s="55"/>
      <c r="H401" s="12"/>
    </row>
    <row r="402" ht="14.25" customHeight="1">
      <c r="C402" s="19"/>
      <c r="F402" s="55"/>
      <c r="G402" s="55"/>
      <c r="H402" s="12"/>
    </row>
    <row r="403" ht="14.25" customHeight="1">
      <c r="C403" s="19"/>
      <c r="F403" s="55"/>
      <c r="G403" s="55"/>
      <c r="H403" s="12"/>
    </row>
    <row r="404" ht="14.25" customHeight="1">
      <c r="C404" s="19"/>
      <c r="F404" s="55"/>
      <c r="G404" s="55"/>
      <c r="H404" s="12"/>
    </row>
    <row r="405" ht="14.25" customHeight="1">
      <c r="C405" s="19"/>
      <c r="F405" s="55"/>
      <c r="G405" s="55"/>
      <c r="H405" s="12"/>
    </row>
    <row r="406" ht="14.25" customHeight="1">
      <c r="C406" s="19"/>
      <c r="F406" s="55"/>
      <c r="G406" s="55"/>
      <c r="H406" s="12"/>
    </row>
    <row r="407" ht="14.25" customHeight="1">
      <c r="C407" s="19"/>
      <c r="F407" s="55"/>
      <c r="G407" s="55"/>
      <c r="H407" s="12"/>
    </row>
    <row r="408" ht="14.25" customHeight="1">
      <c r="C408" s="19"/>
      <c r="F408" s="55"/>
      <c r="G408" s="55"/>
      <c r="H408" s="12"/>
    </row>
    <row r="409" ht="14.25" customHeight="1">
      <c r="C409" s="19"/>
      <c r="F409" s="55"/>
      <c r="G409" s="55"/>
      <c r="H409" s="12"/>
    </row>
    <row r="410" ht="14.25" customHeight="1">
      <c r="C410" s="19"/>
      <c r="F410" s="55"/>
      <c r="G410" s="55"/>
      <c r="H410" s="12"/>
    </row>
    <row r="411" ht="14.25" customHeight="1">
      <c r="C411" s="19"/>
      <c r="F411" s="55"/>
      <c r="G411" s="55"/>
      <c r="H411" s="12"/>
    </row>
    <row r="412" ht="14.25" customHeight="1">
      <c r="C412" s="19"/>
      <c r="F412" s="55"/>
      <c r="G412" s="55"/>
      <c r="H412" s="12"/>
    </row>
    <row r="413" ht="14.25" customHeight="1">
      <c r="C413" s="19"/>
      <c r="F413" s="55"/>
      <c r="G413" s="55"/>
      <c r="H413" s="12"/>
    </row>
    <row r="414" ht="14.25" customHeight="1">
      <c r="C414" s="19"/>
      <c r="F414" s="55"/>
      <c r="G414" s="55"/>
      <c r="H414" s="12"/>
    </row>
    <row r="415" ht="14.25" customHeight="1">
      <c r="C415" s="19"/>
      <c r="F415" s="55"/>
      <c r="G415" s="55"/>
      <c r="H415" s="12"/>
    </row>
    <row r="416" ht="14.25" customHeight="1">
      <c r="C416" s="19"/>
      <c r="F416" s="55"/>
      <c r="G416" s="55"/>
      <c r="H416" s="12"/>
    </row>
    <row r="417" ht="14.25" customHeight="1">
      <c r="C417" s="19"/>
      <c r="F417" s="55"/>
      <c r="G417" s="55"/>
      <c r="H417" s="12"/>
    </row>
    <row r="418" ht="14.25" customHeight="1">
      <c r="C418" s="19"/>
      <c r="F418" s="55"/>
      <c r="G418" s="55"/>
      <c r="H418" s="12"/>
    </row>
    <row r="419" ht="14.25" customHeight="1">
      <c r="C419" s="19"/>
      <c r="F419" s="55"/>
      <c r="G419" s="55"/>
      <c r="H419" s="12"/>
    </row>
    <row r="420" ht="14.25" customHeight="1">
      <c r="C420" s="19"/>
      <c r="F420" s="55"/>
      <c r="G420" s="55"/>
      <c r="H420" s="12"/>
    </row>
    <row r="421" ht="14.25" customHeight="1">
      <c r="C421" s="19"/>
      <c r="F421" s="55"/>
      <c r="G421" s="55"/>
      <c r="H421" s="12"/>
    </row>
    <row r="422" ht="14.25" customHeight="1">
      <c r="C422" s="19"/>
      <c r="F422" s="55"/>
      <c r="G422" s="55"/>
      <c r="H422" s="12"/>
    </row>
    <row r="423" ht="14.25" customHeight="1">
      <c r="C423" s="19"/>
      <c r="F423" s="55"/>
      <c r="G423" s="55"/>
      <c r="H423" s="12"/>
    </row>
    <row r="424" ht="14.25" customHeight="1">
      <c r="C424" s="19"/>
      <c r="F424" s="55"/>
      <c r="G424" s="55"/>
      <c r="H424" s="12"/>
    </row>
    <row r="425" ht="14.25" customHeight="1">
      <c r="C425" s="19"/>
      <c r="F425" s="55"/>
      <c r="G425" s="55"/>
      <c r="H425" s="12"/>
    </row>
    <row r="426" ht="14.25" customHeight="1">
      <c r="C426" s="19"/>
      <c r="F426" s="55"/>
      <c r="G426" s="55"/>
      <c r="H426" s="12"/>
    </row>
    <row r="427" ht="14.25" customHeight="1">
      <c r="C427" s="19"/>
      <c r="F427" s="55"/>
      <c r="G427" s="55"/>
      <c r="H427" s="12"/>
    </row>
    <row r="428" ht="14.25" customHeight="1">
      <c r="C428" s="19"/>
      <c r="F428" s="55"/>
      <c r="G428" s="55"/>
      <c r="H428" s="12"/>
    </row>
    <row r="429" ht="14.25" customHeight="1">
      <c r="C429" s="19"/>
      <c r="F429" s="55"/>
      <c r="G429" s="55"/>
      <c r="H429" s="12"/>
    </row>
    <row r="430" ht="14.25" customHeight="1">
      <c r="C430" s="19"/>
      <c r="F430" s="55"/>
      <c r="G430" s="55"/>
      <c r="H430" s="12"/>
    </row>
    <row r="431" ht="14.25" customHeight="1">
      <c r="C431" s="19"/>
      <c r="F431" s="55"/>
      <c r="G431" s="55"/>
      <c r="H431" s="12"/>
    </row>
    <row r="432" ht="14.25" customHeight="1">
      <c r="C432" s="19"/>
      <c r="F432" s="55"/>
      <c r="G432" s="55"/>
      <c r="H432" s="12"/>
    </row>
    <row r="433" ht="14.25" customHeight="1">
      <c r="C433" s="19"/>
      <c r="F433" s="55"/>
      <c r="G433" s="55"/>
      <c r="H433" s="12"/>
    </row>
    <row r="434" ht="14.25" customHeight="1">
      <c r="C434" s="19"/>
      <c r="F434" s="55"/>
      <c r="G434" s="55"/>
      <c r="H434" s="12"/>
    </row>
    <row r="435" ht="14.25" customHeight="1">
      <c r="C435" s="19"/>
      <c r="F435" s="55"/>
      <c r="G435" s="55"/>
      <c r="H435" s="12"/>
    </row>
    <row r="436" ht="14.25" customHeight="1">
      <c r="C436" s="19"/>
      <c r="F436" s="55"/>
      <c r="G436" s="55"/>
      <c r="H436" s="12"/>
    </row>
    <row r="437" ht="14.25" customHeight="1">
      <c r="C437" s="19"/>
      <c r="F437" s="55"/>
      <c r="G437" s="55"/>
      <c r="H437" s="12"/>
    </row>
    <row r="438" ht="14.25" customHeight="1">
      <c r="C438" s="19"/>
      <c r="F438" s="55"/>
      <c r="G438" s="55"/>
      <c r="H438" s="12"/>
    </row>
    <row r="439" ht="14.25" customHeight="1">
      <c r="C439" s="19"/>
      <c r="F439" s="55"/>
      <c r="G439" s="55"/>
      <c r="H439" s="12"/>
    </row>
    <row r="440" ht="14.25" customHeight="1">
      <c r="C440" s="19"/>
      <c r="F440" s="55"/>
      <c r="G440" s="55"/>
      <c r="H440" s="12"/>
    </row>
    <row r="441" ht="14.25" customHeight="1">
      <c r="C441" s="19"/>
      <c r="F441" s="55"/>
      <c r="G441" s="55"/>
      <c r="H441" s="12"/>
    </row>
    <row r="442" ht="14.25" customHeight="1">
      <c r="C442" s="19"/>
      <c r="F442" s="55"/>
      <c r="G442" s="55"/>
      <c r="H442" s="12"/>
    </row>
    <row r="443" ht="14.25" customHeight="1">
      <c r="C443" s="19"/>
      <c r="F443" s="55"/>
      <c r="G443" s="55"/>
      <c r="H443" s="12"/>
    </row>
    <row r="444" ht="14.25" customHeight="1">
      <c r="C444" s="19"/>
      <c r="F444" s="55"/>
      <c r="G444" s="55"/>
      <c r="H444" s="12"/>
    </row>
    <row r="445" ht="14.25" customHeight="1">
      <c r="C445" s="19"/>
      <c r="F445" s="55"/>
      <c r="G445" s="55"/>
      <c r="H445" s="12"/>
    </row>
    <row r="446" ht="14.25" customHeight="1">
      <c r="C446" s="19"/>
      <c r="F446" s="55"/>
      <c r="G446" s="55"/>
      <c r="H446" s="12"/>
    </row>
    <row r="447" ht="14.25" customHeight="1">
      <c r="C447" s="19"/>
      <c r="F447" s="55"/>
      <c r="G447" s="55"/>
      <c r="H447" s="12"/>
    </row>
    <row r="448" ht="14.25" customHeight="1">
      <c r="C448" s="19"/>
      <c r="F448" s="55"/>
      <c r="G448" s="55"/>
      <c r="H448" s="12"/>
    </row>
    <row r="449" ht="14.25" customHeight="1">
      <c r="C449" s="19"/>
      <c r="F449" s="55"/>
      <c r="G449" s="55"/>
      <c r="H449" s="12"/>
    </row>
    <row r="450" ht="14.25" customHeight="1">
      <c r="C450" s="19"/>
      <c r="F450" s="55"/>
      <c r="G450" s="55"/>
      <c r="H450" s="12"/>
    </row>
    <row r="451" ht="14.25" customHeight="1">
      <c r="C451" s="19"/>
      <c r="F451" s="55"/>
      <c r="G451" s="55"/>
      <c r="H451" s="12"/>
    </row>
    <row r="452" ht="14.25" customHeight="1">
      <c r="C452" s="19"/>
      <c r="F452" s="55"/>
      <c r="G452" s="55"/>
      <c r="H452" s="12"/>
    </row>
    <row r="453" ht="14.25" customHeight="1">
      <c r="C453" s="19"/>
      <c r="F453" s="55"/>
      <c r="G453" s="55"/>
      <c r="H453" s="12"/>
    </row>
    <row r="454" ht="14.25" customHeight="1">
      <c r="C454" s="19"/>
      <c r="F454" s="55"/>
      <c r="G454" s="55"/>
      <c r="H454" s="12"/>
    </row>
    <row r="455" ht="14.25" customHeight="1">
      <c r="C455" s="19"/>
      <c r="F455" s="55"/>
      <c r="G455" s="55"/>
      <c r="H455" s="12"/>
    </row>
    <row r="456" ht="14.25" customHeight="1">
      <c r="C456" s="19"/>
      <c r="F456" s="55"/>
      <c r="G456" s="55"/>
      <c r="H456" s="12"/>
    </row>
    <row r="457" ht="14.25" customHeight="1">
      <c r="C457" s="19"/>
      <c r="F457" s="55"/>
      <c r="G457" s="55"/>
      <c r="H457" s="12"/>
    </row>
    <row r="458" ht="14.25" customHeight="1">
      <c r="C458" s="19"/>
      <c r="F458" s="55"/>
      <c r="G458" s="55"/>
      <c r="H458" s="12"/>
    </row>
    <row r="459" ht="14.25" customHeight="1">
      <c r="C459" s="19"/>
      <c r="F459" s="55"/>
      <c r="G459" s="55"/>
      <c r="H459" s="12"/>
    </row>
    <row r="460" ht="14.25" customHeight="1">
      <c r="C460" s="19"/>
      <c r="F460" s="55"/>
      <c r="G460" s="55"/>
      <c r="H460" s="12"/>
    </row>
    <row r="461" ht="14.25" customHeight="1">
      <c r="C461" s="19"/>
      <c r="F461" s="55"/>
      <c r="G461" s="55"/>
      <c r="H461" s="12"/>
    </row>
    <row r="462" ht="14.25" customHeight="1">
      <c r="C462" s="19"/>
      <c r="F462" s="55"/>
      <c r="G462" s="55"/>
      <c r="H462" s="12"/>
    </row>
    <row r="463" ht="14.25" customHeight="1">
      <c r="C463" s="19"/>
      <c r="F463" s="55"/>
      <c r="G463" s="55"/>
      <c r="H463" s="12"/>
    </row>
    <row r="464" ht="14.25" customHeight="1">
      <c r="C464" s="19"/>
      <c r="F464" s="55"/>
      <c r="G464" s="55"/>
      <c r="H464" s="12"/>
    </row>
    <row r="465" ht="14.25" customHeight="1">
      <c r="C465" s="19"/>
      <c r="F465" s="55"/>
      <c r="G465" s="55"/>
      <c r="H465" s="12"/>
    </row>
    <row r="466" ht="14.25" customHeight="1">
      <c r="C466" s="19"/>
      <c r="F466" s="55"/>
      <c r="G466" s="55"/>
      <c r="H466" s="12"/>
    </row>
    <row r="467" ht="14.25" customHeight="1">
      <c r="C467" s="19"/>
      <c r="F467" s="55"/>
      <c r="G467" s="55"/>
      <c r="H467" s="12"/>
    </row>
    <row r="468" ht="14.25" customHeight="1">
      <c r="C468" s="19"/>
      <c r="F468" s="55"/>
      <c r="G468" s="55"/>
      <c r="H468" s="12"/>
    </row>
    <row r="469" ht="14.25" customHeight="1">
      <c r="C469" s="19"/>
      <c r="F469" s="55"/>
      <c r="G469" s="55"/>
      <c r="H469" s="12"/>
    </row>
    <row r="470" ht="14.25" customHeight="1">
      <c r="C470" s="19"/>
      <c r="F470" s="55"/>
      <c r="G470" s="55"/>
      <c r="H470" s="12"/>
    </row>
    <row r="471" ht="14.25" customHeight="1">
      <c r="C471" s="19"/>
      <c r="F471" s="55"/>
      <c r="G471" s="55"/>
      <c r="H471" s="12"/>
    </row>
    <row r="472" ht="14.25" customHeight="1">
      <c r="C472" s="19"/>
      <c r="F472" s="55"/>
      <c r="G472" s="55"/>
      <c r="H472" s="12"/>
    </row>
    <row r="473" ht="14.25" customHeight="1">
      <c r="C473" s="19"/>
      <c r="F473" s="55"/>
      <c r="G473" s="55"/>
      <c r="H473" s="12"/>
    </row>
    <row r="474" ht="14.25" customHeight="1">
      <c r="C474" s="19"/>
      <c r="F474" s="55"/>
      <c r="G474" s="55"/>
      <c r="H474" s="12"/>
    </row>
    <row r="475" ht="14.25" customHeight="1">
      <c r="C475" s="19"/>
      <c r="F475" s="55"/>
      <c r="G475" s="55"/>
      <c r="H475" s="12"/>
    </row>
    <row r="476" ht="14.25" customHeight="1">
      <c r="C476" s="19"/>
      <c r="F476" s="55"/>
      <c r="G476" s="55"/>
      <c r="H476" s="12"/>
    </row>
    <row r="477" ht="14.25" customHeight="1">
      <c r="C477" s="19"/>
      <c r="F477" s="55"/>
      <c r="G477" s="55"/>
      <c r="H477" s="12"/>
    </row>
    <row r="478" ht="14.25" customHeight="1">
      <c r="C478" s="19"/>
      <c r="F478" s="55"/>
      <c r="G478" s="55"/>
      <c r="H478" s="12"/>
    </row>
    <row r="479" ht="14.25" customHeight="1">
      <c r="C479" s="19"/>
      <c r="F479" s="55"/>
      <c r="G479" s="55"/>
      <c r="H479" s="12"/>
    </row>
    <row r="480" ht="14.25" customHeight="1">
      <c r="C480" s="19"/>
      <c r="F480" s="55"/>
      <c r="G480" s="55"/>
      <c r="H480" s="12"/>
    </row>
    <row r="481" ht="14.25" customHeight="1">
      <c r="C481" s="19"/>
      <c r="F481" s="55"/>
      <c r="G481" s="55"/>
      <c r="H481" s="12"/>
    </row>
    <row r="482" ht="14.25" customHeight="1">
      <c r="C482" s="19"/>
      <c r="F482" s="55"/>
      <c r="G482" s="55"/>
      <c r="H482" s="12"/>
    </row>
    <row r="483" ht="14.25" customHeight="1">
      <c r="C483" s="19"/>
      <c r="F483" s="55"/>
      <c r="G483" s="55"/>
      <c r="H483" s="12"/>
    </row>
    <row r="484" ht="14.25" customHeight="1">
      <c r="C484" s="19"/>
      <c r="F484" s="55"/>
      <c r="G484" s="55"/>
      <c r="H484" s="12"/>
    </row>
    <row r="485" ht="14.25" customHeight="1">
      <c r="C485" s="19"/>
      <c r="F485" s="55"/>
      <c r="G485" s="55"/>
      <c r="H485" s="12"/>
    </row>
    <row r="486" ht="14.25" customHeight="1">
      <c r="C486" s="19"/>
      <c r="F486" s="55"/>
      <c r="G486" s="55"/>
      <c r="H486" s="12"/>
    </row>
    <row r="487" ht="14.25" customHeight="1">
      <c r="C487" s="19"/>
      <c r="F487" s="55"/>
      <c r="G487" s="55"/>
      <c r="H487" s="12"/>
    </row>
    <row r="488" ht="14.25" customHeight="1">
      <c r="C488" s="19"/>
      <c r="F488" s="55"/>
      <c r="G488" s="55"/>
      <c r="H488" s="12"/>
    </row>
    <row r="489" ht="14.25" customHeight="1">
      <c r="C489" s="19"/>
      <c r="F489" s="55"/>
      <c r="G489" s="55"/>
      <c r="H489" s="12"/>
    </row>
    <row r="490" ht="14.25" customHeight="1">
      <c r="C490" s="19"/>
      <c r="F490" s="55"/>
      <c r="G490" s="55"/>
      <c r="H490" s="12"/>
    </row>
    <row r="491" ht="14.25" customHeight="1">
      <c r="C491" s="19"/>
      <c r="F491" s="55"/>
      <c r="G491" s="55"/>
      <c r="H491" s="12"/>
    </row>
    <row r="492" ht="14.25" customHeight="1">
      <c r="C492" s="19"/>
      <c r="F492" s="55"/>
      <c r="G492" s="55"/>
      <c r="H492" s="12"/>
    </row>
    <row r="493" ht="14.25" customHeight="1">
      <c r="C493" s="19"/>
      <c r="F493" s="55"/>
      <c r="G493" s="55"/>
      <c r="H493" s="12"/>
    </row>
    <row r="494" ht="14.25" customHeight="1">
      <c r="C494" s="19"/>
      <c r="F494" s="55"/>
      <c r="G494" s="55"/>
      <c r="H494" s="12"/>
    </row>
    <row r="495" ht="14.25" customHeight="1">
      <c r="C495" s="19"/>
      <c r="F495" s="55"/>
      <c r="G495" s="55"/>
      <c r="H495" s="12"/>
    </row>
    <row r="496" ht="14.25" customHeight="1">
      <c r="C496" s="19"/>
      <c r="F496" s="55"/>
      <c r="G496" s="55"/>
      <c r="H496" s="12"/>
    </row>
    <row r="497" ht="14.25" customHeight="1">
      <c r="C497" s="19"/>
      <c r="F497" s="55"/>
      <c r="G497" s="55"/>
      <c r="H497" s="12"/>
    </row>
    <row r="498" ht="14.25" customHeight="1">
      <c r="C498" s="19"/>
      <c r="F498" s="55"/>
      <c r="G498" s="55"/>
      <c r="H498" s="12"/>
    </row>
    <row r="499" ht="14.25" customHeight="1">
      <c r="C499" s="19"/>
      <c r="F499" s="55"/>
      <c r="G499" s="55"/>
      <c r="H499" s="12"/>
    </row>
    <row r="500" ht="14.25" customHeight="1">
      <c r="C500" s="19"/>
      <c r="F500" s="55"/>
      <c r="G500" s="55"/>
      <c r="H500" s="12"/>
    </row>
    <row r="501" ht="14.25" customHeight="1">
      <c r="C501" s="19"/>
      <c r="F501" s="55"/>
      <c r="G501" s="55"/>
      <c r="H501" s="12"/>
    </row>
    <row r="502" ht="14.25" customHeight="1">
      <c r="C502" s="19"/>
      <c r="F502" s="55"/>
      <c r="G502" s="55"/>
      <c r="H502" s="12"/>
    </row>
    <row r="503" ht="14.25" customHeight="1">
      <c r="C503" s="19"/>
      <c r="F503" s="55"/>
      <c r="G503" s="55"/>
      <c r="H503" s="12"/>
    </row>
    <row r="504" ht="14.25" customHeight="1">
      <c r="C504" s="19"/>
      <c r="F504" s="55"/>
      <c r="G504" s="55"/>
      <c r="H504" s="12"/>
    </row>
    <row r="505" ht="14.25" customHeight="1">
      <c r="C505" s="19"/>
      <c r="F505" s="55"/>
      <c r="G505" s="55"/>
      <c r="H505" s="12"/>
    </row>
    <row r="506" ht="14.25" customHeight="1">
      <c r="C506" s="19"/>
      <c r="F506" s="55"/>
      <c r="G506" s="55"/>
      <c r="H506" s="12"/>
    </row>
    <row r="507" ht="14.25" customHeight="1">
      <c r="C507" s="19"/>
      <c r="F507" s="55"/>
      <c r="G507" s="55"/>
      <c r="H507" s="12"/>
    </row>
    <row r="508" ht="14.25" customHeight="1">
      <c r="C508" s="19"/>
      <c r="F508" s="55"/>
      <c r="G508" s="55"/>
      <c r="H508" s="12"/>
    </row>
    <row r="509" ht="14.25" customHeight="1">
      <c r="C509" s="19"/>
      <c r="F509" s="55"/>
      <c r="G509" s="55"/>
      <c r="H509" s="12"/>
    </row>
    <row r="510" ht="14.25" customHeight="1">
      <c r="C510" s="19"/>
      <c r="F510" s="55"/>
      <c r="G510" s="55"/>
      <c r="H510" s="12"/>
    </row>
    <row r="511" ht="14.25" customHeight="1">
      <c r="C511" s="19"/>
      <c r="F511" s="55"/>
      <c r="G511" s="55"/>
      <c r="H511" s="12"/>
    </row>
    <row r="512" ht="14.25" customHeight="1">
      <c r="C512" s="19"/>
      <c r="F512" s="55"/>
      <c r="G512" s="55"/>
      <c r="H512" s="12"/>
    </row>
    <row r="513" ht="14.25" customHeight="1">
      <c r="C513" s="19"/>
      <c r="F513" s="55"/>
      <c r="G513" s="55"/>
      <c r="H513" s="12"/>
    </row>
    <row r="514" ht="14.25" customHeight="1">
      <c r="C514" s="19"/>
      <c r="F514" s="55"/>
      <c r="G514" s="55"/>
      <c r="H514" s="12"/>
    </row>
    <row r="515" ht="14.25" customHeight="1">
      <c r="C515" s="19"/>
      <c r="F515" s="55"/>
      <c r="G515" s="55"/>
      <c r="H515" s="12"/>
    </row>
    <row r="516" ht="14.25" customHeight="1">
      <c r="C516" s="19"/>
      <c r="F516" s="55"/>
      <c r="G516" s="55"/>
      <c r="H516" s="12"/>
    </row>
    <row r="517" ht="14.25" customHeight="1">
      <c r="C517" s="19"/>
      <c r="F517" s="55"/>
      <c r="G517" s="55"/>
      <c r="H517" s="12"/>
    </row>
    <row r="518" ht="14.25" customHeight="1">
      <c r="C518" s="19"/>
      <c r="F518" s="55"/>
      <c r="G518" s="55"/>
      <c r="H518" s="12"/>
    </row>
    <row r="519" ht="14.25" customHeight="1">
      <c r="C519" s="19"/>
      <c r="F519" s="55"/>
      <c r="G519" s="55"/>
      <c r="H519" s="12"/>
    </row>
    <row r="520" ht="14.25" customHeight="1">
      <c r="C520" s="19"/>
      <c r="F520" s="55"/>
      <c r="G520" s="55"/>
      <c r="H520" s="12"/>
    </row>
    <row r="521" ht="14.25" customHeight="1">
      <c r="C521" s="19"/>
      <c r="F521" s="55"/>
      <c r="G521" s="55"/>
      <c r="H521" s="12"/>
    </row>
    <row r="522" ht="14.25" customHeight="1">
      <c r="C522" s="19"/>
      <c r="F522" s="55"/>
      <c r="G522" s="55"/>
      <c r="H522" s="12"/>
    </row>
    <row r="523" ht="14.25" customHeight="1">
      <c r="C523" s="19"/>
      <c r="F523" s="55"/>
      <c r="G523" s="55"/>
      <c r="H523" s="12"/>
    </row>
    <row r="524" ht="14.25" customHeight="1">
      <c r="C524" s="19"/>
      <c r="F524" s="55"/>
      <c r="G524" s="55"/>
      <c r="H524" s="12"/>
    </row>
    <row r="525" ht="14.25" customHeight="1">
      <c r="C525" s="19"/>
      <c r="F525" s="55"/>
      <c r="G525" s="55"/>
      <c r="H525" s="12"/>
    </row>
    <row r="526" ht="14.25" customHeight="1">
      <c r="C526" s="19"/>
      <c r="F526" s="55"/>
      <c r="G526" s="55"/>
      <c r="H526" s="12"/>
    </row>
    <row r="527" ht="14.25" customHeight="1">
      <c r="C527" s="19"/>
      <c r="F527" s="55"/>
      <c r="G527" s="55"/>
      <c r="H527" s="12"/>
    </row>
    <row r="528" ht="14.25" customHeight="1">
      <c r="C528" s="19"/>
      <c r="F528" s="55"/>
      <c r="G528" s="55"/>
      <c r="H528" s="12"/>
    </row>
    <row r="529" ht="14.25" customHeight="1">
      <c r="C529" s="19"/>
      <c r="F529" s="55"/>
      <c r="G529" s="55"/>
      <c r="H529" s="12"/>
    </row>
    <row r="530" ht="14.25" customHeight="1">
      <c r="C530" s="19"/>
      <c r="F530" s="55"/>
      <c r="G530" s="55"/>
      <c r="H530" s="12"/>
    </row>
    <row r="531" ht="14.25" customHeight="1">
      <c r="C531" s="19"/>
      <c r="F531" s="55"/>
      <c r="G531" s="55"/>
      <c r="H531" s="12"/>
    </row>
    <row r="532" ht="14.25" customHeight="1">
      <c r="C532" s="19"/>
      <c r="F532" s="55"/>
      <c r="G532" s="55"/>
      <c r="H532" s="12"/>
    </row>
    <row r="533" ht="14.25" customHeight="1">
      <c r="C533" s="19"/>
      <c r="F533" s="55"/>
      <c r="G533" s="55"/>
      <c r="H533" s="12"/>
    </row>
    <row r="534" ht="14.25" customHeight="1">
      <c r="C534" s="19"/>
      <c r="F534" s="55"/>
      <c r="G534" s="55"/>
      <c r="H534" s="12"/>
    </row>
    <row r="535" ht="14.25" customHeight="1">
      <c r="C535" s="19"/>
      <c r="F535" s="55"/>
      <c r="G535" s="55"/>
      <c r="H535" s="12"/>
    </row>
    <row r="536" ht="14.25" customHeight="1">
      <c r="C536" s="19"/>
      <c r="F536" s="55"/>
      <c r="G536" s="55"/>
      <c r="H536" s="12"/>
    </row>
    <row r="537" ht="14.25" customHeight="1">
      <c r="C537" s="19"/>
      <c r="F537" s="55"/>
      <c r="G537" s="55"/>
      <c r="H537" s="12"/>
    </row>
    <row r="538" ht="14.25" customHeight="1">
      <c r="C538" s="19"/>
      <c r="F538" s="55"/>
      <c r="G538" s="55"/>
      <c r="H538" s="12"/>
    </row>
    <row r="539" ht="14.25" customHeight="1">
      <c r="C539" s="19"/>
      <c r="F539" s="55"/>
      <c r="G539" s="55"/>
      <c r="H539" s="12"/>
    </row>
    <row r="540" ht="14.25" customHeight="1">
      <c r="C540" s="19"/>
      <c r="F540" s="55"/>
      <c r="G540" s="55"/>
      <c r="H540" s="12"/>
    </row>
    <row r="541" ht="14.25" customHeight="1">
      <c r="C541" s="19"/>
      <c r="F541" s="55"/>
      <c r="G541" s="55"/>
      <c r="H541" s="12"/>
    </row>
    <row r="542" ht="14.25" customHeight="1">
      <c r="C542" s="19"/>
      <c r="F542" s="55"/>
      <c r="G542" s="55"/>
      <c r="H542" s="12"/>
    </row>
    <row r="543" ht="14.25" customHeight="1">
      <c r="C543" s="19"/>
      <c r="F543" s="55"/>
      <c r="G543" s="55"/>
      <c r="H543" s="12"/>
    </row>
    <row r="544" ht="14.25" customHeight="1">
      <c r="C544" s="19"/>
      <c r="F544" s="55"/>
      <c r="G544" s="55"/>
      <c r="H544" s="12"/>
    </row>
    <row r="545" ht="14.25" customHeight="1">
      <c r="C545" s="19"/>
      <c r="F545" s="55"/>
      <c r="G545" s="55"/>
      <c r="H545" s="12"/>
    </row>
    <row r="546" ht="14.25" customHeight="1">
      <c r="C546" s="19"/>
      <c r="F546" s="55"/>
      <c r="G546" s="55"/>
      <c r="H546" s="12"/>
    </row>
    <row r="547" ht="14.25" customHeight="1">
      <c r="C547" s="19"/>
      <c r="F547" s="55"/>
      <c r="G547" s="55"/>
      <c r="H547" s="12"/>
    </row>
    <row r="548" ht="14.25" customHeight="1">
      <c r="C548" s="19"/>
      <c r="F548" s="55"/>
      <c r="G548" s="55"/>
      <c r="H548" s="12"/>
    </row>
    <row r="549" ht="14.25" customHeight="1">
      <c r="C549" s="19"/>
      <c r="F549" s="55"/>
      <c r="G549" s="55"/>
      <c r="H549" s="12"/>
    </row>
    <row r="550" ht="14.25" customHeight="1">
      <c r="C550" s="19"/>
      <c r="F550" s="55"/>
      <c r="G550" s="55"/>
      <c r="H550" s="12"/>
    </row>
    <row r="551" ht="14.25" customHeight="1">
      <c r="C551" s="19"/>
      <c r="F551" s="55"/>
      <c r="G551" s="55"/>
      <c r="H551" s="12"/>
    </row>
    <row r="552" ht="14.25" customHeight="1">
      <c r="C552" s="19"/>
      <c r="F552" s="55"/>
      <c r="G552" s="55"/>
      <c r="H552" s="12"/>
    </row>
    <row r="553" ht="14.25" customHeight="1">
      <c r="C553" s="19"/>
      <c r="F553" s="55"/>
      <c r="G553" s="55"/>
      <c r="H553" s="12"/>
    </row>
    <row r="554" ht="14.25" customHeight="1">
      <c r="C554" s="19"/>
      <c r="F554" s="55"/>
      <c r="G554" s="55"/>
      <c r="H554" s="12"/>
    </row>
    <row r="555" ht="14.25" customHeight="1">
      <c r="C555" s="19"/>
      <c r="F555" s="55"/>
      <c r="G555" s="55"/>
      <c r="H555" s="12"/>
    </row>
    <row r="556" ht="14.25" customHeight="1">
      <c r="C556" s="19"/>
      <c r="F556" s="55"/>
      <c r="G556" s="55"/>
      <c r="H556" s="12"/>
    </row>
    <row r="557" ht="14.25" customHeight="1">
      <c r="C557" s="19"/>
      <c r="F557" s="55"/>
      <c r="G557" s="55"/>
      <c r="H557" s="12"/>
    </row>
    <row r="558" ht="14.25" customHeight="1">
      <c r="C558" s="19"/>
      <c r="F558" s="55"/>
      <c r="G558" s="55"/>
      <c r="H558" s="12"/>
    </row>
    <row r="559" ht="14.25" customHeight="1">
      <c r="C559" s="19"/>
      <c r="F559" s="55"/>
      <c r="G559" s="55"/>
      <c r="H559" s="12"/>
    </row>
    <row r="560" ht="14.25" customHeight="1">
      <c r="C560" s="19"/>
      <c r="F560" s="55"/>
      <c r="G560" s="55"/>
      <c r="H560" s="12"/>
    </row>
    <row r="561" ht="14.25" customHeight="1">
      <c r="C561" s="19"/>
      <c r="F561" s="55"/>
      <c r="G561" s="55"/>
      <c r="H561" s="12"/>
    </row>
    <row r="562" ht="14.25" customHeight="1">
      <c r="C562" s="19"/>
      <c r="F562" s="55"/>
      <c r="G562" s="55"/>
      <c r="H562" s="12"/>
    </row>
    <row r="563" ht="14.25" customHeight="1">
      <c r="C563" s="19"/>
      <c r="F563" s="55"/>
      <c r="G563" s="55"/>
      <c r="H563" s="12"/>
    </row>
    <row r="564" ht="14.25" customHeight="1">
      <c r="C564" s="19"/>
      <c r="F564" s="55"/>
      <c r="G564" s="55"/>
      <c r="H564" s="12"/>
    </row>
    <row r="565" ht="14.25" customHeight="1">
      <c r="C565" s="19"/>
      <c r="F565" s="55"/>
      <c r="G565" s="55"/>
      <c r="H565" s="12"/>
    </row>
    <row r="566" ht="14.25" customHeight="1">
      <c r="C566" s="19"/>
      <c r="F566" s="55"/>
      <c r="G566" s="55"/>
      <c r="H566" s="12"/>
    </row>
    <row r="567" ht="14.25" customHeight="1">
      <c r="C567" s="19"/>
      <c r="F567" s="55"/>
      <c r="G567" s="55"/>
      <c r="H567" s="12"/>
    </row>
    <row r="568" ht="14.25" customHeight="1">
      <c r="C568" s="19"/>
      <c r="F568" s="55"/>
      <c r="G568" s="55"/>
      <c r="H568" s="12"/>
    </row>
    <row r="569" ht="14.25" customHeight="1">
      <c r="C569" s="19"/>
      <c r="F569" s="55"/>
      <c r="G569" s="55"/>
      <c r="H569" s="12"/>
    </row>
    <row r="570" ht="14.25" customHeight="1">
      <c r="C570" s="19"/>
      <c r="F570" s="55"/>
      <c r="G570" s="55"/>
      <c r="H570" s="12"/>
    </row>
    <row r="571" ht="14.25" customHeight="1">
      <c r="C571" s="19"/>
      <c r="F571" s="55"/>
      <c r="G571" s="55"/>
      <c r="H571" s="12"/>
    </row>
    <row r="572" ht="14.25" customHeight="1">
      <c r="C572" s="19"/>
      <c r="F572" s="55"/>
      <c r="G572" s="55"/>
      <c r="H572" s="12"/>
    </row>
    <row r="573" ht="14.25" customHeight="1">
      <c r="C573" s="19"/>
      <c r="F573" s="55"/>
      <c r="G573" s="55"/>
      <c r="H573" s="12"/>
    </row>
    <row r="574" ht="14.25" customHeight="1">
      <c r="C574" s="19"/>
      <c r="F574" s="55"/>
      <c r="G574" s="55"/>
      <c r="H574" s="12"/>
    </row>
    <row r="575" ht="14.25" customHeight="1">
      <c r="C575" s="19"/>
      <c r="F575" s="55"/>
      <c r="G575" s="55"/>
      <c r="H575" s="12"/>
    </row>
    <row r="576" ht="14.25" customHeight="1">
      <c r="C576" s="19"/>
      <c r="F576" s="55"/>
      <c r="G576" s="55"/>
      <c r="H576" s="12"/>
    </row>
    <row r="577" ht="14.25" customHeight="1">
      <c r="C577" s="19"/>
      <c r="F577" s="55"/>
      <c r="G577" s="55"/>
      <c r="H577" s="12"/>
    </row>
    <row r="578" ht="14.25" customHeight="1">
      <c r="C578" s="19"/>
      <c r="F578" s="55"/>
      <c r="G578" s="55"/>
      <c r="H578" s="12"/>
    </row>
    <row r="579" ht="14.25" customHeight="1">
      <c r="C579" s="19"/>
      <c r="F579" s="55"/>
      <c r="G579" s="55"/>
      <c r="H579" s="12"/>
    </row>
    <row r="580" ht="14.25" customHeight="1">
      <c r="C580" s="19"/>
      <c r="F580" s="55"/>
      <c r="G580" s="55"/>
      <c r="H580" s="12"/>
    </row>
    <row r="581" ht="14.25" customHeight="1">
      <c r="C581" s="19"/>
      <c r="F581" s="55"/>
      <c r="G581" s="55"/>
      <c r="H581" s="12"/>
    </row>
    <row r="582" ht="14.25" customHeight="1">
      <c r="C582" s="19"/>
      <c r="F582" s="55"/>
      <c r="G582" s="55"/>
      <c r="H582" s="12"/>
    </row>
    <row r="583" ht="14.25" customHeight="1">
      <c r="C583" s="19"/>
      <c r="F583" s="55"/>
      <c r="G583" s="55"/>
      <c r="H583" s="12"/>
    </row>
    <row r="584" ht="14.25" customHeight="1">
      <c r="C584" s="19"/>
      <c r="F584" s="55"/>
      <c r="G584" s="55"/>
      <c r="H584" s="12"/>
    </row>
    <row r="585" ht="14.25" customHeight="1">
      <c r="C585" s="19"/>
      <c r="F585" s="55"/>
      <c r="G585" s="55"/>
      <c r="H585" s="12"/>
    </row>
    <row r="586" ht="14.25" customHeight="1">
      <c r="C586" s="19"/>
      <c r="F586" s="55"/>
      <c r="G586" s="55"/>
      <c r="H586" s="12"/>
    </row>
    <row r="587" ht="14.25" customHeight="1">
      <c r="C587" s="19"/>
      <c r="F587" s="55"/>
      <c r="G587" s="55"/>
      <c r="H587" s="12"/>
    </row>
    <row r="588" ht="14.25" customHeight="1">
      <c r="C588" s="19"/>
      <c r="F588" s="55"/>
      <c r="G588" s="55"/>
      <c r="H588" s="12"/>
    </row>
    <row r="589" ht="14.25" customHeight="1">
      <c r="C589" s="19"/>
      <c r="F589" s="55"/>
      <c r="G589" s="55"/>
      <c r="H589" s="12"/>
    </row>
    <row r="590" ht="14.25" customHeight="1">
      <c r="C590" s="19"/>
      <c r="F590" s="55"/>
      <c r="G590" s="55"/>
      <c r="H590" s="12"/>
    </row>
    <row r="591" ht="14.25" customHeight="1">
      <c r="C591" s="19"/>
      <c r="F591" s="55"/>
      <c r="G591" s="55"/>
      <c r="H591" s="12"/>
    </row>
    <row r="592" ht="14.25" customHeight="1">
      <c r="C592" s="19"/>
      <c r="F592" s="55"/>
      <c r="G592" s="55"/>
      <c r="H592" s="12"/>
    </row>
    <row r="593" ht="14.25" customHeight="1">
      <c r="C593" s="19"/>
      <c r="F593" s="55"/>
      <c r="G593" s="55"/>
      <c r="H593" s="12"/>
    </row>
    <row r="594" ht="14.25" customHeight="1">
      <c r="C594" s="19"/>
      <c r="F594" s="55"/>
      <c r="G594" s="55"/>
      <c r="H594" s="12"/>
    </row>
    <row r="595" ht="14.25" customHeight="1">
      <c r="C595" s="19"/>
      <c r="F595" s="55"/>
      <c r="G595" s="55"/>
      <c r="H595" s="12"/>
    </row>
    <row r="596" ht="14.25" customHeight="1">
      <c r="C596" s="19"/>
      <c r="F596" s="55"/>
      <c r="G596" s="55"/>
      <c r="H596" s="12"/>
    </row>
    <row r="597" ht="14.25" customHeight="1">
      <c r="C597" s="19"/>
      <c r="F597" s="55"/>
      <c r="G597" s="55"/>
      <c r="H597" s="12"/>
    </row>
    <row r="598" ht="14.25" customHeight="1">
      <c r="C598" s="19"/>
      <c r="F598" s="55"/>
      <c r="G598" s="55"/>
      <c r="H598" s="12"/>
    </row>
    <row r="599" ht="14.25" customHeight="1">
      <c r="C599" s="19"/>
      <c r="F599" s="55"/>
      <c r="G599" s="55"/>
      <c r="H599" s="12"/>
    </row>
    <row r="600" ht="14.25" customHeight="1">
      <c r="C600" s="19"/>
      <c r="F600" s="55"/>
      <c r="G600" s="55"/>
      <c r="H600" s="12"/>
    </row>
    <row r="601" ht="14.25" customHeight="1">
      <c r="C601" s="19"/>
      <c r="F601" s="55"/>
      <c r="G601" s="55"/>
      <c r="H601" s="12"/>
    </row>
    <row r="602" ht="14.25" customHeight="1">
      <c r="C602" s="19"/>
      <c r="F602" s="55"/>
      <c r="G602" s="55"/>
      <c r="H602" s="12"/>
    </row>
    <row r="603" ht="14.25" customHeight="1">
      <c r="C603" s="19"/>
      <c r="F603" s="55"/>
      <c r="G603" s="55"/>
      <c r="H603" s="12"/>
    </row>
    <row r="604" ht="14.25" customHeight="1">
      <c r="C604" s="19"/>
      <c r="F604" s="55"/>
      <c r="G604" s="55"/>
      <c r="H604" s="12"/>
    </row>
    <row r="605" ht="14.25" customHeight="1">
      <c r="C605" s="19"/>
      <c r="F605" s="55"/>
      <c r="G605" s="55"/>
      <c r="H605" s="12"/>
    </row>
    <row r="606" ht="14.25" customHeight="1">
      <c r="C606" s="19"/>
      <c r="F606" s="55"/>
      <c r="G606" s="55"/>
      <c r="H606" s="12"/>
    </row>
    <row r="607" ht="14.25" customHeight="1">
      <c r="C607" s="19"/>
      <c r="F607" s="55"/>
      <c r="G607" s="55"/>
      <c r="H607" s="12"/>
    </row>
    <row r="608" ht="14.25" customHeight="1">
      <c r="C608" s="19"/>
      <c r="F608" s="55"/>
      <c r="G608" s="55"/>
      <c r="H608" s="12"/>
    </row>
    <row r="609" ht="14.25" customHeight="1">
      <c r="C609" s="19"/>
      <c r="F609" s="55"/>
      <c r="G609" s="55"/>
      <c r="H609" s="12"/>
    </row>
    <row r="610" ht="14.25" customHeight="1">
      <c r="C610" s="19"/>
      <c r="F610" s="55"/>
      <c r="G610" s="55"/>
      <c r="H610" s="12"/>
    </row>
    <row r="611" ht="14.25" customHeight="1">
      <c r="C611" s="19"/>
      <c r="F611" s="55"/>
      <c r="G611" s="55"/>
      <c r="H611" s="12"/>
    </row>
    <row r="612" ht="14.25" customHeight="1">
      <c r="C612" s="19"/>
      <c r="F612" s="55"/>
      <c r="G612" s="55"/>
      <c r="H612" s="12"/>
    </row>
    <row r="613" ht="14.25" customHeight="1">
      <c r="C613" s="19"/>
      <c r="F613" s="55"/>
      <c r="G613" s="55"/>
      <c r="H613" s="12"/>
    </row>
    <row r="614" ht="14.25" customHeight="1">
      <c r="C614" s="19"/>
      <c r="F614" s="55"/>
      <c r="G614" s="55"/>
      <c r="H614" s="12"/>
    </row>
    <row r="615" ht="14.25" customHeight="1">
      <c r="C615" s="19"/>
      <c r="F615" s="55"/>
      <c r="G615" s="55"/>
      <c r="H615" s="12"/>
    </row>
    <row r="616" ht="14.25" customHeight="1">
      <c r="C616" s="19"/>
      <c r="F616" s="55"/>
      <c r="G616" s="55"/>
      <c r="H616" s="12"/>
    </row>
    <row r="617" ht="14.25" customHeight="1">
      <c r="C617" s="19"/>
      <c r="F617" s="55"/>
      <c r="G617" s="55"/>
      <c r="H617" s="12"/>
    </row>
    <row r="618" ht="14.25" customHeight="1">
      <c r="C618" s="19"/>
      <c r="F618" s="55"/>
      <c r="G618" s="55"/>
      <c r="H618" s="12"/>
    </row>
    <row r="619" ht="14.25" customHeight="1">
      <c r="C619" s="19"/>
      <c r="F619" s="55"/>
      <c r="G619" s="55"/>
      <c r="H619" s="12"/>
    </row>
    <row r="620" ht="14.25" customHeight="1">
      <c r="C620" s="19"/>
      <c r="F620" s="55"/>
      <c r="G620" s="55"/>
      <c r="H620" s="12"/>
    </row>
    <row r="621" ht="14.25" customHeight="1">
      <c r="C621" s="19"/>
      <c r="F621" s="55"/>
      <c r="G621" s="55"/>
      <c r="H621" s="12"/>
    </row>
    <row r="622" ht="14.25" customHeight="1">
      <c r="C622" s="19"/>
      <c r="F622" s="55"/>
      <c r="G622" s="55"/>
      <c r="H622" s="12"/>
    </row>
    <row r="623" ht="14.25" customHeight="1">
      <c r="C623" s="19"/>
      <c r="F623" s="55"/>
      <c r="G623" s="55"/>
      <c r="H623" s="12"/>
    </row>
    <row r="624" ht="14.25" customHeight="1">
      <c r="C624" s="19"/>
      <c r="F624" s="55"/>
      <c r="G624" s="55"/>
      <c r="H624" s="12"/>
    </row>
    <row r="625" ht="14.25" customHeight="1">
      <c r="C625" s="19"/>
      <c r="F625" s="55"/>
      <c r="G625" s="55"/>
      <c r="H625" s="12"/>
    </row>
    <row r="626" ht="14.25" customHeight="1">
      <c r="C626" s="19"/>
      <c r="F626" s="55"/>
      <c r="G626" s="55"/>
      <c r="H626" s="12"/>
    </row>
    <row r="627" ht="14.25" customHeight="1">
      <c r="C627" s="19"/>
      <c r="F627" s="55"/>
      <c r="G627" s="55"/>
      <c r="H627" s="12"/>
    </row>
    <row r="628" ht="14.25" customHeight="1">
      <c r="C628" s="19"/>
      <c r="F628" s="55"/>
      <c r="G628" s="55"/>
      <c r="H628" s="12"/>
    </row>
    <row r="629" ht="14.25" customHeight="1">
      <c r="C629" s="19"/>
      <c r="F629" s="55"/>
      <c r="G629" s="55"/>
      <c r="H629" s="12"/>
    </row>
    <row r="630" ht="14.25" customHeight="1">
      <c r="C630" s="19"/>
      <c r="F630" s="55"/>
      <c r="G630" s="55"/>
      <c r="H630" s="12"/>
    </row>
    <row r="631" ht="14.25" customHeight="1">
      <c r="C631" s="19"/>
      <c r="F631" s="55"/>
      <c r="G631" s="55"/>
      <c r="H631" s="12"/>
    </row>
    <row r="632" ht="14.25" customHeight="1">
      <c r="C632" s="19"/>
      <c r="F632" s="55"/>
      <c r="G632" s="55"/>
      <c r="H632" s="12"/>
    </row>
    <row r="633" ht="14.25" customHeight="1">
      <c r="C633" s="19"/>
      <c r="F633" s="55"/>
      <c r="G633" s="55"/>
      <c r="H633" s="12"/>
    </row>
    <row r="634" ht="14.25" customHeight="1">
      <c r="C634" s="19"/>
      <c r="F634" s="55"/>
      <c r="G634" s="55"/>
      <c r="H634" s="12"/>
    </row>
    <row r="635" ht="14.25" customHeight="1">
      <c r="C635" s="19"/>
      <c r="F635" s="55"/>
      <c r="G635" s="55"/>
      <c r="H635" s="12"/>
    </row>
    <row r="636" ht="14.25" customHeight="1">
      <c r="C636" s="19"/>
      <c r="F636" s="55"/>
      <c r="G636" s="55"/>
      <c r="H636" s="12"/>
    </row>
    <row r="637" ht="14.25" customHeight="1">
      <c r="C637" s="19"/>
      <c r="F637" s="55"/>
      <c r="G637" s="55"/>
      <c r="H637" s="12"/>
    </row>
    <row r="638" ht="14.25" customHeight="1">
      <c r="C638" s="19"/>
      <c r="F638" s="55"/>
      <c r="G638" s="55"/>
      <c r="H638" s="12"/>
    </row>
    <row r="639" ht="14.25" customHeight="1">
      <c r="C639" s="19"/>
      <c r="F639" s="55"/>
      <c r="G639" s="55"/>
      <c r="H639" s="12"/>
    </row>
    <row r="640" ht="14.25" customHeight="1">
      <c r="C640" s="19"/>
      <c r="F640" s="55"/>
      <c r="G640" s="55"/>
      <c r="H640" s="12"/>
    </row>
    <row r="641" ht="14.25" customHeight="1">
      <c r="C641" s="19"/>
      <c r="F641" s="55"/>
      <c r="G641" s="55"/>
      <c r="H641" s="12"/>
    </row>
    <row r="642" ht="14.25" customHeight="1">
      <c r="C642" s="19"/>
      <c r="F642" s="55"/>
      <c r="G642" s="55"/>
      <c r="H642" s="12"/>
    </row>
    <row r="643" ht="14.25" customHeight="1">
      <c r="C643" s="19"/>
      <c r="F643" s="55"/>
      <c r="G643" s="55"/>
      <c r="H643" s="12"/>
    </row>
    <row r="644" ht="14.25" customHeight="1">
      <c r="C644" s="19"/>
      <c r="F644" s="55"/>
      <c r="G644" s="55"/>
      <c r="H644" s="12"/>
    </row>
    <row r="645" ht="14.25" customHeight="1">
      <c r="C645" s="19"/>
      <c r="F645" s="55"/>
      <c r="G645" s="55"/>
      <c r="H645" s="12"/>
    </row>
    <row r="646" ht="14.25" customHeight="1">
      <c r="C646" s="19"/>
      <c r="F646" s="55"/>
      <c r="G646" s="55"/>
      <c r="H646" s="12"/>
    </row>
    <row r="647" ht="14.25" customHeight="1">
      <c r="C647" s="19"/>
      <c r="F647" s="55"/>
      <c r="G647" s="55"/>
      <c r="H647" s="12"/>
    </row>
    <row r="648" ht="14.25" customHeight="1">
      <c r="C648" s="19"/>
      <c r="F648" s="55"/>
      <c r="G648" s="55"/>
      <c r="H648" s="12"/>
    </row>
    <row r="649" ht="14.25" customHeight="1">
      <c r="C649" s="19"/>
      <c r="F649" s="55"/>
      <c r="G649" s="55"/>
      <c r="H649" s="12"/>
    </row>
    <row r="650" ht="14.25" customHeight="1">
      <c r="C650" s="19"/>
      <c r="F650" s="55"/>
      <c r="G650" s="55"/>
      <c r="H650" s="12"/>
    </row>
    <row r="651" ht="14.25" customHeight="1">
      <c r="C651" s="19"/>
      <c r="F651" s="55"/>
      <c r="G651" s="55"/>
      <c r="H651" s="12"/>
    </row>
    <row r="652" ht="14.25" customHeight="1">
      <c r="C652" s="19"/>
      <c r="F652" s="55"/>
      <c r="G652" s="55"/>
      <c r="H652" s="12"/>
    </row>
    <row r="653" ht="14.25" customHeight="1">
      <c r="C653" s="19"/>
      <c r="F653" s="55"/>
      <c r="G653" s="55"/>
      <c r="H653" s="12"/>
    </row>
    <row r="654" ht="14.25" customHeight="1">
      <c r="C654" s="19"/>
      <c r="F654" s="55"/>
      <c r="G654" s="55"/>
      <c r="H654" s="12"/>
    </row>
    <row r="655" ht="14.25" customHeight="1">
      <c r="C655" s="19"/>
      <c r="F655" s="55"/>
      <c r="G655" s="55"/>
      <c r="H655" s="12"/>
    </row>
    <row r="656" ht="14.25" customHeight="1">
      <c r="C656" s="19"/>
      <c r="F656" s="55"/>
      <c r="G656" s="55"/>
      <c r="H656" s="12"/>
    </row>
    <row r="657" ht="14.25" customHeight="1">
      <c r="C657" s="19"/>
      <c r="F657" s="55"/>
      <c r="G657" s="55"/>
      <c r="H657" s="12"/>
    </row>
    <row r="658" ht="14.25" customHeight="1">
      <c r="C658" s="19"/>
      <c r="F658" s="55"/>
      <c r="G658" s="55"/>
      <c r="H658" s="12"/>
    </row>
    <row r="659" ht="14.25" customHeight="1">
      <c r="C659" s="19"/>
      <c r="F659" s="55"/>
      <c r="G659" s="55"/>
      <c r="H659" s="12"/>
    </row>
    <row r="660" ht="14.25" customHeight="1">
      <c r="C660" s="19"/>
      <c r="F660" s="55"/>
      <c r="G660" s="55"/>
      <c r="H660" s="12"/>
    </row>
    <row r="661" ht="14.25" customHeight="1">
      <c r="C661" s="19"/>
      <c r="F661" s="55"/>
      <c r="G661" s="55"/>
      <c r="H661" s="12"/>
    </row>
    <row r="662" ht="14.25" customHeight="1">
      <c r="C662" s="19"/>
      <c r="F662" s="55"/>
      <c r="G662" s="55"/>
      <c r="H662" s="12"/>
    </row>
    <row r="663" ht="14.25" customHeight="1">
      <c r="C663" s="19"/>
      <c r="F663" s="55"/>
      <c r="G663" s="55"/>
      <c r="H663" s="12"/>
    </row>
    <row r="664" ht="14.25" customHeight="1">
      <c r="C664" s="19"/>
      <c r="F664" s="55"/>
      <c r="G664" s="55"/>
      <c r="H664" s="12"/>
    </row>
    <row r="665" ht="14.25" customHeight="1">
      <c r="C665" s="19"/>
      <c r="F665" s="55"/>
      <c r="G665" s="55"/>
      <c r="H665" s="12"/>
    </row>
    <row r="666" ht="14.25" customHeight="1">
      <c r="C666" s="19"/>
      <c r="F666" s="55"/>
      <c r="G666" s="55"/>
      <c r="H666" s="12"/>
    </row>
    <row r="667" ht="14.25" customHeight="1">
      <c r="C667" s="19"/>
      <c r="F667" s="55"/>
      <c r="G667" s="55"/>
      <c r="H667" s="12"/>
    </row>
    <row r="668" ht="14.25" customHeight="1">
      <c r="C668" s="19"/>
      <c r="F668" s="55"/>
      <c r="G668" s="55"/>
      <c r="H668" s="12"/>
    </row>
    <row r="669" ht="14.25" customHeight="1">
      <c r="C669" s="19"/>
      <c r="F669" s="55"/>
      <c r="G669" s="55"/>
      <c r="H669" s="12"/>
    </row>
    <row r="670" ht="14.25" customHeight="1">
      <c r="C670" s="19"/>
      <c r="F670" s="55"/>
      <c r="G670" s="55"/>
      <c r="H670" s="12"/>
    </row>
    <row r="671" ht="14.25" customHeight="1">
      <c r="C671" s="19"/>
      <c r="F671" s="55"/>
      <c r="G671" s="55"/>
      <c r="H671" s="12"/>
    </row>
    <row r="672" ht="14.25" customHeight="1">
      <c r="C672" s="19"/>
      <c r="F672" s="55"/>
      <c r="G672" s="55"/>
      <c r="H672" s="12"/>
    </row>
    <row r="673" ht="14.25" customHeight="1">
      <c r="C673" s="19"/>
      <c r="F673" s="55"/>
      <c r="G673" s="55"/>
      <c r="H673" s="12"/>
    </row>
    <row r="674" ht="14.25" customHeight="1">
      <c r="C674" s="19"/>
      <c r="F674" s="55"/>
      <c r="G674" s="55"/>
      <c r="H674" s="12"/>
    </row>
    <row r="675" ht="14.25" customHeight="1">
      <c r="C675" s="19"/>
      <c r="F675" s="55"/>
      <c r="G675" s="55"/>
      <c r="H675" s="12"/>
    </row>
    <row r="676" ht="14.25" customHeight="1">
      <c r="C676" s="19"/>
      <c r="F676" s="55"/>
      <c r="G676" s="55"/>
      <c r="H676" s="12"/>
    </row>
    <row r="677" ht="14.25" customHeight="1">
      <c r="C677" s="19"/>
      <c r="F677" s="55"/>
      <c r="G677" s="55"/>
      <c r="H677" s="12"/>
    </row>
    <row r="678" ht="14.25" customHeight="1">
      <c r="C678" s="19"/>
      <c r="F678" s="55"/>
      <c r="G678" s="55"/>
      <c r="H678" s="12"/>
    </row>
    <row r="679" ht="14.25" customHeight="1">
      <c r="C679" s="19"/>
      <c r="F679" s="55"/>
      <c r="G679" s="55"/>
      <c r="H679" s="12"/>
    </row>
    <row r="680" ht="14.25" customHeight="1">
      <c r="C680" s="19"/>
      <c r="F680" s="55"/>
      <c r="G680" s="55"/>
      <c r="H680" s="12"/>
    </row>
    <row r="681" ht="14.25" customHeight="1">
      <c r="C681" s="19"/>
      <c r="F681" s="55"/>
      <c r="G681" s="55"/>
      <c r="H681" s="12"/>
    </row>
    <row r="682" ht="14.25" customHeight="1">
      <c r="C682" s="19"/>
      <c r="F682" s="55"/>
      <c r="G682" s="55"/>
      <c r="H682" s="12"/>
    </row>
    <row r="683" ht="14.25" customHeight="1">
      <c r="C683" s="19"/>
      <c r="F683" s="55"/>
      <c r="G683" s="55"/>
      <c r="H683" s="12"/>
    </row>
    <row r="684" ht="14.25" customHeight="1">
      <c r="C684" s="19"/>
      <c r="F684" s="55"/>
      <c r="G684" s="55"/>
      <c r="H684" s="12"/>
    </row>
    <row r="685" ht="14.25" customHeight="1">
      <c r="C685" s="19"/>
      <c r="F685" s="55"/>
      <c r="G685" s="55"/>
      <c r="H685" s="12"/>
    </row>
    <row r="686" ht="14.25" customHeight="1">
      <c r="C686" s="19"/>
      <c r="F686" s="55"/>
      <c r="G686" s="55"/>
      <c r="H686" s="12"/>
    </row>
    <row r="687" ht="14.25" customHeight="1">
      <c r="C687" s="19"/>
      <c r="F687" s="55"/>
      <c r="G687" s="55"/>
      <c r="H687" s="12"/>
    </row>
    <row r="688" ht="14.25" customHeight="1">
      <c r="C688" s="19"/>
      <c r="F688" s="55"/>
      <c r="G688" s="55"/>
      <c r="H688" s="12"/>
    </row>
    <row r="689" ht="14.25" customHeight="1">
      <c r="C689" s="19"/>
      <c r="F689" s="55"/>
      <c r="G689" s="55"/>
      <c r="H689" s="12"/>
    </row>
    <row r="690" ht="14.25" customHeight="1">
      <c r="C690" s="19"/>
      <c r="F690" s="55"/>
      <c r="G690" s="55"/>
      <c r="H690" s="12"/>
    </row>
    <row r="691" ht="14.25" customHeight="1">
      <c r="C691" s="19"/>
      <c r="F691" s="55"/>
      <c r="G691" s="55"/>
      <c r="H691" s="12"/>
    </row>
    <row r="692" ht="14.25" customHeight="1">
      <c r="C692" s="19"/>
      <c r="F692" s="55"/>
      <c r="G692" s="55"/>
      <c r="H692" s="12"/>
    </row>
    <row r="693" ht="14.25" customHeight="1">
      <c r="C693" s="19"/>
      <c r="F693" s="55"/>
      <c r="G693" s="55"/>
      <c r="H693" s="12"/>
    </row>
    <row r="694" ht="14.25" customHeight="1">
      <c r="C694" s="19"/>
      <c r="F694" s="55"/>
      <c r="G694" s="55"/>
      <c r="H694" s="12"/>
    </row>
    <row r="695" ht="14.25" customHeight="1">
      <c r="C695" s="19"/>
      <c r="F695" s="55"/>
      <c r="G695" s="55"/>
      <c r="H695" s="12"/>
    </row>
    <row r="696" ht="14.25" customHeight="1">
      <c r="C696" s="19"/>
      <c r="F696" s="55"/>
      <c r="G696" s="55"/>
      <c r="H696" s="12"/>
    </row>
    <row r="697" ht="14.25" customHeight="1">
      <c r="C697" s="19"/>
      <c r="F697" s="55"/>
      <c r="G697" s="55"/>
      <c r="H697" s="12"/>
    </row>
    <row r="698" ht="14.25" customHeight="1">
      <c r="C698" s="19"/>
      <c r="F698" s="55"/>
      <c r="G698" s="55"/>
      <c r="H698" s="12"/>
    </row>
    <row r="699" ht="14.25" customHeight="1">
      <c r="C699" s="19"/>
      <c r="F699" s="55"/>
      <c r="G699" s="55"/>
      <c r="H699" s="12"/>
    </row>
    <row r="700" ht="14.25" customHeight="1">
      <c r="C700" s="19"/>
      <c r="F700" s="55"/>
      <c r="G700" s="55"/>
      <c r="H700" s="12"/>
    </row>
    <row r="701" ht="14.25" customHeight="1">
      <c r="C701" s="19"/>
      <c r="F701" s="55"/>
      <c r="G701" s="55"/>
      <c r="H701" s="12"/>
    </row>
    <row r="702" ht="14.25" customHeight="1">
      <c r="C702" s="19"/>
      <c r="F702" s="55"/>
      <c r="G702" s="55"/>
      <c r="H702" s="12"/>
    </row>
    <row r="703" ht="14.25" customHeight="1">
      <c r="C703" s="19"/>
      <c r="F703" s="55"/>
      <c r="G703" s="55"/>
      <c r="H703" s="12"/>
    </row>
    <row r="704" ht="14.25" customHeight="1">
      <c r="C704" s="19"/>
      <c r="F704" s="55"/>
      <c r="G704" s="55"/>
      <c r="H704" s="12"/>
    </row>
    <row r="705" ht="14.25" customHeight="1">
      <c r="C705" s="19"/>
      <c r="F705" s="55"/>
      <c r="G705" s="55"/>
      <c r="H705" s="12"/>
    </row>
    <row r="706" ht="14.25" customHeight="1">
      <c r="C706" s="19"/>
      <c r="F706" s="55"/>
      <c r="G706" s="55"/>
      <c r="H706" s="12"/>
    </row>
    <row r="707" ht="14.25" customHeight="1">
      <c r="C707" s="19"/>
      <c r="F707" s="55"/>
      <c r="G707" s="55"/>
      <c r="H707" s="12"/>
    </row>
    <row r="708" ht="14.25" customHeight="1">
      <c r="C708" s="19"/>
      <c r="F708" s="55"/>
      <c r="G708" s="55"/>
      <c r="H708" s="12"/>
    </row>
    <row r="709" ht="14.25" customHeight="1">
      <c r="C709" s="19"/>
      <c r="F709" s="55"/>
      <c r="G709" s="55"/>
      <c r="H709" s="12"/>
    </row>
    <row r="710" ht="14.25" customHeight="1">
      <c r="C710" s="19"/>
      <c r="F710" s="55"/>
      <c r="G710" s="55"/>
      <c r="H710" s="12"/>
    </row>
    <row r="711" ht="14.25" customHeight="1">
      <c r="C711" s="19"/>
      <c r="F711" s="55"/>
      <c r="G711" s="55"/>
      <c r="H711" s="12"/>
    </row>
    <row r="712" ht="14.25" customHeight="1">
      <c r="C712" s="19"/>
      <c r="F712" s="55"/>
      <c r="G712" s="55"/>
      <c r="H712" s="12"/>
    </row>
    <row r="713" ht="14.25" customHeight="1">
      <c r="C713" s="19"/>
      <c r="F713" s="55"/>
      <c r="G713" s="55"/>
      <c r="H713" s="12"/>
    </row>
    <row r="714" ht="14.25" customHeight="1">
      <c r="C714" s="19"/>
      <c r="F714" s="55"/>
      <c r="G714" s="55"/>
      <c r="H714" s="12"/>
    </row>
    <row r="715" ht="14.25" customHeight="1">
      <c r="C715" s="19"/>
      <c r="F715" s="55"/>
      <c r="G715" s="55"/>
      <c r="H715" s="12"/>
    </row>
    <row r="716" ht="14.25" customHeight="1">
      <c r="C716" s="19"/>
      <c r="F716" s="55"/>
      <c r="G716" s="55"/>
      <c r="H716" s="12"/>
    </row>
    <row r="717" ht="14.25" customHeight="1">
      <c r="C717" s="19"/>
      <c r="F717" s="55"/>
      <c r="G717" s="55"/>
      <c r="H717" s="12"/>
    </row>
    <row r="718" ht="14.25" customHeight="1">
      <c r="C718" s="19"/>
      <c r="F718" s="55"/>
      <c r="G718" s="55"/>
      <c r="H718" s="12"/>
    </row>
    <row r="719" ht="14.25" customHeight="1">
      <c r="C719" s="19"/>
      <c r="F719" s="55"/>
      <c r="G719" s="55"/>
      <c r="H719" s="12"/>
    </row>
    <row r="720" ht="14.25" customHeight="1">
      <c r="C720" s="19"/>
      <c r="F720" s="55"/>
      <c r="G720" s="55"/>
      <c r="H720" s="12"/>
    </row>
    <row r="721" ht="14.25" customHeight="1">
      <c r="C721" s="19"/>
      <c r="F721" s="55"/>
      <c r="G721" s="55"/>
      <c r="H721" s="12"/>
    </row>
    <row r="722" ht="14.25" customHeight="1">
      <c r="C722" s="19"/>
      <c r="F722" s="55"/>
      <c r="G722" s="55"/>
      <c r="H722" s="12"/>
    </row>
    <row r="723" ht="14.25" customHeight="1">
      <c r="C723" s="19"/>
      <c r="F723" s="55"/>
      <c r="G723" s="55"/>
      <c r="H723" s="12"/>
    </row>
    <row r="724" ht="14.25" customHeight="1">
      <c r="C724" s="19"/>
      <c r="F724" s="55"/>
      <c r="G724" s="55"/>
      <c r="H724" s="12"/>
    </row>
    <row r="725" ht="14.25" customHeight="1">
      <c r="C725" s="19"/>
      <c r="F725" s="55"/>
      <c r="G725" s="55"/>
      <c r="H725" s="12"/>
    </row>
    <row r="726" ht="14.25" customHeight="1">
      <c r="C726" s="19"/>
      <c r="F726" s="55"/>
      <c r="G726" s="55"/>
      <c r="H726" s="12"/>
    </row>
    <row r="727" ht="14.25" customHeight="1">
      <c r="C727" s="19"/>
      <c r="F727" s="55"/>
      <c r="G727" s="55"/>
      <c r="H727" s="12"/>
    </row>
    <row r="728" ht="14.25" customHeight="1">
      <c r="C728" s="19"/>
      <c r="F728" s="55"/>
      <c r="G728" s="55"/>
      <c r="H728" s="12"/>
    </row>
    <row r="729" ht="14.25" customHeight="1">
      <c r="C729" s="19"/>
      <c r="F729" s="55"/>
      <c r="G729" s="55"/>
      <c r="H729" s="12"/>
    </row>
    <row r="730" ht="14.25" customHeight="1">
      <c r="C730" s="19"/>
      <c r="F730" s="55"/>
      <c r="G730" s="55"/>
      <c r="H730" s="12"/>
    </row>
    <row r="731" ht="14.25" customHeight="1">
      <c r="C731" s="19"/>
      <c r="F731" s="55"/>
      <c r="G731" s="55"/>
      <c r="H731" s="12"/>
    </row>
    <row r="732" ht="14.25" customHeight="1">
      <c r="C732" s="19"/>
      <c r="F732" s="55"/>
      <c r="G732" s="55"/>
      <c r="H732" s="12"/>
    </row>
    <row r="733" ht="14.25" customHeight="1">
      <c r="C733" s="19"/>
      <c r="F733" s="55"/>
      <c r="G733" s="55"/>
      <c r="H733" s="12"/>
    </row>
    <row r="734" ht="14.25" customHeight="1">
      <c r="C734" s="19"/>
      <c r="F734" s="55"/>
      <c r="G734" s="55"/>
      <c r="H734" s="12"/>
    </row>
    <row r="735" ht="14.25" customHeight="1">
      <c r="C735" s="19"/>
      <c r="F735" s="55"/>
      <c r="G735" s="55"/>
      <c r="H735" s="12"/>
    </row>
    <row r="736" ht="14.25" customHeight="1">
      <c r="C736" s="19"/>
      <c r="F736" s="55"/>
      <c r="G736" s="55"/>
      <c r="H736" s="12"/>
    </row>
    <row r="737" ht="14.25" customHeight="1">
      <c r="C737" s="19"/>
      <c r="F737" s="55"/>
      <c r="G737" s="55"/>
      <c r="H737" s="12"/>
    </row>
    <row r="738" ht="14.25" customHeight="1">
      <c r="C738" s="19"/>
      <c r="F738" s="55"/>
      <c r="G738" s="55"/>
      <c r="H738" s="12"/>
    </row>
    <row r="739" ht="14.25" customHeight="1">
      <c r="C739" s="19"/>
      <c r="F739" s="55"/>
      <c r="G739" s="55"/>
      <c r="H739" s="12"/>
    </row>
    <row r="740" ht="14.25" customHeight="1">
      <c r="C740" s="19"/>
      <c r="F740" s="55"/>
      <c r="G740" s="55"/>
      <c r="H740" s="12"/>
    </row>
    <row r="741" ht="14.25" customHeight="1">
      <c r="C741" s="19"/>
      <c r="F741" s="55"/>
      <c r="G741" s="55"/>
      <c r="H741" s="12"/>
    </row>
    <row r="742" ht="14.25" customHeight="1">
      <c r="C742" s="19"/>
      <c r="F742" s="55"/>
      <c r="G742" s="55"/>
      <c r="H742" s="12"/>
    </row>
    <row r="743" ht="14.25" customHeight="1">
      <c r="C743" s="19"/>
      <c r="F743" s="55"/>
      <c r="G743" s="55"/>
      <c r="H743" s="12"/>
    </row>
    <row r="744" ht="14.25" customHeight="1">
      <c r="C744" s="19"/>
      <c r="F744" s="55"/>
      <c r="G744" s="55"/>
      <c r="H744" s="12"/>
    </row>
    <row r="745" ht="14.25" customHeight="1">
      <c r="C745" s="19"/>
      <c r="F745" s="55"/>
      <c r="G745" s="55"/>
      <c r="H745" s="12"/>
    </row>
    <row r="746" ht="14.25" customHeight="1">
      <c r="C746" s="19"/>
      <c r="F746" s="55"/>
      <c r="G746" s="55"/>
      <c r="H746" s="12"/>
    </row>
    <row r="747" ht="14.25" customHeight="1">
      <c r="C747" s="19"/>
      <c r="F747" s="55"/>
      <c r="G747" s="55"/>
      <c r="H747" s="12"/>
    </row>
    <row r="748" ht="14.25" customHeight="1">
      <c r="C748" s="19"/>
      <c r="F748" s="55"/>
      <c r="G748" s="55"/>
      <c r="H748" s="12"/>
    </row>
    <row r="749" ht="14.25" customHeight="1">
      <c r="C749" s="19"/>
      <c r="F749" s="55"/>
      <c r="G749" s="55"/>
      <c r="H749" s="12"/>
    </row>
    <row r="750" ht="14.25" customHeight="1">
      <c r="C750" s="19"/>
      <c r="F750" s="55"/>
      <c r="G750" s="55"/>
      <c r="H750" s="12"/>
    </row>
    <row r="751" ht="14.25" customHeight="1">
      <c r="C751" s="19"/>
      <c r="F751" s="55"/>
      <c r="G751" s="55"/>
      <c r="H751" s="12"/>
    </row>
    <row r="752" ht="14.25" customHeight="1">
      <c r="C752" s="19"/>
      <c r="F752" s="55"/>
      <c r="G752" s="55"/>
      <c r="H752" s="12"/>
    </row>
    <row r="753" ht="14.25" customHeight="1">
      <c r="C753" s="19"/>
      <c r="F753" s="55"/>
      <c r="G753" s="55"/>
      <c r="H753" s="12"/>
    </row>
    <row r="754" ht="14.25" customHeight="1">
      <c r="C754" s="19"/>
      <c r="F754" s="55"/>
      <c r="G754" s="55"/>
      <c r="H754" s="12"/>
    </row>
    <row r="755" ht="14.25" customHeight="1">
      <c r="C755" s="19"/>
      <c r="F755" s="55"/>
      <c r="G755" s="55"/>
      <c r="H755" s="12"/>
    </row>
    <row r="756" ht="14.25" customHeight="1">
      <c r="C756" s="19"/>
      <c r="F756" s="55"/>
      <c r="G756" s="55"/>
      <c r="H756" s="12"/>
    </row>
    <row r="757" ht="14.25" customHeight="1">
      <c r="C757" s="19"/>
      <c r="F757" s="55"/>
      <c r="G757" s="55"/>
      <c r="H757" s="12"/>
    </row>
    <row r="758" ht="14.25" customHeight="1">
      <c r="C758" s="19"/>
      <c r="F758" s="55"/>
      <c r="G758" s="55"/>
      <c r="H758" s="12"/>
    </row>
    <row r="759" ht="14.25" customHeight="1">
      <c r="C759" s="19"/>
      <c r="F759" s="55"/>
      <c r="G759" s="55"/>
      <c r="H759" s="12"/>
    </row>
    <row r="760" ht="14.25" customHeight="1">
      <c r="C760" s="19"/>
      <c r="F760" s="55"/>
      <c r="G760" s="55"/>
      <c r="H760" s="12"/>
    </row>
    <row r="761" ht="14.25" customHeight="1">
      <c r="C761" s="19"/>
      <c r="F761" s="55"/>
      <c r="G761" s="55"/>
      <c r="H761" s="12"/>
    </row>
    <row r="762" ht="14.25" customHeight="1">
      <c r="C762" s="19"/>
      <c r="F762" s="55"/>
      <c r="G762" s="55"/>
      <c r="H762" s="12"/>
    </row>
    <row r="763" ht="14.25" customHeight="1">
      <c r="C763" s="19"/>
      <c r="F763" s="55"/>
      <c r="G763" s="55"/>
      <c r="H763" s="12"/>
    </row>
    <row r="764" ht="14.25" customHeight="1">
      <c r="C764" s="19"/>
      <c r="F764" s="55"/>
      <c r="G764" s="55"/>
      <c r="H764" s="12"/>
    </row>
    <row r="765" ht="14.25" customHeight="1">
      <c r="C765" s="19"/>
      <c r="F765" s="55"/>
      <c r="G765" s="55"/>
      <c r="H765" s="12"/>
    </row>
    <row r="766" ht="14.25" customHeight="1">
      <c r="C766" s="19"/>
      <c r="F766" s="55"/>
      <c r="G766" s="55"/>
      <c r="H766" s="12"/>
    </row>
    <row r="767" ht="14.25" customHeight="1">
      <c r="C767" s="19"/>
      <c r="F767" s="55"/>
      <c r="G767" s="55"/>
      <c r="H767" s="12"/>
    </row>
    <row r="768" ht="14.25" customHeight="1">
      <c r="C768" s="19"/>
      <c r="F768" s="55"/>
      <c r="G768" s="55"/>
      <c r="H768" s="12"/>
    </row>
    <row r="769" ht="14.25" customHeight="1">
      <c r="C769" s="19"/>
      <c r="F769" s="55"/>
      <c r="G769" s="55"/>
      <c r="H769" s="12"/>
    </row>
    <row r="770" ht="14.25" customHeight="1">
      <c r="C770" s="19"/>
      <c r="F770" s="55"/>
      <c r="G770" s="55"/>
      <c r="H770" s="12"/>
    </row>
    <row r="771" ht="14.25" customHeight="1">
      <c r="C771" s="19"/>
      <c r="F771" s="55"/>
      <c r="G771" s="55"/>
      <c r="H771" s="12"/>
    </row>
    <row r="772" ht="14.25" customHeight="1">
      <c r="C772" s="19"/>
      <c r="F772" s="55"/>
      <c r="G772" s="55"/>
      <c r="H772" s="12"/>
    </row>
    <row r="773" ht="14.25" customHeight="1">
      <c r="C773" s="19"/>
      <c r="F773" s="55"/>
      <c r="G773" s="55"/>
      <c r="H773" s="12"/>
    </row>
    <row r="774" ht="14.25" customHeight="1">
      <c r="C774" s="19"/>
      <c r="F774" s="55"/>
      <c r="G774" s="55"/>
      <c r="H774" s="12"/>
    </row>
    <row r="775" ht="14.25" customHeight="1">
      <c r="C775" s="19"/>
      <c r="F775" s="55"/>
      <c r="G775" s="55"/>
      <c r="H775" s="12"/>
    </row>
    <row r="776" ht="14.25" customHeight="1">
      <c r="C776" s="19"/>
      <c r="F776" s="55"/>
      <c r="G776" s="55"/>
      <c r="H776" s="12"/>
    </row>
    <row r="777" ht="14.25" customHeight="1">
      <c r="C777" s="19"/>
      <c r="F777" s="55"/>
      <c r="G777" s="55"/>
      <c r="H777" s="12"/>
    </row>
    <row r="778" ht="14.25" customHeight="1">
      <c r="C778" s="19"/>
      <c r="F778" s="55"/>
      <c r="G778" s="55"/>
      <c r="H778" s="12"/>
    </row>
    <row r="779" ht="14.25" customHeight="1">
      <c r="C779" s="19"/>
      <c r="F779" s="55"/>
      <c r="G779" s="55"/>
      <c r="H779" s="12"/>
    </row>
    <row r="780" ht="14.25" customHeight="1">
      <c r="C780" s="19"/>
      <c r="F780" s="55"/>
      <c r="G780" s="55"/>
      <c r="H780" s="12"/>
    </row>
    <row r="781" ht="14.25" customHeight="1">
      <c r="C781" s="19"/>
      <c r="F781" s="55"/>
      <c r="G781" s="55"/>
      <c r="H781" s="12"/>
    </row>
    <row r="782" ht="14.25" customHeight="1">
      <c r="C782" s="19"/>
      <c r="F782" s="55"/>
      <c r="G782" s="55"/>
      <c r="H782" s="12"/>
    </row>
    <row r="783" ht="14.25" customHeight="1">
      <c r="C783" s="19"/>
      <c r="F783" s="55"/>
      <c r="G783" s="55"/>
      <c r="H783" s="12"/>
    </row>
    <row r="784" ht="14.25" customHeight="1">
      <c r="C784" s="19"/>
      <c r="F784" s="55"/>
      <c r="G784" s="55"/>
      <c r="H784" s="12"/>
    </row>
    <row r="785" ht="14.25" customHeight="1">
      <c r="C785" s="19"/>
      <c r="F785" s="55"/>
      <c r="G785" s="55"/>
      <c r="H785" s="12"/>
    </row>
    <row r="786" ht="14.25" customHeight="1">
      <c r="C786" s="19"/>
      <c r="F786" s="55"/>
      <c r="G786" s="55"/>
      <c r="H786" s="12"/>
    </row>
    <row r="787" ht="14.25" customHeight="1">
      <c r="C787" s="19"/>
      <c r="F787" s="55"/>
      <c r="G787" s="55"/>
      <c r="H787" s="12"/>
    </row>
    <row r="788" ht="14.25" customHeight="1">
      <c r="C788" s="19"/>
      <c r="F788" s="55"/>
      <c r="G788" s="55"/>
      <c r="H788" s="12"/>
    </row>
    <row r="789" ht="14.25" customHeight="1">
      <c r="C789" s="19"/>
      <c r="F789" s="55"/>
      <c r="G789" s="55"/>
      <c r="H789" s="12"/>
    </row>
    <row r="790" ht="14.25" customHeight="1">
      <c r="C790" s="19"/>
      <c r="F790" s="55"/>
      <c r="G790" s="55"/>
      <c r="H790" s="12"/>
    </row>
    <row r="791" ht="14.25" customHeight="1">
      <c r="C791" s="19"/>
      <c r="F791" s="55"/>
      <c r="G791" s="55"/>
      <c r="H791" s="12"/>
    </row>
    <row r="792" ht="14.25" customHeight="1">
      <c r="C792" s="19"/>
      <c r="F792" s="55"/>
      <c r="G792" s="55"/>
      <c r="H792" s="12"/>
    </row>
    <row r="793" ht="14.25" customHeight="1">
      <c r="C793" s="19"/>
      <c r="F793" s="55"/>
      <c r="G793" s="55"/>
      <c r="H793" s="12"/>
    </row>
    <row r="794" ht="14.25" customHeight="1">
      <c r="C794" s="19"/>
      <c r="F794" s="55"/>
      <c r="G794" s="55"/>
      <c r="H794" s="12"/>
    </row>
    <row r="795" ht="14.25" customHeight="1">
      <c r="C795" s="19"/>
      <c r="F795" s="55"/>
      <c r="G795" s="55"/>
      <c r="H795" s="12"/>
    </row>
    <row r="796" ht="14.25" customHeight="1">
      <c r="C796" s="19"/>
      <c r="F796" s="55"/>
      <c r="G796" s="55"/>
      <c r="H796" s="12"/>
    </row>
    <row r="797" ht="14.25" customHeight="1">
      <c r="C797" s="19"/>
      <c r="F797" s="55"/>
      <c r="G797" s="55"/>
      <c r="H797" s="12"/>
    </row>
    <row r="798" ht="14.25" customHeight="1">
      <c r="C798" s="19"/>
      <c r="F798" s="55"/>
      <c r="G798" s="55"/>
      <c r="H798" s="12"/>
    </row>
    <row r="799" ht="14.25" customHeight="1">
      <c r="C799" s="19"/>
      <c r="F799" s="55"/>
      <c r="G799" s="55"/>
      <c r="H799" s="12"/>
    </row>
    <row r="800" ht="14.25" customHeight="1">
      <c r="C800" s="19"/>
      <c r="F800" s="55"/>
      <c r="G800" s="55"/>
      <c r="H800" s="12"/>
    </row>
    <row r="801" ht="14.25" customHeight="1">
      <c r="C801" s="19"/>
      <c r="F801" s="55"/>
      <c r="G801" s="55"/>
      <c r="H801" s="12"/>
    </row>
    <row r="802" ht="14.25" customHeight="1">
      <c r="C802" s="19"/>
      <c r="F802" s="55"/>
      <c r="G802" s="55"/>
      <c r="H802" s="12"/>
    </row>
    <row r="803" ht="14.25" customHeight="1">
      <c r="C803" s="19"/>
      <c r="F803" s="55"/>
      <c r="G803" s="55"/>
      <c r="H803" s="12"/>
    </row>
    <row r="804" ht="14.25" customHeight="1">
      <c r="C804" s="19"/>
      <c r="F804" s="55"/>
      <c r="G804" s="55"/>
      <c r="H804" s="12"/>
    </row>
    <row r="805" ht="14.25" customHeight="1">
      <c r="C805" s="19"/>
      <c r="F805" s="55"/>
      <c r="G805" s="55"/>
      <c r="H805" s="12"/>
    </row>
    <row r="806" ht="14.25" customHeight="1">
      <c r="C806" s="19"/>
      <c r="F806" s="55"/>
      <c r="G806" s="55"/>
      <c r="H806" s="12"/>
    </row>
    <row r="807" ht="14.25" customHeight="1">
      <c r="C807" s="19"/>
      <c r="F807" s="55"/>
      <c r="G807" s="55"/>
      <c r="H807" s="12"/>
    </row>
    <row r="808" ht="14.25" customHeight="1">
      <c r="C808" s="19"/>
      <c r="F808" s="55"/>
      <c r="G808" s="55"/>
      <c r="H808" s="12"/>
    </row>
    <row r="809" ht="14.25" customHeight="1">
      <c r="C809" s="19"/>
      <c r="F809" s="55"/>
      <c r="G809" s="55"/>
      <c r="H809" s="12"/>
    </row>
    <row r="810" ht="14.25" customHeight="1">
      <c r="C810" s="19"/>
      <c r="F810" s="55"/>
      <c r="G810" s="55"/>
      <c r="H810" s="12"/>
    </row>
    <row r="811" ht="14.25" customHeight="1">
      <c r="C811" s="19"/>
      <c r="F811" s="55"/>
      <c r="G811" s="55"/>
      <c r="H811" s="12"/>
    </row>
    <row r="812" ht="14.25" customHeight="1">
      <c r="C812" s="19"/>
      <c r="F812" s="55"/>
      <c r="G812" s="55"/>
      <c r="H812" s="12"/>
    </row>
    <row r="813" ht="14.25" customHeight="1">
      <c r="C813" s="19"/>
      <c r="F813" s="55"/>
      <c r="G813" s="55"/>
      <c r="H813" s="12"/>
    </row>
    <row r="814" ht="14.25" customHeight="1">
      <c r="C814" s="19"/>
      <c r="F814" s="55"/>
      <c r="G814" s="55"/>
      <c r="H814" s="12"/>
    </row>
    <row r="815" ht="14.25" customHeight="1">
      <c r="C815" s="19"/>
      <c r="F815" s="55"/>
      <c r="G815" s="55"/>
      <c r="H815" s="12"/>
    </row>
    <row r="816" ht="14.25" customHeight="1">
      <c r="C816" s="19"/>
      <c r="F816" s="55"/>
      <c r="G816" s="55"/>
      <c r="H816" s="12"/>
    </row>
    <row r="817" ht="14.25" customHeight="1">
      <c r="C817" s="19"/>
      <c r="F817" s="55"/>
      <c r="G817" s="55"/>
      <c r="H817" s="12"/>
    </row>
    <row r="818" ht="14.25" customHeight="1">
      <c r="C818" s="19"/>
      <c r="F818" s="55"/>
      <c r="G818" s="55"/>
      <c r="H818" s="12"/>
    </row>
    <row r="819" ht="14.25" customHeight="1">
      <c r="C819" s="19"/>
      <c r="F819" s="55"/>
      <c r="G819" s="55"/>
      <c r="H819" s="12"/>
    </row>
    <row r="820" ht="14.25" customHeight="1">
      <c r="C820" s="19"/>
      <c r="F820" s="55"/>
      <c r="G820" s="55"/>
      <c r="H820" s="12"/>
    </row>
    <row r="821" ht="14.25" customHeight="1">
      <c r="C821" s="19"/>
      <c r="F821" s="55"/>
      <c r="G821" s="55"/>
      <c r="H821" s="12"/>
    </row>
    <row r="822" ht="14.25" customHeight="1">
      <c r="C822" s="19"/>
      <c r="F822" s="55"/>
      <c r="G822" s="55"/>
      <c r="H822" s="12"/>
    </row>
    <row r="823" ht="14.25" customHeight="1">
      <c r="C823" s="19"/>
      <c r="F823" s="55"/>
      <c r="G823" s="55"/>
      <c r="H823" s="12"/>
    </row>
    <row r="824" ht="14.25" customHeight="1">
      <c r="C824" s="19"/>
      <c r="F824" s="55"/>
      <c r="G824" s="55"/>
      <c r="H824" s="12"/>
    </row>
    <row r="825" ht="14.25" customHeight="1">
      <c r="C825" s="19"/>
      <c r="F825" s="55"/>
      <c r="G825" s="55"/>
      <c r="H825" s="12"/>
    </row>
    <row r="826" ht="14.25" customHeight="1">
      <c r="C826" s="19"/>
      <c r="F826" s="55"/>
      <c r="G826" s="55"/>
      <c r="H826" s="12"/>
    </row>
    <row r="827" ht="14.25" customHeight="1">
      <c r="C827" s="19"/>
      <c r="F827" s="55"/>
      <c r="G827" s="55"/>
      <c r="H827" s="12"/>
    </row>
    <row r="828" ht="14.25" customHeight="1">
      <c r="C828" s="19"/>
      <c r="F828" s="55"/>
      <c r="G828" s="55"/>
      <c r="H828" s="12"/>
    </row>
    <row r="829" ht="14.25" customHeight="1">
      <c r="C829" s="19"/>
      <c r="F829" s="55"/>
      <c r="G829" s="55"/>
      <c r="H829" s="12"/>
    </row>
    <row r="830" ht="14.25" customHeight="1">
      <c r="C830" s="19"/>
      <c r="F830" s="55"/>
      <c r="G830" s="55"/>
      <c r="H830" s="12"/>
    </row>
    <row r="831" ht="14.25" customHeight="1">
      <c r="C831" s="19"/>
      <c r="F831" s="55"/>
      <c r="G831" s="55"/>
      <c r="H831" s="12"/>
    </row>
    <row r="832" ht="14.25" customHeight="1">
      <c r="C832" s="19"/>
      <c r="F832" s="55"/>
      <c r="G832" s="55"/>
      <c r="H832" s="12"/>
    </row>
    <row r="833" ht="14.25" customHeight="1">
      <c r="C833" s="19"/>
      <c r="F833" s="55"/>
      <c r="G833" s="55"/>
      <c r="H833" s="12"/>
    </row>
    <row r="834" ht="14.25" customHeight="1">
      <c r="C834" s="19"/>
      <c r="F834" s="55"/>
      <c r="G834" s="55"/>
      <c r="H834" s="12"/>
    </row>
    <row r="835" ht="14.25" customHeight="1">
      <c r="C835" s="19"/>
      <c r="F835" s="55"/>
      <c r="G835" s="55"/>
      <c r="H835" s="12"/>
    </row>
    <row r="836" ht="14.25" customHeight="1">
      <c r="C836" s="19"/>
      <c r="F836" s="55"/>
      <c r="G836" s="55"/>
      <c r="H836" s="12"/>
    </row>
    <row r="837" ht="14.25" customHeight="1">
      <c r="C837" s="19"/>
      <c r="F837" s="55"/>
      <c r="G837" s="55"/>
      <c r="H837" s="12"/>
    </row>
    <row r="838" ht="14.25" customHeight="1">
      <c r="C838" s="19"/>
      <c r="F838" s="55"/>
      <c r="G838" s="55"/>
      <c r="H838" s="12"/>
    </row>
    <row r="839" ht="14.25" customHeight="1">
      <c r="C839" s="19"/>
      <c r="F839" s="55"/>
      <c r="G839" s="55"/>
      <c r="H839" s="12"/>
    </row>
    <row r="840" ht="14.25" customHeight="1">
      <c r="C840" s="19"/>
      <c r="F840" s="55"/>
      <c r="G840" s="55"/>
      <c r="H840" s="12"/>
    </row>
    <row r="841" ht="14.25" customHeight="1">
      <c r="C841" s="19"/>
      <c r="F841" s="55"/>
      <c r="G841" s="55"/>
      <c r="H841" s="12"/>
    </row>
    <row r="842" ht="14.25" customHeight="1">
      <c r="C842" s="19"/>
      <c r="F842" s="55"/>
      <c r="G842" s="55"/>
      <c r="H842" s="12"/>
    </row>
    <row r="843" ht="14.25" customHeight="1">
      <c r="C843" s="19"/>
      <c r="F843" s="55"/>
      <c r="G843" s="55"/>
      <c r="H843" s="12"/>
    </row>
    <row r="844" ht="14.25" customHeight="1">
      <c r="C844" s="19"/>
      <c r="F844" s="55"/>
      <c r="G844" s="55"/>
      <c r="H844" s="12"/>
    </row>
    <row r="845" ht="14.25" customHeight="1">
      <c r="C845" s="19"/>
      <c r="F845" s="55"/>
      <c r="G845" s="55"/>
      <c r="H845" s="12"/>
    </row>
    <row r="846" ht="14.25" customHeight="1">
      <c r="C846" s="19"/>
      <c r="F846" s="55"/>
      <c r="G846" s="55"/>
      <c r="H846" s="12"/>
    </row>
    <row r="847" ht="14.25" customHeight="1">
      <c r="C847" s="19"/>
      <c r="F847" s="55"/>
      <c r="G847" s="55"/>
      <c r="H847" s="12"/>
    </row>
    <row r="848" ht="14.25" customHeight="1">
      <c r="C848" s="19"/>
      <c r="F848" s="55"/>
      <c r="G848" s="55"/>
      <c r="H848" s="12"/>
    </row>
    <row r="849" ht="14.25" customHeight="1">
      <c r="C849" s="19"/>
      <c r="F849" s="55"/>
      <c r="G849" s="55"/>
      <c r="H849" s="12"/>
    </row>
    <row r="850" ht="14.25" customHeight="1">
      <c r="C850" s="19"/>
      <c r="F850" s="55"/>
      <c r="G850" s="55"/>
      <c r="H850" s="12"/>
    </row>
    <row r="851" ht="14.25" customHeight="1">
      <c r="C851" s="19"/>
      <c r="F851" s="55"/>
      <c r="G851" s="55"/>
      <c r="H851" s="12"/>
    </row>
    <row r="852" ht="14.25" customHeight="1">
      <c r="C852" s="19"/>
      <c r="F852" s="55"/>
      <c r="G852" s="55"/>
      <c r="H852" s="12"/>
    </row>
    <row r="853" ht="14.25" customHeight="1">
      <c r="C853" s="19"/>
      <c r="F853" s="55"/>
      <c r="G853" s="55"/>
      <c r="H853" s="12"/>
    </row>
    <row r="854" ht="14.25" customHeight="1">
      <c r="C854" s="19"/>
      <c r="F854" s="55"/>
      <c r="G854" s="55"/>
      <c r="H854" s="12"/>
    </row>
    <row r="855" ht="14.25" customHeight="1">
      <c r="C855" s="19"/>
      <c r="F855" s="55"/>
      <c r="G855" s="55"/>
      <c r="H855" s="12"/>
    </row>
    <row r="856" ht="14.25" customHeight="1">
      <c r="C856" s="19"/>
      <c r="F856" s="55"/>
      <c r="G856" s="55"/>
      <c r="H856" s="12"/>
    </row>
    <row r="857" ht="14.25" customHeight="1">
      <c r="C857" s="19"/>
      <c r="F857" s="55"/>
      <c r="G857" s="55"/>
      <c r="H857" s="12"/>
    </row>
    <row r="858" ht="14.25" customHeight="1">
      <c r="C858" s="19"/>
      <c r="F858" s="55"/>
      <c r="G858" s="55"/>
      <c r="H858" s="12"/>
    </row>
    <row r="859" ht="14.25" customHeight="1">
      <c r="C859" s="19"/>
      <c r="F859" s="55"/>
      <c r="G859" s="55"/>
      <c r="H859" s="12"/>
    </row>
    <row r="860" ht="14.25" customHeight="1">
      <c r="C860" s="19"/>
      <c r="F860" s="55"/>
      <c r="G860" s="55"/>
      <c r="H860" s="12"/>
    </row>
    <row r="861" ht="14.25" customHeight="1">
      <c r="C861" s="19"/>
      <c r="F861" s="55"/>
      <c r="G861" s="55"/>
      <c r="H861" s="12"/>
    </row>
    <row r="862" ht="14.25" customHeight="1">
      <c r="C862" s="19"/>
      <c r="F862" s="55"/>
      <c r="G862" s="55"/>
      <c r="H862" s="12"/>
    </row>
    <row r="863" ht="14.25" customHeight="1">
      <c r="C863" s="19"/>
      <c r="F863" s="55"/>
      <c r="G863" s="55"/>
      <c r="H863" s="12"/>
    </row>
    <row r="864" ht="14.25" customHeight="1">
      <c r="C864" s="19"/>
      <c r="F864" s="55"/>
      <c r="G864" s="55"/>
      <c r="H864" s="12"/>
    </row>
    <row r="865" ht="14.25" customHeight="1">
      <c r="C865" s="19"/>
      <c r="F865" s="55"/>
      <c r="G865" s="55"/>
      <c r="H865" s="12"/>
    </row>
    <row r="866" ht="14.25" customHeight="1">
      <c r="C866" s="19"/>
      <c r="F866" s="55"/>
      <c r="G866" s="55"/>
      <c r="H866" s="12"/>
    </row>
    <row r="867" ht="14.25" customHeight="1">
      <c r="C867" s="19"/>
      <c r="F867" s="55"/>
      <c r="G867" s="55"/>
      <c r="H867" s="12"/>
    </row>
    <row r="868" ht="14.25" customHeight="1">
      <c r="C868" s="19"/>
      <c r="F868" s="55"/>
      <c r="G868" s="55"/>
      <c r="H868" s="12"/>
    </row>
    <row r="869" ht="14.25" customHeight="1">
      <c r="C869" s="19"/>
      <c r="F869" s="55"/>
      <c r="G869" s="55"/>
      <c r="H869" s="12"/>
    </row>
    <row r="870" ht="14.25" customHeight="1">
      <c r="C870" s="19"/>
      <c r="F870" s="55"/>
      <c r="G870" s="55"/>
      <c r="H870" s="12"/>
    </row>
    <row r="871" ht="14.25" customHeight="1">
      <c r="C871" s="19"/>
      <c r="F871" s="55"/>
      <c r="G871" s="55"/>
      <c r="H871" s="12"/>
    </row>
    <row r="872" ht="14.25" customHeight="1">
      <c r="C872" s="19"/>
      <c r="F872" s="55"/>
      <c r="G872" s="55"/>
      <c r="H872" s="12"/>
    </row>
    <row r="873" ht="14.25" customHeight="1">
      <c r="C873" s="19"/>
      <c r="F873" s="55"/>
      <c r="G873" s="55"/>
      <c r="H873" s="12"/>
    </row>
    <row r="874" ht="14.25" customHeight="1">
      <c r="C874" s="19"/>
      <c r="F874" s="55"/>
      <c r="G874" s="55"/>
      <c r="H874" s="12"/>
    </row>
    <row r="875" ht="14.25" customHeight="1">
      <c r="C875" s="19"/>
      <c r="F875" s="55"/>
      <c r="G875" s="55"/>
      <c r="H875" s="12"/>
    </row>
    <row r="876" ht="14.25" customHeight="1">
      <c r="C876" s="19"/>
      <c r="F876" s="55"/>
      <c r="G876" s="55"/>
      <c r="H876" s="12"/>
    </row>
    <row r="877" ht="14.25" customHeight="1">
      <c r="C877" s="19"/>
      <c r="F877" s="55"/>
      <c r="G877" s="55"/>
      <c r="H877" s="12"/>
    </row>
    <row r="878" ht="14.25" customHeight="1">
      <c r="C878" s="19"/>
      <c r="F878" s="55"/>
      <c r="G878" s="55"/>
      <c r="H878" s="12"/>
    </row>
    <row r="879" ht="14.25" customHeight="1">
      <c r="C879" s="19"/>
      <c r="F879" s="55"/>
      <c r="G879" s="55"/>
      <c r="H879" s="12"/>
    </row>
    <row r="880" ht="14.25" customHeight="1">
      <c r="C880" s="19"/>
      <c r="F880" s="55"/>
      <c r="G880" s="55"/>
      <c r="H880" s="12"/>
    </row>
    <row r="881" ht="14.25" customHeight="1">
      <c r="C881" s="19"/>
      <c r="F881" s="55"/>
      <c r="G881" s="55"/>
      <c r="H881" s="12"/>
    </row>
    <row r="882" ht="14.25" customHeight="1">
      <c r="C882" s="19"/>
      <c r="F882" s="55"/>
      <c r="G882" s="55"/>
      <c r="H882" s="12"/>
    </row>
    <row r="883" ht="14.25" customHeight="1">
      <c r="C883" s="19"/>
      <c r="F883" s="55"/>
      <c r="G883" s="55"/>
      <c r="H883" s="12"/>
    </row>
    <row r="884" ht="14.25" customHeight="1">
      <c r="C884" s="19"/>
      <c r="F884" s="55"/>
      <c r="G884" s="55"/>
      <c r="H884" s="12"/>
    </row>
    <row r="885" ht="14.25" customHeight="1">
      <c r="C885" s="19"/>
      <c r="F885" s="55"/>
      <c r="G885" s="55"/>
      <c r="H885" s="12"/>
    </row>
    <row r="886" ht="14.25" customHeight="1">
      <c r="C886" s="19"/>
      <c r="F886" s="55"/>
      <c r="G886" s="55"/>
      <c r="H886" s="12"/>
    </row>
    <row r="887" ht="14.25" customHeight="1">
      <c r="C887" s="19"/>
      <c r="F887" s="55"/>
      <c r="G887" s="55"/>
      <c r="H887" s="12"/>
    </row>
    <row r="888" ht="14.25" customHeight="1">
      <c r="C888" s="19"/>
      <c r="F888" s="55"/>
      <c r="G888" s="55"/>
      <c r="H888" s="12"/>
    </row>
    <row r="889" ht="14.25" customHeight="1">
      <c r="C889" s="19"/>
      <c r="F889" s="55"/>
      <c r="G889" s="55"/>
      <c r="H889" s="12"/>
    </row>
    <row r="890" ht="14.25" customHeight="1">
      <c r="C890" s="19"/>
      <c r="F890" s="55"/>
      <c r="G890" s="55"/>
      <c r="H890" s="12"/>
    </row>
    <row r="891" ht="14.25" customHeight="1">
      <c r="C891" s="19"/>
      <c r="F891" s="55"/>
      <c r="G891" s="55"/>
      <c r="H891" s="12"/>
    </row>
    <row r="892" ht="14.25" customHeight="1">
      <c r="C892" s="19"/>
      <c r="F892" s="55"/>
      <c r="G892" s="55"/>
      <c r="H892" s="12"/>
    </row>
    <row r="893" ht="14.25" customHeight="1">
      <c r="C893" s="19"/>
      <c r="F893" s="55"/>
      <c r="G893" s="55"/>
      <c r="H893" s="12"/>
    </row>
    <row r="894" ht="14.25" customHeight="1">
      <c r="C894" s="19"/>
      <c r="F894" s="55"/>
      <c r="G894" s="55"/>
      <c r="H894" s="12"/>
    </row>
    <row r="895" ht="14.25" customHeight="1">
      <c r="C895" s="19"/>
      <c r="F895" s="55"/>
      <c r="G895" s="55"/>
      <c r="H895" s="12"/>
    </row>
    <row r="896" ht="14.25" customHeight="1">
      <c r="C896" s="19"/>
      <c r="F896" s="55"/>
      <c r="G896" s="55"/>
      <c r="H896" s="12"/>
    </row>
    <row r="897" ht="14.25" customHeight="1">
      <c r="C897" s="19"/>
      <c r="F897" s="55"/>
      <c r="G897" s="55"/>
      <c r="H897" s="12"/>
    </row>
    <row r="898" ht="14.25" customHeight="1">
      <c r="C898" s="19"/>
      <c r="F898" s="55"/>
      <c r="G898" s="55"/>
      <c r="H898" s="12"/>
    </row>
    <row r="899" ht="14.25" customHeight="1">
      <c r="C899" s="19"/>
      <c r="F899" s="55"/>
      <c r="G899" s="55"/>
      <c r="H899" s="12"/>
    </row>
    <row r="900" ht="14.25" customHeight="1">
      <c r="C900" s="19"/>
      <c r="F900" s="55"/>
      <c r="G900" s="55"/>
      <c r="H900" s="12"/>
    </row>
    <row r="901" ht="14.25" customHeight="1">
      <c r="C901" s="19"/>
      <c r="F901" s="55"/>
      <c r="G901" s="55"/>
      <c r="H901" s="12"/>
    </row>
    <row r="902" ht="14.25" customHeight="1">
      <c r="C902" s="19"/>
      <c r="F902" s="55"/>
      <c r="G902" s="55"/>
      <c r="H902" s="12"/>
    </row>
    <row r="903" ht="14.25" customHeight="1">
      <c r="C903" s="19"/>
      <c r="F903" s="55"/>
      <c r="G903" s="55"/>
      <c r="H903" s="12"/>
    </row>
    <row r="904" ht="14.25" customHeight="1">
      <c r="C904" s="19"/>
      <c r="F904" s="55"/>
      <c r="G904" s="55"/>
      <c r="H904" s="12"/>
    </row>
    <row r="905" ht="14.25" customHeight="1">
      <c r="C905" s="19"/>
      <c r="F905" s="55"/>
      <c r="G905" s="55"/>
      <c r="H905" s="12"/>
    </row>
    <row r="906" ht="14.25" customHeight="1">
      <c r="C906" s="19"/>
      <c r="F906" s="55"/>
      <c r="G906" s="55"/>
      <c r="H906" s="12"/>
    </row>
    <row r="907" ht="14.25" customHeight="1">
      <c r="C907" s="19"/>
      <c r="F907" s="55"/>
      <c r="G907" s="55"/>
      <c r="H907" s="12"/>
    </row>
    <row r="908" ht="14.25" customHeight="1">
      <c r="C908" s="19"/>
      <c r="F908" s="55"/>
      <c r="G908" s="55"/>
      <c r="H908" s="12"/>
    </row>
    <row r="909" ht="14.25" customHeight="1">
      <c r="C909" s="19"/>
      <c r="F909" s="55"/>
      <c r="G909" s="55"/>
      <c r="H909" s="12"/>
    </row>
    <row r="910" ht="14.25" customHeight="1">
      <c r="C910" s="19"/>
      <c r="F910" s="55"/>
      <c r="G910" s="55"/>
      <c r="H910" s="12"/>
    </row>
    <row r="911" ht="14.25" customHeight="1">
      <c r="C911" s="19"/>
      <c r="F911" s="55"/>
      <c r="G911" s="55"/>
      <c r="H911" s="12"/>
    </row>
    <row r="912" ht="14.25" customHeight="1">
      <c r="C912" s="19"/>
      <c r="F912" s="55"/>
      <c r="G912" s="55"/>
      <c r="H912" s="12"/>
    </row>
    <row r="913" ht="14.25" customHeight="1">
      <c r="C913" s="19"/>
      <c r="F913" s="55"/>
      <c r="G913" s="55"/>
      <c r="H913" s="12"/>
    </row>
    <row r="914" ht="14.25" customHeight="1">
      <c r="C914" s="19"/>
      <c r="F914" s="55"/>
      <c r="G914" s="55"/>
      <c r="H914" s="12"/>
    </row>
    <row r="915" ht="14.25" customHeight="1">
      <c r="C915" s="19"/>
      <c r="F915" s="55"/>
      <c r="G915" s="55"/>
      <c r="H915" s="12"/>
    </row>
    <row r="916" ht="14.25" customHeight="1">
      <c r="C916" s="19"/>
      <c r="F916" s="55"/>
      <c r="G916" s="55"/>
      <c r="H916" s="12"/>
    </row>
    <row r="917" ht="14.25" customHeight="1">
      <c r="C917" s="19"/>
      <c r="F917" s="55"/>
      <c r="G917" s="55"/>
      <c r="H917" s="12"/>
    </row>
    <row r="918" ht="14.25" customHeight="1">
      <c r="C918" s="19"/>
      <c r="F918" s="55"/>
      <c r="G918" s="55"/>
      <c r="H918" s="12"/>
    </row>
    <row r="919" ht="14.25" customHeight="1">
      <c r="C919" s="19"/>
      <c r="F919" s="55"/>
      <c r="G919" s="55"/>
      <c r="H919" s="12"/>
    </row>
    <row r="920" ht="14.25" customHeight="1">
      <c r="C920" s="19"/>
      <c r="F920" s="55"/>
      <c r="G920" s="55"/>
      <c r="H920" s="12"/>
    </row>
    <row r="921" ht="14.25" customHeight="1">
      <c r="C921" s="19"/>
      <c r="F921" s="55"/>
      <c r="G921" s="55"/>
      <c r="H921" s="12"/>
    </row>
    <row r="922" ht="14.25" customHeight="1">
      <c r="C922" s="19"/>
      <c r="F922" s="55"/>
      <c r="G922" s="55"/>
      <c r="H922" s="12"/>
    </row>
    <row r="923" ht="14.25" customHeight="1">
      <c r="C923" s="19"/>
      <c r="F923" s="55"/>
      <c r="G923" s="55"/>
      <c r="H923" s="12"/>
    </row>
    <row r="924" ht="14.25" customHeight="1">
      <c r="C924" s="19"/>
      <c r="F924" s="55"/>
      <c r="G924" s="55"/>
      <c r="H924" s="12"/>
    </row>
    <row r="925" ht="14.25" customHeight="1">
      <c r="C925" s="19"/>
      <c r="F925" s="55"/>
      <c r="G925" s="55"/>
      <c r="H925" s="12"/>
    </row>
    <row r="926" ht="14.25" customHeight="1">
      <c r="C926" s="19"/>
      <c r="F926" s="55"/>
      <c r="G926" s="55"/>
      <c r="H926" s="12"/>
    </row>
    <row r="927" ht="14.25" customHeight="1">
      <c r="C927" s="19"/>
      <c r="F927" s="55"/>
      <c r="G927" s="55"/>
      <c r="H927" s="12"/>
    </row>
    <row r="928" ht="14.25" customHeight="1">
      <c r="C928" s="19"/>
      <c r="F928" s="55"/>
      <c r="G928" s="55"/>
      <c r="H928" s="12"/>
    </row>
    <row r="929" ht="14.25" customHeight="1">
      <c r="C929" s="19"/>
      <c r="F929" s="55"/>
      <c r="G929" s="55"/>
      <c r="H929" s="12"/>
    </row>
    <row r="930" ht="14.25" customHeight="1">
      <c r="C930" s="19"/>
      <c r="F930" s="55"/>
      <c r="G930" s="55"/>
      <c r="H930" s="12"/>
    </row>
    <row r="931" ht="14.25" customHeight="1">
      <c r="C931" s="19"/>
      <c r="F931" s="55"/>
      <c r="G931" s="55"/>
      <c r="H931" s="12"/>
    </row>
    <row r="932" ht="14.25" customHeight="1">
      <c r="C932" s="19"/>
      <c r="F932" s="55"/>
      <c r="G932" s="55"/>
      <c r="H932" s="12"/>
    </row>
    <row r="933" ht="14.25" customHeight="1">
      <c r="C933" s="19"/>
      <c r="F933" s="55"/>
      <c r="G933" s="55"/>
      <c r="H933" s="12"/>
    </row>
    <row r="934" ht="14.25" customHeight="1">
      <c r="C934" s="19"/>
      <c r="F934" s="55"/>
      <c r="G934" s="55"/>
      <c r="H934" s="12"/>
    </row>
    <row r="935" ht="14.25" customHeight="1">
      <c r="C935" s="19"/>
      <c r="F935" s="55"/>
      <c r="G935" s="55"/>
      <c r="H935" s="12"/>
    </row>
    <row r="936" ht="14.25" customHeight="1">
      <c r="C936" s="19"/>
      <c r="F936" s="55"/>
      <c r="G936" s="55"/>
      <c r="H936" s="12"/>
    </row>
    <row r="937" ht="14.25" customHeight="1">
      <c r="C937" s="19"/>
      <c r="F937" s="55"/>
      <c r="G937" s="55"/>
      <c r="H937" s="12"/>
    </row>
    <row r="938" ht="14.25" customHeight="1">
      <c r="C938" s="19"/>
      <c r="F938" s="55"/>
      <c r="G938" s="55"/>
      <c r="H938" s="12"/>
    </row>
    <row r="939" ht="14.25" customHeight="1">
      <c r="C939" s="19"/>
      <c r="F939" s="55"/>
      <c r="G939" s="55"/>
      <c r="H939" s="12"/>
    </row>
    <row r="940" ht="14.25" customHeight="1">
      <c r="C940" s="19"/>
      <c r="F940" s="55"/>
      <c r="G940" s="55"/>
      <c r="H940" s="12"/>
    </row>
    <row r="941" ht="14.25" customHeight="1">
      <c r="C941" s="19"/>
      <c r="F941" s="55"/>
      <c r="G941" s="55"/>
      <c r="H941" s="12"/>
    </row>
    <row r="942" ht="14.25" customHeight="1">
      <c r="C942" s="19"/>
      <c r="F942" s="55"/>
      <c r="G942" s="55"/>
      <c r="H942" s="12"/>
    </row>
    <row r="943" ht="14.25" customHeight="1">
      <c r="C943" s="19"/>
      <c r="F943" s="55"/>
      <c r="G943" s="55"/>
      <c r="H943" s="12"/>
    </row>
    <row r="944" ht="14.25" customHeight="1">
      <c r="C944" s="19"/>
      <c r="F944" s="55"/>
      <c r="G944" s="55"/>
      <c r="H944" s="12"/>
    </row>
    <row r="945" ht="14.25" customHeight="1">
      <c r="C945" s="19"/>
      <c r="F945" s="55"/>
      <c r="G945" s="55"/>
      <c r="H945" s="12"/>
    </row>
    <row r="946" ht="14.25" customHeight="1">
      <c r="C946" s="19"/>
      <c r="F946" s="55"/>
      <c r="G946" s="55"/>
      <c r="H946" s="12"/>
    </row>
    <row r="947" ht="14.25" customHeight="1">
      <c r="C947" s="19"/>
      <c r="F947" s="55"/>
      <c r="G947" s="55"/>
      <c r="H947" s="12"/>
    </row>
    <row r="948" ht="14.25" customHeight="1">
      <c r="C948" s="19"/>
      <c r="F948" s="55"/>
      <c r="G948" s="55"/>
      <c r="H948" s="12"/>
    </row>
    <row r="949" ht="14.25" customHeight="1">
      <c r="C949" s="19"/>
      <c r="F949" s="55"/>
      <c r="G949" s="55"/>
      <c r="H949" s="12"/>
    </row>
    <row r="950" ht="14.25" customHeight="1">
      <c r="C950" s="19"/>
      <c r="F950" s="55"/>
      <c r="G950" s="55"/>
      <c r="H950" s="12"/>
    </row>
    <row r="951" ht="14.25" customHeight="1">
      <c r="C951" s="19"/>
      <c r="F951" s="55"/>
      <c r="G951" s="55"/>
      <c r="H951" s="12"/>
    </row>
    <row r="952" ht="14.25" customHeight="1">
      <c r="C952" s="19"/>
      <c r="F952" s="55"/>
      <c r="G952" s="55"/>
      <c r="H952" s="12"/>
    </row>
    <row r="953" ht="14.25" customHeight="1">
      <c r="C953" s="19"/>
      <c r="F953" s="55"/>
      <c r="G953" s="55"/>
      <c r="H953" s="12"/>
    </row>
    <row r="954" ht="14.25" customHeight="1">
      <c r="C954" s="19"/>
      <c r="F954" s="55"/>
      <c r="G954" s="55"/>
      <c r="H954" s="12"/>
    </row>
    <row r="955" ht="14.25" customHeight="1">
      <c r="C955" s="19"/>
      <c r="F955" s="55"/>
      <c r="G955" s="55"/>
      <c r="H955" s="12"/>
    </row>
    <row r="956" ht="14.25" customHeight="1">
      <c r="C956" s="19"/>
      <c r="F956" s="55"/>
      <c r="G956" s="55"/>
      <c r="H956" s="12"/>
    </row>
    <row r="957" ht="14.25" customHeight="1">
      <c r="C957" s="19"/>
      <c r="F957" s="55"/>
      <c r="G957" s="55"/>
      <c r="H957" s="12"/>
    </row>
    <row r="958" ht="14.25" customHeight="1">
      <c r="C958" s="19"/>
      <c r="F958" s="55"/>
      <c r="G958" s="55"/>
      <c r="H958" s="12"/>
    </row>
    <row r="959" ht="14.25" customHeight="1">
      <c r="C959" s="19"/>
      <c r="F959" s="55"/>
      <c r="G959" s="55"/>
      <c r="H959" s="12"/>
    </row>
    <row r="960" ht="14.25" customHeight="1">
      <c r="C960" s="19"/>
      <c r="F960" s="55"/>
      <c r="G960" s="55"/>
      <c r="H960" s="12"/>
    </row>
    <row r="961" ht="14.25" customHeight="1">
      <c r="C961" s="19"/>
      <c r="F961" s="55"/>
      <c r="G961" s="55"/>
      <c r="H961" s="12"/>
    </row>
    <row r="962" ht="14.25" customHeight="1">
      <c r="C962" s="19"/>
      <c r="F962" s="55"/>
      <c r="G962" s="55"/>
      <c r="H962" s="12"/>
    </row>
    <row r="963" ht="14.25" customHeight="1">
      <c r="C963" s="19"/>
      <c r="F963" s="55"/>
      <c r="G963" s="55"/>
      <c r="H963" s="12"/>
    </row>
    <row r="964" ht="14.25" customHeight="1">
      <c r="C964" s="19"/>
      <c r="F964" s="55"/>
      <c r="G964" s="55"/>
      <c r="H964" s="12"/>
    </row>
    <row r="965" ht="14.25" customHeight="1">
      <c r="C965" s="19"/>
      <c r="F965" s="55"/>
      <c r="G965" s="55"/>
      <c r="H965" s="12"/>
    </row>
    <row r="966" ht="14.25" customHeight="1">
      <c r="C966" s="19"/>
      <c r="F966" s="55"/>
      <c r="G966" s="55"/>
      <c r="H966" s="12"/>
    </row>
    <row r="967" ht="14.25" customHeight="1">
      <c r="C967" s="19"/>
      <c r="F967" s="55"/>
      <c r="G967" s="55"/>
      <c r="H967" s="12"/>
    </row>
    <row r="968" ht="14.25" customHeight="1">
      <c r="C968" s="19"/>
      <c r="F968" s="55"/>
      <c r="G968" s="55"/>
      <c r="H968" s="12"/>
    </row>
    <row r="969" ht="14.25" customHeight="1">
      <c r="C969" s="19"/>
      <c r="F969" s="55"/>
      <c r="G969" s="55"/>
      <c r="H969" s="12"/>
    </row>
    <row r="970" ht="14.25" customHeight="1">
      <c r="C970" s="19"/>
      <c r="F970" s="55"/>
      <c r="G970" s="55"/>
      <c r="H970" s="12"/>
    </row>
    <row r="971" ht="14.25" customHeight="1">
      <c r="C971" s="19"/>
      <c r="F971" s="55"/>
      <c r="G971" s="55"/>
      <c r="H971" s="12"/>
    </row>
    <row r="972" ht="14.25" customHeight="1">
      <c r="C972" s="19"/>
      <c r="F972" s="55"/>
      <c r="G972" s="55"/>
      <c r="H972" s="12"/>
    </row>
    <row r="973" ht="14.25" customHeight="1">
      <c r="C973" s="19"/>
      <c r="F973" s="55"/>
      <c r="G973" s="55"/>
      <c r="H973" s="12"/>
    </row>
    <row r="974" ht="14.25" customHeight="1">
      <c r="C974" s="19"/>
      <c r="F974" s="55"/>
      <c r="G974" s="55"/>
      <c r="H974" s="12"/>
    </row>
    <row r="975" ht="14.25" customHeight="1">
      <c r="C975" s="19"/>
      <c r="F975" s="55"/>
      <c r="G975" s="55"/>
      <c r="H975" s="12"/>
    </row>
    <row r="976" ht="14.25" customHeight="1">
      <c r="C976" s="19"/>
      <c r="F976" s="55"/>
      <c r="G976" s="55"/>
      <c r="H976" s="12"/>
    </row>
    <row r="977" ht="14.25" customHeight="1">
      <c r="C977" s="19"/>
      <c r="F977" s="55"/>
      <c r="G977" s="55"/>
      <c r="H977" s="12"/>
    </row>
    <row r="978" ht="14.25" customHeight="1">
      <c r="C978" s="19"/>
      <c r="F978" s="55"/>
      <c r="G978" s="55"/>
      <c r="H978" s="12"/>
    </row>
    <row r="979" ht="14.25" customHeight="1">
      <c r="C979" s="19"/>
      <c r="F979" s="55"/>
      <c r="G979" s="55"/>
      <c r="H979" s="12"/>
    </row>
    <row r="980" ht="14.25" customHeight="1">
      <c r="C980" s="19"/>
      <c r="F980" s="55"/>
      <c r="G980" s="55"/>
      <c r="H980" s="12"/>
    </row>
    <row r="981" ht="14.25" customHeight="1">
      <c r="C981" s="19"/>
      <c r="F981" s="55"/>
      <c r="G981" s="55"/>
      <c r="H981" s="12"/>
    </row>
    <row r="982" ht="14.25" customHeight="1">
      <c r="C982" s="19"/>
      <c r="F982" s="55"/>
      <c r="G982" s="55"/>
      <c r="H982" s="12"/>
    </row>
    <row r="983" ht="14.25" customHeight="1">
      <c r="C983" s="19"/>
      <c r="F983" s="55"/>
      <c r="G983" s="55"/>
      <c r="H983" s="12"/>
    </row>
    <row r="984" ht="14.25" customHeight="1">
      <c r="C984" s="19"/>
      <c r="F984" s="55"/>
      <c r="G984" s="55"/>
      <c r="H984" s="12"/>
    </row>
    <row r="985" ht="14.25" customHeight="1">
      <c r="C985" s="19"/>
      <c r="F985" s="55"/>
      <c r="G985" s="55"/>
      <c r="H985" s="12"/>
    </row>
    <row r="986" ht="14.25" customHeight="1">
      <c r="C986" s="19"/>
      <c r="F986" s="55"/>
      <c r="G986" s="55"/>
      <c r="H986" s="12"/>
    </row>
    <row r="987" ht="14.25" customHeight="1">
      <c r="C987" s="19"/>
      <c r="F987" s="55"/>
      <c r="G987" s="55"/>
      <c r="H987" s="12"/>
    </row>
    <row r="988" ht="14.25" customHeight="1">
      <c r="C988" s="19"/>
      <c r="F988" s="55"/>
      <c r="G988" s="55"/>
      <c r="H988" s="12"/>
    </row>
    <row r="989" ht="14.25" customHeight="1">
      <c r="C989" s="19"/>
      <c r="F989" s="55"/>
      <c r="G989" s="55"/>
      <c r="H989" s="12"/>
    </row>
    <row r="990" ht="14.25" customHeight="1">
      <c r="C990" s="19"/>
      <c r="F990" s="55"/>
      <c r="G990" s="55"/>
      <c r="H990" s="12"/>
    </row>
    <row r="991" ht="14.25" customHeight="1">
      <c r="C991" s="19"/>
      <c r="F991" s="55"/>
      <c r="G991" s="55"/>
      <c r="H991" s="12"/>
    </row>
    <row r="992" ht="14.25" customHeight="1">
      <c r="C992" s="19"/>
      <c r="F992" s="55"/>
      <c r="G992" s="55"/>
      <c r="H992" s="12"/>
    </row>
    <row r="993" ht="14.25" customHeight="1">
      <c r="C993" s="19"/>
      <c r="F993" s="55"/>
      <c r="G993" s="55"/>
      <c r="H993" s="12"/>
    </row>
    <row r="994" ht="14.25" customHeight="1">
      <c r="C994" s="19"/>
      <c r="F994" s="55"/>
      <c r="G994" s="55"/>
      <c r="H994" s="12"/>
    </row>
    <row r="995" ht="14.25" customHeight="1">
      <c r="C995" s="19"/>
      <c r="F995" s="55"/>
      <c r="G995" s="55"/>
      <c r="H995" s="12"/>
    </row>
    <row r="996" ht="14.25" customHeight="1">
      <c r="C996" s="19"/>
      <c r="F996" s="55"/>
      <c r="G996" s="55"/>
      <c r="H996" s="12"/>
    </row>
    <row r="997" ht="14.25" customHeight="1">
      <c r="C997" s="19"/>
      <c r="F997" s="55"/>
      <c r="G997" s="55"/>
      <c r="H997" s="12"/>
    </row>
    <row r="998" ht="14.25" customHeight="1">
      <c r="C998" s="19"/>
      <c r="F998" s="55"/>
      <c r="G998" s="55"/>
      <c r="H998" s="12"/>
    </row>
    <row r="999" ht="14.25" customHeight="1">
      <c r="C999" s="19"/>
      <c r="F999" s="55"/>
      <c r="G999" s="55"/>
      <c r="H999" s="12"/>
    </row>
  </sheetData>
  <mergeCells count="11">
    <mergeCell ref="B5:D5"/>
    <mergeCell ref="B6:D6"/>
    <mergeCell ref="F6:G6"/>
    <mergeCell ref="F40:I40"/>
    <mergeCell ref="A1:F1"/>
    <mergeCell ref="C2:D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8.0"/>
    <col customWidth="1" min="7" max="7" width="22.29"/>
    <col customWidth="1" min="8" max="8" width="12.57"/>
    <col customWidth="1" min="9" max="28" width="8.71"/>
  </cols>
  <sheetData>
    <row r="1" ht="32.25" customHeight="1">
      <c r="A1" s="11" t="s">
        <v>42</v>
      </c>
      <c r="G1" s="55"/>
      <c r="H1" s="12"/>
    </row>
    <row r="2" ht="24.75" customHeight="1">
      <c r="C2" s="54" t="s">
        <v>43</v>
      </c>
      <c r="F2" s="19"/>
      <c r="G2" s="55"/>
      <c r="H2" s="12"/>
    </row>
    <row r="3" ht="14.25" customHeight="1">
      <c r="A3" s="14" t="s">
        <v>44</v>
      </c>
      <c r="B3" s="17" t="s">
        <v>186</v>
      </c>
      <c r="E3" s="14" t="s">
        <v>46</v>
      </c>
      <c r="F3" s="56" t="s">
        <v>187</v>
      </c>
      <c r="H3" s="12"/>
    </row>
    <row r="4" ht="14.25" customHeight="1">
      <c r="A4" s="14" t="s">
        <v>48</v>
      </c>
      <c r="B4" s="56" t="s">
        <v>188</v>
      </c>
      <c r="E4" s="14" t="s">
        <v>105</v>
      </c>
      <c r="F4" s="19"/>
      <c r="H4" s="12"/>
    </row>
    <row r="5" ht="14.25" customHeight="1">
      <c r="A5" s="14" t="s">
        <v>51</v>
      </c>
      <c r="B5" s="17" t="s">
        <v>189</v>
      </c>
      <c r="E5" s="14" t="s">
        <v>53</v>
      </c>
      <c r="F5" s="56" t="s">
        <v>188</v>
      </c>
      <c r="H5" s="12"/>
    </row>
    <row r="6" ht="14.25" customHeight="1">
      <c r="A6" s="14" t="s">
        <v>54</v>
      </c>
      <c r="B6" s="56">
        <v>360164.0</v>
      </c>
      <c r="E6" s="14" t="s">
        <v>55</v>
      </c>
      <c r="F6" s="56" t="s">
        <v>190</v>
      </c>
      <c r="H6" s="12"/>
    </row>
    <row r="7" ht="14.25" customHeight="1">
      <c r="C7" s="19"/>
      <c r="F7" s="19"/>
      <c r="G7" s="55"/>
      <c r="H7" s="12"/>
    </row>
    <row r="8" ht="14.25" customHeight="1">
      <c r="C8" s="19"/>
      <c r="F8" s="19"/>
      <c r="G8" s="55"/>
      <c r="H8" s="12"/>
    </row>
    <row r="9" ht="14.25" customHeight="1">
      <c r="A9" s="20" t="s">
        <v>56</v>
      </c>
      <c r="B9" s="20" t="s">
        <v>107</v>
      </c>
      <c r="C9" s="57" t="s">
        <v>58</v>
      </c>
      <c r="D9" s="20" t="s">
        <v>59</v>
      </c>
      <c r="E9" s="20" t="s">
        <v>60</v>
      </c>
      <c r="F9" s="21" t="s">
        <v>61</v>
      </c>
      <c r="G9" s="58" t="s">
        <v>62</v>
      </c>
      <c r="H9" s="22" t="s">
        <v>63</v>
      </c>
      <c r="I9" s="20" t="s">
        <v>64</v>
      </c>
    </row>
    <row r="10" ht="14.25" customHeight="1">
      <c r="A10" s="98" t="s">
        <v>191</v>
      </c>
      <c r="B10" s="99">
        <v>7.6911205E7</v>
      </c>
      <c r="C10" s="29"/>
      <c r="D10" s="28"/>
      <c r="E10" s="28"/>
      <c r="F10" s="100">
        <v>1.0</v>
      </c>
      <c r="G10" s="100">
        <v>1.0</v>
      </c>
      <c r="H10" s="84">
        <f t="shared" ref="H10:H45" si="1">G10*200</f>
        <v>200</v>
      </c>
      <c r="I10" s="23"/>
    </row>
    <row r="11" ht="14.25" customHeight="1">
      <c r="A11" s="101" t="s">
        <v>192</v>
      </c>
      <c r="B11" s="102">
        <v>7.6956953E7</v>
      </c>
      <c r="C11" s="70"/>
      <c r="D11" s="28"/>
      <c r="E11" s="28"/>
      <c r="F11" s="103">
        <v>1.0</v>
      </c>
      <c r="G11" s="103">
        <v>1.0</v>
      </c>
      <c r="H11" s="84">
        <f t="shared" si="1"/>
        <v>200</v>
      </c>
      <c r="I11" s="23"/>
    </row>
    <row r="12" ht="14.25" customHeight="1">
      <c r="A12" s="101" t="s">
        <v>193</v>
      </c>
      <c r="B12" s="102">
        <v>7.6117856E7</v>
      </c>
      <c r="C12" s="70"/>
      <c r="D12" s="28"/>
      <c r="E12" s="28"/>
      <c r="F12" s="103">
        <v>1.0</v>
      </c>
      <c r="G12" s="103">
        <v>1.0</v>
      </c>
      <c r="H12" s="84">
        <f t="shared" si="1"/>
        <v>200</v>
      </c>
      <c r="I12" s="23"/>
    </row>
    <row r="13" ht="14.25" customHeight="1">
      <c r="A13" s="101" t="s">
        <v>194</v>
      </c>
      <c r="B13" s="102" t="s">
        <v>195</v>
      </c>
      <c r="C13" s="70"/>
      <c r="D13" s="62"/>
      <c r="E13" s="62"/>
      <c r="F13" s="103">
        <v>1.0</v>
      </c>
      <c r="G13" s="103">
        <v>1.0</v>
      </c>
      <c r="H13" s="84">
        <f t="shared" si="1"/>
        <v>200</v>
      </c>
      <c r="I13" s="23"/>
    </row>
    <row r="14" ht="14.25" customHeight="1">
      <c r="A14" s="101" t="s">
        <v>196</v>
      </c>
      <c r="B14" s="32" t="s">
        <v>81</v>
      </c>
      <c r="C14" s="70"/>
      <c r="D14" s="62"/>
      <c r="E14" s="62"/>
      <c r="F14" s="103">
        <v>2.0</v>
      </c>
      <c r="G14" s="103">
        <v>2.0</v>
      </c>
      <c r="H14" s="84">
        <f t="shared" si="1"/>
        <v>400</v>
      </c>
      <c r="I14" s="23"/>
    </row>
    <row r="15" ht="14.25" customHeight="1">
      <c r="A15" s="101" t="s">
        <v>197</v>
      </c>
      <c r="B15" s="102">
        <v>7.8300499E7</v>
      </c>
      <c r="C15" s="70"/>
      <c r="D15" s="62"/>
      <c r="E15" s="62"/>
      <c r="F15" s="103">
        <v>1.0</v>
      </c>
      <c r="G15" s="103">
        <v>1.0</v>
      </c>
      <c r="H15" s="84">
        <f t="shared" si="1"/>
        <v>200</v>
      </c>
      <c r="I15" s="23"/>
    </row>
    <row r="16" ht="14.25" customHeight="1">
      <c r="A16" s="101" t="s">
        <v>198</v>
      </c>
      <c r="B16" s="102">
        <v>7.6816728E7</v>
      </c>
      <c r="C16" s="70"/>
      <c r="D16" s="62"/>
      <c r="E16" s="62"/>
      <c r="F16" s="103">
        <v>1.0</v>
      </c>
      <c r="G16" s="103">
        <v>1.0</v>
      </c>
      <c r="H16" s="84">
        <f t="shared" si="1"/>
        <v>200</v>
      </c>
      <c r="I16" s="23"/>
    </row>
    <row r="17" ht="14.25" customHeight="1">
      <c r="A17" s="101" t="s">
        <v>199</v>
      </c>
      <c r="B17" s="32" t="s">
        <v>81</v>
      </c>
      <c r="C17" s="70"/>
      <c r="D17" s="62"/>
      <c r="E17" s="62"/>
      <c r="F17" s="103">
        <v>1.0</v>
      </c>
      <c r="G17" s="103">
        <v>1.0</v>
      </c>
      <c r="H17" s="84">
        <f t="shared" si="1"/>
        <v>200</v>
      </c>
      <c r="I17" s="23"/>
    </row>
    <row r="18" ht="14.25" customHeight="1">
      <c r="A18" s="101" t="s">
        <v>200</v>
      </c>
      <c r="B18" s="32" t="s">
        <v>81</v>
      </c>
      <c r="C18" s="70"/>
      <c r="D18" s="62"/>
      <c r="E18" s="62"/>
      <c r="F18" s="103">
        <v>1.0</v>
      </c>
      <c r="G18" s="103">
        <v>1.0</v>
      </c>
      <c r="H18" s="84">
        <f t="shared" si="1"/>
        <v>200</v>
      </c>
      <c r="I18" s="23"/>
    </row>
    <row r="19" ht="14.25" customHeight="1">
      <c r="A19" s="101" t="s">
        <v>201</v>
      </c>
      <c r="B19" s="102">
        <v>7.6932227E7</v>
      </c>
      <c r="C19" s="70"/>
      <c r="D19" s="62"/>
      <c r="E19" s="62"/>
      <c r="F19" s="103">
        <v>1.0</v>
      </c>
      <c r="G19" s="103">
        <v>1.0</v>
      </c>
      <c r="H19" s="84">
        <f t="shared" si="1"/>
        <v>200</v>
      </c>
      <c r="I19" s="23"/>
    </row>
    <row r="20" ht="14.25" customHeight="1">
      <c r="A20" s="101" t="s">
        <v>202</v>
      </c>
      <c r="B20" s="102">
        <v>7.6596026E7</v>
      </c>
      <c r="C20" s="70"/>
      <c r="D20" s="62"/>
      <c r="E20" s="62"/>
      <c r="F20" s="103">
        <v>1.0</v>
      </c>
      <c r="G20" s="103">
        <v>1.0</v>
      </c>
      <c r="H20" s="84">
        <f t="shared" si="1"/>
        <v>200</v>
      </c>
      <c r="I20" s="23"/>
    </row>
    <row r="21" ht="14.25" customHeight="1">
      <c r="A21" s="101" t="s">
        <v>203</v>
      </c>
      <c r="B21" s="32" t="s">
        <v>81</v>
      </c>
      <c r="C21" s="70"/>
      <c r="D21" s="62"/>
      <c r="E21" s="62"/>
      <c r="F21" s="103">
        <v>1.0</v>
      </c>
      <c r="G21" s="103">
        <v>1.0</v>
      </c>
      <c r="H21" s="84">
        <f t="shared" si="1"/>
        <v>200</v>
      </c>
      <c r="I21" s="23"/>
    </row>
    <row r="22" ht="14.25" customHeight="1">
      <c r="A22" s="101" t="s">
        <v>204</v>
      </c>
      <c r="B22" s="32" t="s">
        <v>81</v>
      </c>
      <c r="C22" s="70"/>
      <c r="D22" s="62"/>
      <c r="E22" s="62"/>
      <c r="F22" s="103">
        <v>1.0</v>
      </c>
      <c r="G22" s="103">
        <v>1.0</v>
      </c>
      <c r="H22" s="84">
        <f t="shared" si="1"/>
        <v>200</v>
      </c>
      <c r="I22" s="23"/>
    </row>
    <row r="23" ht="14.25" customHeight="1">
      <c r="A23" s="101" t="s">
        <v>205</v>
      </c>
      <c r="B23" s="32" t="s">
        <v>81</v>
      </c>
      <c r="C23" s="90"/>
      <c r="D23" s="62"/>
      <c r="E23" s="62"/>
      <c r="F23" s="103">
        <v>1.0</v>
      </c>
      <c r="G23" s="103">
        <v>1.0</v>
      </c>
      <c r="H23" s="84">
        <f t="shared" si="1"/>
        <v>200</v>
      </c>
      <c r="I23" s="23"/>
    </row>
    <row r="24" ht="14.25" customHeight="1">
      <c r="A24" s="101" t="s">
        <v>206</v>
      </c>
      <c r="B24" s="32" t="s">
        <v>81</v>
      </c>
      <c r="C24" s="90"/>
      <c r="D24" s="62"/>
      <c r="E24" s="62"/>
      <c r="F24" s="103">
        <v>1.0</v>
      </c>
      <c r="G24" s="103">
        <v>1.0</v>
      </c>
      <c r="H24" s="84">
        <f t="shared" si="1"/>
        <v>200</v>
      </c>
      <c r="I24" s="23"/>
    </row>
    <row r="25" ht="14.25" customHeight="1">
      <c r="A25" s="101" t="s">
        <v>207</v>
      </c>
      <c r="B25" s="32" t="s">
        <v>81</v>
      </c>
      <c r="C25" s="90"/>
      <c r="D25" s="62"/>
      <c r="E25" s="62"/>
      <c r="F25" s="103">
        <v>2.0</v>
      </c>
      <c r="G25" s="103">
        <v>2.0</v>
      </c>
      <c r="H25" s="84">
        <f t="shared" si="1"/>
        <v>400</v>
      </c>
      <c r="I25" s="23"/>
    </row>
    <row r="26" ht="14.25" customHeight="1">
      <c r="A26" s="101" t="s">
        <v>208</v>
      </c>
      <c r="B26" s="32" t="s">
        <v>81</v>
      </c>
      <c r="C26" s="90"/>
      <c r="D26" s="62"/>
      <c r="E26" s="62"/>
      <c r="F26" s="103">
        <v>2.0</v>
      </c>
      <c r="G26" s="103">
        <v>2.0</v>
      </c>
      <c r="H26" s="84">
        <f t="shared" si="1"/>
        <v>400</v>
      </c>
      <c r="I26" s="23"/>
    </row>
    <row r="27" ht="14.25" customHeight="1">
      <c r="A27" s="101" t="s">
        <v>209</v>
      </c>
      <c r="B27" s="32" t="s">
        <v>81</v>
      </c>
      <c r="C27" s="90"/>
      <c r="D27" s="62"/>
      <c r="E27" s="62"/>
      <c r="F27" s="103">
        <v>1.0</v>
      </c>
      <c r="G27" s="103">
        <v>1.0</v>
      </c>
      <c r="H27" s="84">
        <f t="shared" si="1"/>
        <v>200</v>
      </c>
      <c r="I27" s="23"/>
    </row>
    <row r="28" ht="14.25" customHeight="1">
      <c r="A28" s="101" t="s">
        <v>210</v>
      </c>
      <c r="B28" s="32" t="s">
        <v>81</v>
      </c>
      <c r="C28" s="104"/>
      <c r="D28" s="62"/>
      <c r="E28" s="62"/>
      <c r="F28" s="103">
        <v>1.0</v>
      </c>
      <c r="G28" s="103">
        <v>1.0</v>
      </c>
      <c r="H28" s="84">
        <f t="shared" si="1"/>
        <v>200</v>
      </c>
      <c r="I28" s="23"/>
    </row>
    <row r="29" ht="14.25" customHeight="1">
      <c r="A29" s="101" t="s">
        <v>211</v>
      </c>
      <c r="B29" s="102">
        <v>7.6962791E7</v>
      </c>
      <c r="C29" s="104"/>
      <c r="D29" s="62"/>
      <c r="E29" s="62"/>
      <c r="F29" s="103">
        <v>1.0</v>
      </c>
      <c r="G29" s="103">
        <v>1.0</v>
      </c>
      <c r="H29" s="84">
        <f t="shared" si="1"/>
        <v>200</v>
      </c>
      <c r="I29" s="23"/>
    </row>
    <row r="30" ht="14.25" customHeight="1">
      <c r="A30" s="101" t="s">
        <v>212</v>
      </c>
      <c r="B30" s="32" t="s">
        <v>81</v>
      </c>
      <c r="C30" s="104"/>
      <c r="D30" s="62"/>
      <c r="E30" s="62"/>
      <c r="F30" s="103">
        <v>1.0</v>
      </c>
      <c r="G30" s="103">
        <v>1.0</v>
      </c>
      <c r="H30" s="84">
        <f t="shared" si="1"/>
        <v>200</v>
      </c>
      <c r="I30" s="23"/>
    </row>
    <row r="31" ht="14.25" customHeight="1">
      <c r="A31" s="101" t="s">
        <v>213</v>
      </c>
      <c r="B31" s="32" t="s">
        <v>81</v>
      </c>
      <c r="C31" s="104"/>
      <c r="D31" s="62"/>
      <c r="E31" s="62"/>
      <c r="F31" s="103">
        <v>2.0</v>
      </c>
      <c r="G31" s="103">
        <v>2.0</v>
      </c>
      <c r="H31" s="84">
        <f t="shared" si="1"/>
        <v>400</v>
      </c>
      <c r="I31" s="23"/>
    </row>
    <row r="32" ht="14.25" customHeight="1">
      <c r="A32" s="101" t="s">
        <v>214</v>
      </c>
      <c r="B32" s="32" t="s">
        <v>81</v>
      </c>
      <c r="C32" s="72"/>
      <c r="D32" s="23"/>
      <c r="E32" s="23"/>
      <c r="F32" s="103">
        <v>2.0</v>
      </c>
      <c r="G32" s="103">
        <v>2.0</v>
      </c>
      <c r="H32" s="84">
        <f t="shared" si="1"/>
        <v>400</v>
      </c>
      <c r="I32" s="23"/>
    </row>
    <row r="33" ht="14.25" customHeight="1">
      <c r="A33" s="101" t="s">
        <v>215</v>
      </c>
      <c r="B33" s="32" t="s">
        <v>81</v>
      </c>
      <c r="C33" s="72"/>
      <c r="D33" s="23"/>
      <c r="E33" s="23"/>
      <c r="F33" s="103">
        <v>2.0</v>
      </c>
      <c r="G33" s="103">
        <v>2.0</v>
      </c>
      <c r="H33" s="84">
        <f t="shared" si="1"/>
        <v>400</v>
      </c>
      <c r="I33" s="23"/>
    </row>
    <row r="34" ht="14.25" customHeight="1">
      <c r="A34" s="101" t="s">
        <v>216</v>
      </c>
      <c r="B34" s="32" t="s">
        <v>81</v>
      </c>
      <c r="C34" s="72"/>
      <c r="D34" s="23"/>
      <c r="E34" s="23"/>
      <c r="F34" s="103">
        <v>2.0</v>
      </c>
      <c r="G34" s="103">
        <v>2.0</v>
      </c>
      <c r="H34" s="84">
        <f t="shared" si="1"/>
        <v>400</v>
      </c>
      <c r="I34" s="23"/>
    </row>
    <row r="35" ht="14.25" customHeight="1">
      <c r="A35" s="101" t="s">
        <v>217</v>
      </c>
      <c r="B35" s="32" t="s">
        <v>81</v>
      </c>
      <c r="C35" s="72"/>
      <c r="D35" s="23"/>
      <c r="E35" s="23"/>
      <c r="F35" s="103">
        <v>2.0</v>
      </c>
      <c r="G35" s="103">
        <v>2.0</v>
      </c>
      <c r="H35" s="84">
        <f t="shared" si="1"/>
        <v>400</v>
      </c>
      <c r="I35" s="23"/>
    </row>
    <row r="36" ht="14.25" customHeight="1">
      <c r="A36" s="101" t="s">
        <v>218</v>
      </c>
      <c r="B36" s="32" t="s">
        <v>81</v>
      </c>
      <c r="C36" s="72"/>
      <c r="D36" s="23"/>
      <c r="E36" s="23"/>
      <c r="F36" s="103">
        <v>2.0</v>
      </c>
      <c r="G36" s="103">
        <v>2.0</v>
      </c>
      <c r="H36" s="84">
        <f t="shared" si="1"/>
        <v>400</v>
      </c>
      <c r="I36" s="23"/>
    </row>
    <row r="37" ht="14.25" customHeight="1">
      <c r="A37" s="101" t="s">
        <v>219</v>
      </c>
      <c r="B37" s="32" t="s">
        <v>81</v>
      </c>
      <c r="C37" s="72"/>
      <c r="D37" s="23"/>
      <c r="E37" s="23"/>
      <c r="F37" s="103">
        <v>1.0</v>
      </c>
      <c r="G37" s="103">
        <v>1.0</v>
      </c>
      <c r="H37" s="84">
        <f t="shared" si="1"/>
        <v>200</v>
      </c>
      <c r="I37" s="23"/>
    </row>
    <row r="38" ht="14.25" customHeight="1">
      <c r="A38" s="101" t="s">
        <v>220</v>
      </c>
      <c r="B38" s="32" t="s">
        <v>81</v>
      </c>
      <c r="C38" s="72"/>
      <c r="D38" s="23"/>
      <c r="E38" s="23"/>
      <c r="F38" s="103">
        <v>2.0</v>
      </c>
      <c r="G38" s="103">
        <v>2.0</v>
      </c>
      <c r="H38" s="84">
        <f t="shared" si="1"/>
        <v>400</v>
      </c>
      <c r="I38" s="23"/>
    </row>
    <row r="39" ht="14.25" customHeight="1">
      <c r="A39" s="101" t="s">
        <v>221</v>
      </c>
      <c r="B39" s="32" t="s">
        <v>81</v>
      </c>
      <c r="C39" s="72"/>
      <c r="D39" s="23"/>
      <c r="E39" s="23"/>
      <c r="F39" s="103">
        <v>1.0</v>
      </c>
      <c r="G39" s="103">
        <v>1.0</v>
      </c>
      <c r="H39" s="84">
        <f t="shared" si="1"/>
        <v>200</v>
      </c>
      <c r="I39" s="23"/>
    </row>
    <row r="40" ht="14.25" customHeight="1">
      <c r="A40" s="101" t="s">
        <v>222</v>
      </c>
      <c r="B40" s="32" t="s">
        <v>81</v>
      </c>
      <c r="C40" s="72"/>
      <c r="D40" s="23"/>
      <c r="E40" s="23"/>
      <c r="F40" s="103">
        <v>2.0</v>
      </c>
      <c r="G40" s="103">
        <v>2.0</v>
      </c>
      <c r="H40" s="84">
        <f t="shared" si="1"/>
        <v>400</v>
      </c>
      <c r="I40" s="23"/>
    </row>
    <row r="41" ht="14.25" customHeight="1">
      <c r="A41" s="101" t="s">
        <v>223</v>
      </c>
      <c r="B41" s="32" t="s">
        <v>81</v>
      </c>
      <c r="C41" s="72"/>
      <c r="D41" s="23"/>
      <c r="E41" s="23"/>
      <c r="F41" s="103">
        <v>1.0</v>
      </c>
      <c r="G41" s="103">
        <v>1.0</v>
      </c>
      <c r="H41" s="84">
        <f t="shared" si="1"/>
        <v>200</v>
      </c>
      <c r="I41" s="23"/>
    </row>
    <row r="42" ht="14.25" customHeight="1">
      <c r="A42" s="101" t="s">
        <v>224</v>
      </c>
      <c r="B42" s="32" t="s">
        <v>81</v>
      </c>
      <c r="C42" s="72"/>
      <c r="D42" s="23"/>
      <c r="E42" s="23"/>
      <c r="F42" s="103">
        <v>2.0</v>
      </c>
      <c r="G42" s="103">
        <v>2.0</v>
      </c>
      <c r="H42" s="84">
        <f t="shared" si="1"/>
        <v>400</v>
      </c>
      <c r="I42" s="23"/>
    </row>
    <row r="43" ht="14.25" customHeight="1">
      <c r="A43" s="101" t="s">
        <v>225</v>
      </c>
      <c r="B43" s="32" t="s">
        <v>81</v>
      </c>
      <c r="C43" s="72"/>
      <c r="D43" s="23"/>
      <c r="E43" s="23"/>
      <c r="F43" s="103">
        <v>2.0</v>
      </c>
      <c r="G43" s="103">
        <v>2.0</v>
      </c>
      <c r="H43" s="84">
        <f t="shared" si="1"/>
        <v>400</v>
      </c>
      <c r="I43" s="23"/>
    </row>
    <row r="44" ht="14.25" customHeight="1">
      <c r="A44" s="101" t="s">
        <v>226</v>
      </c>
      <c r="B44" s="32" t="s">
        <v>81</v>
      </c>
      <c r="C44" s="72"/>
      <c r="D44" s="23"/>
      <c r="E44" s="23"/>
      <c r="F44" s="103">
        <v>2.0</v>
      </c>
      <c r="G44" s="103">
        <v>2.0</v>
      </c>
      <c r="H44" s="84">
        <f t="shared" si="1"/>
        <v>400</v>
      </c>
      <c r="I44" s="23"/>
    </row>
    <row r="45" ht="14.25" customHeight="1">
      <c r="A45" s="101" t="s">
        <v>227</v>
      </c>
      <c r="B45" s="32" t="s">
        <v>81</v>
      </c>
      <c r="C45" s="72"/>
      <c r="D45" s="23"/>
      <c r="E45" s="23"/>
      <c r="F45" s="103">
        <v>1.0</v>
      </c>
      <c r="G45" s="103">
        <v>1.0</v>
      </c>
      <c r="H45" s="84">
        <f t="shared" si="1"/>
        <v>200</v>
      </c>
      <c r="I45" s="23"/>
    </row>
    <row r="46" ht="19.5" customHeight="1">
      <c r="A46" s="73"/>
      <c r="B46" s="73"/>
      <c r="C46" s="75"/>
      <c r="D46" s="73"/>
      <c r="E46" s="38" t="s">
        <v>99</v>
      </c>
      <c r="F46" s="39">
        <f>sum(F10:F45)</f>
        <v>50</v>
      </c>
      <c r="G46" s="40">
        <f t="shared" ref="G46:H46" si="2">SUM(G10:G45)</f>
        <v>50</v>
      </c>
      <c r="H46" s="41">
        <f t="shared" si="2"/>
        <v>10000</v>
      </c>
      <c r="I46" s="94"/>
    </row>
    <row r="47" ht="21.0" customHeight="1">
      <c r="A47" s="43"/>
      <c r="B47" s="43"/>
      <c r="C47" s="95"/>
      <c r="D47" s="43"/>
      <c r="E47" s="96" t="s">
        <v>100</v>
      </c>
      <c r="F47" s="97">
        <f>COUNT(G10:G45)</f>
        <v>36</v>
      </c>
      <c r="G47" s="47"/>
      <c r="H47" s="47"/>
      <c r="I47" s="48"/>
    </row>
    <row r="48" ht="14.25" customHeight="1">
      <c r="C48" s="19"/>
      <c r="F48" s="19"/>
      <c r="G48" s="55"/>
      <c r="H48" s="12"/>
    </row>
    <row r="49" ht="14.25" customHeight="1">
      <c r="C49" s="19"/>
      <c r="D49" s="49" t="s">
        <v>101</v>
      </c>
      <c r="E49" s="50"/>
      <c r="F49" s="19"/>
      <c r="G49" s="55"/>
      <c r="H49" s="12"/>
    </row>
    <row r="50" ht="14.25" customHeight="1">
      <c r="C50" s="19"/>
      <c r="D50" s="51" t="s">
        <v>102</v>
      </c>
      <c r="E50" s="50"/>
      <c r="F50" s="19"/>
      <c r="G50" s="55"/>
      <c r="H50" s="12"/>
    </row>
    <row r="51" ht="14.25" customHeight="1">
      <c r="C51" s="19"/>
      <c r="D51" s="52" t="s">
        <v>58</v>
      </c>
      <c r="E51" s="53"/>
      <c r="F51" s="19"/>
      <c r="G51" s="55"/>
      <c r="H51" s="12"/>
    </row>
    <row r="52" ht="14.25" customHeight="1">
      <c r="C52" s="19"/>
      <c r="F52" s="19"/>
      <c r="G52" s="55"/>
      <c r="H52" s="12"/>
    </row>
    <row r="53" ht="14.25" customHeight="1">
      <c r="C53" s="19"/>
      <c r="F53" s="19"/>
      <c r="G53" s="55"/>
      <c r="H53" s="12"/>
    </row>
    <row r="54" ht="14.25" customHeight="1">
      <c r="C54" s="19"/>
      <c r="F54" s="19"/>
      <c r="G54" s="55"/>
      <c r="H54" s="12"/>
    </row>
    <row r="55" ht="14.25" customHeight="1">
      <c r="C55" s="19"/>
      <c r="F55" s="19"/>
      <c r="G55" s="55"/>
      <c r="H55" s="12"/>
    </row>
    <row r="56" ht="14.25" customHeight="1">
      <c r="C56" s="19"/>
      <c r="F56" s="19"/>
      <c r="G56" s="55"/>
      <c r="H56" s="12"/>
    </row>
    <row r="57" ht="14.25" customHeight="1">
      <c r="C57" s="19"/>
      <c r="F57" s="19"/>
      <c r="G57" s="55"/>
      <c r="H57" s="12"/>
    </row>
    <row r="58" ht="14.25" customHeight="1">
      <c r="C58" s="19"/>
      <c r="F58" s="19"/>
      <c r="G58" s="55"/>
      <c r="H58" s="12"/>
    </row>
    <row r="59" ht="14.25" customHeight="1">
      <c r="C59" s="19"/>
      <c r="F59" s="19"/>
      <c r="G59" s="55"/>
      <c r="H59" s="12"/>
    </row>
    <row r="60" ht="14.25" customHeight="1">
      <c r="C60" s="19"/>
      <c r="F60" s="19"/>
      <c r="G60" s="55"/>
      <c r="H60" s="12"/>
    </row>
    <row r="61" ht="14.25" customHeight="1">
      <c r="C61" s="19"/>
      <c r="F61" s="19"/>
      <c r="G61" s="55"/>
      <c r="H61" s="12"/>
    </row>
    <row r="62" ht="14.25" customHeight="1">
      <c r="C62" s="19"/>
      <c r="F62" s="19"/>
      <c r="G62" s="55"/>
      <c r="H62" s="12"/>
    </row>
    <row r="63" ht="14.25" customHeight="1">
      <c r="C63" s="19"/>
      <c r="F63" s="19"/>
      <c r="G63" s="55"/>
      <c r="H63" s="12"/>
    </row>
    <row r="64" ht="14.25" customHeight="1">
      <c r="C64" s="19"/>
      <c r="F64" s="19"/>
      <c r="G64" s="55"/>
      <c r="H64" s="12"/>
    </row>
    <row r="65" ht="14.25" customHeight="1">
      <c r="C65" s="19"/>
      <c r="F65" s="19"/>
      <c r="G65" s="55"/>
      <c r="H65" s="12"/>
    </row>
    <row r="66" ht="14.25" customHeight="1">
      <c r="C66" s="19"/>
      <c r="F66" s="19"/>
      <c r="G66" s="55"/>
      <c r="H66" s="12"/>
    </row>
    <row r="67" ht="14.25" customHeight="1">
      <c r="C67" s="19"/>
      <c r="F67" s="19"/>
      <c r="G67" s="55"/>
      <c r="H67" s="12"/>
    </row>
    <row r="68" ht="14.25" customHeight="1">
      <c r="C68" s="19"/>
      <c r="F68" s="19"/>
      <c r="G68" s="55"/>
      <c r="H68" s="12"/>
    </row>
    <row r="69" ht="14.25" customHeight="1">
      <c r="C69" s="19"/>
      <c r="F69" s="19"/>
      <c r="G69" s="55"/>
      <c r="H69" s="12"/>
    </row>
    <row r="70" ht="14.25" customHeight="1">
      <c r="C70" s="19"/>
      <c r="F70" s="19"/>
      <c r="G70" s="55"/>
      <c r="H70" s="12"/>
    </row>
    <row r="71" ht="14.25" customHeight="1">
      <c r="C71" s="19"/>
      <c r="F71" s="19"/>
      <c r="G71" s="55"/>
      <c r="H71" s="12"/>
    </row>
    <row r="72" ht="14.25" customHeight="1">
      <c r="C72" s="19"/>
      <c r="F72" s="19"/>
      <c r="G72" s="55"/>
      <c r="H72" s="12"/>
    </row>
    <row r="73" ht="14.25" customHeight="1">
      <c r="C73" s="19"/>
      <c r="F73" s="19"/>
      <c r="G73" s="55"/>
      <c r="H73" s="12"/>
    </row>
    <row r="74" ht="14.25" customHeight="1">
      <c r="C74" s="19"/>
      <c r="F74" s="19"/>
      <c r="G74" s="55"/>
      <c r="H74" s="12"/>
    </row>
    <row r="75" ht="14.25" customHeight="1">
      <c r="C75" s="19"/>
      <c r="F75" s="19"/>
      <c r="G75" s="55"/>
      <c r="H75" s="12"/>
    </row>
    <row r="76" ht="14.25" customHeight="1">
      <c r="C76" s="19"/>
      <c r="F76" s="19"/>
      <c r="G76" s="55"/>
      <c r="H76" s="12"/>
    </row>
    <row r="77" ht="14.25" customHeight="1">
      <c r="C77" s="19"/>
      <c r="F77" s="19"/>
      <c r="G77" s="55"/>
      <c r="H77" s="12"/>
    </row>
    <row r="78" ht="14.25" customHeight="1">
      <c r="C78" s="19"/>
      <c r="F78" s="19"/>
      <c r="G78" s="55"/>
      <c r="H78" s="12"/>
    </row>
    <row r="79" ht="14.25" customHeight="1">
      <c r="C79" s="19"/>
      <c r="F79" s="19"/>
      <c r="G79" s="55"/>
      <c r="H79" s="12"/>
    </row>
    <row r="80" ht="14.25" customHeight="1">
      <c r="C80" s="19"/>
      <c r="F80" s="19"/>
      <c r="G80" s="55"/>
      <c r="H80" s="12"/>
    </row>
    <row r="81" ht="14.25" customHeight="1">
      <c r="C81" s="19"/>
      <c r="F81" s="19"/>
      <c r="G81" s="55"/>
      <c r="H81" s="12"/>
    </row>
    <row r="82" ht="14.25" customHeight="1">
      <c r="C82" s="19"/>
      <c r="F82" s="19"/>
      <c r="G82" s="55"/>
      <c r="H82" s="12"/>
    </row>
    <row r="83" ht="14.25" customHeight="1">
      <c r="C83" s="19"/>
      <c r="F83" s="19"/>
      <c r="G83" s="55"/>
      <c r="H83" s="12"/>
    </row>
    <row r="84" ht="14.25" customHeight="1">
      <c r="C84" s="19"/>
      <c r="F84" s="19"/>
      <c r="G84" s="55"/>
      <c r="H84" s="12"/>
    </row>
    <row r="85" ht="14.25" customHeight="1">
      <c r="C85" s="19"/>
      <c r="F85" s="19"/>
      <c r="G85" s="55"/>
      <c r="H85" s="12"/>
    </row>
    <row r="86" ht="14.25" customHeight="1">
      <c r="C86" s="19"/>
      <c r="F86" s="19"/>
      <c r="G86" s="55"/>
      <c r="H86" s="12"/>
    </row>
    <row r="87" ht="14.25" customHeight="1">
      <c r="C87" s="19"/>
      <c r="F87" s="19"/>
      <c r="G87" s="55"/>
      <c r="H87" s="12"/>
    </row>
    <row r="88" ht="14.25" customHeight="1">
      <c r="C88" s="19"/>
      <c r="F88" s="19"/>
      <c r="G88" s="55"/>
      <c r="H88" s="12"/>
    </row>
    <row r="89" ht="14.25" customHeight="1">
      <c r="C89" s="19"/>
      <c r="F89" s="19"/>
      <c r="G89" s="55"/>
      <c r="H89" s="12"/>
    </row>
    <row r="90" ht="14.25" customHeight="1">
      <c r="C90" s="19"/>
      <c r="F90" s="19"/>
      <c r="G90" s="55"/>
      <c r="H90" s="12"/>
    </row>
    <row r="91" ht="14.25" customHeight="1">
      <c r="C91" s="19"/>
      <c r="F91" s="19"/>
      <c r="G91" s="55"/>
      <c r="H91" s="12"/>
    </row>
    <row r="92" ht="14.25" customHeight="1">
      <c r="C92" s="19"/>
      <c r="F92" s="19"/>
      <c r="G92" s="55"/>
      <c r="H92" s="12"/>
    </row>
    <row r="93" ht="14.25" customHeight="1">
      <c r="C93" s="19"/>
      <c r="F93" s="19"/>
      <c r="G93" s="55"/>
      <c r="H93" s="12"/>
    </row>
    <row r="94" ht="14.25" customHeight="1">
      <c r="C94" s="19"/>
      <c r="F94" s="19"/>
      <c r="G94" s="55"/>
      <c r="H94" s="12"/>
    </row>
    <row r="95" ht="14.25" customHeight="1">
      <c r="C95" s="19"/>
      <c r="F95" s="19"/>
      <c r="G95" s="55"/>
      <c r="H95" s="12"/>
    </row>
    <row r="96" ht="14.25" customHeight="1">
      <c r="C96" s="19"/>
      <c r="F96" s="19"/>
      <c r="G96" s="55"/>
      <c r="H96" s="12"/>
    </row>
    <row r="97" ht="14.25" customHeight="1">
      <c r="C97" s="19"/>
      <c r="F97" s="19"/>
      <c r="G97" s="55"/>
      <c r="H97" s="12"/>
    </row>
    <row r="98" ht="14.25" customHeight="1">
      <c r="C98" s="19"/>
      <c r="F98" s="19"/>
      <c r="G98" s="55"/>
      <c r="H98" s="12"/>
    </row>
    <row r="99" ht="14.25" customHeight="1">
      <c r="C99" s="19"/>
      <c r="F99" s="19"/>
      <c r="G99" s="55"/>
      <c r="H99" s="12"/>
    </row>
    <row r="100" ht="14.25" customHeight="1">
      <c r="C100" s="19"/>
      <c r="F100" s="19"/>
      <c r="G100" s="55"/>
      <c r="H100" s="12"/>
    </row>
    <row r="101" ht="14.25" customHeight="1">
      <c r="C101" s="19"/>
      <c r="F101" s="19"/>
      <c r="G101" s="55"/>
      <c r="H101" s="12"/>
    </row>
    <row r="102" ht="14.25" customHeight="1">
      <c r="C102" s="19"/>
      <c r="F102" s="19"/>
      <c r="G102" s="55"/>
      <c r="H102" s="12"/>
    </row>
    <row r="103" ht="14.25" customHeight="1">
      <c r="C103" s="19"/>
      <c r="F103" s="19"/>
      <c r="G103" s="55"/>
      <c r="H103" s="12"/>
    </row>
    <row r="104" ht="14.25" customHeight="1">
      <c r="C104" s="19"/>
      <c r="F104" s="19"/>
      <c r="G104" s="55"/>
      <c r="H104" s="12"/>
    </row>
    <row r="105" ht="14.25" customHeight="1">
      <c r="C105" s="19"/>
      <c r="F105" s="19"/>
      <c r="G105" s="55"/>
      <c r="H105" s="12"/>
    </row>
    <row r="106" ht="14.25" customHeight="1">
      <c r="C106" s="19"/>
      <c r="F106" s="19"/>
      <c r="G106" s="55"/>
      <c r="H106" s="12"/>
    </row>
    <row r="107" ht="14.25" customHeight="1">
      <c r="C107" s="19"/>
      <c r="F107" s="19"/>
      <c r="G107" s="55"/>
      <c r="H107" s="12"/>
    </row>
    <row r="108" ht="14.25" customHeight="1">
      <c r="C108" s="19"/>
      <c r="F108" s="19"/>
      <c r="G108" s="55"/>
      <c r="H108" s="12"/>
    </row>
    <row r="109" ht="14.25" customHeight="1">
      <c r="C109" s="19"/>
      <c r="F109" s="19"/>
      <c r="G109" s="55"/>
      <c r="H109" s="12"/>
    </row>
    <row r="110" ht="14.25" customHeight="1">
      <c r="C110" s="19"/>
      <c r="F110" s="19"/>
      <c r="G110" s="55"/>
      <c r="H110" s="12"/>
    </row>
    <row r="111" ht="14.25" customHeight="1">
      <c r="C111" s="19"/>
      <c r="F111" s="19"/>
      <c r="G111" s="55"/>
      <c r="H111" s="12"/>
    </row>
    <row r="112" ht="14.25" customHeight="1">
      <c r="C112" s="19"/>
      <c r="F112" s="19"/>
      <c r="G112" s="55"/>
      <c r="H112" s="12"/>
    </row>
    <row r="113" ht="14.25" customHeight="1">
      <c r="C113" s="19"/>
      <c r="F113" s="19"/>
      <c r="G113" s="55"/>
      <c r="H113" s="12"/>
    </row>
    <row r="114" ht="14.25" customHeight="1">
      <c r="C114" s="19"/>
      <c r="F114" s="19"/>
      <c r="G114" s="55"/>
      <c r="H114" s="12"/>
    </row>
    <row r="115" ht="14.25" customHeight="1">
      <c r="C115" s="19"/>
      <c r="F115" s="19"/>
      <c r="G115" s="55"/>
      <c r="H115" s="12"/>
    </row>
    <row r="116" ht="14.25" customHeight="1">
      <c r="C116" s="19"/>
      <c r="F116" s="19"/>
      <c r="G116" s="55"/>
      <c r="H116" s="12"/>
    </row>
    <row r="117" ht="14.25" customHeight="1">
      <c r="C117" s="19"/>
      <c r="F117" s="19"/>
      <c r="G117" s="55"/>
      <c r="H117" s="12"/>
    </row>
    <row r="118" ht="14.25" customHeight="1">
      <c r="C118" s="19"/>
      <c r="F118" s="19"/>
      <c r="G118" s="55"/>
      <c r="H118" s="12"/>
    </row>
    <row r="119" ht="14.25" customHeight="1">
      <c r="C119" s="19"/>
      <c r="F119" s="19"/>
      <c r="G119" s="55"/>
      <c r="H119" s="12"/>
    </row>
    <row r="120" ht="14.25" customHeight="1">
      <c r="C120" s="19"/>
      <c r="F120" s="19"/>
      <c r="G120" s="55"/>
      <c r="H120" s="12"/>
    </row>
    <row r="121" ht="14.25" customHeight="1">
      <c r="C121" s="19"/>
      <c r="F121" s="19"/>
      <c r="G121" s="55"/>
      <c r="H121" s="12"/>
    </row>
    <row r="122" ht="14.25" customHeight="1">
      <c r="C122" s="19"/>
      <c r="F122" s="19"/>
      <c r="G122" s="55"/>
      <c r="H122" s="12"/>
    </row>
    <row r="123" ht="14.25" customHeight="1">
      <c r="C123" s="19"/>
      <c r="F123" s="19"/>
      <c r="G123" s="55"/>
      <c r="H123" s="12"/>
    </row>
    <row r="124" ht="14.25" customHeight="1">
      <c r="C124" s="19"/>
      <c r="F124" s="19"/>
      <c r="G124" s="55"/>
      <c r="H124" s="12"/>
    </row>
    <row r="125" ht="14.25" customHeight="1">
      <c r="C125" s="19"/>
      <c r="F125" s="19"/>
      <c r="G125" s="55"/>
      <c r="H125" s="12"/>
    </row>
    <row r="126" ht="14.25" customHeight="1">
      <c r="C126" s="19"/>
      <c r="F126" s="19"/>
      <c r="G126" s="55"/>
      <c r="H126" s="12"/>
    </row>
    <row r="127" ht="14.25" customHeight="1">
      <c r="C127" s="19"/>
      <c r="F127" s="19"/>
      <c r="G127" s="55"/>
      <c r="H127" s="12"/>
    </row>
    <row r="128" ht="14.25" customHeight="1">
      <c r="C128" s="19"/>
      <c r="F128" s="19"/>
      <c r="G128" s="55"/>
      <c r="H128" s="12"/>
    </row>
    <row r="129" ht="14.25" customHeight="1">
      <c r="C129" s="19"/>
      <c r="F129" s="19"/>
      <c r="G129" s="55"/>
      <c r="H129" s="12"/>
    </row>
    <row r="130" ht="14.25" customHeight="1">
      <c r="C130" s="19"/>
      <c r="F130" s="19"/>
      <c r="G130" s="55"/>
      <c r="H130" s="12"/>
    </row>
    <row r="131" ht="14.25" customHeight="1">
      <c r="C131" s="19"/>
      <c r="F131" s="19"/>
      <c r="G131" s="55"/>
      <c r="H131" s="12"/>
    </row>
    <row r="132" ht="14.25" customHeight="1">
      <c r="C132" s="19"/>
      <c r="F132" s="19"/>
      <c r="G132" s="55"/>
      <c r="H132" s="12"/>
    </row>
    <row r="133" ht="14.25" customHeight="1">
      <c r="C133" s="19"/>
      <c r="F133" s="19"/>
      <c r="G133" s="55"/>
      <c r="H133" s="12"/>
    </row>
    <row r="134" ht="14.25" customHeight="1">
      <c r="C134" s="19"/>
      <c r="F134" s="19"/>
      <c r="G134" s="55"/>
      <c r="H134" s="12"/>
    </row>
    <row r="135" ht="14.25" customHeight="1">
      <c r="C135" s="19"/>
      <c r="F135" s="19"/>
      <c r="G135" s="55"/>
      <c r="H135" s="12"/>
    </row>
    <row r="136" ht="14.25" customHeight="1">
      <c r="C136" s="19"/>
      <c r="F136" s="19"/>
      <c r="G136" s="55"/>
      <c r="H136" s="12"/>
    </row>
    <row r="137" ht="14.25" customHeight="1">
      <c r="C137" s="19"/>
      <c r="F137" s="19"/>
      <c r="G137" s="55"/>
      <c r="H137" s="12"/>
    </row>
    <row r="138" ht="14.25" customHeight="1">
      <c r="C138" s="19"/>
      <c r="F138" s="19"/>
      <c r="G138" s="55"/>
      <c r="H138" s="12"/>
    </row>
    <row r="139" ht="14.25" customHeight="1">
      <c r="C139" s="19"/>
      <c r="F139" s="19"/>
      <c r="G139" s="55"/>
      <c r="H139" s="12"/>
    </row>
    <row r="140" ht="14.25" customHeight="1">
      <c r="C140" s="19"/>
      <c r="F140" s="19"/>
      <c r="G140" s="55"/>
      <c r="H140" s="12"/>
    </row>
    <row r="141" ht="14.25" customHeight="1">
      <c r="C141" s="19"/>
      <c r="F141" s="19"/>
      <c r="G141" s="55"/>
      <c r="H141" s="12"/>
    </row>
    <row r="142" ht="14.25" customHeight="1">
      <c r="C142" s="19"/>
      <c r="F142" s="19"/>
      <c r="G142" s="55"/>
      <c r="H142" s="12"/>
    </row>
    <row r="143" ht="14.25" customHeight="1">
      <c r="C143" s="19"/>
      <c r="F143" s="19"/>
      <c r="G143" s="55"/>
      <c r="H143" s="12"/>
    </row>
    <row r="144" ht="14.25" customHeight="1">
      <c r="C144" s="19"/>
      <c r="F144" s="19"/>
      <c r="G144" s="55"/>
      <c r="H144" s="12"/>
    </row>
    <row r="145" ht="14.25" customHeight="1">
      <c r="C145" s="19"/>
      <c r="F145" s="19"/>
      <c r="G145" s="55"/>
      <c r="H145" s="12"/>
    </row>
    <row r="146" ht="14.25" customHeight="1">
      <c r="C146" s="19"/>
      <c r="F146" s="19"/>
      <c r="G146" s="55"/>
      <c r="H146" s="12"/>
    </row>
    <row r="147" ht="14.25" customHeight="1">
      <c r="C147" s="19"/>
      <c r="F147" s="19"/>
      <c r="G147" s="55"/>
      <c r="H147" s="12"/>
    </row>
    <row r="148" ht="14.25" customHeight="1">
      <c r="C148" s="19"/>
      <c r="F148" s="19"/>
      <c r="G148" s="55"/>
      <c r="H148" s="12"/>
    </row>
    <row r="149" ht="14.25" customHeight="1">
      <c r="C149" s="19"/>
      <c r="F149" s="19"/>
      <c r="G149" s="55"/>
      <c r="H149" s="12"/>
    </row>
    <row r="150" ht="14.25" customHeight="1">
      <c r="C150" s="19"/>
      <c r="F150" s="19"/>
      <c r="G150" s="55"/>
      <c r="H150" s="12"/>
    </row>
    <row r="151" ht="14.25" customHeight="1">
      <c r="C151" s="19"/>
      <c r="F151" s="19"/>
      <c r="G151" s="55"/>
      <c r="H151" s="12"/>
    </row>
    <row r="152" ht="14.25" customHeight="1">
      <c r="C152" s="19"/>
      <c r="F152" s="19"/>
      <c r="G152" s="55"/>
      <c r="H152" s="12"/>
    </row>
    <row r="153" ht="14.25" customHeight="1">
      <c r="C153" s="19"/>
      <c r="F153" s="19"/>
      <c r="G153" s="55"/>
      <c r="H153" s="12"/>
    </row>
    <row r="154" ht="14.25" customHeight="1">
      <c r="C154" s="19"/>
      <c r="F154" s="19"/>
      <c r="G154" s="55"/>
      <c r="H154" s="12"/>
    </row>
    <row r="155" ht="14.25" customHeight="1">
      <c r="C155" s="19"/>
      <c r="F155" s="19"/>
      <c r="G155" s="55"/>
      <c r="H155" s="12"/>
    </row>
    <row r="156" ht="14.25" customHeight="1">
      <c r="C156" s="19"/>
      <c r="F156" s="19"/>
      <c r="G156" s="55"/>
      <c r="H156" s="12"/>
    </row>
    <row r="157" ht="14.25" customHeight="1">
      <c r="C157" s="19"/>
      <c r="F157" s="19"/>
      <c r="G157" s="55"/>
      <c r="H157" s="12"/>
    </row>
    <row r="158" ht="14.25" customHeight="1">
      <c r="C158" s="19"/>
      <c r="F158" s="19"/>
      <c r="G158" s="55"/>
      <c r="H158" s="12"/>
    </row>
    <row r="159" ht="14.25" customHeight="1">
      <c r="C159" s="19"/>
      <c r="F159" s="19"/>
      <c r="G159" s="55"/>
      <c r="H159" s="12"/>
    </row>
    <row r="160" ht="14.25" customHeight="1">
      <c r="C160" s="19"/>
      <c r="F160" s="19"/>
      <c r="G160" s="55"/>
      <c r="H160" s="12"/>
    </row>
    <row r="161" ht="14.25" customHeight="1">
      <c r="C161" s="19"/>
      <c r="F161" s="19"/>
      <c r="G161" s="55"/>
      <c r="H161" s="12"/>
    </row>
    <row r="162" ht="14.25" customHeight="1">
      <c r="C162" s="19"/>
      <c r="F162" s="19"/>
      <c r="G162" s="55"/>
      <c r="H162" s="12"/>
    </row>
    <row r="163" ht="14.25" customHeight="1">
      <c r="C163" s="19"/>
      <c r="F163" s="19"/>
      <c r="G163" s="55"/>
      <c r="H163" s="12"/>
    </row>
    <row r="164" ht="14.25" customHeight="1">
      <c r="C164" s="19"/>
      <c r="F164" s="19"/>
      <c r="G164" s="55"/>
      <c r="H164" s="12"/>
    </row>
    <row r="165" ht="14.25" customHeight="1">
      <c r="C165" s="19"/>
      <c r="F165" s="19"/>
      <c r="G165" s="55"/>
      <c r="H165" s="12"/>
    </row>
    <row r="166" ht="14.25" customHeight="1">
      <c r="C166" s="19"/>
      <c r="F166" s="19"/>
      <c r="G166" s="55"/>
      <c r="H166" s="12"/>
    </row>
    <row r="167" ht="14.25" customHeight="1">
      <c r="C167" s="19"/>
      <c r="F167" s="19"/>
      <c r="G167" s="55"/>
      <c r="H167" s="12"/>
    </row>
    <row r="168" ht="14.25" customHeight="1">
      <c r="C168" s="19"/>
      <c r="F168" s="19"/>
      <c r="G168" s="55"/>
      <c r="H168" s="12"/>
    </row>
    <row r="169" ht="14.25" customHeight="1">
      <c r="C169" s="19"/>
      <c r="F169" s="19"/>
      <c r="G169" s="55"/>
      <c r="H169" s="12"/>
    </row>
    <row r="170" ht="14.25" customHeight="1">
      <c r="C170" s="19"/>
      <c r="F170" s="19"/>
      <c r="G170" s="55"/>
      <c r="H170" s="12"/>
    </row>
    <row r="171" ht="14.25" customHeight="1">
      <c r="C171" s="19"/>
      <c r="F171" s="19"/>
      <c r="G171" s="55"/>
      <c r="H171" s="12"/>
    </row>
    <row r="172" ht="14.25" customHeight="1">
      <c r="C172" s="19"/>
      <c r="F172" s="19"/>
      <c r="G172" s="55"/>
      <c r="H172" s="12"/>
    </row>
    <row r="173" ht="14.25" customHeight="1">
      <c r="C173" s="19"/>
      <c r="F173" s="19"/>
      <c r="G173" s="55"/>
      <c r="H173" s="12"/>
    </row>
    <row r="174" ht="14.25" customHeight="1">
      <c r="C174" s="19"/>
      <c r="F174" s="19"/>
      <c r="G174" s="55"/>
      <c r="H174" s="12"/>
    </row>
    <row r="175" ht="14.25" customHeight="1">
      <c r="C175" s="19"/>
      <c r="F175" s="19"/>
      <c r="G175" s="55"/>
      <c r="H175" s="12"/>
    </row>
    <row r="176" ht="14.25" customHeight="1">
      <c r="C176" s="19"/>
      <c r="F176" s="19"/>
      <c r="G176" s="55"/>
      <c r="H176" s="12"/>
    </row>
    <row r="177" ht="14.25" customHeight="1">
      <c r="C177" s="19"/>
      <c r="F177" s="19"/>
      <c r="G177" s="55"/>
      <c r="H177" s="12"/>
    </row>
    <row r="178" ht="14.25" customHeight="1">
      <c r="C178" s="19"/>
      <c r="F178" s="19"/>
      <c r="G178" s="55"/>
      <c r="H178" s="12"/>
    </row>
    <row r="179" ht="14.25" customHeight="1">
      <c r="C179" s="19"/>
      <c r="F179" s="19"/>
      <c r="G179" s="55"/>
      <c r="H179" s="12"/>
    </row>
    <row r="180" ht="14.25" customHeight="1">
      <c r="C180" s="19"/>
      <c r="F180" s="19"/>
      <c r="G180" s="55"/>
      <c r="H180" s="12"/>
    </row>
    <row r="181" ht="14.25" customHeight="1">
      <c r="C181" s="19"/>
      <c r="F181" s="19"/>
      <c r="G181" s="55"/>
      <c r="H181" s="12"/>
    </row>
    <row r="182" ht="14.25" customHeight="1">
      <c r="C182" s="19"/>
      <c r="F182" s="19"/>
      <c r="G182" s="55"/>
      <c r="H182" s="12"/>
    </row>
    <row r="183" ht="14.25" customHeight="1">
      <c r="C183" s="19"/>
      <c r="F183" s="19"/>
      <c r="G183" s="55"/>
      <c r="H183" s="12"/>
    </row>
    <row r="184" ht="14.25" customHeight="1">
      <c r="C184" s="19"/>
      <c r="F184" s="19"/>
      <c r="G184" s="55"/>
      <c r="H184" s="12"/>
    </row>
    <row r="185" ht="14.25" customHeight="1">
      <c r="C185" s="19"/>
      <c r="F185" s="19"/>
      <c r="G185" s="55"/>
      <c r="H185" s="12"/>
    </row>
    <row r="186" ht="14.25" customHeight="1">
      <c r="C186" s="19"/>
      <c r="F186" s="19"/>
      <c r="G186" s="55"/>
      <c r="H186" s="12"/>
    </row>
    <row r="187" ht="14.25" customHeight="1">
      <c r="C187" s="19"/>
      <c r="F187" s="19"/>
      <c r="G187" s="55"/>
      <c r="H187" s="12"/>
    </row>
    <row r="188" ht="14.25" customHeight="1">
      <c r="C188" s="19"/>
      <c r="F188" s="19"/>
      <c r="G188" s="55"/>
      <c r="H188" s="12"/>
    </row>
    <row r="189" ht="14.25" customHeight="1">
      <c r="C189" s="19"/>
      <c r="F189" s="19"/>
      <c r="G189" s="55"/>
      <c r="H189" s="12"/>
    </row>
    <row r="190" ht="14.25" customHeight="1">
      <c r="C190" s="19"/>
      <c r="F190" s="19"/>
      <c r="G190" s="55"/>
      <c r="H190" s="12"/>
    </row>
    <row r="191" ht="14.25" customHeight="1">
      <c r="C191" s="19"/>
      <c r="F191" s="19"/>
      <c r="G191" s="55"/>
      <c r="H191" s="12"/>
    </row>
    <row r="192" ht="14.25" customHeight="1">
      <c r="C192" s="19"/>
      <c r="F192" s="19"/>
      <c r="G192" s="55"/>
      <c r="H192" s="12"/>
    </row>
    <row r="193" ht="14.25" customHeight="1">
      <c r="C193" s="19"/>
      <c r="F193" s="19"/>
      <c r="G193" s="55"/>
      <c r="H193" s="12"/>
    </row>
    <row r="194" ht="14.25" customHeight="1">
      <c r="C194" s="19"/>
      <c r="F194" s="19"/>
      <c r="G194" s="55"/>
      <c r="H194" s="12"/>
    </row>
    <row r="195" ht="14.25" customHeight="1">
      <c r="C195" s="19"/>
      <c r="F195" s="19"/>
      <c r="G195" s="55"/>
      <c r="H195" s="12"/>
    </row>
    <row r="196" ht="14.25" customHeight="1">
      <c r="C196" s="19"/>
      <c r="F196" s="19"/>
      <c r="G196" s="55"/>
      <c r="H196" s="12"/>
    </row>
    <row r="197" ht="14.25" customHeight="1">
      <c r="C197" s="19"/>
      <c r="F197" s="19"/>
      <c r="G197" s="55"/>
      <c r="H197" s="12"/>
    </row>
    <row r="198" ht="14.25" customHeight="1">
      <c r="C198" s="19"/>
      <c r="F198" s="19"/>
      <c r="G198" s="55"/>
      <c r="H198" s="12"/>
    </row>
    <row r="199" ht="14.25" customHeight="1">
      <c r="C199" s="19"/>
      <c r="F199" s="19"/>
      <c r="G199" s="55"/>
      <c r="H199" s="12"/>
    </row>
    <row r="200" ht="14.25" customHeight="1">
      <c r="C200" s="19"/>
      <c r="F200" s="19"/>
      <c r="G200" s="55"/>
      <c r="H200" s="12"/>
    </row>
    <row r="201" ht="14.25" customHeight="1">
      <c r="C201" s="19"/>
      <c r="F201" s="19"/>
      <c r="G201" s="55"/>
      <c r="H201" s="12"/>
    </row>
    <row r="202" ht="14.25" customHeight="1">
      <c r="C202" s="19"/>
      <c r="F202" s="19"/>
      <c r="G202" s="55"/>
      <c r="H202" s="12"/>
    </row>
    <row r="203" ht="14.25" customHeight="1">
      <c r="C203" s="19"/>
      <c r="F203" s="19"/>
      <c r="G203" s="55"/>
      <c r="H203" s="12"/>
    </row>
    <row r="204" ht="14.25" customHeight="1">
      <c r="C204" s="19"/>
      <c r="F204" s="19"/>
      <c r="G204" s="55"/>
      <c r="H204" s="12"/>
    </row>
    <row r="205" ht="14.25" customHeight="1">
      <c r="C205" s="19"/>
      <c r="F205" s="19"/>
      <c r="G205" s="55"/>
      <c r="H205" s="12"/>
    </row>
    <row r="206" ht="14.25" customHeight="1">
      <c r="C206" s="19"/>
      <c r="F206" s="19"/>
      <c r="G206" s="55"/>
      <c r="H206" s="12"/>
    </row>
    <row r="207" ht="14.25" customHeight="1">
      <c r="C207" s="19"/>
      <c r="F207" s="19"/>
      <c r="G207" s="55"/>
      <c r="H207" s="12"/>
    </row>
    <row r="208" ht="14.25" customHeight="1">
      <c r="C208" s="19"/>
      <c r="F208" s="19"/>
      <c r="G208" s="55"/>
      <c r="H208" s="12"/>
    </row>
    <row r="209" ht="14.25" customHeight="1">
      <c r="C209" s="19"/>
      <c r="F209" s="19"/>
      <c r="G209" s="55"/>
      <c r="H209" s="12"/>
    </row>
    <row r="210" ht="14.25" customHeight="1">
      <c r="C210" s="19"/>
      <c r="F210" s="19"/>
      <c r="G210" s="55"/>
      <c r="H210" s="12"/>
    </row>
    <row r="211" ht="14.25" customHeight="1">
      <c r="C211" s="19"/>
      <c r="F211" s="19"/>
      <c r="G211" s="55"/>
      <c r="H211" s="12"/>
    </row>
    <row r="212" ht="14.25" customHeight="1">
      <c r="C212" s="19"/>
      <c r="F212" s="19"/>
      <c r="G212" s="55"/>
      <c r="H212" s="12"/>
    </row>
    <row r="213" ht="14.25" customHeight="1">
      <c r="C213" s="19"/>
      <c r="F213" s="19"/>
      <c r="G213" s="55"/>
      <c r="H213" s="12"/>
    </row>
    <row r="214" ht="14.25" customHeight="1">
      <c r="C214" s="19"/>
      <c r="F214" s="19"/>
      <c r="G214" s="55"/>
      <c r="H214" s="12"/>
    </row>
    <row r="215" ht="14.25" customHeight="1">
      <c r="C215" s="19"/>
      <c r="F215" s="19"/>
      <c r="G215" s="55"/>
      <c r="H215" s="12"/>
    </row>
    <row r="216" ht="14.25" customHeight="1">
      <c r="C216" s="19"/>
      <c r="F216" s="19"/>
      <c r="G216" s="55"/>
      <c r="H216" s="12"/>
    </row>
    <row r="217" ht="14.25" customHeight="1">
      <c r="C217" s="19"/>
      <c r="F217" s="19"/>
      <c r="G217" s="55"/>
      <c r="H217" s="12"/>
    </row>
    <row r="218" ht="14.25" customHeight="1">
      <c r="C218" s="19"/>
      <c r="F218" s="19"/>
      <c r="G218" s="55"/>
      <c r="H218" s="12"/>
    </row>
    <row r="219" ht="14.25" customHeight="1">
      <c r="C219" s="19"/>
      <c r="F219" s="19"/>
      <c r="G219" s="55"/>
      <c r="H219" s="12"/>
    </row>
    <row r="220" ht="14.25" customHeight="1">
      <c r="C220" s="19"/>
      <c r="F220" s="19"/>
      <c r="G220" s="55"/>
      <c r="H220" s="12"/>
    </row>
    <row r="221" ht="14.25" customHeight="1">
      <c r="C221" s="19"/>
      <c r="F221" s="19"/>
      <c r="G221" s="55"/>
      <c r="H221" s="12"/>
    </row>
    <row r="222" ht="14.25" customHeight="1">
      <c r="C222" s="19"/>
      <c r="F222" s="19"/>
      <c r="G222" s="55"/>
      <c r="H222" s="12"/>
    </row>
    <row r="223" ht="14.25" customHeight="1">
      <c r="C223" s="19"/>
      <c r="F223" s="19"/>
      <c r="G223" s="55"/>
      <c r="H223" s="12"/>
    </row>
    <row r="224" ht="14.25" customHeight="1">
      <c r="C224" s="19"/>
      <c r="F224" s="19"/>
      <c r="G224" s="55"/>
      <c r="H224" s="12"/>
    </row>
    <row r="225" ht="14.25" customHeight="1">
      <c r="C225" s="19"/>
      <c r="F225" s="19"/>
      <c r="G225" s="55"/>
      <c r="H225" s="12"/>
    </row>
    <row r="226" ht="14.25" customHeight="1">
      <c r="C226" s="19"/>
      <c r="F226" s="19"/>
      <c r="G226" s="55"/>
      <c r="H226" s="12"/>
    </row>
    <row r="227" ht="14.25" customHeight="1">
      <c r="C227" s="19"/>
      <c r="F227" s="19"/>
      <c r="G227" s="55"/>
      <c r="H227" s="12"/>
    </row>
    <row r="228" ht="14.25" customHeight="1">
      <c r="C228" s="19"/>
      <c r="F228" s="19"/>
      <c r="G228" s="55"/>
      <c r="H228" s="12"/>
    </row>
    <row r="229" ht="14.25" customHeight="1">
      <c r="C229" s="19"/>
      <c r="F229" s="19"/>
      <c r="G229" s="55"/>
      <c r="H229" s="12"/>
    </row>
    <row r="230" ht="14.25" customHeight="1">
      <c r="C230" s="19"/>
      <c r="F230" s="19"/>
      <c r="G230" s="55"/>
      <c r="H230" s="12"/>
    </row>
    <row r="231" ht="14.25" customHeight="1">
      <c r="C231" s="19"/>
      <c r="F231" s="19"/>
      <c r="G231" s="55"/>
      <c r="H231" s="12"/>
    </row>
    <row r="232" ht="14.25" customHeight="1">
      <c r="C232" s="19"/>
      <c r="F232" s="19"/>
      <c r="G232" s="55"/>
      <c r="H232" s="12"/>
    </row>
    <row r="233" ht="14.25" customHeight="1">
      <c r="C233" s="19"/>
      <c r="F233" s="19"/>
      <c r="G233" s="55"/>
      <c r="H233" s="12"/>
    </row>
    <row r="234" ht="14.25" customHeight="1">
      <c r="C234" s="19"/>
      <c r="F234" s="19"/>
      <c r="G234" s="55"/>
      <c r="H234" s="12"/>
    </row>
    <row r="235" ht="14.25" customHeight="1">
      <c r="C235" s="19"/>
      <c r="F235" s="19"/>
      <c r="G235" s="55"/>
      <c r="H235" s="12"/>
    </row>
    <row r="236" ht="14.25" customHeight="1">
      <c r="C236" s="19"/>
      <c r="F236" s="19"/>
      <c r="G236" s="55"/>
      <c r="H236" s="12"/>
    </row>
    <row r="237" ht="14.25" customHeight="1">
      <c r="C237" s="19"/>
      <c r="F237" s="19"/>
      <c r="G237" s="55"/>
      <c r="H237" s="12"/>
    </row>
    <row r="238" ht="14.25" customHeight="1">
      <c r="C238" s="19"/>
      <c r="F238" s="19"/>
      <c r="G238" s="55"/>
      <c r="H238" s="12"/>
    </row>
    <row r="239" ht="14.25" customHeight="1">
      <c r="C239" s="19"/>
      <c r="F239" s="19"/>
      <c r="G239" s="55"/>
      <c r="H239" s="12"/>
    </row>
    <row r="240" ht="14.25" customHeight="1">
      <c r="C240" s="19"/>
      <c r="F240" s="19"/>
      <c r="G240" s="55"/>
      <c r="H240" s="12"/>
    </row>
    <row r="241" ht="14.25" customHeight="1">
      <c r="C241" s="19"/>
      <c r="F241" s="19"/>
      <c r="G241" s="55"/>
      <c r="H241" s="12"/>
    </row>
    <row r="242" ht="14.25" customHeight="1">
      <c r="C242" s="19"/>
      <c r="F242" s="19"/>
      <c r="G242" s="55"/>
      <c r="H242" s="12"/>
    </row>
    <row r="243" ht="14.25" customHeight="1">
      <c r="C243" s="19"/>
      <c r="F243" s="19"/>
      <c r="G243" s="55"/>
      <c r="H243" s="12"/>
    </row>
    <row r="244" ht="14.25" customHeight="1">
      <c r="C244" s="19"/>
      <c r="F244" s="19"/>
      <c r="G244" s="55"/>
      <c r="H244" s="12"/>
    </row>
    <row r="245" ht="14.25" customHeight="1">
      <c r="C245" s="19"/>
      <c r="F245" s="19"/>
      <c r="G245" s="55"/>
      <c r="H245" s="12"/>
    </row>
    <row r="246" ht="14.25" customHeight="1">
      <c r="C246" s="19"/>
      <c r="F246" s="19"/>
      <c r="G246" s="55"/>
      <c r="H246" s="12"/>
    </row>
    <row r="247" ht="14.25" customHeight="1">
      <c r="C247" s="19"/>
      <c r="F247" s="19"/>
      <c r="G247" s="55"/>
      <c r="H247" s="12"/>
    </row>
    <row r="248" ht="14.25" customHeight="1">
      <c r="C248" s="19"/>
      <c r="F248" s="19"/>
      <c r="G248" s="55"/>
      <c r="H248" s="12"/>
    </row>
    <row r="249" ht="14.25" customHeight="1">
      <c r="C249" s="19"/>
      <c r="F249" s="19"/>
      <c r="G249" s="55"/>
      <c r="H249" s="12"/>
    </row>
    <row r="250" ht="14.25" customHeight="1">
      <c r="C250" s="19"/>
      <c r="F250" s="19"/>
      <c r="G250" s="55"/>
      <c r="H250" s="12"/>
    </row>
    <row r="251" ht="14.25" customHeight="1">
      <c r="C251" s="19"/>
      <c r="F251" s="19"/>
      <c r="G251" s="55"/>
      <c r="H251" s="12"/>
    </row>
    <row r="252" ht="14.25" customHeight="1">
      <c r="C252" s="19"/>
      <c r="F252" s="19"/>
      <c r="G252" s="55"/>
      <c r="H252" s="12"/>
    </row>
    <row r="253" ht="14.25" customHeight="1">
      <c r="C253" s="19"/>
      <c r="F253" s="19"/>
      <c r="G253" s="55"/>
      <c r="H253" s="12"/>
    </row>
    <row r="254" ht="14.25" customHeight="1">
      <c r="C254" s="19"/>
      <c r="F254" s="19"/>
      <c r="G254" s="55"/>
      <c r="H254" s="12"/>
    </row>
    <row r="255" ht="14.25" customHeight="1">
      <c r="C255" s="19"/>
      <c r="F255" s="19"/>
      <c r="G255" s="55"/>
      <c r="H255" s="12"/>
    </row>
    <row r="256" ht="14.25" customHeight="1">
      <c r="C256" s="19"/>
      <c r="F256" s="19"/>
      <c r="G256" s="55"/>
      <c r="H256" s="12"/>
    </row>
    <row r="257" ht="14.25" customHeight="1">
      <c r="C257" s="19"/>
      <c r="F257" s="19"/>
      <c r="G257" s="55"/>
      <c r="H257" s="12"/>
    </row>
    <row r="258" ht="14.25" customHeight="1">
      <c r="C258" s="19"/>
      <c r="F258" s="19"/>
      <c r="G258" s="55"/>
      <c r="H258" s="12"/>
    </row>
    <row r="259" ht="14.25" customHeight="1">
      <c r="C259" s="19"/>
      <c r="F259" s="19"/>
      <c r="G259" s="55"/>
      <c r="H259" s="12"/>
    </row>
    <row r="260" ht="14.25" customHeight="1">
      <c r="C260" s="19"/>
      <c r="F260" s="19"/>
      <c r="G260" s="55"/>
      <c r="H260" s="12"/>
    </row>
    <row r="261" ht="14.25" customHeight="1">
      <c r="C261" s="19"/>
      <c r="F261" s="19"/>
      <c r="G261" s="55"/>
      <c r="H261" s="12"/>
    </row>
    <row r="262" ht="14.25" customHeight="1">
      <c r="C262" s="19"/>
      <c r="F262" s="19"/>
      <c r="G262" s="55"/>
      <c r="H262" s="12"/>
    </row>
    <row r="263" ht="14.25" customHeight="1">
      <c r="C263" s="19"/>
      <c r="F263" s="19"/>
      <c r="G263" s="55"/>
      <c r="H263" s="12"/>
    </row>
    <row r="264" ht="14.25" customHeight="1">
      <c r="C264" s="19"/>
      <c r="F264" s="19"/>
      <c r="G264" s="55"/>
      <c r="H264" s="12"/>
    </row>
    <row r="265" ht="14.25" customHeight="1">
      <c r="C265" s="19"/>
      <c r="F265" s="19"/>
      <c r="G265" s="55"/>
      <c r="H265" s="12"/>
    </row>
    <row r="266" ht="14.25" customHeight="1">
      <c r="C266" s="19"/>
      <c r="F266" s="19"/>
      <c r="G266" s="55"/>
      <c r="H266" s="12"/>
    </row>
    <row r="267" ht="14.25" customHeight="1">
      <c r="C267" s="19"/>
      <c r="F267" s="19"/>
      <c r="G267" s="55"/>
      <c r="H267" s="12"/>
    </row>
    <row r="268" ht="14.25" customHeight="1">
      <c r="C268" s="19"/>
      <c r="F268" s="19"/>
      <c r="G268" s="55"/>
      <c r="H268" s="12"/>
    </row>
    <row r="269" ht="14.25" customHeight="1">
      <c r="C269" s="19"/>
      <c r="F269" s="19"/>
      <c r="G269" s="55"/>
      <c r="H269" s="12"/>
    </row>
    <row r="270" ht="14.25" customHeight="1">
      <c r="C270" s="19"/>
      <c r="F270" s="19"/>
      <c r="G270" s="55"/>
      <c r="H270" s="12"/>
    </row>
    <row r="271" ht="14.25" customHeight="1">
      <c r="C271" s="19"/>
      <c r="F271" s="19"/>
      <c r="G271" s="55"/>
      <c r="H271" s="12"/>
    </row>
    <row r="272" ht="14.25" customHeight="1">
      <c r="C272" s="19"/>
      <c r="F272" s="19"/>
      <c r="G272" s="55"/>
      <c r="H272" s="12"/>
    </row>
    <row r="273" ht="14.25" customHeight="1">
      <c r="C273" s="19"/>
      <c r="F273" s="19"/>
      <c r="G273" s="55"/>
      <c r="H273" s="12"/>
    </row>
    <row r="274" ht="14.25" customHeight="1">
      <c r="C274" s="19"/>
      <c r="F274" s="19"/>
      <c r="G274" s="55"/>
      <c r="H274" s="12"/>
    </row>
    <row r="275" ht="14.25" customHeight="1">
      <c r="C275" s="19"/>
      <c r="F275" s="19"/>
      <c r="G275" s="55"/>
      <c r="H275" s="12"/>
    </row>
    <row r="276" ht="14.25" customHeight="1">
      <c r="C276" s="19"/>
      <c r="F276" s="19"/>
      <c r="G276" s="55"/>
      <c r="H276" s="12"/>
    </row>
    <row r="277" ht="14.25" customHeight="1">
      <c r="C277" s="19"/>
      <c r="F277" s="19"/>
      <c r="G277" s="55"/>
      <c r="H277" s="12"/>
    </row>
    <row r="278" ht="14.25" customHeight="1">
      <c r="C278" s="19"/>
      <c r="F278" s="19"/>
      <c r="G278" s="55"/>
      <c r="H278" s="12"/>
    </row>
    <row r="279" ht="14.25" customHeight="1">
      <c r="C279" s="19"/>
      <c r="F279" s="19"/>
      <c r="G279" s="55"/>
      <c r="H279" s="12"/>
    </row>
    <row r="280" ht="14.25" customHeight="1">
      <c r="C280" s="19"/>
      <c r="F280" s="19"/>
      <c r="G280" s="55"/>
      <c r="H280" s="12"/>
    </row>
    <row r="281" ht="14.25" customHeight="1">
      <c r="C281" s="19"/>
      <c r="F281" s="19"/>
      <c r="G281" s="55"/>
      <c r="H281" s="12"/>
    </row>
    <row r="282" ht="14.25" customHeight="1">
      <c r="C282" s="19"/>
      <c r="F282" s="19"/>
      <c r="G282" s="55"/>
      <c r="H282" s="12"/>
    </row>
    <row r="283" ht="14.25" customHeight="1">
      <c r="C283" s="19"/>
      <c r="F283" s="19"/>
      <c r="G283" s="55"/>
      <c r="H283" s="12"/>
    </row>
    <row r="284" ht="14.25" customHeight="1">
      <c r="C284" s="19"/>
      <c r="F284" s="19"/>
      <c r="G284" s="55"/>
      <c r="H284" s="12"/>
    </row>
    <row r="285" ht="14.25" customHeight="1">
      <c r="C285" s="19"/>
      <c r="F285" s="19"/>
      <c r="G285" s="55"/>
      <c r="H285" s="12"/>
    </row>
    <row r="286" ht="14.25" customHeight="1">
      <c r="C286" s="19"/>
      <c r="F286" s="19"/>
      <c r="G286" s="55"/>
      <c r="H286" s="12"/>
    </row>
    <row r="287" ht="14.25" customHeight="1">
      <c r="C287" s="19"/>
      <c r="F287" s="19"/>
      <c r="G287" s="55"/>
      <c r="H287" s="12"/>
    </row>
    <row r="288" ht="14.25" customHeight="1">
      <c r="C288" s="19"/>
      <c r="F288" s="19"/>
      <c r="G288" s="55"/>
      <c r="H288" s="12"/>
    </row>
    <row r="289" ht="14.25" customHeight="1">
      <c r="C289" s="19"/>
      <c r="F289" s="19"/>
      <c r="G289" s="55"/>
      <c r="H289" s="12"/>
    </row>
    <row r="290" ht="14.25" customHeight="1">
      <c r="C290" s="19"/>
      <c r="F290" s="19"/>
      <c r="G290" s="55"/>
      <c r="H290" s="12"/>
    </row>
    <row r="291" ht="14.25" customHeight="1">
      <c r="C291" s="19"/>
      <c r="F291" s="19"/>
      <c r="G291" s="55"/>
      <c r="H291" s="12"/>
    </row>
    <row r="292" ht="14.25" customHeight="1">
      <c r="C292" s="19"/>
      <c r="F292" s="19"/>
      <c r="G292" s="55"/>
      <c r="H292" s="12"/>
    </row>
    <row r="293" ht="14.25" customHeight="1">
      <c r="C293" s="19"/>
      <c r="F293" s="19"/>
      <c r="G293" s="55"/>
      <c r="H293" s="12"/>
    </row>
    <row r="294" ht="14.25" customHeight="1">
      <c r="C294" s="19"/>
      <c r="F294" s="19"/>
      <c r="G294" s="55"/>
      <c r="H294" s="12"/>
    </row>
    <row r="295" ht="14.25" customHeight="1">
      <c r="C295" s="19"/>
      <c r="F295" s="19"/>
      <c r="G295" s="55"/>
      <c r="H295" s="12"/>
    </row>
    <row r="296" ht="14.25" customHeight="1">
      <c r="C296" s="19"/>
      <c r="F296" s="19"/>
      <c r="G296" s="55"/>
      <c r="H296" s="12"/>
    </row>
    <row r="297" ht="14.25" customHeight="1">
      <c r="C297" s="19"/>
      <c r="F297" s="19"/>
      <c r="G297" s="55"/>
      <c r="H297" s="12"/>
    </row>
    <row r="298" ht="14.25" customHeight="1">
      <c r="C298" s="19"/>
      <c r="F298" s="19"/>
      <c r="G298" s="55"/>
      <c r="H298" s="12"/>
    </row>
    <row r="299" ht="14.25" customHeight="1">
      <c r="C299" s="19"/>
      <c r="F299" s="19"/>
      <c r="G299" s="55"/>
      <c r="H299" s="12"/>
    </row>
    <row r="300" ht="14.25" customHeight="1">
      <c r="C300" s="19"/>
      <c r="F300" s="19"/>
      <c r="G300" s="55"/>
      <c r="H300" s="12"/>
    </row>
    <row r="301" ht="14.25" customHeight="1">
      <c r="C301" s="19"/>
      <c r="F301" s="19"/>
      <c r="G301" s="55"/>
      <c r="H301" s="12"/>
    </row>
    <row r="302" ht="14.25" customHeight="1">
      <c r="C302" s="19"/>
      <c r="F302" s="19"/>
      <c r="G302" s="55"/>
      <c r="H302" s="12"/>
    </row>
    <row r="303" ht="14.25" customHeight="1">
      <c r="C303" s="19"/>
      <c r="F303" s="19"/>
      <c r="G303" s="55"/>
      <c r="H303" s="12"/>
    </row>
    <row r="304" ht="14.25" customHeight="1">
      <c r="C304" s="19"/>
      <c r="F304" s="19"/>
      <c r="G304" s="55"/>
      <c r="H304" s="12"/>
    </row>
    <row r="305" ht="14.25" customHeight="1">
      <c r="C305" s="19"/>
      <c r="F305" s="19"/>
      <c r="G305" s="55"/>
      <c r="H305" s="12"/>
    </row>
    <row r="306" ht="14.25" customHeight="1">
      <c r="C306" s="19"/>
      <c r="F306" s="19"/>
      <c r="G306" s="55"/>
      <c r="H306" s="12"/>
    </row>
    <row r="307" ht="14.25" customHeight="1">
      <c r="C307" s="19"/>
      <c r="F307" s="19"/>
      <c r="G307" s="55"/>
      <c r="H307" s="12"/>
    </row>
    <row r="308" ht="14.25" customHeight="1">
      <c r="C308" s="19"/>
      <c r="F308" s="19"/>
      <c r="G308" s="55"/>
      <c r="H308" s="12"/>
    </row>
    <row r="309" ht="14.25" customHeight="1">
      <c r="C309" s="19"/>
      <c r="F309" s="19"/>
      <c r="G309" s="55"/>
      <c r="H309" s="12"/>
    </row>
    <row r="310" ht="14.25" customHeight="1">
      <c r="C310" s="19"/>
      <c r="F310" s="19"/>
      <c r="G310" s="55"/>
      <c r="H310" s="12"/>
    </row>
    <row r="311" ht="14.25" customHeight="1">
      <c r="C311" s="19"/>
      <c r="F311" s="19"/>
      <c r="G311" s="55"/>
      <c r="H311" s="12"/>
    </row>
    <row r="312" ht="14.25" customHeight="1">
      <c r="C312" s="19"/>
      <c r="F312" s="19"/>
      <c r="G312" s="55"/>
      <c r="H312" s="12"/>
    </row>
    <row r="313" ht="14.25" customHeight="1">
      <c r="C313" s="19"/>
      <c r="F313" s="19"/>
      <c r="G313" s="55"/>
      <c r="H313" s="12"/>
    </row>
    <row r="314" ht="14.25" customHeight="1">
      <c r="C314" s="19"/>
      <c r="F314" s="19"/>
      <c r="G314" s="55"/>
      <c r="H314" s="12"/>
    </row>
    <row r="315" ht="14.25" customHeight="1">
      <c r="C315" s="19"/>
      <c r="F315" s="19"/>
      <c r="G315" s="55"/>
      <c r="H315" s="12"/>
    </row>
    <row r="316" ht="14.25" customHeight="1">
      <c r="C316" s="19"/>
      <c r="F316" s="19"/>
      <c r="G316" s="55"/>
      <c r="H316" s="12"/>
    </row>
    <row r="317" ht="14.25" customHeight="1">
      <c r="C317" s="19"/>
      <c r="F317" s="19"/>
      <c r="G317" s="55"/>
      <c r="H317" s="12"/>
    </row>
    <row r="318" ht="14.25" customHeight="1">
      <c r="C318" s="19"/>
      <c r="F318" s="19"/>
      <c r="G318" s="55"/>
      <c r="H318" s="12"/>
    </row>
    <row r="319" ht="14.25" customHeight="1">
      <c r="C319" s="19"/>
      <c r="F319" s="19"/>
      <c r="G319" s="55"/>
      <c r="H319" s="12"/>
    </row>
    <row r="320" ht="14.25" customHeight="1">
      <c r="C320" s="19"/>
      <c r="F320" s="19"/>
      <c r="G320" s="55"/>
      <c r="H320" s="12"/>
    </row>
    <row r="321" ht="14.25" customHeight="1">
      <c r="C321" s="19"/>
      <c r="F321" s="19"/>
      <c r="G321" s="55"/>
      <c r="H321" s="12"/>
    </row>
    <row r="322" ht="14.25" customHeight="1">
      <c r="C322" s="19"/>
      <c r="F322" s="19"/>
      <c r="G322" s="55"/>
      <c r="H322" s="12"/>
    </row>
    <row r="323" ht="14.25" customHeight="1">
      <c r="C323" s="19"/>
      <c r="F323" s="19"/>
      <c r="G323" s="55"/>
      <c r="H323" s="12"/>
    </row>
    <row r="324" ht="14.25" customHeight="1">
      <c r="C324" s="19"/>
      <c r="F324" s="19"/>
      <c r="G324" s="55"/>
      <c r="H324" s="12"/>
    </row>
    <row r="325" ht="14.25" customHeight="1">
      <c r="C325" s="19"/>
      <c r="F325" s="19"/>
      <c r="G325" s="55"/>
      <c r="H325" s="12"/>
    </row>
    <row r="326" ht="14.25" customHeight="1">
      <c r="C326" s="19"/>
      <c r="F326" s="19"/>
      <c r="G326" s="55"/>
      <c r="H326" s="12"/>
    </row>
    <row r="327" ht="14.25" customHeight="1">
      <c r="C327" s="19"/>
      <c r="F327" s="19"/>
      <c r="G327" s="55"/>
      <c r="H327" s="12"/>
    </row>
    <row r="328" ht="14.25" customHeight="1">
      <c r="C328" s="19"/>
      <c r="F328" s="19"/>
      <c r="G328" s="55"/>
      <c r="H328" s="12"/>
    </row>
    <row r="329" ht="14.25" customHeight="1">
      <c r="C329" s="19"/>
      <c r="F329" s="19"/>
      <c r="G329" s="55"/>
      <c r="H329" s="12"/>
    </row>
    <row r="330" ht="14.25" customHeight="1">
      <c r="C330" s="19"/>
      <c r="F330" s="19"/>
      <c r="G330" s="55"/>
      <c r="H330" s="12"/>
    </row>
    <row r="331" ht="14.25" customHeight="1">
      <c r="C331" s="19"/>
      <c r="F331" s="19"/>
      <c r="G331" s="55"/>
      <c r="H331" s="12"/>
    </row>
    <row r="332" ht="14.25" customHeight="1">
      <c r="C332" s="19"/>
      <c r="F332" s="19"/>
      <c r="G332" s="55"/>
      <c r="H332" s="12"/>
    </row>
    <row r="333" ht="14.25" customHeight="1">
      <c r="C333" s="19"/>
      <c r="F333" s="19"/>
      <c r="G333" s="55"/>
      <c r="H333" s="12"/>
    </row>
    <row r="334" ht="14.25" customHeight="1">
      <c r="C334" s="19"/>
      <c r="F334" s="19"/>
      <c r="G334" s="55"/>
      <c r="H334" s="12"/>
    </row>
    <row r="335" ht="14.25" customHeight="1">
      <c r="C335" s="19"/>
      <c r="F335" s="19"/>
      <c r="G335" s="55"/>
      <c r="H335" s="12"/>
    </row>
    <row r="336" ht="14.25" customHeight="1">
      <c r="C336" s="19"/>
      <c r="F336" s="19"/>
      <c r="G336" s="55"/>
      <c r="H336" s="12"/>
    </row>
    <row r="337" ht="14.25" customHeight="1">
      <c r="C337" s="19"/>
      <c r="F337" s="19"/>
      <c r="G337" s="55"/>
      <c r="H337" s="12"/>
    </row>
    <row r="338" ht="14.25" customHeight="1">
      <c r="C338" s="19"/>
      <c r="F338" s="19"/>
      <c r="G338" s="55"/>
      <c r="H338" s="12"/>
    </row>
    <row r="339" ht="14.25" customHeight="1">
      <c r="C339" s="19"/>
      <c r="F339" s="19"/>
      <c r="G339" s="55"/>
      <c r="H339" s="12"/>
    </row>
    <row r="340" ht="14.25" customHeight="1">
      <c r="C340" s="19"/>
      <c r="F340" s="19"/>
      <c r="G340" s="55"/>
      <c r="H340" s="12"/>
    </row>
    <row r="341" ht="14.25" customHeight="1">
      <c r="C341" s="19"/>
      <c r="F341" s="19"/>
      <c r="G341" s="55"/>
      <c r="H341" s="12"/>
    </row>
    <row r="342" ht="14.25" customHeight="1">
      <c r="C342" s="19"/>
      <c r="F342" s="19"/>
      <c r="G342" s="55"/>
      <c r="H342" s="12"/>
    </row>
    <row r="343" ht="14.25" customHeight="1">
      <c r="C343" s="19"/>
      <c r="F343" s="19"/>
      <c r="G343" s="55"/>
      <c r="H343" s="12"/>
    </row>
    <row r="344" ht="14.25" customHeight="1">
      <c r="C344" s="19"/>
      <c r="F344" s="19"/>
      <c r="G344" s="55"/>
      <c r="H344" s="12"/>
    </row>
    <row r="345" ht="14.25" customHeight="1">
      <c r="C345" s="19"/>
      <c r="F345" s="19"/>
      <c r="G345" s="55"/>
      <c r="H345" s="12"/>
    </row>
    <row r="346" ht="14.25" customHeight="1">
      <c r="C346" s="19"/>
      <c r="F346" s="19"/>
      <c r="G346" s="55"/>
      <c r="H346" s="12"/>
    </row>
    <row r="347" ht="14.25" customHeight="1">
      <c r="C347" s="19"/>
      <c r="F347" s="19"/>
      <c r="G347" s="55"/>
      <c r="H347" s="12"/>
    </row>
    <row r="348" ht="14.25" customHeight="1">
      <c r="C348" s="19"/>
      <c r="F348" s="19"/>
      <c r="G348" s="55"/>
      <c r="H348" s="12"/>
    </row>
    <row r="349" ht="14.25" customHeight="1">
      <c r="C349" s="19"/>
      <c r="F349" s="19"/>
      <c r="G349" s="55"/>
      <c r="H349" s="12"/>
    </row>
    <row r="350" ht="14.25" customHeight="1">
      <c r="C350" s="19"/>
      <c r="F350" s="19"/>
      <c r="G350" s="55"/>
      <c r="H350" s="12"/>
    </row>
    <row r="351" ht="14.25" customHeight="1">
      <c r="C351" s="19"/>
      <c r="F351" s="19"/>
      <c r="G351" s="55"/>
      <c r="H351" s="12"/>
    </row>
    <row r="352" ht="14.25" customHeight="1">
      <c r="C352" s="19"/>
      <c r="F352" s="19"/>
      <c r="G352" s="55"/>
      <c r="H352" s="12"/>
    </row>
    <row r="353" ht="14.25" customHeight="1">
      <c r="C353" s="19"/>
      <c r="F353" s="19"/>
      <c r="G353" s="55"/>
      <c r="H353" s="12"/>
    </row>
    <row r="354" ht="14.25" customHeight="1">
      <c r="C354" s="19"/>
      <c r="F354" s="19"/>
      <c r="G354" s="55"/>
      <c r="H354" s="12"/>
    </row>
    <row r="355" ht="14.25" customHeight="1">
      <c r="C355" s="19"/>
      <c r="F355" s="19"/>
      <c r="G355" s="55"/>
      <c r="H355" s="12"/>
    </row>
    <row r="356" ht="14.25" customHeight="1">
      <c r="C356" s="19"/>
      <c r="F356" s="19"/>
      <c r="G356" s="55"/>
      <c r="H356" s="12"/>
    </row>
    <row r="357" ht="14.25" customHeight="1">
      <c r="C357" s="19"/>
      <c r="F357" s="19"/>
      <c r="G357" s="55"/>
      <c r="H357" s="12"/>
    </row>
    <row r="358" ht="14.25" customHeight="1">
      <c r="C358" s="19"/>
      <c r="F358" s="19"/>
      <c r="G358" s="55"/>
      <c r="H358" s="12"/>
    </row>
    <row r="359" ht="14.25" customHeight="1">
      <c r="C359" s="19"/>
      <c r="F359" s="19"/>
      <c r="G359" s="55"/>
      <c r="H359" s="12"/>
    </row>
    <row r="360" ht="14.25" customHeight="1">
      <c r="C360" s="19"/>
      <c r="F360" s="19"/>
      <c r="G360" s="55"/>
      <c r="H360" s="12"/>
    </row>
    <row r="361" ht="14.25" customHeight="1">
      <c r="C361" s="19"/>
      <c r="F361" s="19"/>
      <c r="G361" s="55"/>
      <c r="H361" s="12"/>
    </row>
    <row r="362" ht="14.25" customHeight="1">
      <c r="C362" s="19"/>
      <c r="F362" s="19"/>
      <c r="G362" s="55"/>
      <c r="H362" s="12"/>
    </row>
    <row r="363" ht="14.25" customHeight="1">
      <c r="C363" s="19"/>
      <c r="F363" s="19"/>
      <c r="G363" s="55"/>
      <c r="H363" s="12"/>
    </row>
    <row r="364" ht="14.25" customHeight="1">
      <c r="C364" s="19"/>
      <c r="F364" s="19"/>
      <c r="G364" s="55"/>
      <c r="H364" s="12"/>
    </row>
    <row r="365" ht="14.25" customHeight="1">
      <c r="C365" s="19"/>
      <c r="F365" s="19"/>
      <c r="G365" s="55"/>
      <c r="H365" s="12"/>
    </row>
    <row r="366" ht="14.25" customHeight="1">
      <c r="C366" s="19"/>
      <c r="F366" s="19"/>
      <c r="G366" s="55"/>
      <c r="H366" s="12"/>
    </row>
    <row r="367" ht="14.25" customHeight="1">
      <c r="C367" s="19"/>
      <c r="F367" s="19"/>
      <c r="G367" s="55"/>
      <c r="H367" s="12"/>
    </row>
    <row r="368" ht="14.25" customHeight="1">
      <c r="C368" s="19"/>
      <c r="F368" s="19"/>
      <c r="G368" s="55"/>
      <c r="H368" s="12"/>
    </row>
    <row r="369" ht="14.25" customHeight="1">
      <c r="C369" s="19"/>
      <c r="F369" s="19"/>
      <c r="G369" s="55"/>
      <c r="H369" s="12"/>
    </row>
    <row r="370" ht="14.25" customHeight="1">
      <c r="C370" s="19"/>
      <c r="F370" s="19"/>
      <c r="G370" s="55"/>
      <c r="H370" s="12"/>
    </row>
    <row r="371" ht="14.25" customHeight="1">
      <c r="C371" s="19"/>
      <c r="F371" s="19"/>
      <c r="G371" s="55"/>
      <c r="H371" s="12"/>
    </row>
    <row r="372" ht="14.25" customHeight="1">
      <c r="C372" s="19"/>
      <c r="F372" s="19"/>
      <c r="G372" s="55"/>
      <c r="H372" s="12"/>
    </row>
    <row r="373" ht="14.25" customHeight="1">
      <c r="C373" s="19"/>
      <c r="F373" s="19"/>
      <c r="G373" s="55"/>
      <c r="H373" s="12"/>
    </row>
    <row r="374" ht="14.25" customHeight="1">
      <c r="C374" s="19"/>
      <c r="F374" s="19"/>
      <c r="G374" s="55"/>
      <c r="H374" s="12"/>
    </row>
    <row r="375" ht="14.25" customHeight="1">
      <c r="C375" s="19"/>
      <c r="F375" s="19"/>
      <c r="G375" s="55"/>
      <c r="H375" s="12"/>
    </row>
    <row r="376" ht="14.25" customHeight="1">
      <c r="C376" s="19"/>
      <c r="F376" s="19"/>
      <c r="G376" s="55"/>
      <c r="H376" s="12"/>
    </row>
    <row r="377" ht="14.25" customHeight="1">
      <c r="C377" s="19"/>
      <c r="F377" s="19"/>
      <c r="G377" s="55"/>
      <c r="H377" s="12"/>
    </row>
    <row r="378" ht="14.25" customHeight="1">
      <c r="C378" s="19"/>
      <c r="F378" s="19"/>
      <c r="G378" s="55"/>
      <c r="H378" s="12"/>
    </row>
    <row r="379" ht="14.25" customHeight="1">
      <c r="C379" s="19"/>
      <c r="F379" s="19"/>
      <c r="G379" s="55"/>
      <c r="H379" s="12"/>
    </row>
    <row r="380" ht="14.25" customHeight="1">
      <c r="C380" s="19"/>
      <c r="F380" s="19"/>
      <c r="G380" s="55"/>
      <c r="H380" s="12"/>
    </row>
    <row r="381" ht="14.25" customHeight="1">
      <c r="C381" s="19"/>
      <c r="F381" s="19"/>
      <c r="G381" s="55"/>
      <c r="H381" s="12"/>
    </row>
    <row r="382" ht="14.25" customHeight="1">
      <c r="C382" s="19"/>
      <c r="F382" s="19"/>
      <c r="G382" s="55"/>
      <c r="H382" s="12"/>
    </row>
    <row r="383" ht="14.25" customHeight="1">
      <c r="C383" s="19"/>
      <c r="F383" s="19"/>
      <c r="G383" s="55"/>
      <c r="H383" s="12"/>
    </row>
    <row r="384" ht="14.25" customHeight="1">
      <c r="C384" s="19"/>
      <c r="F384" s="19"/>
      <c r="G384" s="55"/>
      <c r="H384" s="12"/>
    </row>
    <row r="385" ht="14.25" customHeight="1">
      <c r="C385" s="19"/>
      <c r="F385" s="19"/>
      <c r="G385" s="55"/>
      <c r="H385" s="12"/>
    </row>
    <row r="386" ht="14.25" customHeight="1">
      <c r="C386" s="19"/>
      <c r="F386" s="19"/>
      <c r="G386" s="55"/>
      <c r="H386" s="12"/>
    </row>
    <row r="387" ht="14.25" customHeight="1">
      <c r="C387" s="19"/>
      <c r="F387" s="19"/>
      <c r="G387" s="55"/>
      <c r="H387" s="12"/>
    </row>
    <row r="388" ht="14.25" customHeight="1">
      <c r="C388" s="19"/>
      <c r="F388" s="19"/>
      <c r="G388" s="55"/>
      <c r="H388" s="12"/>
    </row>
    <row r="389" ht="14.25" customHeight="1">
      <c r="C389" s="19"/>
      <c r="F389" s="19"/>
      <c r="G389" s="55"/>
      <c r="H389" s="12"/>
    </row>
    <row r="390" ht="14.25" customHeight="1">
      <c r="C390" s="19"/>
      <c r="F390" s="19"/>
      <c r="G390" s="55"/>
      <c r="H390" s="12"/>
    </row>
    <row r="391" ht="14.25" customHeight="1">
      <c r="C391" s="19"/>
      <c r="F391" s="19"/>
      <c r="G391" s="55"/>
      <c r="H391" s="12"/>
    </row>
    <row r="392" ht="14.25" customHeight="1">
      <c r="C392" s="19"/>
      <c r="F392" s="19"/>
      <c r="G392" s="55"/>
      <c r="H392" s="12"/>
    </row>
    <row r="393" ht="14.25" customHeight="1">
      <c r="C393" s="19"/>
      <c r="F393" s="19"/>
      <c r="G393" s="55"/>
      <c r="H393" s="12"/>
    </row>
    <row r="394" ht="14.25" customHeight="1">
      <c r="C394" s="19"/>
      <c r="F394" s="19"/>
      <c r="G394" s="55"/>
      <c r="H394" s="12"/>
    </row>
    <row r="395" ht="14.25" customHeight="1">
      <c r="C395" s="19"/>
      <c r="F395" s="19"/>
      <c r="G395" s="55"/>
      <c r="H395" s="12"/>
    </row>
    <row r="396" ht="14.25" customHeight="1">
      <c r="C396" s="19"/>
      <c r="F396" s="19"/>
      <c r="G396" s="55"/>
      <c r="H396" s="12"/>
    </row>
    <row r="397" ht="14.25" customHeight="1">
      <c r="C397" s="19"/>
      <c r="F397" s="19"/>
      <c r="G397" s="55"/>
      <c r="H397" s="12"/>
    </row>
    <row r="398" ht="14.25" customHeight="1">
      <c r="C398" s="19"/>
      <c r="F398" s="19"/>
      <c r="G398" s="55"/>
      <c r="H398" s="12"/>
    </row>
    <row r="399" ht="14.25" customHeight="1">
      <c r="C399" s="19"/>
      <c r="F399" s="19"/>
      <c r="G399" s="55"/>
      <c r="H399" s="12"/>
    </row>
    <row r="400" ht="14.25" customHeight="1">
      <c r="C400" s="19"/>
      <c r="F400" s="19"/>
      <c r="G400" s="55"/>
      <c r="H400" s="12"/>
    </row>
    <row r="401" ht="14.25" customHeight="1">
      <c r="C401" s="19"/>
      <c r="F401" s="19"/>
      <c r="G401" s="55"/>
      <c r="H401" s="12"/>
    </row>
    <row r="402" ht="14.25" customHeight="1">
      <c r="C402" s="19"/>
      <c r="F402" s="19"/>
      <c r="G402" s="55"/>
      <c r="H402" s="12"/>
    </row>
    <row r="403" ht="14.25" customHeight="1">
      <c r="C403" s="19"/>
      <c r="F403" s="19"/>
      <c r="G403" s="55"/>
      <c r="H403" s="12"/>
    </row>
    <row r="404" ht="14.25" customHeight="1">
      <c r="C404" s="19"/>
      <c r="F404" s="19"/>
      <c r="G404" s="55"/>
      <c r="H404" s="12"/>
    </row>
    <row r="405" ht="14.25" customHeight="1">
      <c r="C405" s="19"/>
      <c r="F405" s="19"/>
      <c r="G405" s="55"/>
      <c r="H405" s="12"/>
    </row>
    <row r="406" ht="14.25" customHeight="1">
      <c r="C406" s="19"/>
      <c r="F406" s="19"/>
      <c r="G406" s="55"/>
      <c r="H406" s="12"/>
    </row>
    <row r="407" ht="14.25" customHeight="1">
      <c r="C407" s="19"/>
      <c r="F407" s="19"/>
      <c r="G407" s="55"/>
      <c r="H407" s="12"/>
    </row>
    <row r="408" ht="14.25" customHeight="1">
      <c r="C408" s="19"/>
      <c r="F408" s="19"/>
      <c r="G408" s="55"/>
      <c r="H408" s="12"/>
    </row>
    <row r="409" ht="14.25" customHeight="1">
      <c r="C409" s="19"/>
      <c r="F409" s="19"/>
      <c r="G409" s="55"/>
      <c r="H409" s="12"/>
    </row>
    <row r="410" ht="14.25" customHeight="1">
      <c r="C410" s="19"/>
      <c r="F410" s="19"/>
      <c r="G410" s="55"/>
      <c r="H410" s="12"/>
    </row>
    <row r="411" ht="14.25" customHeight="1">
      <c r="C411" s="19"/>
      <c r="F411" s="19"/>
      <c r="G411" s="55"/>
      <c r="H411" s="12"/>
    </row>
    <row r="412" ht="14.25" customHeight="1">
      <c r="C412" s="19"/>
      <c r="F412" s="19"/>
      <c r="G412" s="55"/>
      <c r="H412" s="12"/>
    </row>
    <row r="413" ht="14.25" customHeight="1">
      <c r="C413" s="19"/>
      <c r="F413" s="19"/>
      <c r="G413" s="55"/>
      <c r="H413" s="12"/>
    </row>
    <row r="414" ht="14.25" customHeight="1">
      <c r="C414" s="19"/>
      <c r="F414" s="19"/>
      <c r="G414" s="55"/>
      <c r="H414" s="12"/>
    </row>
    <row r="415" ht="14.25" customHeight="1">
      <c r="C415" s="19"/>
      <c r="F415" s="19"/>
      <c r="G415" s="55"/>
      <c r="H415" s="12"/>
    </row>
    <row r="416" ht="14.25" customHeight="1">
      <c r="C416" s="19"/>
      <c r="F416" s="19"/>
      <c r="G416" s="55"/>
      <c r="H416" s="12"/>
    </row>
    <row r="417" ht="14.25" customHeight="1">
      <c r="C417" s="19"/>
      <c r="F417" s="19"/>
      <c r="G417" s="55"/>
      <c r="H417" s="12"/>
    </row>
    <row r="418" ht="14.25" customHeight="1">
      <c r="C418" s="19"/>
      <c r="F418" s="19"/>
      <c r="G418" s="55"/>
      <c r="H418" s="12"/>
    </row>
    <row r="419" ht="14.25" customHeight="1">
      <c r="C419" s="19"/>
      <c r="F419" s="19"/>
      <c r="G419" s="55"/>
      <c r="H419" s="12"/>
    </row>
    <row r="420" ht="14.25" customHeight="1">
      <c r="C420" s="19"/>
      <c r="F420" s="19"/>
      <c r="G420" s="55"/>
      <c r="H420" s="12"/>
    </row>
    <row r="421" ht="14.25" customHeight="1">
      <c r="C421" s="19"/>
      <c r="F421" s="19"/>
      <c r="G421" s="55"/>
      <c r="H421" s="12"/>
    </row>
    <row r="422" ht="14.25" customHeight="1">
      <c r="C422" s="19"/>
      <c r="F422" s="19"/>
      <c r="G422" s="55"/>
      <c r="H422" s="12"/>
    </row>
    <row r="423" ht="14.25" customHeight="1">
      <c r="C423" s="19"/>
      <c r="F423" s="19"/>
      <c r="G423" s="55"/>
      <c r="H423" s="12"/>
    </row>
    <row r="424" ht="14.25" customHeight="1">
      <c r="C424" s="19"/>
      <c r="F424" s="19"/>
      <c r="G424" s="55"/>
      <c r="H424" s="12"/>
    </row>
    <row r="425" ht="14.25" customHeight="1">
      <c r="C425" s="19"/>
      <c r="F425" s="19"/>
      <c r="G425" s="55"/>
      <c r="H425" s="12"/>
    </row>
    <row r="426" ht="14.25" customHeight="1">
      <c r="C426" s="19"/>
      <c r="F426" s="19"/>
      <c r="G426" s="55"/>
      <c r="H426" s="12"/>
    </row>
    <row r="427" ht="14.25" customHeight="1">
      <c r="C427" s="19"/>
      <c r="F427" s="19"/>
      <c r="G427" s="55"/>
      <c r="H427" s="12"/>
    </row>
    <row r="428" ht="14.25" customHeight="1">
      <c r="C428" s="19"/>
      <c r="F428" s="19"/>
      <c r="G428" s="55"/>
      <c r="H428" s="12"/>
    </row>
    <row r="429" ht="14.25" customHeight="1">
      <c r="C429" s="19"/>
      <c r="F429" s="19"/>
      <c r="G429" s="55"/>
      <c r="H429" s="12"/>
    </row>
    <row r="430" ht="14.25" customHeight="1">
      <c r="C430" s="19"/>
      <c r="F430" s="19"/>
      <c r="G430" s="55"/>
      <c r="H430" s="12"/>
    </row>
    <row r="431" ht="14.25" customHeight="1">
      <c r="C431" s="19"/>
      <c r="F431" s="19"/>
      <c r="G431" s="55"/>
      <c r="H431" s="12"/>
    </row>
    <row r="432" ht="14.25" customHeight="1">
      <c r="C432" s="19"/>
      <c r="F432" s="19"/>
      <c r="G432" s="55"/>
      <c r="H432" s="12"/>
    </row>
    <row r="433" ht="14.25" customHeight="1">
      <c r="C433" s="19"/>
      <c r="F433" s="19"/>
      <c r="G433" s="55"/>
      <c r="H433" s="12"/>
    </row>
    <row r="434" ht="14.25" customHeight="1">
      <c r="C434" s="19"/>
      <c r="F434" s="19"/>
      <c r="G434" s="55"/>
      <c r="H434" s="12"/>
    </row>
    <row r="435" ht="14.25" customHeight="1">
      <c r="C435" s="19"/>
      <c r="F435" s="19"/>
      <c r="G435" s="55"/>
      <c r="H435" s="12"/>
    </row>
    <row r="436" ht="14.25" customHeight="1">
      <c r="C436" s="19"/>
      <c r="F436" s="19"/>
      <c r="G436" s="55"/>
      <c r="H436" s="12"/>
    </row>
    <row r="437" ht="14.25" customHeight="1">
      <c r="C437" s="19"/>
      <c r="F437" s="19"/>
      <c r="G437" s="55"/>
      <c r="H437" s="12"/>
    </row>
    <row r="438" ht="14.25" customHeight="1">
      <c r="C438" s="19"/>
      <c r="F438" s="19"/>
      <c r="G438" s="55"/>
      <c r="H438" s="12"/>
    </row>
    <row r="439" ht="14.25" customHeight="1">
      <c r="C439" s="19"/>
      <c r="F439" s="19"/>
      <c r="G439" s="55"/>
      <c r="H439" s="12"/>
    </row>
    <row r="440" ht="14.25" customHeight="1">
      <c r="C440" s="19"/>
      <c r="F440" s="19"/>
      <c r="G440" s="55"/>
      <c r="H440" s="12"/>
    </row>
    <row r="441" ht="14.25" customHeight="1">
      <c r="C441" s="19"/>
      <c r="F441" s="19"/>
      <c r="G441" s="55"/>
      <c r="H441" s="12"/>
    </row>
    <row r="442" ht="14.25" customHeight="1">
      <c r="C442" s="19"/>
      <c r="F442" s="19"/>
      <c r="G442" s="55"/>
      <c r="H442" s="12"/>
    </row>
    <row r="443" ht="14.25" customHeight="1">
      <c r="C443" s="19"/>
      <c r="F443" s="19"/>
      <c r="G443" s="55"/>
      <c r="H443" s="12"/>
    </row>
    <row r="444" ht="14.25" customHeight="1">
      <c r="C444" s="19"/>
      <c r="F444" s="19"/>
      <c r="G444" s="55"/>
      <c r="H444" s="12"/>
    </row>
    <row r="445" ht="14.25" customHeight="1">
      <c r="C445" s="19"/>
      <c r="F445" s="19"/>
      <c r="G445" s="55"/>
      <c r="H445" s="12"/>
    </row>
    <row r="446" ht="14.25" customHeight="1">
      <c r="C446" s="19"/>
      <c r="F446" s="19"/>
      <c r="G446" s="55"/>
      <c r="H446" s="12"/>
    </row>
    <row r="447" ht="14.25" customHeight="1">
      <c r="C447" s="19"/>
      <c r="F447" s="19"/>
      <c r="G447" s="55"/>
      <c r="H447" s="12"/>
    </row>
    <row r="448" ht="14.25" customHeight="1">
      <c r="C448" s="19"/>
      <c r="F448" s="19"/>
      <c r="G448" s="55"/>
      <c r="H448" s="12"/>
    </row>
    <row r="449" ht="14.25" customHeight="1">
      <c r="C449" s="19"/>
      <c r="F449" s="19"/>
      <c r="G449" s="55"/>
      <c r="H449" s="12"/>
    </row>
    <row r="450" ht="14.25" customHeight="1">
      <c r="C450" s="19"/>
      <c r="F450" s="19"/>
      <c r="G450" s="55"/>
      <c r="H450" s="12"/>
    </row>
    <row r="451" ht="14.25" customHeight="1">
      <c r="C451" s="19"/>
      <c r="F451" s="19"/>
      <c r="G451" s="55"/>
      <c r="H451" s="12"/>
    </row>
    <row r="452" ht="14.25" customHeight="1">
      <c r="C452" s="19"/>
      <c r="F452" s="19"/>
      <c r="G452" s="55"/>
      <c r="H452" s="12"/>
    </row>
    <row r="453" ht="14.25" customHeight="1">
      <c r="C453" s="19"/>
      <c r="F453" s="19"/>
      <c r="G453" s="55"/>
      <c r="H453" s="12"/>
    </row>
    <row r="454" ht="14.25" customHeight="1">
      <c r="C454" s="19"/>
      <c r="F454" s="19"/>
      <c r="G454" s="55"/>
      <c r="H454" s="12"/>
    </row>
    <row r="455" ht="14.25" customHeight="1">
      <c r="C455" s="19"/>
      <c r="F455" s="19"/>
      <c r="G455" s="55"/>
      <c r="H455" s="12"/>
    </row>
    <row r="456" ht="14.25" customHeight="1">
      <c r="C456" s="19"/>
      <c r="F456" s="19"/>
      <c r="G456" s="55"/>
      <c r="H456" s="12"/>
    </row>
    <row r="457" ht="14.25" customHeight="1">
      <c r="C457" s="19"/>
      <c r="F457" s="19"/>
      <c r="G457" s="55"/>
      <c r="H457" s="12"/>
    </row>
    <row r="458" ht="14.25" customHeight="1">
      <c r="C458" s="19"/>
      <c r="F458" s="19"/>
      <c r="G458" s="55"/>
      <c r="H458" s="12"/>
    </row>
    <row r="459" ht="14.25" customHeight="1">
      <c r="C459" s="19"/>
      <c r="F459" s="19"/>
      <c r="G459" s="55"/>
      <c r="H459" s="12"/>
    </row>
    <row r="460" ht="14.25" customHeight="1">
      <c r="C460" s="19"/>
      <c r="F460" s="19"/>
      <c r="G460" s="55"/>
      <c r="H460" s="12"/>
    </row>
    <row r="461" ht="14.25" customHeight="1">
      <c r="C461" s="19"/>
      <c r="F461" s="19"/>
      <c r="G461" s="55"/>
      <c r="H461" s="12"/>
    </row>
    <row r="462" ht="14.25" customHeight="1">
      <c r="C462" s="19"/>
      <c r="F462" s="19"/>
      <c r="G462" s="55"/>
      <c r="H462" s="12"/>
    </row>
    <row r="463" ht="14.25" customHeight="1">
      <c r="C463" s="19"/>
      <c r="F463" s="19"/>
      <c r="G463" s="55"/>
      <c r="H463" s="12"/>
    </row>
    <row r="464" ht="14.25" customHeight="1">
      <c r="C464" s="19"/>
      <c r="F464" s="19"/>
      <c r="G464" s="55"/>
      <c r="H464" s="12"/>
    </row>
    <row r="465" ht="14.25" customHeight="1">
      <c r="C465" s="19"/>
      <c r="F465" s="19"/>
      <c r="G465" s="55"/>
      <c r="H465" s="12"/>
    </row>
    <row r="466" ht="14.25" customHeight="1">
      <c r="C466" s="19"/>
      <c r="F466" s="19"/>
      <c r="G466" s="55"/>
      <c r="H466" s="12"/>
    </row>
    <row r="467" ht="14.25" customHeight="1">
      <c r="C467" s="19"/>
      <c r="F467" s="19"/>
      <c r="G467" s="55"/>
      <c r="H467" s="12"/>
    </row>
    <row r="468" ht="14.25" customHeight="1">
      <c r="C468" s="19"/>
      <c r="F468" s="19"/>
      <c r="G468" s="55"/>
      <c r="H468" s="12"/>
    </row>
    <row r="469" ht="14.25" customHeight="1">
      <c r="C469" s="19"/>
      <c r="F469" s="19"/>
      <c r="G469" s="55"/>
      <c r="H469" s="12"/>
    </row>
    <row r="470" ht="14.25" customHeight="1">
      <c r="C470" s="19"/>
      <c r="F470" s="19"/>
      <c r="G470" s="55"/>
      <c r="H470" s="12"/>
    </row>
    <row r="471" ht="14.25" customHeight="1">
      <c r="C471" s="19"/>
      <c r="F471" s="19"/>
      <c r="G471" s="55"/>
      <c r="H471" s="12"/>
    </row>
    <row r="472" ht="14.25" customHeight="1">
      <c r="C472" s="19"/>
      <c r="F472" s="19"/>
      <c r="G472" s="55"/>
      <c r="H472" s="12"/>
    </row>
    <row r="473" ht="14.25" customHeight="1">
      <c r="C473" s="19"/>
      <c r="F473" s="19"/>
      <c r="G473" s="55"/>
      <c r="H473" s="12"/>
    </row>
    <row r="474" ht="14.25" customHeight="1">
      <c r="C474" s="19"/>
      <c r="F474" s="19"/>
      <c r="G474" s="55"/>
      <c r="H474" s="12"/>
    </row>
    <row r="475" ht="14.25" customHeight="1">
      <c r="C475" s="19"/>
      <c r="F475" s="19"/>
      <c r="G475" s="55"/>
      <c r="H475" s="12"/>
    </row>
    <row r="476" ht="14.25" customHeight="1">
      <c r="C476" s="19"/>
      <c r="F476" s="19"/>
      <c r="G476" s="55"/>
      <c r="H476" s="12"/>
    </row>
    <row r="477" ht="14.25" customHeight="1">
      <c r="C477" s="19"/>
      <c r="F477" s="19"/>
      <c r="G477" s="55"/>
      <c r="H477" s="12"/>
    </row>
    <row r="478" ht="14.25" customHeight="1">
      <c r="C478" s="19"/>
      <c r="F478" s="19"/>
      <c r="G478" s="55"/>
      <c r="H478" s="12"/>
    </row>
    <row r="479" ht="14.25" customHeight="1">
      <c r="C479" s="19"/>
      <c r="F479" s="19"/>
      <c r="G479" s="55"/>
      <c r="H479" s="12"/>
    </row>
    <row r="480" ht="14.25" customHeight="1">
      <c r="C480" s="19"/>
      <c r="F480" s="19"/>
      <c r="G480" s="55"/>
      <c r="H480" s="12"/>
    </row>
    <row r="481" ht="14.25" customHeight="1">
      <c r="C481" s="19"/>
      <c r="F481" s="19"/>
      <c r="G481" s="55"/>
      <c r="H481" s="12"/>
    </row>
    <row r="482" ht="14.25" customHeight="1">
      <c r="C482" s="19"/>
      <c r="F482" s="19"/>
      <c r="G482" s="55"/>
      <c r="H482" s="12"/>
    </row>
    <row r="483" ht="14.25" customHeight="1">
      <c r="C483" s="19"/>
      <c r="F483" s="19"/>
      <c r="G483" s="55"/>
      <c r="H483" s="12"/>
    </row>
    <row r="484" ht="14.25" customHeight="1">
      <c r="C484" s="19"/>
      <c r="F484" s="19"/>
      <c r="G484" s="55"/>
      <c r="H484" s="12"/>
    </row>
    <row r="485" ht="14.25" customHeight="1">
      <c r="C485" s="19"/>
      <c r="F485" s="19"/>
      <c r="G485" s="55"/>
      <c r="H485" s="12"/>
    </row>
    <row r="486" ht="14.25" customHeight="1">
      <c r="C486" s="19"/>
      <c r="F486" s="19"/>
      <c r="G486" s="55"/>
      <c r="H486" s="12"/>
    </row>
    <row r="487" ht="14.25" customHeight="1">
      <c r="C487" s="19"/>
      <c r="F487" s="19"/>
      <c r="G487" s="55"/>
      <c r="H487" s="12"/>
    </row>
    <row r="488" ht="14.25" customHeight="1">
      <c r="C488" s="19"/>
      <c r="F488" s="19"/>
      <c r="G488" s="55"/>
      <c r="H488" s="12"/>
    </row>
    <row r="489" ht="14.25" customHeight="1">
      <c r="C489" s="19"/>
      <c r="F489" s="19"/>
      <c r="G489" s="55"/>
      <c r="H489" s="12"/>
    </row>
    <row r="490" ht="14.25" customHeight="1">
      <c r="C490" s="19"/>
      <c r="F490" s="19"/>
      <c r="G490" s="55"/>
      <c r="H490" s="12"/>
    </row>
    <row r="491" ht="14.25" customHeight="1">
      <c r="C491" s="19"/>
      <c r="F491" s="19"/>
      <c r="G491" s="55"/>
      <c r="H491" s="12"/>
    </row>
    <row r="492" ht="14.25" customHeight="1">
      <c r="C492" s="19"/>
      <c r="F492" s="19"/>
      <c r="G492" s="55"/>
      <c r="H492" s="12"/>
    </row>
    <row r="493" ht="14.25" customHeight="1">
      <c r="C493" s="19"/>
      <c r="F493" s="19"/>
      <c r="G493" s="55"/>
      <c r="H493" s="12"/>
    </row>
    <row r="494" ht="14.25" customHeight="1">
      <c r="C494" s="19"/>
      <c r="F494" s="19"/>
      <c r="G494" s="55"/>
      <c r="H494" s="12"/>
    </row>
    <row r="495" ht="14.25" customHeight="1">
      <c r="C495" s="19"/>
      <c r="F495" s="19"/>
      <c r="G495" s="55"/>
      <c r="H495" s="12"/>
    </row>
    <row r="496" ht="14.25" customHeight="1">
      <c r="C496" s="19"/>
      <c r="F496" s="19"/>
      <c r="G496" s="55"/>
      <c r="H496" s="12"/>
    </row>
    <row r="497" ht="14.25" customHeight="1">
      <c r="C497" s="19"/>
      <c r="F497" s="19"/>
      <c r="G497" s="55"/>
      <c r="H497" s="12"/>
    </row>
    <row r="498" ht="14.25" customHeight="1">
      <c r="C498" s="19"/>
      <c r="F498" s="19"/>
      <c r="G498" s="55"/>
      <c r="H498" s="12"/>
    </row>
    <row r="499" ht="14.25" customHeight="1">
      <c r="C499" s="19"/>
      <c r="F499" s="19"/>
      <c r="G499" s="55"/>
      <c r="H499" s="12"/>
    </row>
    <row r="500" ht="14.25" customHeight="1">
      <c r="C500" s="19"/>
      <c r="F500" s="19"/>
      <c r="G500" s="55"/>
      <c r="H500" s="12"/>
    </row>
    <row r="501" ht="14.25" customHeight="1">
      <c r="C501" s="19"/>
      <c r="F501" s="19"/>
      <c r="G501" s="55"/>
      <c r="H501" s="12"/>
    </row>
    <row r="502" ht="14.25" customHeight="1">
      <c r="C502" s="19"/>
      <c r="F502" s="19"/>
      <c r="G502" s="55"/>
      <c r="H502" s="12"/>
    </row>
    <row r="503" ht="14.25" customHeight="1">
      <c r="C503" s="19"/>
      <c r="F503" s="19"/>
      <c r="G503" s="55"/>
      <c r="H503" s="12"/>
    </row>
    <row r="504" ht="14.25" customHeight="1">
      <c r="C504" s="19"/>
      <c r="F504" s="19"/>
      <c r="G504" s="55"/>
      <c r="H504" s="12"/>
    </row>
    <row r="505" ht="14.25" customHeight="1">
      <c r="C505" s="19"/>
      <c r="F505" s="19"/>
      <c r="G505" s="55"/>
      <c r="H505" s="12"/>
    </row>
    <row r="506" ht="14.25" customHeight="1">
      <c r="C506" s="19"/>
      <c r="F506" s="19"/>
      <c r="G506" s="55"/>
      <c r="H506" s="12"/>
    </row>
    <row r="507" ht="14.25" customHeight="1">
      <c r="C507" s="19"/>
      <c r="F507" s="19"/>
      <c r="G507" s="55"/>
      <c r="H507" s="12"/>
    </row>
    <row r="508" ht="14.25" customHeight="1">
      <c r="C508" s="19"/>
      <c r="F508" s="19"/>
      <c r="G508" s="55"/>
      <c r="H508" s="12"/>
    </row>
    <row r="509" ht="14.25" customHeight="1">
      <c r="C509" s="19"/>
      <c r="F509" s="19"/>
      <c r="G509" s="55"/>
      <c r="H509" s="12"/>
    </row>
    <row r="510" ht="14.25" customHeight="1">
      <c r="C510" s="19"/>
      <c r="F510" s="19"/>
      <c r="G510" s="55"/>
      <c r="H510" s="12"/>
    </row>
    <row r="511" ht="14.25" customHeight="1">
      <c r="C511" s="19"/>
      <c r="F511" s="19"/>
      <c r="G511" s="55"/>
      <c r="H511" s="12"/>
    </row>
    <row r="512" ht="14.25" customHeight="1">
      <c r="C512" s="19"/>
      <c r="F512" s="19"/>
      <c r="G512" s="55"/>
      <c r="H512" s="12"/>
    </row>
    <row r="513" ht="14.25" customHeight="1">
      <c r="C513" s="19"/>
      <c r="F513" s="19"/>
      <c r="G513" s="55"/>
      <c r="H513" s="12"/>
    </row>
    <row r="514" ht="14.25" customHeight="1">
      <c r="C514" s="19"/>
      <c r="F514" s="19"/>
      <c r="G514" s="55"/>
      <c r="H514" s="12"/>
    </row>
    <row r="515" ht="14.25" customHeight="1">
      <c r="C515" s="19"/>
      <c r="F515" s="19"/>
      <c r="G515" s="55"/>
      <c r="H515" s="12"/>
    </row>
    <row r="516" ht="14.25" customHeight="1">
      <c r="C516" s="19"/>
      <c r="F516" s="19"/>
      <c r="G516" s="55"/>
      <c r="H516" s="12"/>
    </row>
    <row r="517" ht="14.25" customHeight="1">
      <c r="C517" s="19"/>
      <c r="F517" s="19"/>
      <c r="G517" s="55"/>
      <c r="H517" s="12"/>
    </row>
    <row r="518" ht="14.25" customHeight="1">
      <c r="C518" s="19"/>
      <c r="F518" s="19"/>
      <c r="G518" s="55"/>
      <c r="H518" s="12"/>
    </row>
    <row r="519" ht="14.25" customHeight="1">
      <c r="C519" s="19"/>
      <c r="F519" s="19"/>
      <c r="G519" s="55"/>
      <c r="H519" s="12"/>
    </row>
    <row r="520" ht="14.25" customHeight="1">
      <c r="C520" s="19"/>
      <c r="F520" s="19"/>
      <c r="G520" s="55"/>
      <c r="H520" s="12"/>
    </row>
    <row r="521" ht="14.25" customHeight="1">
      <c r="C521" s="19"/>
      <c r="F521" s="19"/>
      <c r="G521" s="55"/>
      <c r="H521" s="12"/>
    </row>
    <row r="522" ht="14.25" customHeight="1">
      <c r="C522" s="19"/>
      <c r="F522" s="19"/>
      <c r="G522" s="55"/>
      <c r="H522" s="12"/>
    </row>
    <row r="523" ht="14.25" customHeight="1">
      <c r="C523" s="19"/>
      <c r="F523" s="19"/>
      <c r="G523" s="55"/>
      <c r="H523" s="12"/>
    </row>
    <row r="524" ht="14.25" customHeight="1">
      <c r="C524" s="19"/>
      <c r="F524" s="19"/>
      <c r="G524" s="55"/>
      <c r="H524" s="12"/>
    </row>
    <row r="525" ht="14.25" customHeight="1">
      <c r="C525" s="19"/>
      <c r="F525" s="19"/>
      <c r="G525" s="55"/>
      <c r="H525" s="12"/>
    </row>
    <row r="526" ht="14.25" customHeight="1">
      <c r="C526" s="19"/>
      <c r="F526" s="19"/>
      <c r="G526" s="55"/>
      <c r="H526" s="12"/>
    </row>
    <row r="527" ht="14.25" customHeight="1">
      <c r="C527" s="19"/>
      <c r="F527" s="19"/>
      <c r="G527" s="55"/>
      <c r="H527" s="12"/>
    </row>
    <row r="528" ht="14.25" customHeight="1">
      <c r="C528" s="19"/>
      <c r="F528" s="19"/>
      <c r="G528" s="55"/>
      <c r="H528" s="12"/>
    </row>
    <row r="529" ht="14.25" customHeight="1">
      <c r="C529" s="19"/>
      <c r="F529" s="19"/>
      <c r="G529" s="55"/>
      <c r="H529" s="12"/>
    </row>
    <row r="530" ht="14.25" customHeight="1">
      <c r="C530" s="19"/>
      <c r="F530" s="19"/>
      <c r="G530" s="55"/>
      <c r="H530" s="12"/>
    </row>
    <row r="531" ht="14.25" customHeight="1">
      <c r="C531" s="19"/>
      <c r="F531" s="19"/>
      <c r="G531" s="55"/>
      <c r="H531" s="12"/>
    </row>
    <row r="532" ht="14.25" customHeight="1">
      <c r="C532" s="19"/>
      <c r="F532" s="19"/>
      <c r="G532" s="55"/>
      <c r="H532" s="12"/>
    </row>
    <row r="533" ht="14.25" customHeight="1">
      <c r="C533" s="19"/>
      <c r="F533" s="19"/>
      <c r="G533" s="55"/>
      <c r="H533" s="12"/>
    </row>
    <row r="534" ht="14.25" customHeight="1">
      <c r="C534" s="19"/>
      <c r="F534" s="19"/>
      <c r="G534" s="55"/>
      <c r="H534" s="12"/>
    </row>
    <row r="535" ht="14.25" customHeight="1">
      <c r="C535" s="19"/>
      <c r="F535" s="19"/>
      <c r="G535" s="55"/>
      <c r="H535" s="12"/>
    </row>
    <row r="536" ht="14.25" customHeight="1">
      <c r="C536" s="19"/>
      <c r="F536" s="19"/>
      <c r="G536" s="55"/>
      <c r="H536" s="12"/>
    </row>
    <row r="537" ht="14.25" customHeight="1">
      <c r="C537" s="19"/>
      <c r="F537" s="19"/>
      <c r="G537" s="55"/>
      <c r="H537" s="12"/>
    </row>
    <row r="538" ht="14.25" customHeight="1">
      <c r="C538" s="19"/>
      <c r="F538" s="19"/>
      <c r="G538" s="55"/>
      <c r="H538" s="12"/>
    </row>
    <row r="539" ht="14.25" customHeight="1">
      <c r="C539" s="19"/>
      <c r="F539" s="19"/>
      <c r="G539" s="55"/>
      <c r="H539" s="12"/>
    </row>
    <row r="540" ht="14.25" customHeight="1">
      <c r="C540" s="19"/>
      <c r="F540" s="19"/>
      <c r="G540" s="55"/>
      <c r="H540" s="12"/>
    </row>
    <row r="541" ht="14.25" customHeight="1">
      <c r="C541" s="19"/>
      <c r="F541" s="19"/>
      <c r="G541" s="55"/>
      <c r="H541" s="12"/>
    </row>
    <row r="542" ht="14.25" customHeight="1">
      <c r="C542" s="19"/>
      <c r="F542" s="19"/>
      <c r="G542" s="55"/>
      <c r="H542" s="12"/>
    </row>
    <row r="543" ht="14.25" customHeight="1">
      <c r="C543" s="19"/>
      <c r="F543" s="19"/>
      <c r="G543" s="55"/>
      <c r="H543" s="12"/>
    </row>
    <row r="544" ht="14.25" customHeight="1">
      <c r="C544" s="19"/>
      <c r="F544" s="19"/>
      <c r="G544" s="55"/>
      <c r="H544" s="12"/>
    </row>
    <row r="545" ht="14.25" customHeight="1">
      <c r="C545" s="19"/>
      <c r="F545" s="19"/>
      <c r="G545" s="55"/>
      <c r="H545" s="12"/>
    </row>
    <row r="546" ht="14.25" customHeight="1">
      <c r="C546" s="19"/>
      <c r="F546" s="19"/>
      <c r="G546" s="55"/>
      <c r="H546" s="12"/>
    </row>
    <row r="547" ht="14.25" customHeight="1">
      <c r="C547" s="19"/>
      <c r="F547" s="19"/>
      <c r="G547" s="55"/>
      <c r="H547" s="12"/>
    </row>
    <row r="548" ht="14.25" customHeight="1">
      <c r="C548" s="19"/>
      <c r="F548" s="19"/>
      <c r="G548" s="55"/>
      <c r="H548" s="12"/>
    </row>
    <row r="549" ht="14.25" customHeight="1">
      <c r="C549" s="19"/>
      <c r="F549" s="19"/>
      <c r="G549" s="55"/>
      <c r="H549" s="12"/>
    </row>
    <row r="550" ht="14.25" customHeight="1">
      <c r="C550" s="19"/>
      <c r="F550" s="19"/>
      <c r="G550" s="55"/>
      <c r="H550" s="12"/>
    </row>
    <row r="551" ht="14.25" customHeight="1">
      <c r="C551" s="19"/>
      <c r="F551" s="19"/>
      <c r="G551" s="55"/>
      <c r="H551" s="12"/>
    </row>
    <row r="552" ht="14.25" customHeight="1">
      <c r="C552" s="19"/>
      <c r="F552" s="19"/>
      <c r="G552" s="55"/>
      <c r="H552" s="12"/>
    </row>
    <row r="553" ht="14.25" customHeight="1">
      <c r="C553" s="19"/>
      <c r="F553" s="19"/>
      <c r="G553" s="55"/>
      <c r="H553" s="12"/>
    </row>
    <row r="554" ht="14.25" customHeight="1">
      <c r="C554" s="19"/>
      <c r="F554" s="19"/>
      <c r="G554" s="55"/>
      <c r="H554" s="12"/>
    </row>
    <row r="555" ht="14.25" customHeight="1">
      <c r="C555" s="19"/>
      <c r="F555" s="19"/>
      <c r="G555" s="55"/>
      <c r="H555" s="12"/>
    </row>
    <row r="556" ht="14.25" customHeight="1">
      <c r="C556" s="19"/>
      <c r="F556" s="19"/>
      <c r="G556" s="55"/>
      <c r="H556" s="12"/>
    </row>
    <row r="557" ht="14.25" customHeight="1">
      <c r="C557" s="19"/>
      <c r="F557" s="19"/>
      <c r="G557" s="55"/>
      <c r="H557" s="12"/>
    </row>
    <row r="558" ht="14.25" customHeight="1">
      <c r="C558" s="19"/>
      <c r="F558" s="19"/>
      <c r="G558" s="55"/>
      <c r="H558" s="12"/>
    </row>
    <row r="559" ht="14.25" customHeight="1">
      <c r="C559" s="19"/>
      <c r="F559" s="19"/>
      <c r="G559" s="55"/>
      <c r="H559" s="12"/>
    </row>
    <row r="560" ht="14.25" customHeight="1">
      <c r="C560" s="19"/>
      <c r="F560" s="19"/>
      <c r="G560" s="55"/>
      <c r="H560" s="12"/>
    </row>
    <row r="561" ht="14.25" customHeight="1">
      <c r="C561" s="19"/>
      <c r="F561" s="19"/>
      <c r="G561" s="55"/>
      <c r="H561" s="12"/>
    </row>
    <row r="562" ht="14.25" customHeight="1">
      <c r="C562" s="19"/>
      <c r="F562" s="19"/>
      <c r="G562" s="55"/>
      <c r="H562" s="12"/>
    </row>
    <row r="563" ht="14.25" customHeight="1">
      <c r="C563" s="19"/>
      <c r="F563" s="19"/>
      <c r="G563" s="55"/>
      <c r="H563" s="12"/>
    </row>
    <row r="564" ht="14.25" customHeight="1">
      <c r="C564" s="19"/>
      <c r="F564" s="19"/>
      <c r="G564" s="55"/>
      <c r="H564" s="12"/>
    </row>
    <row r="565" ht="14.25" customHeight="1">
      <c r="C565" s="19"/>
      <c r="F565" s="19"/>
      <c r="G565" s="55"/>
      <c r="H565" s="12"/>
    </row>
    <row r="566" ht="14.25" customHeight="1">
      <c r="C566" s="19"/>
      <c r="F566" s="19"/>
      <c r="G566" s="55"/>
      <c r="H566" s="12"/>
    </row>
    <row r="567" ht="14.25" customHeight="1">
      <c r="C567" s="19"/>
      <c r="F567" s="19"/>
      <c r="G567" s="55"/>
      <c r="H567" s="12"/>
    </row>
    <row r="568" ht="14.25" customHeight="1">
      <c r="C568" s="19"/>
      <c r="F568" s="19"/>
      <c r="G568" s="55"/>
      <c r="H568" s="12"/>
    </row>
    <row r="569" ht="14.25" customHeight="1">
      <c r="C569" s="19"/>
      <c r="F569" s="19"/>
      <c r="G569" s="55"/>
      <c r="H569" s="12"/>
    </row>
    <row r="570" ht="14.25" customHeight="1">
      <c r="C570" s="19"/>
      <c r="F570" s="19"/>
      <c r="G570" s="55"/>
      <c r="H570" s="12"/>
    </row>
    <row r="571" ht="14.25" customHeight="1">
      <c r="C571" s="19"/>
      <c r="F571" s="19"/>
      <c r="G571" s="55"/>
      <c r="H571" s="12"/>
    </row>
    <row r="572" ht="14.25" customHeight="1">
      <c r="C572" s="19"/>
      <c r="F572" s="19"/>
      <c r="G572" s="55"/>
      <c r="H572" s="12"/>
    </row>
    <row r="573" ht="14.25" customHeight="1">
      <c r="C573" s="19"/>
      <c r="F573" s="19"/>
      <c r="G573" s="55"/>
      <c r="H573" s="12"/>
    </row>
    <row r="574" ht="14.25" customHeight="1">
      <c r="C574" s="19"/>
      <c r="F574" s="19"/>
      <c r="G574" s="55"/>
      <c r="H574" s="12"/>
    </row>
    <row r="575" ht="14.25" customHeight="1">
      <c r="C575" s="19"/>
      <c r="F575" s="19"/>
      <c r="G575" s="55"/>
      <c r="H575" s="12"/>
    </row>
    <row r="576" ht="14.25" customHeight="1">
      <c r="C576" s="19"/>
      <c r="F576" s="19"/>
      <c r="G576" s="55"/>
      <c r="H576" s="12"/>
    </row>
    <row r="577" ht="14.25" customHeight="1">
      <c r="C577" s="19"/>
      <c r="F577" s="19"/>
      <c r="G577" s="55"/>
      <c r="H577" s="12"/>
    </row>
    <row r="578" ht="14.25" customHeight="1">
      <c r="C578" s="19"/>
      <c r="F578" s="19"/>
      <c r="G578" s="55"/>
      <c r="H578" s="12"/>
    </row>
    <row r="579" ht="14.25" customHeight="1">
      <c r="C579" s="19"/>
      <c r="F579" s="19"/>
      <c r="G579" s="55"/>
      <c r="H579" s="12"/>
    </row>
    <row r="580" ht="14.25" customHeight="1">
      <c r="C580" s="19"/>
      <c r="F580" s="19"/>
      <c r="G580" s="55"/>
      <c r="H580" s="12"/>
    </row>
    <row r="581" ht="14.25" customHeight="1">
      <c r="C581" s="19"/>
      <c r="F581" s="19"/>
      <c r="G581" s="55"/>
      <c r="H581" s="12"/>
    </row>
    <row r="582" ht="14.25" customHeight="1">
      <c r="C582" s="19"/>
      <c r="F582" s="19"/>
      <c r="G582" s="55"/>
      <c r="H582" s="12"/>
    </row>
    <row r="583" ht="14.25" customHeight="1">
      <c r="C583" s="19"/>
      <c r="F583" s="19"/>
      <c r="G583" s="55"/>
      <c r="H583" s="12"/>
    </row>
    <row r="584" ht="14.25" customHeight="1">
      <c r="C584" s="19"/>
      <c r="F584" s="19"/>
      <c r="G584" s="55"/>
      <c r="H584" s="12"/>
    </row>
    <row r="585" ht="14.25" customHeight="1">
      <c r="C585" s="19"/>
      <c r="F585" s="19"/>
      <c r="G585" s="55"/>
      <c r="H585" s="12"/>
    </row>
    <row r="586" ht="14.25" customHeight="1">
      <c r="C586" s="19"/>
      <c r="F586" s="19"/>
      <c r="G586" s="55"/>
      <c r="H586" s="12"/>
    </row>
    <row r="587" ht="14.25" customHeight="1">
      <c r="C587" s="19"/>
      <c r="F587" s="19"/>
      <c r="G587" s="55"/>
      <c r="H587" s="12"/>
    </row>
    <row r="588" ht="14.25" customHeight="1">
      <c r="C588" s="19"/>
      <c r="F588" s="19"/>
      <c r="G588" s="55"/>
      <c r="H588" s="12"/>
    </row>
    <row r="589" ht="14.25" customHeight="1">
      <c r="C589" s="19"/>
      <c r="F589" s="19"/>
      <c r="G589" s="55"/>
      <c r="H589" s="12"/>
    </row>
    <row r="590" ht="14.25" customHeight="1">
      <c r="C590" s="19"/>
      <c r="F590" s="19"/>
      <c r="G590" s="55"/>
      <c r="H590" s="12"/>
    </row>
    <row r="591" ht="14.25" customHeight="1">
      <c r="C591" s="19"/>
      <c r="F591" s="19"/>
      <c r="G591" s="55"/>
      <c r="H591" s="12"/>
    </row>
    <row r="592" ht="14.25" customHeight="1">
      <c r="C592" s="19"/>
      <c r="F592" s="19"/>
      <c r="G592" s="55"/>
      <c r="H592" s="12"/>
    </row>
    <row r="593" ht="14.25" customHeight="1">
      <c r="C593" s="19"/>
      <c r="F593" s="19"/>
      <c r="G593" s="55"/>
      <c r="H593" s="12"/>
    </row>
    <row r="594" ht="14.25" customHeight="1">
      <c r="C594" s="19"/>
      <c r="F594" s="19"/>
      <c r="G594" s="55"/>
      <c r="H594" s="12"/>
    </row>
    <row r="595" ht="14.25" customHeight="1">
      <c r="C595" s="19"/>
      <c r="F595" s="19"/>
      <c r="G595" s="55"/>
      <c r="H595" s="12"/>
    </row>
    <row r="596" ht="14.25" customHeight="1">
      <c r="C596" s="19"/>
      <c r="F596" s="19"/>
      <c r="G596" s="55"/>
      <c r="H596" s="12"/>
    </row>
    <row r="597" ht="14.25" customHeight="1">
      <c r="C597" s="19"/>
      <c r="F597" s="19"/>
      <c r="G597" s="55"/>
      <c r="H597" s="12"/>
    </row>
    <row r="598" ht="14.25" customHeight="1">
      <c r="C598" s="19"/>
      <c r="F598" s="19"/>
      <c r="G598" s="55"/>
      <c r="H598" s="12"/>
    </row>
    <row r="599" ht="14.25" customHeight="1">
      <c r="C599" s="19"/>
      <c r="F599" s="19"/>
      <c r="G599" s="55"/>
      <c r="H599" s="12"/>
    </row>
    <row r="600" ht="14.25" customHeight="1">
      <c r="C600" s="19"/>
      <c r="F600" s="19"/>
      <c r="G600" s="55"/>
      <c r="H600" s="12"/>
    </row>
    <row r="601" ht="14.25" customHeight="1">
      <c r="C601" s="19"/>
      <c r="F601" s="19"/>
      <c r="G601" s="55"/>
      <c r="H601" s="12"/>
    </row>
    <row r="602" ht="14.25" customHeight="1">
      <c r="C602" s="19"/>
      <c r="F602" s="19"/>
      <c r="G602" s="55"/>
      <c r="H602" s="12"/>
    </row>
    <row r="603" ht="14.25" customHeight="1">
      <c r="C603" s="19"/>
      <c r="F603" s="19"/>
      <c r="G603" s="55"/>
      <c r="H603" s="12"/>
    </row>
    <row r="604" ht="14.25" customHeight="1">
      <c r="C604" s="19"/>
      <c r="F604" s="19"/>
      <c r="G604" s="55"/>
      <c r="H604" s="12"/>
    </row>
    <row r="605" ht="14.25" customHeight="1">
      <c r="C605" s="19"/>
      <c r="F605" s="19"/>
      <c r="G605" s="55"/>
      <c r="H605" s="12"/>
    </row>
    <row r="606" ht="14.25" customHeight="1">
      <c r="C606" s="19"/>
      <c r="F606" s="19"/>
      <c r="G606" s="55"/>
      <c r="H606" s="12"/>
    </row>
    <row r="607" ht="14.25" customHeight="1">
      <c r="C607" s="19"/>
      <c r="F607" s="19"/>
      <c r="G607" s="55"/>
      <c r="H607" s="12"/>
    </row>
    <row r="608" ht="14.25" customHeight="1">
      <c r="C608" s="19"/>
      <c r="F608" s="19"/>
      <c r="G608" s="55"/>
      <c r="H608" s="12"/>
    </row>
    <row r="609" ht="14.25" customHeight="1">
      <c r="C609" s="19"/>
      <c r="F609" s="19"/>
      <c r="G609" s="55"/>
      <c r="H609" s="12"/>
    </row>
    <row r="610" ht="14.25" customHeight="1">
      <c r="C610" s="19"/>
      <c r="F610" s="19"/>
      <c r="G610" s="55"/>
      <c r="H610" s="12"/>
    </row>
    <row r="611" ht="14.25" customHeight="1">
      <c r="C611" s="19"/>
      <c r="F611" s="19"/>
      <c r="G611" s="55"/>
      <c r="H611" s="12"/>
    </row>
    <row r="612" ht="14.25" customHeight="1">
      <c r="C612" s="19"/>
      <c r="F612" s="19"/>
      <c r="G612" s="55"/>
      <c r="H612" s="12"/>
    </row>
    <row r="613" ht="14.25" customHeight="1">
      <c r="C613" s="19"/>
      <c r="F613" s="19"/>
      <c r="G613" s="55"/>
      <c r="H613" s="12"/>
    </row>
    <row r="614" ht="14.25" customHeight="1">
      <c r="C614" s="19"/>
      <c r="F614" s="19"/>
      <c r="G614" s="55"/>
      <c r="H614" s="12"/>
    </row>
    <row r="615" ht="14.25" customHeight="1">
      <c r="C615" s="19"/>
      <c r="F615" s="19"/>
      <c r="G615" s="55"/>
      <c r="H615" s="12"/>
    </row>
    <row r="616" ht="14.25" customHeight="1">
      <c r="C616" s="19"/>
      <c r="F616" s="19"/>
      <c r="G616" s="55"/>
      <c r="H616" s="12"/>
    </row>
    <row r="617" ht="14.25" customHeight="1">
      <c r="C617" s="19"/>
      <c r="F617" s="19"/>
      <c r="G617" s="55"/>
      <c r="H617" s="12"/>
    </row>
    <row r="618" ht="14.25" customHeight="1">
      <c r="C618" s="19"/>
      <c r="F618" s="19"/>
      <c r="G618" s="55"/>
      <c r="H618" s="12"/>
    </row>
    <row r="619" ht="14.25" customHeight="1">
      <c r="C619" s="19"/>
      <c r="F619" s="19"/>
      <c r="G619" s="55"/>
      <c r="H619" s="12"/>
    </row>
    <row r="620" ht="14.25" customHeight="1">
      <c r="C620" s="19"/>
      <c r="F620" s="19"/>
      <c r="G620" s="55"/>
      <c r="H620" s="12"/>
    </row>
    <row r="621" ht="14.25" customHeight="1">
      <c r="C621" s="19"/>
      <c r="F621" s="19"/>
      <c r="G621" s="55"/>
      <c r="H621" s="12"/>
    </row>
    <row r="622" ht="14.25" customHeight="1">
      <c r="C622" s="19"/>
      <c r="F622" s="19"/>
      <c r="G622" s="55"/>
      <c r="H622" s="12"/>
    </row>
    <row r="623" ht="14.25" customHeight="1">
      <c r="C623" s="19"/>
      <c r="F623" s="19"/>
      <c r="G623" s="55"/>
      <c r="H623" s="12"/>
    </row>
    <row r="624" ht="14.25" customHeight="1">
      <c r="C624" s="19"/>
      <c r="F624" s="19"/>
      <c r="G624" s="55"/>
      <c r="H624" s="12"/>
    </row>
    <row r="625" ht="14.25" customHeight="1">
      <c r="C625" s="19"/>
      <c r="F625" s="19"/>
      <c r="G625" s="55"/>
      <c r="H625" s="12"/>
    </row>
    <row r="626" ht="14.25" customHeight="1">
      <c r="C626" s="19"/>
      <c r="F626" s="19"/>
      <c r="G626" s="55"/>
      <c r="H626" s="12"/>
    </row>
    <row r="627" ht="14.25" customHeight="1">
      <c r="C627" s="19"/>
      <c r="F627" s="19"/>
      <c r="G627" s="55"/>
      <c r="H627" s="12"/>
    </row>
    <row r="628" ht="14.25" customHeight="1">
      <c r="C628" s="19"/>
      <c r="F628" s="19"/>
      <c r="G628" s="55"/>
      <c r="H628" s="12"/>
    </row>
    <row r="629" ht="14.25" customHeight="1">
      <c r="C629" s="19"/>
      <c r="F629" s="19"/>
      <c r="G629" s="55"/>
      <c r="H629" s="12"/>
    </row>
    <row r="630" ht="14.25" customHeight="1">
      <c r="C630" s="19"/>
      <c r="F630" s="19"/>
      <c r="G630" s="55"/>
      <c r="H630" s="12"/>
    </row>
    <row r="631" ht="14.25" customHeight="1">
      <c r="C631" s="19"/>
      <c r="F631" s="19"/>
      <c r="G631" s="55"/>
      <c r="H631" s="12"/>
    </row>
    <row r="632" ht="14.25" customHeight="1">
      <c r="C632" s="19"/>
      <c r="F632" s="19"/>
      <c r="G632" s="55"/>
      <c r="H632" s="12"/>
    </row>
    <row r="633" ht="14.25" customHeight="1">
      <c r="C633" s="19"/>
      <c r="F633" s="19"/>
      <c r="G633" s="55"/>
      <c r="H633" s="12"/>
    </row>
    <row r="634" ht="14.25" customHeight="1">
      <c r="C634" s="19"/>
      <c r="F634" s="19"/>
      <c r="G634" s="55"/>
      <c r="H634" s="12"/>
    </row>
    <row r="635" ht="14.25" customHeight="1">
      <c r="C635" s="19"/>
      <c r="F635" s="19"/>
      <c r="G635" s="55"/>
      <c r="H635" s="12"/>
    </row>
    <row r="636" ht="14.25" customHeight="1">
      <c r="C636" s="19"/>
      <c r="F636" s="19"/>
      <c r="G636" s="55"/>
      <c r="H636" s="12"/>
    </row>
    <row r="637" ht="14.25" customHeight="1">
      <c r="C637" s="19"/>
      <c r="F637" s="19"/>
      <c r="G637" s="55"/>
      <c r="H637" s="12"/>
    </row>
    <row r="638" ht="14.25" customHeight="1">
      <c r="C638" s="19"/>
      <c r="F638" s="19"/>
      <c r="G638" s="55"/>
      <c r="H638" s="12"/>
    </row>
    <row r="639" ht="14.25" customHeight="1">
      <c r="C639" s="19"/>
      <c r="F639" s="19"/>
      <c r="G639" s="55"/>
      <c r="H639" s="12"/>
    </row>
    <row r="640" ht="14.25" customHeight="1">
      <c r="C640" s="19"/>
      <c r="F640" s="19"/>
      <c r="G640" s="55"/>
      <c r="H640" s="12"/>
    </row>
    <row r="641" ht="14.25" customHeight="1">
      <c r="C641" s="19"/>
      <c r="F641" s="19"/>
      <c r="G641" s="55"/>
      <c r="H641" s="12"/>
    </row>
    <row r="642" ht="14.25" customHeight="1">
      <c r="C642" s="19"/>
      <c r="F642" s="19"/>
      <c r="G642" s="55"/>
      <c r="H642" s="12"/>
    </row>
    <row r="643" ht="14.25" customHeight="1">
      <c r="C643" s="19"/>
      <c r="F643" s="19"/>
      <c r="G643" s="55"/>
      <c r="H643" s="12"/>
    </row>
    <row r="644" ht="14.25" customHeight="1">
      <c r="C644" s="19"/>
      <c r="F644" s="19"/>
      <c r="G644" s="55"/>
      <c r="H644" s="12"/>
    </row>
    <row r="645" ht="14.25" customHeight="1">
      <c r="C645" s="19"/>
      <c r="F645" s="19"/>
      <c r="G645" s="55"/>
      <c r="H645" s="12"/>
    </row>
    <row r="646" ht="14.25" customHeight="1">
      <c r="C646" s="19"/>
      <c r="F646" s="19"/>
      <c r="G646" s="55"/>
      <c r="H646" s="12"/>
    </row>
    <row r="647" ht="14.25" customHeight="1">
      <c r="C647" s="19"/>
      <c r="F647" s="19"/>
      <c r="G647" s="55"/>
      <c r="H647" s="12"/>
    </row>
    <row r="648" ht="14.25" customHeight="1">
      <c r="C648" s="19"/>
      <c r="F648" s="19"/>
      <c r="G648" s="55"/>
      <c r="H648" s="12"/>
    </row>
    <row r="649" ht="14.25" customHeight="1">
      <c r="C649" s="19"/>
      <c r="F649" s="19"/>
      <c r="G649" s="55"/>
      <c r="H649" s="12"/>
    </row>
    <row r="650" ht="14.25" customHeight="1">
      <c r="C650" s="19"/>
      <c r="F650" s="19"/>
      <c r="G650" s="55"/>
      <c r="H650" s="12"/>
    </row>
    <row r="651" ht="14.25" customHeight="1">
      <c r="C651" s="19"/>
      <c r="F651" s="19"/>
      <c r="G651" s="55"/>
      <c r="H651" s="12"/>
    </row>
    <row r="652" ht="14.25" customHeight="1">
      <c r="C652" s="19"/>
      <c r="F652" s="19"/>
      <c r="G652" s="55"/>
      <c r="H652" s="12"/>
    </row>
    <row r="653" ht="14.25" customHeight="1">
      <c r="C653" s="19"/>
      <c r="F653" s="19"/>
      <c r="G653" s="55"/>
      <c r="H653" s="12"/>
    </row>
    <row r="654" ht="14.25" customHeight="1">
      <c r="C654" s="19"/>
      <c r="F654" s="19"/>
      <c r="G654" s="55"/>
      <c r="H654" s="12"/>
    </row>
    <row r="655" ht="14.25" customHeight="1">
      <c r="C655" s="19"/>
      <c r="F655" s="19"/>
      <c r="G655" s="55"/>
      <c r="H655" s="12"/>
    </row>
    <row r="656" ht="14.25" customHeight="1">
      <c r="C656" s="19"/>
      <c r="F656" s="19"/>
      <c r="G656" s="55"/>
      <c r="H656" s="12"/>
    </row>
    <row r="657" ht="14.25" customHeight="1">
      <c r="C657" s="19"/>
      <c r="F657" s="19"/>
      <c r="G657" s="55"/>
      <c r="H657" s="12"/>
    </row>
    <row r="658" ht="14.25" customHeight="1">
      <c r="C658" s="19"/>
      <c r="F658" s="19"/>
      <c r="G658" s="55"/>
      <c r="H658" s="12"/>
    </row>
    <row r="659" ht="14.25" customHeight="1">
      <c r="C659" s="19"/>
      <c r="F659" s="19"/>
      <c r="G659" s="55"/>
      <c r="H659" s="12"/>
    </row>
    <row r="660" ht="14.25" customHeight="1">
      <c r="C660" s="19"/>
      <c r="F660" s="19"/>
      <c r="G660" s="55"/>
      <c r="H660" s="12"/>
    </row>
    <row r="661" ht="14.25" customHeight="1">
      <c r="C661" s="19"/>
      <c r="F661" s="19"/>
      <c r="G661" s="55"/>
      <c r="H661" s="12"/>
    </row>
    <row r="662" ht="14.25" customHeight="1">
      <c r="C662" s="19"/>
      <c r="F662" s="19"/>
      <c r="G662" s="55"/>
      <c r="H662" s="12"/>
    </row>
    <row r="663" ht="14.25" customHeight="1">
      <c r="C663" s="19"/>
      <c r="F663" s="19"/>
      <c r="G663" s="55"/>
      <c r="H663" s="12"/>
    </row>
    <row r="664" ht="14.25" customHeight="1">
      <c r="C664" s="19"/>
      <c r="F664" s="19"/>
      <c r="G664" s="55"/>
      <c r="H664" s="12"/>
    </row>
    <row r="665" ht="14.25" customHeight="1">
      <c r="C665" s="19"/>
      <c r="F665" s="19"/>
      <c r="G665" s="55"/>
      <c r="H665" s="12"/>
    </row>
    <row r="666" ht="14.25" customHeight="1">
      <c r="C666" s="19"/>
      <c r="F666" s="19"/>
      <c r="G666" s="55"/>
      <c r="H666" s="12"/>
    </row>
    <row r="667" ht="14.25" customHeight="1">
      <c r="C667" s="19"/>
      <c r="F667" s="19"/>
      <c r="G667" s="55"/>
      <c r="H667" s="12"/>
    </row>
    <row r="668" ht="14.25" customHeight="1">
      <c r="C668" s="19"/>
      <c r="F668" s="19"/>
      <c r="G668" s="55"/>
      <c r="H668" s="12"/>
    </row>
    <row r="669" ht="14.25" customHeight="1">
      <c r="C669" s="19"/>
      <c r="F669" s="19"/>
      <c r="G669" s="55"/>
      <c r="H669" s="12"/>
    </row>
    <row r="670" ht="14.25" customHeight="1">
      <c r="C670" s="19"/>
      <c r="F670" s="19"/>
      <c r="G670" s="55"/>
      <c r="H670" s="12"/>
    </row>
    <row r="671" ht="14.25" customHeight="1">
      <c r="C671" s="19"/>
      <c r="F671" s="19"/>
      <c r="G671" s="55"/>
      <c r="H671" s="12"/>
    </row>
    <row r="672" ht="14.25" customHeight="1">
      <c r="C672" s="19"/>
      <c r="F672" s="19"/>
      <c r="G672" s="55"/>
      <c r="H672" s="12"/>
    </row>
    <row r="673" ht="14.25" customHeight="1">
      <c r="C673" s="19"/>
      <c r="F673" s="19"/>
      <c r="G673" s="55"/>
      <c r="H673" s="12"/>
    </row>
    <row r="674" ht="14.25" customHeight="1">
      <c r="C674" s="19"/>
      <c r="F674" s="19"/>
      <c r="G674" s="55"/>
      <c r="H674" s="12"/>
    </row>
    <row r="675" ht="14.25" customHeight="1">
      <c r="C675" s="19"/>
      <c r="F675" s="19"/>
      <c r="G675" s="55"/>
      <c r="H675" s="12"/>
    </row>
    <row r="676" ht="14.25" customHeight="1">
      <c r="C676" s="19"/>
      <c r="F676" s="19"/>
      <c r="G676" s="55"/>
      <c r="H676" s="12"/>
    </row>
    <row r="677" ht="14.25" customHeight="1">
      <c r="C677" s="19"/>
      <c r="F677" s="19"/>
      <c r="G677" s="55"/>
      <c r="H677" s="12"/>
    </row>
    <row r="678" ht="14.25" customHeight="1">
      <c r="C678" s="19"/>
      <c r="F678" s="19"/>
      <c r="G678" s="55"/>
      <c r="H678" s="12"/>
    </row>
    <row r="679" ht="14.25" customHeight="1">
      <c r="C679" s="19"/>
      <c r="F679" s="19"/>
      <c r="G679" s="55"/>
      <c r="H679" s="12"/>
    </row>
    <row r="680" ht="14.25" customHeight="1">
      <c r="C680" s="19"/>
      <c r="F680" s="19"/>
      <c r="G680" s="55"/>
      <c r="H680" s="12"/>
    </row>
    <row r="681" ht="14.25" customHeight="1">
      <c r="C681" s="19"/>
      <c r="F681" s="19"/>
      <c r="G681" s="55"/>
      <c r="H681" s="12"/>
    </row>
    <row r="682" ht="14.25" customHeight="1">
      <c r="C682" s="19"/>
      <c r="F682" s="19"/>
      <c r="G682" s="55"/>
      <c r="H682" s="12"/>
    </row>
    <row r="683" ht="14.25" customHeight="1">
      <c r="C683" s="19"/>
      <c r="F683" s="19"/>
      <c r="G683" s="55"/>
      <c r="H683" s="12"/>
    </row>
    <row r="684" ht="14.25" customHeight="1">
      <c r="C684" s="19"/>
      <c r="F684" s="19"/>
      <c r="G684" s="55"/>
      <c r="H684" s="12"/>
    </row>
    <row r="685" ht="14.25" customHeight="1">
      <c r="C685" s="19"/>
      <c r="F685" s="19"/>
      <c r="G685" s="55"/>
      <c r="H685" s="12"/>
    </row>
    <row r="686" ht="14.25" customHeight="1">
      <c r="C686" s="19"/>
      <c r="F686" s="19"/>
      <c r="G686" s="55"/>
      <c r="H686" s="12"/>
    </row>
    <row r="687" ht="14.25" customHeight="1">
      <c r="C687" s="19"/>
      <c r="F687" s="19"/>
      <c r="G687" s="55"/>
      <c r="H687" s="12"/>
    </row>
    <row r="688" ht="14.25" customHeight="1">
      <c r="C688" s="19"/>
      <c r="F688" s="19"/>
      <c r="G688" s="55"/>
      <c r="H688" s="12"/>
    </row>
    <row r="689" ht="14.25" customHeight="1">
      <c r="C689" s="19"/>
      <c r="F689" s="19"/>
      <c r="G689" s="55"/>
      <c r="H689" s="12"/>
    </row>
    <row r="690" ht="14.25" customHeight="1">
      <c r="C690" s="19"/>
      <c r="F690" s="19"/>
      <c r="G690" s="55"/>
      <c r="H690" s="12"/>
    </row>
    <row r="691" ht="14.25" customHeight="1">
      <c r="C691" s="19"/>
      <c r="F691" s="19"/>
      <c r="G691" s="55"/>
      <c r="H691" s="12"/>
    </row>
    <row r="692" ht="14.25" customHeight="1">
      <c r="C692" s="19"/>
      <c r="F692" s="19"/>
      <c r="G692" s="55"/>
      <c r="H692" s="12"/>
    </row>
    <row r="693" ht="14.25" customHeight="1">
      <c r="C693" s="19"/>
      <c r="F693" s="19"/>
      <c r="G693" s="55"/>
      <c r="H693" s="12"/>
    </row>
    <row r="694" ht="14.25" customHeight="1">
      <c r="C694" s="19"/>
      <c r="F694" s="19"/>
      <c r="G694" s="55"/>
      <c r="H694" s="12"/>
    </row>
    <row r="695" ht="14.25" customHeight="1">
      <c r="C695" s="19"/>
      <c r="F695" s="19"/>
      <c r="G695" s="55"/>
      <c r="H695" s="12"/>
    </row>
    <row r="696" ht="14.25" customHeight="1">
      <c r="C696" s="19"/>
      <c r="F696" s="19"/>
      <c r="G696" s="55"/>
      <c r="H696" s="12"/>
    </row>
    <row r="697" ht="14.25" customHeight="1">
      <c r="C697" s="19"/>
      <c r="F697" s="19"/>
      <c r="G697" s="55"/>
      <c r="H697" s="12"/>
    </row>
    <row r="698" ht="14.25" customHeight="1">
      <c r="C698" s="19"/>
      <c r="F698" s="19"/>
      <c r="G698" s="55"/>
      <c r="H698" s="12"/>
    </row>
    <row r="699" ht="14.25" customHeight="1">
      <c r="C699" s="19"/>
      <c r="F699" s="19"/>
      <c r="G699" s="55"/>
      <c r="H699" s="12"/>
    </row>
    <row r="700" ht="14.25" customHeight="1">
      <c r="C700" s="19"/>
      <c r="F700" s="19"/>
      <c r="G700" s="55"/>
      <c r="H700" s="12"/>
    </row>
    <row r="701" ht="14.25" customHeight="1">
      <c r="C701" s="19"/>
      <c r="F701" s="19"/>
      <c r="G701" s="55"/>
      <c r="H701" s="12"/>
    </row>
    <row r="702" ht="14.25" customHeight="1">
      <c r="C702" s="19"/>
      <c r="F702" s="19"/>
      <c r="G702" s="55"/>
      <c r="H702" s="12"/>
    </row>
    <row r="703" ht="14.25" customHeight="1">
      <c r="C703" s="19"/>
      <c r="F703" s="19"/>
      <c r="G703" s="55"/>
      <c r="H703" s="12"/>
    </row>
    <row r="704" ht="14.25" customHeight="1">
      <c r="C704" s="19"/>
      <c r="F704" s="19"/>
      <c r="G704" s="55"/>
      <c r="H704" s="12"/>
    </row>
    <row r="705" ht="14.25" customHeight="1">
      <c r="C705" s="19"/>
      <c r="F705" s="19"/>
      <c r="G705" s="55"/>
      <c r="H705" s="12"/>
    </row>
    <row r="706" ht="14.25" customHeight="1">
      <c r="C706" s="19"/>
      <c r="F706" s="19"/>
      <c r="G706" s="55"/>
      <c r="H706" s="12"/>
    </row>
    <row r="707" ht="14.25" customHeight="1">
      <c r="C707" s="19"/>
      <c r="F707" s="19"/>
      <c r="G707" s="55"/>
      <c r="H707" s="12"/>
    </row>
    <row r="708" ht="14.25" customHeight="1">
      <c r="C708" s="19"/>
      <c r="F708" s="19"/>
      <c r="G708" s="55"/>
      <c r="H708" s="12"/>
    </row>
    <row r="709" ht="14.25" customHeight="1">
      <c r="C709" s="19"/>
      <c r="F709" s="19"/>
      <c r="G709" s="55"/>
      <c r="H709" s="12"/>
    </row>
    <row r="710" ht="14.25" customHeight="1">
      <c r="C710" s="19"/>
      <c r="F710" s="19"/>
      <c r="G710" s="55"/>
      <c r="H710" s="12"/>
    </row>
    <row r="711" ht="14.25" customHeight="1">
      <c r="C711" s="19"/>
      <c r="F711" s="19"/>
      <c r="G711" s="55"/>
      <c r="H711" s="12"/>
    </row>
    <row r="712" ht="14.25" customHeight="1">
      <c r="C712" s="19"/>
      <c r="F712" s="19"/>
      <c r="G712" s="55"/>
      <c r="H712" s="12"/>
    </row>
    <row r="713" ht="14.25" customHeight="1">
      <c r="C713" s="19"/>
      <c r="F713" s="19"/>
      <c r="G713" s="55"/>
      <c r="H713" s="12"/>
    </row>
    <row r="714" ht="14.25" customHeight="1">
      <c r="C714" s="19"/>
      <c r="F714" s="19"/>
      <c r="G714" s="55"/>
      <c r="H714" s="12"/>
    </row>
    <row r="715" ht="14.25" customHeight="1">
      <c r="C715" s="19"/>
      <c r="F715" s="19"/>
      <c r="G715" s="55"/>
      <c r="H715" s="12"/>
    </row>
    <row r="716" ht="14.25" customHeight="1">
      <c r="C716" s="19"/>
      <c r="F716" s="19"/>
      <c r="G716" s="55"/>
      <c r="H716" s="12"/>
    </row>
    <row r="717" ht="14.25" customHeight="1">
      <c r="C717" s="19"/>
      <c r="F717" s="19"/>
      <c r="G717" s="55"/>
      <c r="H717" s="12"/>
    </row>
    <row r="718" ht="14.25" customHeight="1">
      <c r="C718" s="19"/>
      <c r="F718" s="19"/>
      <c r="G718" s="55"/>
      <c r="H718" s="12"/>
    </row>
    <row r="719" ht="14.25" customHeight="1">
      <c r="C719" s="19"/>
      <c r="F719" s="19"/>
      <c r="G719" s="55"/>
      <c r="H719" s="12"/>
    </row>
    <row r="720" ht="14.25" customHeight="1">
      <c r="C720" s="19"/>
      <c r="F720" s="19"/>
      <c r="G720" s="55"/>
      <c r="H720" s="12"/>
    </row>
    <row r="721" ht="14.25" customHeight="1">
      <c r="C721" s="19"/>
      <c r="F721" s="19"/>
      <c r="G721" s="55"/>
      <c r="H721" s="12"/>
    </row>
    <row r="722" ht="14.25" customHeight="1">
      <c r="C722" s="19"/>
      <c r="F722" s="19"/>
      <c r="G722" s="55"/>
      <c r="H722" s="12"/>
    </row>
    <row r="723" ht="14.25" customHeight="1">
      <c r="C723" s="19"/>
      <c r="F723" s="19"/>
      <c r="G723" s="55"/>
      <c r="H723" s="12"/>
    </row>
    <row r="724" ht="14.25" customHeight="1">
      <c r="C724" s="19"/>
      <c r="F724" s="19"/>
      <c r="G724" s="55"/>
      <c r="H724" s="12"/>
    </row>
    <row r="725" ht="14.25" customHeight="1">
      <c r="C725" s="19"/>
      <c r="F725" s="19"/>
      <c r="G725" s="55"/>
      <c r="H725" s="12"/>
    </row>
    <row r="726" ht="14.25" customHeight="1">
      <c r="C726" s="19"/>
      <c r="F726" s="19"/>
      <c r="G726" s="55"/>
      <c r="H726" s="12"/>
    </row>
    <row r="727" ht="14.25" customHeight="1">
      <c r="C727" s="19"/>
      <c r="F727" s="19"/>
      <c r="G727" s="55"/>
      <c r="H727" s="12"/>
    </row>
    <row r="728" ht="14.25" customHeight="1">
      <c r="C728" s="19"/>
      <c r="F728" s="19"/>
      <c r="G728" s="55"/>
      <c r="H728" s="12"/>
    </row>
    <row r="729" ht="14.25" customHeight="1">
      <c r="C729" s="19"/>
      <c r="F729" s="19"/>
      <c r="G729" s="55"/>
      <c r="H729" s="12"/>
    </row>
    <row r="730" ht="14.25" customHeight="1">
      <c r="C730" s="19"/>
      <c r="F730" s="19"/>
      <c r="G730" s="55"/>
      <c r="H730" s="12"/>
    </row>
    <row r="731" ht="14.25" customHeight="1">
      <c r="C731" s="19"/>
      <c r="F731" s="19"/>
      <c r="G731" s="55"/>
      <c r="H731" s="12"/>
    </row>
    <row r="732" ht="14.25" customHeight="1">
      <c r="C732" s="19"/>
      <c r="F732" s="19"/>
      <c r="G732" s="55"/>
      <c r="H732" s="12"/>
    </row>
    <row r="733" ht="14.25" customHeight="1">
      <c r="C733" s="19"/>
      <c r="F733" s="19"/>
      <c r="G733" s="55"/>
      <c r="H733" s="12"/>
    </row>
    <row r="734" ht="14.25" customHeight="1">
      <c r="C734" s="19"/>
      <c r="F734" s="19"/>
      <c r="G734" s="55"/>
      <c r="H734" s="12"/>
    </row>
    <row r="735" ht="14.25" customHeight="1">
      <c r="C735" s="19"/>
      <c r="F735" s="19"/>
      <c r="G735" s="55"/>
      <c r="H735" s="12"/>
    </row>
    <row r="736" ht="14.25" customHeight="1">
      <c r="C736" s="19"/>
      <c r="F736" s="19"/>
      <c r="G736" s="55"/>
      <c r="H736" s="12"/>
    </row>
    <row r="737" ht="14.25" customHeight="1">
      <c r="C737" s="19"/>
      <c r="F737" s="19"/>
      <c r="G737" s="55"/>
      <c r="H737" s="12"/>
    </row>
    <row r="738" ht="14.25" customHeight="1">
      <c r="C738" s="19"/>
      <c r="F738" s="19"/>
      <c r="G738" s="55"/>
      <c r="H738" s="12"/>
    </row>
    <row r="739" ht="14.25" customHeight="1">
      <c r="C739" s="19"/>
      <c r="F739" s="19"/>
      <c r="G739" s="55"/>
      <c r="H739" s="12"/>
    </row>
    <row r="740" ht="14.25" customHeight="1">
      <c r="C740" s="19"/>
      <c r="F740" s="19"/>
      <c r="G740" s="55"/>
      <c r="H740" s="12"/>
    </row>
    <row r="741" ht="14.25" customHeight="1">
      <c r="C741" s="19"/>
      <c r="F741" s="19"/>
      <c r="G741" s="55"/>
      <c r="H741" s="12"/>
    </row>
    <row r="742" ht="14.25" customHeight="1">
      <c r="C742" s="19"/>
      <c r="F742" s="19"/>
      <c r="G742" s="55"/>
      <c r="H742" s="12"/>
    </row>
    <row r="743" ht="14.25" customHeight="1">
      <c r="C743" s="19"/>
      <c r="F743" s="19"/>
      <c r="G743" s="55"/>
      <c r="H743" s="12"/>
    </row>
    <row r="744" ht="14.25" customHeight="1">
      <c r="C744" s="19"/>
      <c r="F744" s="19"/>
      <c r="G744" s="55"/>
      <c r="H744" s="12"/>
    </row>
    <row r="745" ht="14.25" customHeight="1">
      <c r="C745" s="19"/>
      <c r="F745" s="19"/>
      <c r="G745" s="55"/>
      <c r="H745" s="12"/>
    </row>
    <row r="746" ht="14.25" customHeight="1">
      <c r="C746" s="19"/>
      <c r="F746" s="19"/>
      <c r="G746" s="55"/>
      <c r="H746" s="12"/>
    </row>
    <row r="747" ht="14.25" customHeight="1">
      <c r="C747" s="19"/>
      <c r="F747" s="19"/>
      <c r="G747" s="55"/>
      <c r="H747" s="12"/>
    </row>
    <row r="748" ht="14.25" customHeight="1">
      <c r="C748" s="19"/>
      <c r="F748" s="19"/>
      <c r="G748" s="55"/>
      <c r="H748" s="12"/>
    </row>
    <row r="749" ht="14.25" customHeight="1">
      <c r="C749" s="19"/>
      <c r="F749" s="19"/>
      <c r="G749" s="55"/>
      <c r="H749" s="12"/>
    </row>
    <row r="750" ht="14.25" customHeight="1">
      <c r="C750" s="19"/>
      <c r="F750" s="19"/>
      <c r="G750" s="55"/>
      <c r="H750" s="12"/>
    </row>
    <row r="751" ht="14.25" customHeight="1">
      <c r="C751" s="19"/>
      <c r="F751" s="19"/>
      <c r="G751" s="55"/>
      <c r="H751" s="12"/>
    </row>
    <row r="752" ht="14.25" customHeight="1">
      <c r="C752" s="19"/>
      <c r="F752" s="19"/>
      <c r="G752" s="55"/>
      <c r="H752" s="12"/>
    </row>
    <row r="753" ht="14.25" customHeight="1">
      <c r="C753" s="19"/>
      <c r="F753" s="19"/>
      <c r="G753" s="55"/>
      <c r="H753" s="12"/>
    </row>
    <row r="754" ht="14.25" customHeight="1">
      <c r="C754" s="19"/>
      <c r="F754" s="19"/>
      <c r="G754" s="55"/>
      <c r="H754" s="12"/>
    </row>
    <row r="755" ht="14.25" customHeight="1">
      <c r="C755" s="19"/>
      <c r="F755" s="19"/>
      <c r="G755" s="55"/>
      <c r="H755" s="12"/>
    </row>
    <row r="756" ht="14.25" customHeight="1">
      <c r="C756" s="19"/>
      <c r="F756" s="19"/>
      <c r="G756" s="55"/>
      <c r="H756" s="12"/>
    </row>
    <row r="757" ht="14.25" customHeight="1">
      <c r="C757" s="19"/>
      <c r="F757" s="19"/>
      <c r="G757" s="55"/>
      <c r="H757" s="12"/>
    </row>
    <row r="758" ht="14.25" customHeight="1">
      <c r="C758" s="19"/>
      <c r="F758" s="19"/>
      <c r="G758" s="55"/>
      <c r="H758" s="12"/>
    </row>
    <row r="759" ht="14.25" customHeight="1">
      <c r="C759" s="19"/>
      <c r="F759" s="19"/>
      <c r="G759" s="55"/>
      <c r="H759" s="12"/>
    </row>
    <row r="760" ht="14.25" customHeight="1">
      <c r="C760" s="19"/>
      <c r="F760" s="19"/>
      <c r="G760" s="55"/>
      <c r="H760" s="12"/>
    </row>
    <row r="761" ht="14.25" customHeight="1">
      <c r="C761" s="19"/>
      <c r="F761" s="19"/>
      <c r="G761" s="55"/>
      <c r="H761" s="12"/>
    </row>
    <row r="762" ht="14.25" customHeight="1">
      <c r="C762" s="19"/>
      <c r="F762" s="19"/>
      <c r="G762" s="55"/>
      <c r="H762" s="12"/>
    </row>
    <row r="763" ht="14.25" customHeight="1">
      <c r="C763" s="19"/>
      <c r="F763" s="19"/>
      <c r="G763" s="55"/>
      <c r="H763" s="12"/>
    </row>
    <row r="764" ht="14.25" customHeight="1">
      <c r="C764" s="19"/>
      <c r="F764" s="19"/>
      <c r="G764" s="55"/>
      <c r="H764" s="12"/>
    </row>
    <row r="765" ht="14.25" customHeight="1">
      <c r="C765" s="19"/>
      <c r="F765" s="19"/>
      <c r="G765" s="55"/>
      <c r="H765" s="12"/>
    </row>
    <row r="766" ht="14.25" customHeight="1">
      <c r="C766" s="19"/>
      <c r="F766" s="19"/>
      <c r="G766" s="55"/>
      <c r="H766" s="12"/>
    </row>
    <row r="767" ht="14.25" customHeight="1">
      <c r="C767" s="19"/>
      <c r="F767" s="19"/>
      <c r="G767" s="55"/>
      <c r="H767" s="12"/>
    </row>
    <row r="768" ht="14.25" customHeight="1">
      <c r="C768" s="19"/>
      <c r="F768" s="19"/>
      <c r="G768" s="55"/>
      <c r="H768" s="12"/>
    </row>
    <row r="769" ht="14.25" customHeight="1">
      <c r="C769" s="19"/>
      <c r="F769" s="19"/>
      <c r="G769" s="55"/>
      <c r="H769" s="12"/>
    </row>
    <row r="770" ht="14.25" customHeight="1">
      <c r="C770" s="19"/>
      <c r="F770" s="19"/>
      <c r="G770" s="55"/>
      <c r="H770" s="12"/>
    </row>
    <row r="771" ht="14.25" customHeight="1">
      <c r="C771" s="19"/>
      <c r="F771" s="19"/>
      <c r="G771" s="55"/>
      <c r="H771" s="12"/>
    </row>
    <row r="772" ht="14.25" customHeight="1">
      <c r="C772" s="19"/>
      <c r="F772" s="19"/>
      <c r="G772" s="55"/>
      <c r="H772" s="12"/>
    </row>
    <row r="773" ht="14.25" customHeight="1">
      <c r="C773" s="19"/>
      <c r="F773" s="19"/>
      <c r="G773" s="55"/>
      <c r="H773" s="12"/>
    </row>
    <row r="774" ht="14.25" customHeight="1">
      <c r="C774" s="19"/>
      <c r="F774" s="19"/>
      <c r="G774" s="55"/>
      <c r="H774" s="12"/>
    </row>
    <row r="775" ht="14.25" customHeight="1">
      <c r="C775" s="19"/>
      <c r="F775" s="19"/>
      <c r="G775" s="55"/>
      <c r="H775" s="12"/>
    </row>
    <row r="776" ht="14.25" customHeight="1">
      <c r="C776" s="19"/>
      <c r="F776" s="19"/>
      <c r="G776" s="55"/>
      <c r="H776" s="12"/>
    </row>
    <row r="777" ht="14.25" customHeight="1">
      <c r="C777" s="19"/>
      <c r="F777" s="19"/>
      <c r="G777" s="55"/>
      <c r="H777" s="12"/>
    </row>
    <row r="778" ht="14.25" customHeight="1">
      <c r="C778" s="19"/>
      <c r="F778" s="19"/>
      <c r="G778" s="55"/>
      <c r="H778" s="12"/>
    </row>
    <row r="779" ht="14.25" customHeight="1">
      <c r="C779" s="19"/>
      <c r="F779" s="19"/>
      <c r="G779" s="55"/>
      <c r="H779" s="12"/>
    </row>
    <row r="780" ht="14.25" customHeight="1">
      <c r="C780" s="19"/>
      <c r="F780" s="19"/>
      <c r="G780" s="55"/>
      <c r="H780" s="12"/>
    </row>
    <row r="781" ht="14.25" customHeight="1">
      <c r="C781" s="19"/>
      <c r="F781" s="19"/>
      <c r="G781" s="55"/>
      <c r="H781" s="12"/>
    </row>
    <row r="782" ht="14.25" customHeight="1">
      <c r="C782" s="19"/>
      <c r="F782" s="19"/>
      <c r="G782" s="55"/>
      <c r="H782" s="12"/>
    </row>
    <row r="783" ht="14.25" customHeight="1">
      <c r="C783" s="19"/>
      <c r="F783" s="19"/>
      <c r="G783" s="55"/>
      <c r="H783" s="12"/>
    </row>
    <row r="784" ht="14.25" customHeight="1">
      <c r="C784" s="19"/>
      <c r="F784" s="19"/>
      <c r="G784" s="55"/>
      <c r="H784" s="12"/>
    </row>
    <row r="785" ht="14.25" customHeight="1">
      <c r="C785" s="19"/>
      <c r="F785" s="19"/>
      <c r="G785" s="55"/>
      <c r="H785" s="12"/>
    </row>
    <row r="786" ht="14.25" customHeight="1">
      <c r="C786" s="19"/>
      <c r="F786" s="19"/>
      <c r="G786" s="55"/>
      <c r="H786" s="12"/>
    </row>
    <row r="787" ht="14.25" customHeight="1">
      <c r="C787" s="19"/>
      <c r="F787" s="19"/>
      <c r="G787" s="55"/>
      <c r="H787" s="12"/>
    </row>
    <row r="788" ht="14.25" customHeight="1">
      <c r="C788" s="19"/>
      <c r="F788" s="19"/>
      <c r="G788" s="55"/>
      <c r="H788" s="12"/>
    </row>
    <row r="789" ht="14.25" customHeight="1">
      <c r="C789" s="19"/>
      <c r="F789" s="19"/>
      <c r="G789" s="55"/>
      <c r="H789" s="12"/>
    </row>
    <row r="790" ht="14.25" customHeight="1">
      <c r="C790" s="19"/>
      <c r="F790" s="19"/>
      <c r="G790" s="55"/>
      <c r="H790" s="12"/>
    </row>
    <row r="791" ht="14.25" customHeight="1">
      <c r="C791" s="19"/>
      <c r="F791" s="19"/>
      <c r="G791" s="55"/>
      <c r="H791" s="12"/>
    </row>
    <row r="792" ht="14.25" customHeight="1">
      <c r="C792" s="19"/>
      <c r="F792" s="19"/>
      <c r="G792" s="55"/>
      <c r="H792" s="12"/>
    </row>
    <row r="793" ht="14.25" customHeight="1">
      <c r="C793" s="19"/>
      <c r="F793" s="19"/>
      <c r="G793" s="55"/>
      <c r="H793" s="12"/>
    </row>
    <row r="794" ht="14.25" customHeight="1">
      <c r="C794" s="19"/>
      <c r="F794" s="19"/>
      <c r="G794" s="55"/>
      <c r="H794" s="12"/>
    </row>
    <row r="795" ht="14.25" customHeight="1">
      <c r="C795" s="19"/>
      <c r="F795" s="19"/>
      <c r="G795" s="55"/>
      <c r="H795" s="12"/>
    </row>
    <row r="796" ht="14.25" customHeight="1">
      <c r="C796" s="19"/>
      <c r="F796" s="19"/>
      <c r="G796" s="55"/>
      <c r="H796" s="12"/>
    </row>
    <row r="797" ht="14.25" customHeight="1">
      <c r="C797" s="19"/>
      <c r="F797" s="19"/>
      <c r="G797" s="55"/>
      <c r="H797" s="12"/>
    </row>
    <row r="798" ht="14.25" customHeight="1">
      <c r="C798" s="19"/>
      <c r="F798" s="19"/>
      <c r="G798" s="55"/>
      <c r="H798" s="12"/>
    </row>
    <row r="799" ht="14.25" customHeight="1">
      <c r="C799" s="19"/>
      <c r="F799" s="19"/>
      <c r="G799" s="55"/>
      <c r="H799" s="12"/>
    </row>
    <row r="800" ht="14.25" customHeight="1">
      <c r="C800" s="19"/>
      <c r="F800" s="19"/>
      <c r="G800" s="55"/>
      <c r="H800" s="12"/>
    </row>
    <row r="801" ht="14.25" customHeight="1">
      <c r="C801" s="19"/>
      <c r="F801" s="19"/>
      <c r="G801" s="55"/>
      <c r="H801" s="12"/>
    </row>
    <row r="802" ht="14.25" customHeight="1">
      <c r="C802" s="19"/>
      <c r="F802" s="19"/>
      <c r="G802" s="55"/>
      <c r="H802" s="12"/>
    </row>
    <row r="803" ht="14.25" customHeight="1">
      <c r="C803" s="19"/>
      <c r="F803" s="19"/>
      <c r="G803" s="55"/>
      <c r="H803" s="12"/>
    </row>
    <row r="804" ht="14.25" customHeight="1">
      <c r="C804" s="19"/>
      <c r="F804" s="19"/>
      <c r="G804" s="55"/>
      <c r="H804" s="12"/>
    </row>
    <row r="805" ht="14.25" customHeight="1">
      <c r="C805" s="19"/>
      <c r="F805" s="19"/>
      <c r="G805" s="55"/>
      <c r="H805" s="12"/>
    </row>
    <row r="806" ht="14.25" customHeight="1">
      <c r="C806" s="19"/>
      <c r="F806" s="19"/>
      <c r="G806" s="55"/>
      <c r="H806" s="12"/>
    </row>
    <row r="807" ht="14.25" customHeight="1">
      <c r="C807" s="19"/>
      <c r="F807" s="19"/>
      <c r="G807" s="55"/>
      <c r="H807" s="12"/>
    </row>
    <row r="808" ht="14.25" customHeight="1">
      <c r="C808" s="19"/>
      <c r="F808" s="19"/>
      <c r="G808" s="55"/>
      <c r="H808" s="12"/>
    </row>
    <row r="809" ht="14.25" customHeight="1">
      <c r="C809" s="19"/>
      <c r="F809" s="19"/>
      <c r="G809" s="55"/>
      <c r="H809" s="12"/>
    </row>
    <row r="810" ht="14.25" customHeight="1">
      <c r="C810" s="19"/>
      <c r="F810" s="19"/>
      <c r="G810" s="55"/>
      <c r="H810" s="12"/>
    </row>
    <row r="811" ht="14.25" customHeight="1">
      <c r="C811" s="19"/>
      <c r="F811" s="19"/>
      <c r="G811" s="55"/>
      <c r="H811" s="12"/>
    </row>
    <row r="812" ht="14.25" customHeight="1">
      <c r="C812" s="19"/>
      <c r="F812" s="19"/>
      <c r="G812" s="55"/>
      <c r="H812" s="12"/>
    </row>
    <row r="813" ht="14.25" customHeight="1">
      <c r="C813" s="19"/>
      <c r="F813" s="19"/>
      <c r="G813" s="55"/>
      <c r="H813" s="12"/>
    </row>
    <row r="814" ht="14.25" customHeight="1">
      <c r="C814" s="19"/>
      <c r="F814" s="19"/>
      <c r="G814" s="55"/>
      <c r="H814" s="12"/>
    </row>
    <row r="815" ht="14.25" customHeight="1">
      <c r="C815" s="19"/>
      <c r="F815" s="19"/>
      <c r="G815" s="55"/>
      <c r="H815" s="12"/>
    </row>
    <row r="816" ht="14.25" customHeight="1">
      <c r="C816" s="19"/>
      <c r="F816" s="19"/>
      <c r="G816" s="55"/>
      <c r="H816" s="12"/>
    </row>
    <row r="817" ht="14.25" customHeight="1">
      <c r="C817" s="19"/>
      <c r="F817" s="19"/>
      <c r="G817" s="55"/>
      <c r="H817" s="12"/>
    </row>
    <row r="818" ht="14.25" customHeight="1">
      <c r="C818" s="19"/>
      <c r="F818" s="19"/>
      <c r="G818" s="55"/>
      <c r="H818" s="12"/>
    </row>
    <row r="819" ht="14.25" customHeight="1">
      <c r="C819" s="19"/>
      <c r="F819" s="19"/>
      <c r="G819" s="55"/>
      <c r="H819" s="12"/>
    </row>
    <row r="820" ht="14.25" customHeight="1">
      <c r="C820" s="19"/>
      <c r="F820" s="19"/>
      <c r="G820" s="55"/>
      <c r="H820" s="12"/>
    </row>
    <row r="821" ht="14.25" customHeight="1">
      <c r="C821" s="19"/>
      <c r="F821" s="19"/>
      <c r="G821" s="55"/>
      <c r="H821" s="12"/>
    </row>
    <row r="822" ht="14.25" customHeight="1">
      <c r="C822" s="19"/>
      <c r="F822" s="19"/>
      <c r="G822" s="55"/>
      <c r="H822" s="12"/>
    </row>
    <row r="823" ht="14.25" customHeight="1">
      <c r="C823" s="19"/>
      <c r="F823" s="19"/>
      <c r="G823" s="55"/>
      <c r="H823" s="12"/>
    </row>
    <row r="824" ht="14.25" customHeight="1">
      <c r="C824" s="19"/>
      <c r="F824" s="19"/>
      <c r="G824" s="55"/>
      <c r="H824" s="12"/>
    </row>
    <row r="825" ht="14.25" customHeight="1">
      <c r="C825" s="19"/>
      <c r="F825" s="19"/>
      <c r="G825" s="55"/>
      <c r="H825" s="12"/>
    </row>
    <row r="826" ht="14.25" customHeight="1">
      <c r="C826" s="19"/>
      <c r="F826" s="19"/>
      <c r="G826" s="55"/>
      <c r="H826" s="12"/>
    </row>
    <row r="827" ht="14.25" customHeight="1">
      <c r="C827" s="19"/>
      <c r="F827" s="19"/>
      <c r="G827" s="55"/>
      <c r="H827" s="12"/>
    </row>
    <row r="828" ht="14.25" customHeight="1">
      <c r="C828" s="19"/>
      <c r="F828" s="19"/>
      <c r="G828" s="55"/>
      <c r="H828" s="12"/>
    </row>
    <row r="829" ht="14.25" customHeight="1">
      <c r="C829" s="19"/>
      <c r="F829" s="19"/>
      <c r="G829" s="55"/>
      <c r="H829" s="12"/>
    </row>
    <row r="830" ht="14.25" customHeight="1">
      <c r="C830" s="19"/>
      <c r="F830" s="19"/>
      <c r="G830" s="55"/>
      <c r="H830" s="12"/>
    </row>
    <row r="831" ht="14.25" customHeight="1">
      <c r="C831" s="19"/>
      <c r="F831" s="19"/>
      <c r="G831" s="55"/>
      <c r="H831" s="12"/>
    </row>
    <row r="832" ht="14.25" customHeight="1">
      <c r="C832" s="19"/>
      <c r="F832" s="19"/>
      <c r="G832" s="55"/>
      <c r="H832" s="12"/>
    </row>
    <row r="833" ht="14.25" customHeight="1">
      <c r="C833" s="19"/>
      <c r="F833" s="19"/>
      <c r="G833" s="55"/>
      <c r="H833" s="12"/>
    </row>
    <row r="834" ht="14.25" customHeight="1">
      <c r="C834" s="19"/>
      <c r="F834" s="19"/>
      <c r="G834" s="55"/>
      <c r="H834" s="12"/>
    </row>
    <row r="835" ht="14.25" customHeight="1">
      <c r="C835" s="19"/>
      <c r="F835" s="19"/>
      <c r="G835" s="55"/>
      <c r="H835" s="12"/>
    </row>
    <row r="836" ht="14.25" customHeight="1">
      <c r="C836" s="19"/>
      <c r="F836" s="19"/>
      <c r="G836" s="55"/>
      <c r="H836" s="12"/>
    </row>
    <row r="837" ht="14.25" customHeight="1">
      <c r="C837" s="19"/>
      <c r="F837" s="19"/>
      <c r="G837" s="55"/>
      <c r="H837" s="12"/>
    </row>
    <row r="838" ht="14.25" customHeight="1">
      <c r="C838" s="19"/>
      <c r="F838" s="19"/>
      <c r="G838" s="55"/>
      <c r="H838" s="12"/>
    </row>
    <row r="839" ht="14.25" customHeight="1">
      <c r="C839" s="19"/>
      <c r="F839" s="19"/>
      <c r="G839" s="55"/>
      <c r="H839" s="12"/>
    </row>
    <row r="840" ht="14.25" customHeight="1">
      <c r="C840" s="19"/>
      <c r="F840" s="19"/>
      <c r="G840" s="55"/>
      <c r="H840" s="12"/>
    </row>
    <row r="841" ht="14.25" customHeight="1">
      <c r="C841" s="19"/>
      <c r="F841" s="19"/>
      <c r="G841" s="55"/>
      <c r="H841" s="12"/>
    </row>
    <row r="842" ht="14.25" customHeight="1">
      <c r="C842" s="19"/>
      <c r="F842" s="19"/>
      <c r="G842" s="55"/>
      <c r="H842" s="12"/>
    </row>
    <row r="843" ht="14.25" customHeight="1">
      <c r="C843" s="19"/>
      <c r="F843" s="19"/>
      <c r="G843" s="55"/>
      <c r="H843" s="12"/>
    </row>
    <row r="844" ht="14.25" customHeight="1">
      <c r="C844" s="19"/>
      <c r="F844" s="19"/>
      <c r="G844" s="55"/>
      <c r="H844" s="12"/>
    </row>
    <row r="845" ht="14.25" customHeight="1">
      <c r="C845" s="19"/>
      <c r="F845" s="19"/>
      <c r="G845" s="55"/>
      <c r="H845" s="12"/>
    </row>
    <row r="846" ht="14.25" customHeight="1">
      <c r="C846" s="19"/>
      <c r="F846" s="19"/>
      <c r="G846" s="55"/>
      <c r="H846" s="12"/>
    </row>
    <row r="847" ht="14.25" customHeight="1">
      <c r="C847" s="19"/>
      <c r="F847" s="19"/>
      <c r="G847" s="55"/>
      <c r="H847" s="12"/>
    </row>
    <row r="848" ht="14.25" customHeight="1">
      <c r="C848" s="19"/>
      <c r="F848" s="19"/>
      <c r="G848" s="55"/>
      <c r="H848" s="12"/>
    </row>
    <row r="849" ht="14.25" customHeight="1">
      <c r="C849" s="19"/>
      <c r="F849" s="19"/>
      <c r="G849" s="55"/>
      <c r="H849" s="12"/>
    </row>
    <row r="850" ht="14.25" customHeight="1">
      <c r="C850" s="19"/>
      <c r="F850" s="19"/>
      <c r="G850" s="55"/>
      <c r="H850" s="12"/>
    </row>
    <row r="851" ht="14.25" customHeight="1">
      <c r="C851" s="19"/>
      <c r="F851" s="19"/>
      <c r="G851" s="55"/>
      <c r="H851" s="12"/>
    </row>
    <row r="852" ht="14.25" customHeight="1">
      <c r="C852" s="19"/>
      <c r="F852" s="19"/>
      <c r="G852" s="55"/>
      <c r="H852" s="12"/>
    </row>
    <row r="853" ht="14.25" customHeight="1">
      <c r="C853" s="19"/>
      <c r="F853" s="19"/>
      <c r="G853" s="55"/>
      <c r="H853" s="12"/>
    </row>
    <row r="854" ht="14.25" customHeight="1">
      <c r="C854" s="19"/>
      <c r="F854" s="19"/>
      <c r="G854" s="55"/>
      <c r="H854" s="12"/>
    </row>
    <row r="855" ht="14.25" customHeight="1">
      <c r="C855" s="19"/>
      <c r="F855" s="19"/>
      <c r="G855" s="55"/>
      <c r="H855" s="12"/>
    </row>
    <row r="856" ht="14.25" customHeight="1">
      <c r="C856" s="19"/>
      <c r="F856" s="19"/>
      <c r="G856" s="55"/>
      <c r="H856" s="12"/>
    </row>
    <row r="857" ht="14.25" customHeight="1">
      <c r="C857" s="19"/>
      <c r="F857" s="19"/>
      <c r="G857" s="55"/>
      <c r="H857" s="12"/>
    </row>
    <row r="858" ht="14.25" customHeight="1">
      <c r="C858" s="19"/>
      <c r="F858" s="19"/>
      <c r="G858" s="55"/>
      <c r="H858" s="12"/>
    </row>
    <row r="859" ht="14.25" customHeight="1">
      <c r="C859" s="19"/>
      <c r="F859" s="19"/>
      <c r="G859" s="55"/>
      <c r="H859" s="12"/>
    </row>
    <row r="860" ht="14.25" customHeight="1">
      <c r="C860" s="19"/>
      <c r="F860" s="19"/>
      <c r="G860" s="55"/>
      <c r="H860" s="12"/>
    </row>
    <row r="861" ht="14.25" customHeight="1">
      <c r="C861" s="19"/>
      <c r="F861" s="19"/>
      <c r="G861" s="55"/>
      <c r="H861" s="12"/>
    </row>
    <row r="862" ht="14.25" customHeight="1">
      <c r="C862" s="19"/>
      <c r="F862" s="19"/>
      <c r="G862" s="55"/>
      <c r="H862" s="12"/>
    </row>
    <row r="863" ht="14.25" customHeight="1">
      <c r="C863" s="19"/>
      <c r="F863" s="19"/>
      <c r="G863" s="55"/>
      <c r="H863" s="12"/>
    </row>
    <row r="864" ht="14.25" customHeight="1">
      <c r="C864" s="19"/>
      <c r="F864" s="19"/>
      <c r="G864" s="55"/>
      <c r="H864" s="12"/>
    </row>
    <row r="865" ht="14.25" customHeight="1">
      <c r="C865" s="19"/>
      <c r="F865" s="19"/>
      <c r="G865" s="55"/>
      <c r="H865" s="12"/>
    </row>
    <row r="866" ht="14.25" customHeight="1">
      <c r="C866" s="19"/>
      <c r="F866" s="19"/>
      <c r="G866" s="55"/>
      <c r="H866" s="12"/>
    </row>
    <row r="867" ht="14.25" customHeight="1">
      <c r="C867" s="19"/>
      <c r="F867" s="19"/>
      <c r="G867" s="55"/>
      <c r="H867" s="12"/>
    </row>
    <row r="868" ht="14.25" customHeight="1">
      <c r="C868" s="19"/>
      <c r="F868" s="19"/>
      <c r="G868" s="55"/>
      <c r="H868" s="12"/>
    </row>
    <row r="869" ht="14.25" customHeight="1">
      <c r="C869" s="19"/>
      <c r="F869" s="19"/>
      <c r="G869" s="55"/>
      <c r="H869" s="12"/>
    </row>
    <row r="870" ht="14.25" customHeight="1">
      <c r="C870" s="19"/>
      <c r="F870" s="19"/>
      <c r="G870" s="55"/>
      <c r="H870" s="12"/>
    </row>
    <row r="871" ht="14.25" customHeight="1">
      <c r="C871" s="19"/>
      <c r="F871" s="19"/>
      <c r="G871" s="55"/>
      <c r="H871" s="12"/>
    </row>
    <row r="872" ht="14.25" customHeight="1">
      <c r="C872" s="19"/>
      <c r="F872" s="19"/>
      <c r="G872" s="55"/>
      <c r="H872" s="12"/>
    </row>
    <row r="873" ht="14.25" customHeight="1">
      <c r="C873" s="19"/>
      <c r="F873" s="19"/>
      <c r="G873" s="55"/>
      <c r="H873" s="12"/>
    </row>
    <row r="874" ht="14.25" customHeight="1">
      <c r="C874" s="19"/>
      <c r="F874" s="19"/>
      <c r="G874" s="55"/>
      <c r="H874" s="12"/>
    </row>
    <row r="875" ht="14.25" customHeight="1">
      <c r="C875" s="19"/>
      <c r="F875" s="19"/>
      <c r="G875" s="55"/>
      <c r="H875" s="12"/>
    </row>
    <row r="876" ht="14.25" customHeight="1">
      <c r="C876" s="19"/>
      <c r="F876" s="19"/>
      <c r="G876" s="55"/>
      <c r="H876" s="12"/>
    </row>
    <row r="877" ht="14.25" customHeight="1">
      <c r="C877" s="19"/>
      <c r="F877" s="19"/>
      <c r="G877" s="55"/>
      <c r="H877" s="12"/>
    </row>
    <row r="878" ht="14.25" customHeight="1">
      <c r="C878" s="19"/>
      <c r="F878" s="19"/>
      <c r="G878" s="55"/>
      <c r="H878" s="12"/>
    </row>
    <row r="879" ht="14.25" customHeight="1">
      <c r="C879" s="19"/>
      <c r="F879" s="19"/>
      <c r="G879" s="55"/>
      <c r="H879" s="12"/>
    </row>
    <row r="880" ht="14.25" customHeight="1">
      <c r="C880" s="19"/>
      <c r="F880" s="19"/>
      <c r="G880" s="55"/>
      <c r="H880" s="12"/>
    </row>
    <row r="881" ht="14.25" customHeight="1">
      <c r="C881" s="19"/>
      <c r="F881" s="19"/>
      <c r="G881" s="55"/>
      <c r="H881" s="12"/>
    </row>
    <row r="882" ht="14.25" customHeight="1">
      <c r="C882" s="19"/>
      <c r="F882" s="19"/>
      <c r="G882" s="55"/>
      <c r="H882" s="12"/>
    </row>
    <row r="883" ht="14.25" customHeight="1">
      <c r="C883" s="19"/>
      <c r="F883" s="19"/>
      <c r="G883" s="55"/>
      <c r="H883" s="12"/>
    </row>
    <row r="884" ht="14.25" customHeight="1">
      <c r="C884" s="19"/>
      <c r="F884" s="19"/>
      <c r="G884" s="55"/>
      <c r="H884" s="12"/>
    </row>
    <row r="885" ht="14.25" customHeight="1">
      <c r="C885" s="19"/>
      <c r="F885" s="19"/>
      <c r="G885" s="55"/>
      <c r="H885" s="12"/>
    </row>
    <row r="886" ht="14.25" customHeight="1">
      <c r="C886" s="19"/>
      <c r="F886" s="19"/>
      <c r="G886" s="55"/>
      <c r="H886" s="12"/>
    </row>
    <row r="887" ht="14.25" customHeight="1">
      <c r="C887" s="19"/>
      <c r="F887" s="19"/>
      <c r="G887" s="55"/>
      <c r="H887" s="12"/>
    </row>
    <row r="888" ht="14.25" customHeight="1">
      <c r="C888" s="19"/>
      <c r="F888" s="19"/>
      <c r="G888" s="55"/>
      <c r="H888" s="12"/>
    </row>
    <row r="889" ht="14.25" customHeight="1">
      <c r="C889" s="19"/>
      <c r="F889" s="19"/>
      <c r="G889" s="55"/>
      <c r="H889" s="12"/>
    </row>
    <row r="890" ht="14.25" customHeight="1">
      <c r="C890" s="19"/>
      <c r="F890" s="19"/>
      <c r="G890" s="55"/>
      <c r="H890" s="12"/>
    </row>
    <row r="891" ht="14.25" customHeight="1">
      <c r="C891" s="19"/>
      <c r="F891" s="19"/>
      <c r="G891" s="55"/>
      <c r="H891" s="12"/>
    </row>
    <row r="892" ht="14.25" customHeight="1">
      <c r="C892" s="19"/>
      <c r="F892" s="19"/>
      <c r="G892" s="55"/>
      <c r="H892" s="12"/>
    </row>
    <row r="893" ht="14.25" customHeight="1">
      <c r="C893" s="19"/>
      <c r="F893" s="19"/>
      <c r="G893" s="55"/>
      <c r="H893" s="12"/>
    </row>
    <row r="894" ht="14.25" customHeight="1">
      <c r="C894" s="19"/>
      <c r="F894" s="19"/>
      <c r="G894" s="55"/>
      <c r="H894" s="12"/>
    </row>
    <row r="895" ht="14.25" customHeight="1">
      <c r="C895" s="19"/>
      <c r="F895" s="19"/>
      <c r="G895" s="55"/>
      <c r="H895" s="12"/>
    </row>
    <row r="896" ht="14.25" customHeight="1">
      <c r="C896" s="19"/>
      <c r="F896" s="19"/>
      <c r="G896" s="55"/>
      <c r="H896" s="12"/>
    </row>
    <row r="897" ht="14.25" customHeight="1">
      <c r="C897" s="19"/>
      <c r="F897" s="19"/>
      <c r="G897" s="55"/>
      <c r="H897" s="12"/>
    </row>
    <row r="898" ht="14.25" customHeight="1">
      <c r="C898" s="19"/>
      <c r="F898" s="19"/>
      <c r="G898" s="55"/>
      <c r="H898" s="12"/>
    </row>
    <row r="899" ht="14.25" customHeight="1">
      <c r="C899" s="19"/>
      <c r="F899" s="19"/>
      <c r="G899" s="55"/>
      <c r="H899" s="12"/>
    </row>
    <row r="900" ht="14.25" customHeight="1">
      <c r="C900" s="19"/>
      <c r="F900" s="19"/>
      <c r="G900" s="55"/>
      <c r="H900" s="12"/>
    </row>
    <row r="901" ht="14.25" customHeight="1">
      <c r="C901" s="19"/>
      <c r="F901" s="19"/>
      <c r="G901" s="55"/>
      <c r="H901" s="12"/>
    </row>
    <row r="902" ht="14.25" customHeight="1">
      <c r="C902" s="19"/>
      <c r="F902" s="19"/>
      <c r="G902" s="55"/>
      <c r="H902" s="12"/>
    </row>
    <row r="903" ht="14.25" customHeight="1">
      <c r="C903" s="19"/>
      <c r="F903" s="19"/>
      <c r="G903" s="55"/>
      <c r="H903" s="12"/>
    </row>
    <row r="904" ht="14.25" customHeight="1">
      <c r="C904" s="19"/>
      <c r="F904" s="19"/>
      <c r="G904" s="55"/>
      <c r="H904" s="12"/>
    </row>
    <row r="905" ht="14.25" customHeight="1">
      <c r="C905" s="19"/>
      <c r="F905" s="19"/>
      <c r="G905" s="55"/>
      <c r="H905" s="12"/>
    </row>
    <row r="906" ht="14.25" customHeight="1">
      <c r="C906" s="19"/>
      <c r="F906" s="19"/>
      <c r="G906" s="55"/>
      <c r="H906" s="12"/>
    </row>
    <row r="907" ht="14.25" customHeight="1">
      <c r="C907" s="19"/>
      <c r="F907" s="19"/>
      <c r="G907" s="55"/>
      <c r="H907" s="12"/>
    </row>
    <row r="908" ht="14.25" customHeight="1">
      <c r="C908" s="19"/>
      <c r="F908" s="19"/>
      <c r="G908" s="55"/>
      <c r="H908" s="12"/>
    </row>
    <row r="909" ht="14.25" customHeight="1">
      <c r="C909" s="19"/>
      <c r="F909" s="19"/>
      <c r="G909" s="55"/>
      <c r="H909" s="12"/>
    </row>
    <row r="910" ht="14.25" customHeight="1">
      <c r="C910" s="19"/>
      <c r="F910" s="19"/>
      <c r="G910" s="55"/>
      <c r="H910" s="12"/>
    </row>
    <row r="911" ht="14.25" customHeight="1">
      <c r="C911" s="19"/>
      <c r="F911" s="19"/>
      <c r="G911" s="55"/>
      <c r="H911" s="12"/>
    </row>
    <row r="912" ht="14.25" customHeight="1">
      <c r="C912" s="19"/>
      <c r="F912" s="19"/>
      <c r="G912" s="55"/>
      <c r="H912" s="12"/>
    </row>
    <row r="913" ht="14.25" customHeight="1">
      <c r="C913" s="19"/>
      <c r="F913" s="19"/>
      <c r="G913" s="55"/>
      <c r="H913" s="12"/>
    </row>
    <row r="914" ht="14.25" customHeight="1">
      <c r="C914" s="19"/>
      <c r="F914" s="19"/>
      <c r="G914" s="55"/>
      <c r="H914" s="12"/>
    </row>
    <row r="915" ht="14.25" customHeight="1">
      <c r="C915" s="19"/>
      <c r="F915" s="19"/>
      <c r="G915" s="55"/>
      <c r="H915" s="12"/>
    </row>
    <row r="916" ht="14.25" customHeight="1">
      <c r="C916" s="19"/>
      <c r="F916" s="19"/>
      <c r="G916" s="55"/>
      <c r="H916" s="12"/>
    </row>
    <row r="917" ht="14.25" customHeight="1">
      <c r="C917" s="19"/>
      <c r="F917" s="19"/>
      <c r="G917" s="55"/>
      <c r="H917" s="12"/>
    </row>
    <row r="918" ht="14.25" customHeight="1">
      <c r="C918" s="19"/>
      <c r="F918" s="19"/>
      <c r="G918" s="55"/>
      <c r="H918" s="12"/>
    </row>
    <row r="919" ht="14.25" customHeight="1">
      <c r="C919" s="19"/>
      <c r="F919" s="19"/>
      <c r="G919" s="55"/>
      <c r="H919" s="12"/>
    </row>
    <row r="920" ht="14.25" customHeight="1">
      <c r="C920" s="19"/>
      <c r="F920" s="19"/>
      <c r="G920" s="55"/>
      <c r="H920" s="12"/>
    </row>
    <row r="921" ht="14.25" customHeight="1">
      <c r="C921" s="19"/>
      <c r="F921" s="19"/>
      <c r="G921" s="55"/>
      <c r="H921" s="12"/>
    </row>
    <row r="922" ht="14.25" customHeight="1">
      <c r="C922" s="19"/>
      <c r="F922" s="19"/>
      <c r="G922" s="55"/>
      <c r="H922" s="12"/>
    </row>
    <row r="923" ht="14.25" customHeight="1">
      <c r="C923" s="19"/>
      <c r="F923" s="19"/>
      <c r="G923" s="55"/>
      <c r="H923" s="12"/>
    </row>
    <row r="924" ht="14.25" customHeight="1">
      <c r="C924" s="19"/>
      <c r="F924" s="19"/>
      <c r="G924" s="55"/>
      <c r="H924" s="12"/>
    </row>
    <row r="925" ht="14.25" customHeight="1">
      <c r="C925" s="19"/>
      <c r="F925" s="19"/>
      <c r="G925" s="55"/>
      <c r="H925" s="12"/>
    </row>
    <row r="926" ht="14.25" customHeight="1">
      <c r="C926" s="19"/>
      <c r="F926" s="19"/>
      <c r="G926" s="55"/>
      <c r="H926" s="12"/>
    </row>
    <row r="927" ht="14.25" customHeight="1">
      <c r="C927" s="19"/>
      <c r="F927" s="19"/>
      <c r="G927" s="55"/>
      <c r="H927" s="12"/>
    </row>
    <row r="928" ht="14.25" customHeight="1">
      <c r="C928" s="19"/>
      <c r="F928" s="19"/>
      <c r="G928" s="55"/>
      <c r="H928" s="12"/>
    </row>
    <row r="929" ht="14.25" customHeight="1">
      <c r="C929" s="19"/>
      <c r="F929" s="19"/>
      <c r="G929" s="55"/>
      <c r="H929" s="12"/>
    </row>
    <row r="930" ht="14.25" customHeight="1">
      <c r="C930" s="19"/>
      <c r="F930" s="19"/>
      <c r="G930" s="55"/>
      <c r="H930" s="12"/>
    </row>
    <row r="931" ht="14.25" customHeight="1">
      <c r="C931" s="19"/>
      <c r="F931" s="19"/>
      <c r="G931" s="55"/>
      <c r="H931" s="12"/>
    </row>
    <row r="932" ht="14.25" customHeight="1">
      <c r="C932" s="19"/>
      <c r="F932" s="19"/>
      <c r="G932" s="55"/>
      <c r="H932" s="12"/>
    </row>
    <row r="933" ht="14.25" customHeight="1">
      <c r="C933" s="19"/>
      <c r="F933" s="19"/>
      <c r="G933" s="55"/>
      <c r="H933" s="12"/>
    </row>
    <row r="934" ht="14.25" customHeight="1">
      <c r="C934" s="19"/>
      <c r="F934" s="19"/>
      <c r="G934" s="55"/>
      <c r="H934" s="12"/>
    </row>
    <row r="935" ht="14.25" customHeight="1">
      <c r="C935" s="19"/>
      <c r="F935" s="19"/>
      <c r="G935" s="55"/>
      <c r="H935" s="12"/>
    </row>
    <row r="936" ht="14.25" customHeight="1">
      <c r="C936" s="19"/>
      <c r="F936" s="19"/>
      <c r="G936" s="55"/>
      <c r="H936" s="12"/>
    </row>
    <row r="937" ht="14.25" customHeight="1">
      <c r="C937" s="19"/>
      <c r="F937" s="19"/>
      <c r="G937" s="55"/>
      <c r="H937" s="12"/>
    </row>
    <row r="938" ht="14.25" customHeight="1">
      <c r="C938" s="19"/>
      <c r="F938" s="19"/>
      <c r="G938" s="55"/>
      <c r="H938" s="12"/>
    </row>
    <row r="939" ht="14.25" customHeight="1">
      <c r="C939" s="19"/>
      <c r="F939" s="19"/>
      <c r="G939" s="55"/>
      <c r="H939" s="12"/>
    </row>
    <row r="940" ht="14.25" customHeight="1">
      <c r="C940" s="19"/>
      <c r="F940" s="19"/>
      <c r="G940" s="55"/>
      <c r="H940" s="12"/>
    </row>
    <row r="941" ht="14.25" customHeight="1">
      <c r="C941" s="19"/>
      <c r="F941" s="19"/>
      <c r="G941" s="55"/>
      <c r="H941" s="12"/>
    </row>
    <row r="942" ht="14.25" customHeight="1">
      <c r="C942" s="19"/>
      <c r="F942" s="19"/>
      <c r="G942" s="55"/>
      <c r="H942" s="12"/>
    </row>
    <row r="943" ht="14.25" customHeight="1">
      <c r="C943" s="19"/>
      <c r="F943" s="19"/>
      <c r="G943" s="55"/>
      <c r="H943" s="12"/>
    </row>
    <row r="944" ht="14.25" customHeight="1">
      <c r="C944" s="19"/>
      <c r="F944" s="19"/>
      <c r="G944" s="55"/>
      <c r="H944" s="12"/>
    </row>
    <row r="945" ht="14.25" customHeight="1">
      <c r="C945" s="19"/>
      <c r="F945" s="19"/>
      <c r="G945" s="55"/>
      <c r="H945" s="12"/>
    </row>
    <row r="946" ht="14.25" customHeight="1">
      <c r="C946" s="19"/>
      <c r="F946" s="19"/>
      <c r="G946" s="55"/>
      <c r="H946" s="12"/>
    </row>
    <row r="947" ht="14.25" customHeight="1">
      <c r="C947" s="19"/>
      <c r="F947" s="19"/>
      <c r="G947" s="55"/>
      <c r="H947" s="12"/>
    </row>
    <row r="948" ht="14.25" customHeight="1">
      <c r="C948" s="19"/>
      <c r="F948" s="19"/>
      <c r="G948" s="55"/>
      <c r="H948" s="12"/>
    </row>
    <row r="949" ht="14.25" customHeight="1">
      <c r="C949" s="19"/>
      <c r="F949" s="19"/>
      <c r="G949" s="55"/>
      <c r="H949" s="12"/>
    </row>
    <row r="950" ht="14.25" customHeight="1">
      <c r="C950" s="19"/>
      <c r="F950" s="19"/>
      <c r="G950" s="55"/>
      <c r="H950" s="12"/>
    </row>
    <row r="951" ht="14.25" customHeight="1">
      <c r="C951" s="19"/>
      <c r="F951" s="19"/>
      <c r="G951" s="55"/>
      <c r="H951" s="12"/>
    </row>
    <row r="952" ht="14.25" customHeight="1">
      <c r="C952" s="19"/>
      <c r="F952" s="19"/>
      <c r="G952" s="55"/>
      <c r="H952" s="12"/>
    </row>
    <row r="953" ht="14.25" customHeight="1">
      <c r="C953" s="19"/>
      <c r="F953" s="19"/>
      <c r="G953" s="55"/>
      <c r="H953" s="12"/>
    </row>
    <row r="954" ht="14.25" customHeight="1">
      <c r="C954" s="19"/>
      <c r="F954" s="19"/>
      <c r="G954" s="55"/>
      <c r="H954" s="12"/>
    </row>
    <row r="955" ht="14.25" customHeight="1">
      <c r="C955" s="19"/>
      <c r="F955" s="19"/>
      <c r="G955" s="55"/>
      <c r="H955" s="12"/>
    </row>
    <row r="956" ht="14.25" customHeight="1">
      <c r="C956" s="19"/>
      <c r="F956" s="19"/>
      <c r="G956" s="55"/>
      <c r="H956" s="12"/>
    </row>
    <row r="957" ht="14.25" customHeight="1">
      <c r="C957" s="19"/>
      <c r="F957" s="19"/>
      <c r="G957" s="55"/>
      <c r="H957" s="12"/>
    </row>
    <row r="958" ht="14.25" customHeight="1">
      <c r="C958" s="19"/>
      <c r="F958" s="19"/>
      <c r="G958" s="55"/>
      <c r="H958" s="12"/>
    </row>
    <row r="959" ht="14.25" customHeight="1">
      <c r="C959" s="19"/>
      <c r="F959" s="19"/>
      <c r="G959" s="55"/>
      <c r="H959" s="12"/>
    </row>
    <row r="960" ht="14.25" customHeight="1">
      <c r="C960" s="19"/>
      <c r="F960" s="19"/>
      <c r="G960" s="55"/>
      <c r="H960" s="12"/>
    </row>
    <row r="961" ht="14.25" customHeight="1">
      <c r="C961" s="19"/>
      <c r="F961" s="19"/>
      <c r="G961" s="55"/>
      <c r="H961" s="12"/>
    </row>
    <row r="962" ht="14.25" customHeight="1">
      <c r="C962" s="19"/>
      <c r="F962" s="19"/>
      <c r="G962" s="55"/>
      <c r="H962" s="12"/>
    </row>
    <row r="963" ht="14.25" customHeight="1">
      <c r="C963" s="19"/>
      <c r="F963" s="19"/>
      <c r="G963" s="55"/>
      <c r="H963" s="12"/>
    </row>
    <row r="964" ht="14.25" customHeight="1">
      <c r="C964" s="19"/>
      <c r="F964" s="19"/>
      <c r="G964" s="55"/>
      <c r="H964" s="12"/>
    </row>
    <row r="965" ht="14.25" customHeight="1">
      <c r="C965" s="19"/>
      <c r="F965" s="19"/>
      <c r="G965" s="55"/>
      <c r="H965" s="12"/>
    </row>
    <row r="966" ht="14.25" customHeight="1">
      <c r="C966" s="19"/>
      <c r="F966" s="19"/>
      <c r="G966" s="55"/>
      <c r="H966" s="12"/>
    </row>
    <row r="967" ht="14.25" customHeight="1">
      <c r="C967" s="19"/>
      <c r="F967" s="19"/>
      <c r="G967" s="55"/>
      <c r="H967" s="12"/>
    </row>
    <row r="968" ht="14.25" customHeight="1">
      <c r="C968" s="19"/>
      <c r="F968" s="19"/>
      <c r="G968" s="55"/>
      <c r="H968" s="12"/>
    </row>
    <row r="969" ht="14.25" customHeight="1">
      <c r="C969" s="19"/>
      <c r="F969" s="19"/>
      <c r="G969" s="55"/>
      <c r="H969" s="12"/>
    </row>
    <row r="970" ht="14.25" customHeight="1">
      <c r="C970" s="19"/>
      <c r="F970" s="19"/>
      <c r="G970" s="55"/>
      <c r="H970" s="12"/>
    </row>
    <row r="971" ht="14.25" customHeight="1">
      <c r="C971" s="19"/>
      <c r="F971" s="19"/>
      <c r="G971" s="55"/>
      <c r="H971" s="12"/>
    </row>
    <row r="972" ht="14.25" customHeight="1">
      <c r="C972" s="19"/>
      <c r="F972" s="19"/>
      <c r="G972" s="55"/>
      <c r="H972" s="12"/>
    </row>
    <row r="973" ht="14.25" customHeight="1">
      <c r="C973" s="19"/>
      <c r="F973" s="19"/>
      <c r="G973" s="55"/>
      <c r="H973" s="12"/>
    </row>
    <row r="974" ht="14.25" customHeight="1">
      <c r="C974" s="19"/>
      <c r="F974" s="19"/>
      <c r="G974" s="55"/>
      <c r="H974" s="12"/>
    </row>
    <row r="975" ht="14.25" customHeight="1">
      <c r="C975" s="19"/>
      <c r="F975" s="19"/>
      <c r="G975" s="55"/>
      <c r="H975" s="12"/>
    </row>
    <row r="976" ht="14.25" customHeight="1">
      <c r="C976" s="19"/>
      <c r="F976" s="19"/>
      <c r="G976" s="55"/>
      <c r="H976" s="12"/>
    </row>
    <row r="977" ht="14.25" customHeight="1">
      <c r="C977" s="19"/>
      <c r="F977" s="19"/>
      <c r="G977" s="55"/>
      <c r="H977" s="12"/>
    </row>
    <row r="978" ht="14.25" customHeight="1">
      <c r="C978" s="19"/>
      <c r="F978" s="19"/>
      <c r="G978" s="55"/>
      <c r="H978" s="12"/>
    </row>
    <row r="979" ht="14.25" customHeight="1">
      <c r="C979" s="19"/>
      <c r="F979" s="19"/>
      <c r="G979" s="55"/>
      <c r="H979" s="12"/>
    </row>
    <row r="980" ht="14.25" customHeight="1">
      <c r="C980" s="19"/>
      <c r="F980" s="19"/>
      <c r="G980" s="55"/>
      <c r="H980" s="12"/>
    </row>
    <row r="981" ht="14.25" customHeight="1">
      <c r="C981" s="19"/>
      <c r="F981" s="19"/>
      <c r="G981" s="55"/>
      <c r="H981" s="12"/>
    </row>
    <row r="982" ht="14.25" customHeight="1">
      <c r="C982" s="19"/>
      <c r="F982" s="19"/>
      <c r="G982" s="55"/>
      <c r="H982" s="12"/>
    </row>
    <row r="983" ht="14.25" customHeight="1">
      <c r="C983" s="19"/>
      <c r="F983" s="19"/>
      <c r="G983" s="55"/>
      <c r="H983" s="12"/>
    </row>
    <row r="984" ht="14.25" customHeight="1">
      <c r="C984" s="19"/>
      <c r="F984" s="19"/>
      <c r="G984" s="55"/>
      <c r="H984" s="12"/>
    </row>
    <row r="985" ht="14.25" customHeight="1">
      <c r="C985" s="19"/>
      <c r="F985" s="19"/>
      <c r="G985" s="55"/>
      <c r="H985" s="12"/>
    </row>
    <row r="986" ht="14.25" customHeight="1">
      <c r="C986" s="19"/>
      <c r="F986" s="19"/>
      <c r="G986" s="55"/>
      <c r="H986" s="12"/>
    </row>
    <row r="987" ht="14.25" customHeight="1">
      <c r="C987" s="19"/>
      <c r="F987" s="19"/>
      <c r="G987" s="55"/>
      <c r="H987" s="12"/>
    </row>
    <row r="988" ht="14.25" customHeight="1">
      <c r="C988" s="19"/>
      <c r="F988" s="19"/>
      <c r="G988" s="55"/>
      <c r="H988" s="12"/>
    </row>
    <row r="989" ht="14.25" customHeight="1">
      <c r="C989" s="19"/>
      <c r="F989" s="19"/>
      <c r="G989" s="55"/>
      <c r="H989" s="12"/>
    </row>
    <row r="990" ht="14.25" customHeight="1">
      <c r="C990" s="19"/>
      <c r="F990" s="19"/>
      <c r="G990" s="55"/>
      <c r="H990" s="12"/>
    </row>
    <row r="991" ht="14.25" customHeight="1">
      <c r="C991" s="19"/>
      <c r="F991" s="19"/>
      <c r="G991" s="55"/>
      <c r="H991" s="12"/>
    </row>
    <row r="992" ht="14.25" customHeight="1">
      <c r="C992" s="19"/>
      <c r="F992" s="19"/>
      <c r="G992" s="55"/>
      <c r="H992" s="12"/>
    </row>
    <row r="993" ht="14.25" customHeight="1">
      <c r="C993" s="19"/>
      <c r="F993" s="19"/>
      <c r="G993" s="55"/>
      <c r="H993" s="12"/>
    </row>
    <row r="994" ht="14.25" customHeight="1">
      <c r="C994" s="19"/>
      <c r="F994" s="19"/>
      <c r="G994" s="55"/>
      <c r="H994" s="12"/>
    </row>
    <row r="995" ht="14.25" customHeight="1">
      <c r="C995" s="19"/>
      <c r="F995" s="19"/>
      <c r="G995" s="55"/>
      <c r="H995" s="12"/>
    </row>
    <row r="996" ht="14.25" customHeight="1">
      <c r="C996" s="19"/>
      <c r="F996" s="19"/>
      <c r="G996" s="55"/>
      <c r="H996" s="12"/>
    </row>
    <row r="997" ht="14.25" customHeight="1">
      <c r="C997" s="19"/>
      <c r="F997" s="19"/>
      <c r="G997" s="55"/>
      <c r="H997" s="12"/>
    </row>
    <row r="998" ht="14.25" customHeight="1">
      <c r="C998" s="19"/>
      <c r="F998" s="19"/>
      <c r="G998" s="55"/>
      <c r="H998" s="12"/>
    </row>
    <row r="999" ht="14.25" customHeight="1">
      <c r="C999" s="19"/>
      <c r="F999" s="19"/>
      <c r="G999" s="55"/>
      <c r="H999" s="12"/>
    </row>
    <row r="1000" ht="14.25" customHeight="1">
      <c r="C1000" s="19"/>
      <c r="F1000" s="19"/>
      <c r="G1000" s="55"/>
      <c r="H1000" s="12"/>
    </row>
    <row r="1001" ht="14.25" customHeight="1">
      <c r="C1001" s="19"/>
      <c r="F1001" s="19"/>
      <c r="G1001" s="55"/>
      <c r="H1001" s="12"/>
    </row>
    <row r="1002" ht="14.25" customHeight="1">
      <c r="C1002" s="19"/>
      <c r="F1002" s="19"/>
      <c r="G1002" s="55"/>
      <c r="H1002" s="12"/>
    </row>
    <row r="1003" ht="14.25" customHeight="1">
      <c r="C1003" s="19"/>
      <c r="F1003" s="19"/>
      <c r="G1003" s="55"/>
      <c r="H1003" s="12"/>
    </row>
    <row r="1004" ht="14.25" customHeight="1">
      <c r="C1004" s="19"/>
      <c r="F1004" s="19"/>
      <c r="G1004" s="55"/>
      <c r="H1004" s="12"/>
    </row>
    <row r="1005" ht="14.25" customHeight="1">
      <c r="C1005" s="19"/>
      <c r="F1005" s="19"/>
      <c r="G1005" s="55"/>
      <c r="H1005" s="12"/>
    </row>
    <row r="1006" ht="14.25" customHeight="1">
      <c r="C1006" s="19"/>
      <c r="F1006" s="19"/>
      <c r="G1006" s="55"/>
      <c r="H1006" s="12"/>
    </row>
  </sheetData>
  <mergeCells count="10">
    <mergeCell ref="F5:G5"/>
    <mergeCell ref="F6:G6"/>
    <mergeCell ref="F47:I47"/>
    <mergeCell ref="A1:F1"/>
    <mergeCell ref="C2:D2"/>
    <mergeCell ref="B3:D3"/>
    <mergeCell ref="F3:G3"/>
    <mergeCell ref="B4:D4"/>
    <mergeCell ref="B5:D5"/>
    <mergeCell ref="B6:D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4" width="28.86"/>
    <col customWidth="1" min="5" max="5" width="40.43"/>
    <col customWidth="1" min="6" max="6" width="23.0"/>
    <col customWidth="1" min="7" max="7" width="22.29"/>
    <col customWidth="1" min="8" max="8" width="10.86"/>
    <col customWidth="1" min="9" max="9" width="10.71"/>
    <col customWidth="1" min="10" max="28" width="8.71"/>
  </cols>
  <sheetData>
    <row r="1" ht="31.5" customHeight="1">
      <c r="A1" s="105" t="s">
        <v>42</v>
      </c>
      <c r="G1" s="55"/>
      <c r="H1" s="12"/>
    </row>
    <row r="2" ht="27.75" customHeight="1">
      <c r="B2" s="19"/>
      <c r="C2" s="106" t="s">
        <v>43</v>
      </c>
      <c r="F2" s="55"/>
      <c r="G2" s="55"/>
      <c r="H2" s="12"/>
    </row>
    <row r="3" ht="14.25" customHeight="1">
      <c r="A3" s="14" t="s">
        <v>44</v>
      </c>
      <c r="B3" s="56" t="s">
        <v>228</v>
      </c>
      <c r="E3" s="14" t="s">
        <v>46</v>
      </c>
      <c r="F3" s="56" t="s">
        <v>229</v>
      </c>
      <c r="H3" s="12"/>
    </row>
    <row r="4" ht="14.25" customHeight="1">
      <c r="A4" s="14" t="s">
        <v>48</v>
      </c>
      <c r="B4" s="56" t="s">
        <v>230</v>
      </c>
      <c r="E4" s="14" t="s">
        <v>105</v>
      </c>
      <c r="F4" s="56">
        <v>8.404251100034E12</v>
      </c>
      <c r="H4" s="12"/>
    </row>
    <row r="5" ht="14.25" customHeight="1">
      <c r="A5" s="14" t="s">
        <v>51</v>
      </c>
      <c r="B5" s="56" t="s">
        <v>231</v>
      </c>
      <c r="E5" s="14" t="s">
        <v>53</v>
      </c>
      <c r="F5" s="56" t="s">
        <v>230</v>
      </c>
      <c r="H5" s="12"/>
    </row>
    <row r="6" ht="14.25" customHeight="1">
      <c r="A6" s="14" t="s">
        <v>54</v>
      </c>
      <c r="B6" s="18"/>
      <c r="E6" s="14" t="s">
        <v>55</v>
      </c>
      <c r="F6" s="56">
        <v>6.2298487151E10</v>
      </c>
      <c r="H6" s="12"/>
    </row>
    <row r="7" ht="14.25" customHeight="1">
      <c r="B7" s="19"/>
      <c r="C7" s="19"/>
      <c r="F7" s="55"/>
      <c r="G7" s="55"/>
      <c r="H7" s="12"/>
    </row>
    <row r="8" ht="14.25" customHeight="1">
      <c r="B8" s="19"/>
      <c r="C8" s="19"/>
      <c r="F8" s="55"/>
      <c r="G8" s="55"/>
      <c r="H8" s="12"/>
    </row>
    <row r="9" ht="14.25" customHeight="1">
      <c r="A9" s="107" t="s">
        <v>56</v>
      </c>
      <c r="B9" s="108" t="s">
        <v>107</v>
      </c>
      <c r="C9" s="109" t="s">
        <v>58</v>
      </c>
      <c r="D9" s="107" t="s">
        <v>59</v>
      </c>
      <c r="E9" s="107" t="s">
        <v>60</v>
      </c>
      <c r="F9" s="108" t="s">
        <v>61</v>
      </c>
      <c r="G9" s="110" t="s">
        <v>62</v>
      </c>
      <c r="H9" s="111" t="s">
        <v>63</v>
      </c>
      <c r="I9" s="107" t="s">
        <v>64</v>
      </c>
    </row>
    <row r="10" ht="14.25" customHeight="1">
      <c r="A10" s="112" t="s">
        <v>232</v>
      </c>
      <c r="B10" s="113">
        <v>7.8132547E7</v>
      </c>
      <c r="C10" s="114"/>
      <c r="D10" s="115"/>
      <c r="E10" s="115"/>
      <c r="F10" s="116">
        <v>4.0</v>
      </c>
      <c r="G10" s="117">
        <v>4.0</v>
      </c>
      <c r="H10" s="118">
        <f t="shared" ref="H10:H41" si="1">G10*200</f>
        <v>800</v>
      </c>
      <c r="I10" s="119"/>
    </row>
    <row r="11" ht="14.25" customHeight="1">
      <c r="A11" s="112" t="s">
        <v>233</v>
      </c>
      <c r="B11" s="120">
        <v>7.6123907E7</v>
      </c>
      <c r="C11" s="114"/>
      <c r="D11" s="115"/>
      <c r="E11" s="115"/>
      <c r="F11" s="121">
        <v>2.0</v>
      </c>
      <c r="G11" s="117">
        <v>2.0</v>
      </c>
      <c r="H11" s="118">
        <f t="shared" si="1"/>
        <v>400</v>
      </c>
      <c r="I11" s="119"/>
    </row>
    <row r="12" ht="14.25" customHeight="1">
      <c r="A12" s="122" t="s">
        <v>234</v>
      </c>
      <c r="B12" s="123">
        <v>7.6151139E7</v>
      </c>
      <c r="C12" s="114"/>
      <c r="D12" s="115"/>
      <c r="E12" s="115"/>
      <c r="F12" s="121">
        <v>2.0</v>
      </c>
      <c r="G12" s="117">
        <v>2.0</v>
      </c>
      <c r="H12" s="118">
        <f t="shared" si="1"/>
        <v>400</v>
      </c>
      <c r="I12" s="119"/>
    </row>
    <row r="13" ht="14.25" customHeight="1">
      <c r="A13" s="122" t="s">
        <v>235</v>
      </c>
      <c r="B13" s="123">
        <v>7.6906856E7</v>
      </c>
      <c r="C13" s="114"/>
      <c r="D13" s="115"/>
      <c r="E13" s="115"/>
      <c r="F13" s="121">
        <v>2.0</v>
      </c>
      <c r="G13" s="117">
        <v>2.0</v>
      </c>
      <c r="H13" s="118">
        <f t="shared" si="1"/>
        <v>400</v>
      </c>
      <c r="I13" s="119"/>
    </row>
    <row r="14" ht="14.25" customHeight="1">
      <c r="A14" s="112" t="s">
        <v>236</v>
      </c>
      <c r="B14" s="123">
        <v>7.8491962E7</v>
      </c>
      <c r="C14" s="114"/>
      <c r="D14" s="115"/>
      <c r="E14" s="115"/>
      <c r="F14" s="121">
        <v>2.0</v>
      </c>
      <c r="G14" s="117">
        <v>2.0</v>
      </c>
      <c r="H14" s="118">
        <f t="shared" si="1"/>
        <v>400</v>
      </c>
      <c r="I14" s="119"/>
    </row>
    <row r="15" ht="14.25" customHeight="1">
      <c r="A15" s="122" t="s">
        <v>237</v>
      </c>
      <c r="B15" s="113">
        <v>7.6976247E7</v>
      </c>
      <c r="C15" s="114"/>
      <c r="D15" s="115"/>
      <c r="E15" s="115"/>
      <c r="F15" s="121">
        <v>1.0</v>
      </c>
      <c r="G15" s="117">
        <v>1.0</v>
      </c>
      <c r="H15" s="118">
        <f t="shared" si="1"/>
        <v>200</v>
      </c>
      <c r="I15" s="119"/>
    </row>
    <row r="16" ht="14.25" customHeight="1">
      <c r="A16" s="124" t="s">
        <v>238</v>
      </c>
      <c r="B16" s="125"/>
      <c r="C16" s="114"/>
      <c r="D16" s="115"/>
      <c r="E16" s="115"/>
      <c r="F16" s="126">
        <v>1.0</v>
      </c>
      <c r="G16" s="117">
        <v>1.0</v>
      </c>
      <c r="H16" s="118">
        <f t="shared" si="1"/>
        <v>200</v>
      </c>
      <c r="I16" s="119"/>
    </row>
    <row r="17" ht="14.25" customHeight="1">
      <c r="A17" s="112" t="s">
        <v>239</v>
      </c>
      <c r="B17" s="123">
        <v>7.6787874E7</v>
      </c>
      <c r="C17" s="114"/>
      <c r="D17" s="115"/>
      <c r="E17" s="115"/>
      <c r="F17" s="121">
        <v>2.0</v>
      </c>
      <c r="G17" s="117">
        <v>2.0</v>
      </c>
      <c r="H17" s="118">
        <f t="shared" si="1"/>
        <v>400</v>
      </c>
      <c r="I17" s="119"/>
    </row>
    <row r="18" ht="14.25" customHeight="1">
      <c r="A18" s="124" t="s">
        <v>240</v>
      </c>
      <c r="B18" s="123">
        <v>7.6036206E7</v>
      </c>
      <c r="C18" s="114"/>
      <c r="D18" s="115"/>
      <c r="E18" s="115"/>
      <c r="F18" s="121">
        <v>2.0</v>
      </c>
      <c r="G18" s="117">
        <v>2.0</v>
      </c>
      <c r="H18" s="118">
        <f t="shared" si="1"/>
        <v>400</v>
      </c>
      <c r="I18" s="119"/>
    </row>
    <row r="19" ht="14.25" customHeight="1">
      <c r="A19" s="112" t="s">
        <v>241</v>
      </c>
      <c r="B19" s="123">
        <v>7.6037243E7</v>
      </c>
      <c r="C19" s="114"/>
      <c r="D19" s="115"/>
      <c r="E19" s="115"/>
      <c r="F19" s="121">
        <v>1.0</v>
      </c>
      <c r="G19" s="117">
        <v>1.0</v>
      </c>
      <c r="H19" s="118">
        <f t="shared" si="1"/>
        <v>200</v>
      </c>
      <c r="I19" s="119"/>
    </row>
    <row r="20" ht="14.25" customHeight="1">
      <c r="A20" s="124" t="s">
        <v>148</v>
      </c>
      <c r="B20" s="32" t="s">
        <v>81</v>
      </c>
      <c r="C20" s="127">
        <v>44937.0</v>
      </c>
      <c r="D20" s="115"/>
      <c r="E20" s="115"/>
      <c r="F20" s="128">
        <v>2.0</v>
      </c>
      <c r="G20" s="117">
        <v>2.0</v>
      </c>
      <c r="H20" s="118">
        <f t="shared" si="1"/>
        <v>400</v>
      </c>
      <c r="I20" s="119"/>
    </row>
    <row r="21" ht="14.25" customHeight="1">
      <c r="A21" s="124" t="s">
        <v>242</v>
      </c>
      <c r="B21" s="32" t="s">
        <v>81</v>
      </c>
      <c r="C21" s="127">
        <v>44937.0</v>
      </c>
      <c r="D21" s="115"/>
      <c r="E21" s="115"/>
      <c r="F21" s="128">
        <v>1.0</v>
      </c>
      <c r="G21" s="117">
        <v>1.0</v>
      </c>
      <c r="H21" s="118">
        <f t="shared" si="1"/>
        <v>200</v>
      </c>
      <c r="I21" s="119"/>
    </row>
    <row r="22" ht="14.25" customHeight="1">
      <c r="A22" s="124" t="s">
        <v>243</v>
      </c>
      <c r="B22" s="32" t="s">
        <v>81</v>
      </c>
      <c r="C22" s="129">
        <v>44968.0</v>
      </c>
      <c r="D22" s="115"/>
      <c r="E22" s="115"/>
      <c r="F22" s="128">
        <v>2.0</v>
      </c>
      <c r="G22" s="117">
        <v>2.0</v>
      </c>
      <c r="H22" s="118">
        <f t="shared" si="1"/>
        <v>400</v>
      </c>
      <c r="I22" s="119"/>
    </row>
    <row r="23" ht="14.25" customHeight="1">
      <c r="A23" s="124" t="s">
        <v>244</v>
      </c>
      <c r="B23" s="32" t="s">
        <v>81</v>
      </c>
      <c r="C23" s="127">
        <v>44968.0</v>
      </c>
      <c r="D23" s="115"/>
      <c r="E23" s="115"/>
      <c r="F23" s="128">
        <v>2.0</v>
      </c>
      <c r="G23" s="117">
        <v>2.0</v>
      </c>
      <c r="H23" s="118">
        <f t="shared" si="1"/>
        <v>400</v>
      </c>
      <c r="I23" s="119"/>
    </row>
    <row r="24" ht="14.25" customHeight="1">
      <c r="A24" s="124" t="s">
        <v>245</v>
      </c>
      <c r="B24" s="32" t="s">
        <v>81</v>
      </c>
      <c r="C24" s="127">
        <v>44968.0</v>
      </c>
      <c r="D24" s="115"/>
      <c r="E24" s="115"/>
      <c r="F24" s="128">
        <v>1.0</v>
      </c>
      <c r="G24" s="117">
        <v>1.0</v>
      </c>
      <c r="H24" s="118">
        <f t="shared" si="1"/>
        <v>200</v>
      </c>
      <c r="I24" s="119"/>
    </row>
    <row r="25" ht="14.25" customHeight="1">
      <c r="A25" s="124" t="s">
        <v>246</v>
      </c>
      <c r="B25" s="32" t="s">
        <v>81</v>
      </c>
      <c r="C25" s="127">
        <v>44968.0</v>
      </c>
      <c r="D25" s="115"/>
      <c r="E25" s="115"/>
      <c r="F25" s="128">
        <v>1.0</v>
      </c>
      <c r="G25" s="117">
        <v>1.0</v>
      </c>
      <c r="H25" s="118">
        <f t="shared" si="1"/>
        <v>200</v>
      </c>
      <c r="I25" s="119"/>
    </row>
    <row r="26" ht="14.25" customHeight="1">
      <c r="A26" s="124" t="s">
        <v>247</v>
      </c>
      <c r="B26" s="32" t="s">
        <v>81</v>
      </c>
      <c r="C26" s="127">
        <v>44968.0</v>
      </c>
      <c r="D26" s="115"/>
      <c r="E26" s="115"/>
      <c r="F26" s="128">
        <v>2.0</v>
      </c>
      <c r="G26" s="117">
        <v>2.0</v>
      </c>
      <c r="H26" s="118">
        <f t="shared" si="1"/>
        <v>400</v>
      </c>
      <c r="I26" s="119"/>
    </row>
    <row r="27" ht="14.25" customHeight="1">
      <c r="A27" s="124" t="s">
        <v>248</v>
      </c>
      <c r="B27" s="123">
        <v>7.6492038E7</v>
      </c>
      <c r="C27" s="114"/>
      <c r="D27" s="115"/>
      <c r="E27" s="115"/>
      <c r="F27" s="128">
        <v>1.0</v>
      </c>
      <c r="G27" s="117">
        <v>1.0</v>
      </c>
      <c r="H27" s="118">
        <f t="shared" si="1"/>
        <v>200</v>
      </c>
      <c r="I27" s="119"/>
    </row>
    <row r="28" ht="14.25" customHeight="1">
      <c r="A28" s="112" t="s">
        <v>249</v>
      </c>
      <c r="B28" s="112">
        <v>7.8646249E7</v>
      </c>
      <c r="C28" s="130">
        <v>44996.0</v>
      </c>
      <c r="D28" s="115"/>
      <c r="E28" s="115"/>
      <c r="F28" s="121">
        <v>3.0</v>
      </c>
      <c r="G28" s="117">
        <v>3.0</v>
      </c>
      <c r="H28" s="118">
        <f t="shared" si="1"/>
        <v>600</v>
      </c>
      <c r="I28" s="119"/>
    </row>
    <row r="29" ht="14.25" customHeight="1">
      <c r="A29" s="112" t="s">
        <v>250</v>
      </c>
      <c r="B29" s="120">
        <v>7.635508E7</v>
      </c>
      <c r="C29" s="130">
        <v>44996.0</v>
      </c>
      <c r="D29" s="115"/>
      <c r="E29" s="115"/>
      <c r="F29" s="121">
        <v>3.0</v>
      </c>
      <c r="G29" s="117">
        <v>3.0</v>
      </c>
      <c r="H29" s="118">
        <f t="shared" si="1"/>
        <v>600</v>
      </c>
      <c r="I29" s="119"/>
    </row>
    <row r="30" ht="14.25" customHeight="1">
      <c r="A30" s="131" t="s">
        <v>251</v>
      </c>
      <c r="B30" s="112" t="s">
        <v>252</v>
      </c>
      <c r="C30" s="132">
        <v>44996.0</v>
      </c>
      <c r="D30" s="115"/>
      <c r="E30" s="115"/>
      <c r="F30" s="121">
        <v>1.0</v>
      </c>
      <c r="G30" s="117">
        <v>1.0</v>
      </c>
      <c r="H30" s="118">
        <f t="shared" si="1"/>
        <v>200</v>
      </c>
      <c r="I30" s="119"/>
    </row>
    <row r="31" ht="14.25" customHeight="1">
      <c r="A31" s="131" t="s">
        <v>253</v>
      </c>
      <c r="B31" s="32" t="s">
        <v>81</v>
      </c>
      <c r="C31" s="133">
        <v>45057.0</v>
      </c>
      <c r="D31" s="115"/>
      <c r="E31" s="115"/>
      <c r="F31" s="121">
        <v>1.0</v>
      </c>
      <c r="G31" s="117">
        <v>1.0</v>
      </c>
      <c r="H31" s="118">
        <f t="shared" si="1"/>
        <v>200</v>
      </c>
      <c r="I31" s="119"/>
    </row>
    <row r="32" ht="14.25" customHeight="1">
      <c r="A32" s="112" t="s">
        <v>254</v>
      </c>
      <c r="B32" s="112">
        <v>7.6419622E7</v>
      </c>
      <c r="C32" s="133">
        <v>45057.0</v>
      </c>
      <c r="D32" s="115"/>
      <c r="E32" s="115"/>
      <c r="F32" s="121">
        <v>1.0</v>
      </c>
      <c r="G32" s="117">
        <v>1.0</v>
      </c>
      <c r="H32" s="118">
        <f t="shared" si="1"/>
        <v>200</v>
      </c>
      <c r="I32" s="119"/>
    </row>
    <row r="33" ht="14.25" customHeight="1">
      <c r="A33" s="112" t="s">
        <v>253</v>
      </c>
      <c r="B33" s="112">
        <v>7.6145091E7</v>
      </c>
      <c r="C33" s="134"/>
      <c r="D33" s="115"/>
      <c r="E33" s="115"/>
      <c r="F33" s="121">
        <v>1.0</v>
      </c>
      <c r="G33" s="117">
        <v>1.0</v>
      </c>
      <c r="H33" s="118">
        <f t="shared" si="1"/>
        <v>200</v>
      </c>
      <c r="I33" s="119"/>
    </row>
    <row r="34" ht="14.25" customHeight="1">
      <c r="A34" s="135" t="s">
        <v>255</v>
      </c>
      <c r="B34" s="112">
        <v>7.6145091E7</v>
      </c>
      <c r="C34" s="134"/>
      <c r="D34" s="115"/>
      <c r="E34" s="115"/>
      <c r="F34" s="121">
        <v>1.0</v>
      </c>
      <c r="G34" s="117">
        <v>1.0</v>
      </c>
      <c r="H34" s="118">
        <f t="shared" si="1"/>
        <v>200</v>
      </c>
      <c r="I34" s="119"/>
    </row>
    <row r="35" ht="14.25" customHeight="1">
      <c r="A35" s="135" t="s">
        <v>256</v>
      </c>
      <c r="B35" s="32" t="s">
        <v>81</v>
      </c>
      <c r="C35" s="134"/>
      <c r="D35" s="115"/>
      <c r="E35" s="115"/>
      <c r="F35" s="121">
        <v>1.0</v>
      </c>
      <c r="G35" s="117">
        <v>1.0</v>
      </c>
      <c r="H35" s="118">
        <f t="shared" si="1"/>
        <v>200</v>
      </c>
      <c r="I35" s="119"/>
    </row>
    <row r="36" ht="14.25" customHeight="1">
      <c r="A36" s="135" t="s">
        <v>241</v>
      </c>
      <c r="B36" s="135">
        <v>7.6037243E7</v>
      </c>
      <c r="C36" s="134"/>
      <c r="D36" s="115"/>
      <c r="E36" s="115"/>
      <c r="F36" s="121">
        <v>1.0</v>
      </c>
      <c r="G36" s="117">
        <v>1.0</v>
      </c>
      <c r="H36" s="118">
        <f t="shared" si="1"/>
        <v>200</v>
      </c>
      <c r="I36" s="119"/>
    </row>
    <row r="37" ht="14.25" customHeight="1">
      <c r="A37" s="135" t="s">
        <v>257</v>
      </c>
      <c r="B37" s="32" t="s">
        <v>81</v>
      </c>
      <c r="C37" s="134"/>
      <c r="D37" s="115"/>
      <c r="E37" s="115"/>
      <c r="F37" s="121">
        <v>1.0</v>
      </c>
      <c r="G37" s="117">
        <v>1.0</v>
      </c>
      <c r="H37" s="118">
        <f t="shared" si="1"/>
        <v>200</v>
      </c>
      <c r="I37" s="119"/>
    </row>
    <row r="38" ht="14.25" customHeight="1">
      <c r="A38" s="135" t="s">
        <v>258</v>
      </c>
      <c r="B38" s="136">
        <v>7.8036057E7</v>
      </c>
      <c r="C38" s="134"/>
      <c r="D38" s="115"/>
      <c r="E38" s="115"/>
      <c r="F38" s="121">
        <v>1.0</v>
      </c>
      <c r="G38" s="117">
        <v>1.0</v>
      </c>
      <c r="H38" s="118">
        <f t="shared" si="1"/>
        <v>200</v>
      </c>
      <c r="I38" s="119"/>
    </row>
    <row r="39" ht="14.25" customHeight="1">
      <c r="A39" s="135" t="s">
        <v>259</v>
      </c>
      <c r="B39" s="32" t="s">
        <v>81</v>
      </c>
      <c r="C39" s="134"/>
      <c r="D39" s="115"/>
      <c r="E39" s="115"/>
      <c r="F39" s="121">
        <v>1.0</v>
      </c>
      <c r="G39" s="117">
        <v>1.0</v>
      </c>
      <c r="H39" s="118">
        <f t="shared" si="1"/>
        <v>200</v>
      </c>
      <c r="I39" s="119"/>
    </row>
    <row r="40" ht="14.25" customHeight="1">
      <c r="A40" s="137" t="s">
        <v>260</v>
      </c>
      <c r="B40" s="137">
        <v>7.61859E7</v>
      </c>
      <c r="C40" s="134"/>
      <c r="D40" s="115"/>
      <c r="E40" s="115"/>
      <c r="F40" s="121">
        <v>1.0</v>
      </c>
      <c r="G40" s="117">
        <v>1.0</v>
      </c>
      <c r="H40" s="118">
        <f t="shared" si="1"/>
        <v>200</v>
      </c>
      <c r="I40" s="119"/>
    </row>
    <row r="41" ht="14.25" customHeight="1">
      <c r="A41" s="137" t="s">
        <v>261</v>
      </c>
      <c r="B41" s="137">
        <v>7.6037203E7</v>
      </c>
      <c r="C41" s="138"/>
      <c r="D41" s="119"/>
      <c r="E41" s="119"/>
      <c r="F41" s="116">
        <v>1.0</v>
      </c>
      <c r="G41" s="117">
        <v>1.0</v>
      </c>
      <c r="H41" s="118">
        <f t="shared" si="1"/>
        <v>200</v>
      </c>
      <c r="I41" s="119"/>
    </row>
    <row r="42" ht="18.75" customHeight="1">
      <c r="A42" s="139"/>
      <c r="B42" s="140"/>
      <c r="C42" s="140"/>
      <c r="D42" s="141"/>
      <c r="E42" s="141" t="s">
        <v>41</v>
      </c>
      <c r="F42" s="142">
        <f t="shared" ref="F42:G42" si="2">SUM(F10:F41)</f>
        <v>49</v>
      </c>
      <c r="G42" s="142">
        <f t="shared" si="2"/>
        <v>49</v>
      </c>
      <c r="H42" s="143">
        <f>SUM(H2:H41)</f>
        <v>9800</v>
      </c>
      <c r="I42" s="144"/>
    </row>
    <row r="43" ht="18.75" customHeight="1">
      <c r="A43" s="139"/>
      <c r="B43" s="145"/>
      <c r="C43" s="145"/>
      <c r="D43" s="139"/>
      <c r="E43" s="146" t="s">
        <v>100</v>
      </c>
      <c r="F43" s="147">
        <f>COUNT(G11:G41)</f>
        <v>31</v>
      </c>
      <c r="G43" s="47"/>
      <c r="H43" s="47"/>
      <c r="I43" s="48"/>
    </row>
    <row r="44" ht="14.25" customHeight="1">
      <c r="B44" s="19"/>
      <c r="C44" s="19"/>
      <c r="F44" s="55"/>
      <c r="G44" s="55"/>
      <c r="H44" s="12"/>
    </row>
    <row r="45" ht="14.25" customHeight="1">
      <c r="B45" s="19"/>
      <c r="C45" s="19"/>
      <c r="D45" s="49" t="s">
        <v>101</v>
      </c>
      <c r="E45" s="50"/>
      <c r="F45" s="55"/>
      <c r="G45" s="55"/>
      <c r="H45" s="12"/>
    </row>
    <row r="46" ht="14.25" customHeight="1">
      <c r="B46" s="19"/>
      <c r="C46" s="19"/>
      <c r="D46" s="51" t="s">
        <v>102</v>
      </c>
      <c r="E46" s="50"/>
      <c r="F46" s="55"/>
      <c r="G46" s="55"/>
      <c r="H46" s="12"/>
    </row>
    <row r="47" ht="14.25" customHeight="1">
      <c r="B47" s="19"/>
      <c r="C47" s="19"/>
      <c r="D47" s="52" t="s">
        <v>58</v>
      </c>
      <c r="E47" s="53"/>
      <c r="F47" s="55"/>
      <c r="G47" s="55"/>
      <c r="H47" s="12"/>
    </row>
    <row r="48" ht="14.25" customHeight="1">
      <c r="B48" s="19"/>
      <c r="C48" s="19"/>
      <c r="F48" s="55"/>
      <c r="G48" s="55"/>
      <c r="H48" s="12"/>
    </row>
    <row r="49" ht="14.25" customHeight="1">
      <c r="B49" s="19"/>
      <c r="C49" s="19"/>
      <c r="F49" s="55"/>
      <c r="G49" s="55"/>
      <c r="H49" s="12"/>
    </row>
    <row r="50" ht="14.25" customHeight="1">
      <c r="B50" s="19"/>
      <c r="C50" s="19"/>
      <c r="F50" s="55"/>
      <c r="G50" s="55"/>
      <c r="H50" s="12"/>
    </row>
    <row r="51" ht="14.25" customHeight="1">
      <c r="B51" s="19"/>
      <c r="C51" s="19"/>
      <c r="F51" s="55"/>
      <c r="G51" s="55"/>
      <c r="H51" s="12"/>
    </row>
    <row r="52" ht="14.25" customHeight="1">
      <c r="B52" s="19"/>
      <c r="C52" s="19"/>
      <c r="F52" s="55"/>
      <c r="G52" s="55"/>
      <c r="H52" s="12"/>
    </row>
    <row r="53" ht="14.25" customHeight="1">
      <c r="B53" s="19"/>
      <c r="C53" s="19"/>
      <c r="F53" s="55"/>
      <c r="G53" s="55"/>
      <c r="H53" s="12"/>
    </row>
    <row r="54" ht="14.25" customHeight="1">
      <c r="B54" s="19"/>
      <c r="C54" s="19"/>
      <c r="F54" s="55"/>
      <c r="G54" s="55"/>
      <c r="H54" s="12"/>
    </row>
    <row r="55" ht="14.25" customHeight="1">
      <c r="B55" s="19"/>
      <c r="C55" s="19"/>
      <c r="F55" s="55"/>
      <c r="G55" s="55"/>
      <c r="H55" s="12"/>
    </row>
    <row r="56" ht="14.25" customHeight="1">
      <c r="B56" s="19"/>
      <c r="C56" s="19"/>
      <c r="F56" s="55"/>
      <c r="G56" s="55"/>
      <c r="H56" s="12"/>
    </row>
    <row r="57" ht="14.25" customHeight="1">
      <c r="B57" s="19"/>
      <c r="C57" s="19"/>
      <c r="F57" s="55"/>
      <c r="G57" s="55"/>
      <c r="H57" s="12"/>
    </row>
    <row r="58" ht="14.25" customHeight="1">
      <c r="B58" s="19"/>
      <c r="C58" s="19"/>
      <c r="F58" s="55"/>
      <c r="G58" s="55"/>
      <c r="H58" s="12"/>
    </row>
    <row r="59" ht="14.25" customHeight="1">
      <c r="B59" s="19"/>
      <c r="C59" s="19"/>
      <c r="F59" s="55"/>
      <c r="G59" s="55"/>
      <c r="H59" s="12"/>
    </row>
    <row r="60" ht="14.25" customHeight="1">
      <c r="B60" s="19"/>
      <c r="C60" s="19"/>
      <c r="F60" s="55"/>
      <c r="G60" s="55"/>
      <c r="H60" s="12"/>
    </row>
    <row r="61" ht="14.25" customHeight="1">
      <c r="B61" s="19"/>
      <c r="C61" s="19"/>
      <c r="F61" s="55"/>
      <c r="G61" s="55"/>
      <c r="H61" s="12"/>
    </row>
    <row r="62" ht="14.25" customHeight="1">
      <c r="B62" s="19"/>
      <c r="C62" s="19"/>
      <c r="F62" s="55"/>
      <c r="G62" s="55"/>
      <c r="H62" s="12"/>
    </row>
    <row r="63" ht="14.25" customHeight="1">
      <c r="B63" s="19"/>
      <c r="C63" s="19"/>
      <c r="F63" s="55"/>
      <c r="G63" s="55"/>
      <c r="H63" s="12"/>
    </row>
    <row r="64" ht="14.25" customHeight="1">
      <c r="B64" s="19"/>
      <c r="C64" s="19"/>
      <c r="F64" s="55"/>
      <c r="G64" s="55"/>
      <c r="H64" s="12"/>
    </row>
    <row r="65" ht="14.25" customHeight="1">
      <c r="B65" s="19"/>
      <c r="C65" s="19"/>
      <c r="F65" s="55"/>
      <c r="G65" s="55"/>
      <c r="H65" s="12"/>
    </row>
    <row r="66" ht="14.25" customHeight="1">
      <c r="B66" s="19"/>
      <c r="C66" s="19"/>
      <c r="F66" s="55"/>
      <c r="G66" s="55"/>
      <c r="H66" s="12"/>
    </row>
    <row r="67" ht="14.25" customHeight="1">
      <c r="B67" s="19"/>
      <c r="C67" s="19"/>
      <c r="F67" s="55"/>
      <c r="G67" s="55"/>
      <c r="H67" s="12"/>
    </row>
    <row r="68" ht="14.25" customHeight="1">
      <c r="B68" s="19"/>
      <c r="C68" s="19"/>
      <c r="F68" s="55"/>
      <c r="G68" s="55"/>
      <c r="H68" s="12"/>
    </row>
    <row r="69" ht="14.25" customHeight="1">
      <c r="B69" s="19"/>
      <c r="C69" s="19"/>
      <c r="F69" s="55"/>
      <c r="G69" s="55"/>
      <c r="H69" s="12"/>
    </row>
    <row r="70" ht="14.25" customHeight="1">
      <c r="B70" s="19"/>
      <c r="C70" s="19"/>
      <c r="F70" s="55"/>
      <c r="G70" s="55"/>
      <c r="H70" s="12"/>
    </row>
    <row r="71" ht="14.25" customHeight="1">
      <c r="B71" s="19"/>
      <c r="C71" s="19"/>
      <c r="F71" s="55"/>
      <c r="G71" s="55"/>
      <c r="H71" s="12"/>
    </row>
    <row r="72" ht="14.25" customHeight="1">
      <c r="B72" s="19"/>
      <c r="C72" s="19"/>
      <c r="F72" s="55"/>
      <c r="G72" s="55"/>
      <c r="H72" s="12"/>
    </row>
    <row r="73" ht="14.25" customHeight="1">
      <c r="B73" s="19"/>
      <c r="C73" s="19"/>
      <c r="F73" s="55"/>
      <c r="G73" s="55"/>
      <c r="H73" s="12"/>
    </row>
    <row r="74" ht="14.25" customHeight="1">
      <c r="B74" s="19"/>
      <c r="C74" s="19"/>
      <c r="F74" s="55"/>
      <c r="G74" s="55"/>
      <c r="H74" s="12"/>
    </row>
    <row r="75" ht="14.25" customHeight="1">
      <c r="B75" s="19"/>
      <c r="C75" s="19"/>
      <c r="F75" s="55"/>
      <c r="G75" s="55"/>
      <c r="H75" s="12"/>
    </row>
    <row r="76" ht="14.25" customHeight="1">
      <c r="B76" s="19"/>
      <c r="C76" s="19"/>
      <c r="F76" s="55"/>
      <c r="G76" s="55"/>
      <c r="H76" s="12"/>
    </row>
    <row r="77" ht="14.25" customHeight="1">
      <c r="B77" s="19"/>
      <c r="C77" s="19"/>
      <c r="F77" s="55"/>
      <c r="G77" s="55"/>
      <c r="H77" s="12"/>
    </row>
    <row r="78" ht="14.25" customHeight="1">
      <c r="B78" s="19"/>
      <c r="C78" s="19"/>
      <c r="F78" s="55"/>
      <c r="G78" s="55"/>
      <c r="H78" s="12"/>
    </row>
    <row r="79" ht="14.25" customHeight="1">
      <c r="B79" s="19"/>
      <c r="C79" s="19"/>
      <c r="F79" s="55"/>
      <c r="G79" s="55"/>
      <c r="H79" s="12"/>
    </row>
    <row r="80" ht="14.25" customHeight="1">
      <c r="B80" s="19"/>
      <c r="C80" s="19"/>
      <c r="F80" s="55"/>
      <c r="G80" s="55"/>
      <c r="H80" s="12"/>
    </row>
    <row r="81" ht="14.25" customHeight="1">
      <c r="B81" s="19"/>
      <c r="C81" s="19"/>
      <c r="F81" s="55"/>
      <c r="G81" s="55"/>
      <c r="H81" s="12"/>
    </row>
    <row r="82" ht="14.25" customHeight="1">
      <c r="B82" s="19"/>
      <c r="C82" s="19"/>
      <c r="F82" s="55"/>
      <c r="G82" s="55"/>
      <c r="H82" s="12"/>
    </row>
    <row r="83" ht="14.25" customHeight="1">
      <c r="B83" s="19"/>
      <c r="C83" s="19"/>
      <c r="F83" s="55"/>
      <c r="G83" s="55"/>
      <c r="H83" s="12"/>
    </row>
    <row r="84" ht="14.25" customHeight="1">
      <c r="B84" s="19"/>
      <c r="C84" s="19"/>
      <c r="F84" s="55"/>
      <c r="G84" s="55"/>
      <c r="H84" s="12"/>
    </row>
    <row r="85" ht="14.25" customHeight="1">
      <c r="B85" s="19"/>
      <c r="C85" s="19"/>
      <c r="F85" s="55"/>
      <c r="G85" s="55"/>
      <c r="H85" s="12"/>
    </row>
    <row r="86" ht="14.25" customHeight="1">
      <c r="B86" s="19"/>
      <c r="C86" s="19"/>
      <c r="F86" s="55"/>
      <c r="G86" s="55"/>
      <c r="H86" s="12"/>
    </row>
    <row r="87" ht="14.25" customHeight="1">
      <c r="B87" s="19"/>
      <c r="C87" s="19"/>
      <c r="F87" s="55"/>
      <c r="G87" s="55"/>
      <c r="H87" s="12"/>
    </row>
    <row r="88" ht="14.25" customHeight="1">
      <c r="B88" s="19"/>
      <c r="C88" s="19"/>
      <c r="F88" s="55"/>
      <c r="G88" s="55"/>
      <c r="H88" s="12"/>
    </row>
    <row r="89" ht="14.25" customHeight="1">
      <c r="B89" s="19"/>
      <c r="C89" s="19"/>
      <c r="F89" s="55"/>
      <c r="G89" s="55"/>
      <c r="H89" s="12"/>
    </row>
    <row r="90" ht="14.25" customHeight="1">
      <c r="B90" s="19"/>
      <c r="C90" s="19"/>
      <c r="F90" s="55"/>
      <c r="G90" s="55"/>
      <c r="H90" s="12"/>
    </row>
    <row r="91" ht="14.25" customHeight="1">
      <c r="B91" s="19"/>
      <c r="C91" s="19"/>
      <c r="F91" s="55"/>
      <c r="G91" s="55"/>
      <c r="H91" s="12"/>
    </row>
    <row r="92" ht="14.25" customHeight="1">
      <c r="B92" s="19"/>
      <c r="C92" s="19"/>
      <c r="F92" s="55"/>
      <c r="G92" s="55"/>
      <c r="H92" s="12"/>
    </row>
    <row r="93" ht="14.25" customHeight="1">
      <c r="B93" s="19"/>
      <c r="C93" s="19"/>
      <c r="F93" s="55"/>
      <c r="G93" s="55"/>
      <c r="H93" s="12"/>
    </row>
    <row r="94" ht="14.25" customHeight="1">
      <c r="B94" s="19"/>
      <c r="C94" s="19"/>
      <c r="F94" s="55"/>
      <c r="G94" s="55"/>
      <c r="H94" s="12"/>
    </row>
    <row r="95" ht="14.25" customHeight="1">
      <c r="B95" s="19"/>
      <c r="C95" s="19"/>
      <c r="F95" s="55"/>
      <c r="G95" s="55"/>
      <c r="H95" s="12"/>
    </row>
    <row r="96" ht="14.25" customHeight="1">
      <c r="B96" s="19"/>
      <c r="C96" s="19"/>
      <c r="F96" s="55"/>
      <c r="G96" s="55"/>
      <c r="H96" s="12"/>
    </row>
    <row r="97" ht="14.25" customHeight="1">
      <c r="B97" s="19"/>
      <c r="C97" s="19"/>
      <c r="F97" s="55"/>
      <c r="G97" s="55"/>
      <c r="H97" s="12"/>
    </row>
    <row r="98" ht="14.25" customHeight="1">
      <c r="B98" s="19"/>
      <c r="C98" s="19"/>
      <c r="F98" s="55"/>
      <c r="G98" s="55"/>
      <c r="H98" s="12"/>
    </row>
    <row r="99" ht="14.25" customHeight="1">
      <c r="B99" s="19"/>
      <c r="C99" s="19"/>
      <c r="F99" s="55"/>
      <c r="G99" s="55"/>
      <c r="H99" s="12"/>
    </row>
    <row r="100" ht="14.25" customHeight="1">
      <c r="B100" s="19"/>
      <c r="C100" s="19"/>
      <c r="F100" s="55"/>
      <c r="G100" s="55"/>
      <c r="H100" s="12"/>
    </row>
    <row r="101" ht="14.25" customHeight="1">
      <c r="B101" s="19"/>
      <c r="C101" s="19"/>
      <c r="F101" s="55"/>
      <c r="G101" s="55"/>
      <c r="H101" s="12"/>
    </row>
    <row r="102" ht="14.25" customHeight="1">
      <c r="B102" s="19"/>
      <c r="C102" s="19"/>
      <c r="F102" s="55"/>
      <c r="G102" s="55"/>
      <c r="H102" s="12"/>
    </row>
    <row r="103" ht="14.25" customHeight="1">
      <c r="B103" s="19"/>
      <c r="C103" s="19"/>
      <c r="F103" s="55"/>
      <c r="G103" s="55"/>
      <c r="H103" s="12"/>
    </row>
    <row r="104" ht="14.25" customHeight="1">
      <c r="B104" s="19"/>
      <c r="C104" s="19"/>
      <c r="F104" s="55"/>
      <c r="G104" s="55"/>
      <c r="H104" s="12"/>
    </row>
    <row r="105" ht="14.25" customHeight="1">
      <c r="B105" s="19"/>
      <c r="C105" s="19"/>
      <c r="F105" s="55"/>
      <c r="G105" s="55"/>
      <c r="H105" s="12"/>
    </row>
    <row r="106" ht="14.25" customHeight="1">
      <c r="B106" s="19"/>
      <c r="C106" s="19"/>
      <c r="F106" s="55"/>
      <c r="G106" s="55"/>
      <c r="H106" s="12"/>
    </row>
    <row r="107" ht="14.25" customHeight="1">
      <c r="B107" s="19"/>
      <c r="C107" s="19"/>
      <c r="F107" s="55"/>
      <c r="G107" s="55"/>
      <c r="H107" s="12"/>
    </row>
    <row r="108" ht="14.25" customHeight="1">
      <c r="B108" s="19"/>
      <c r="C108" s="19"/>
      <c r="F108" s="55"/>
      <c r="G108" s="55"/>
      <c r="H108" s="12"/>
    </row>
    <row r="109" ht="14.25" customHeight="1">
      <c r="B109" s="19"/>
      <c r="C109" s="19"/>
      <c r="F109" s="55"/>
      <c r="G109" s="55"/>
      <c r="H109" s="12"/>
    </row>
    <row r="110" ht="14.25" customHeight="1">
      <c r="B110" s="19"/>
      <c r="C110" s="19"/>
      <c r="F110" s="55"/>
      <c r="G110" s="55"/>
      <c r="H110" s="12"/>
    </row>
    <row r="111" ht="14.25" customHeight="1">
      <c r="B111" s="19"/>
      <c r="C111" s="19"/>
      <c r="F111" s="55"/>
      <c r="G111" s="55"/>
      <c r="H111" s="12"/>
    </row>
    <row r="112" ht="14.25" customHeight="1">
      <c r="B112" s="19"/>
      <c r="C112" s="19"/>
      <c r="F112" s="55"/>
      <c r="G112" s="55"/>
      <c r="H112" s="12"/>
    </row>
    <row r="113" ht="14.25" customHeight="1">
      <c r="B113" s="19"/>
      <c r="C113" s="19"/>
      <c r="F113" s="55"/>
      <c r="G113" s="55"/>
      <c r="H113" s="12"/>
    </row>
    <row r="114" ht="14.25" customHeight="1">
      <c r="B114" s="19"/>
      <c r="C114" s="19"/>
      <c r="F114" s="55"/>
      <c r="G114" s="55"/>
      <c r="H114" s="12"/>
    </row>
    <row r="115" ht="14.25" customHeight="1">
      <c r="B115" s="19"/>
      <c r="C115" s="19"/>
      <c r="F115" s="55"/>
      <c r="G115" s="55"/>
      <c r="H115" s="12"/>
    </row>
    <row r="116" ht="14.25" customHeight="1">
      <c r="B116" s="19"/>
      <c r="C116" s="19"/>
      <c r="F116" s="55"/>
      <c r="G116" s="55"/>
      <c r="H116" s="12"/>
    </row>
    <row r="117" ht="14.25" customHeight="1">
      <c r="B117" s="19"/>
      <c r="C117" s="19"/>
      <c r="F117" s="55"/>
      <c r="G117" s="55"/>
      <c r="H117" s="12"/>
    </row>
    <row r="118" ht="14.25" customHeight="1">
      <c r="B118" s="19"/>
      <c r="C118" s="19"/>
      <c r="F118" s="55"/>
      <c r="G118" s="55"/>
      <c r="H118" s="12"/>
    </row>
    <row r="119" ht="14.25" customHeight="1">
      <c r="B119" s="19"/>
      <c r="C119" s="19"/>
      <c r="F119" s="55"/>
      <c r="G119" s="55"/>
      <c r="H119" s="12"/>
    </row>
    <row r="120" ht="14.25" customHeight="1">
      <c r="B120" s="19"/>
      <c r="C120" s="19"/>
      <c r="F120" s="55"/>
      <c r="G120" s="55"/>
      <c r="H120" s="12"/>
    </row>
    <row r="121" ht="14.25" customHeight="1">
      <c r="B121" s="19"/>
      <c r="C121" s="19"/>
      <c r="F121" s="55"/>
      <c r="G121" s="55"/>
      <c r="H121" s="12"/>
    </row>
    <row r="122" ht="14.25" customHeight="1">
      <c r="B122" s="19"/>
      <c r="C122" s="19"/>
      <c r="F122" s="55"/>
      <c r="G122" s="55"/>
      <c r="H122" s="12"/>
    </row>
    <row r="123" ht="14.25" customHeight="1">
      <c r="B123" s="19"/>
      <c r="C123" s="19"/>
      <c r="F123" s="55"/>
      <c r="G123" s="55"/>
      <c r="H123" s="12"/>
    </row>
    <row r="124" ht="14.25" customHeight="1">
      <c r="B124" s="19"/>
      <c r="C124" s="19"/>
      <c r="F124" s="55"/>
      <c r="G124" s="55"/>
      <c r="H124" s="12"/>
    </row>
    <row r="125" ht="14.25" customHeight="1">
      <c r="B125" s="19"/>
      <c r="C125" s="19"/>
      <c r="F125" s="55"/>
      <c r="G125" s="55"/>
      <c r="H125" s="12"/>
    </row>
    <row r="126" ht="14.25" customHeight="1">
      <c r="B126" s="19"/>
      <c r="C126" s="19"/>
      <c r="F126" s="55"/>
      <c r="G126" s="55"/>
      <c r="H126" s="12"/>
    </row>
    <row r="127" ht="14.25" customHeight="1">
      <c r="B127" s="19"/>
      <c r="C127" s="19"/>
      <c r="F127" s="55"/>
      <c r="G127" s="55"/>
      <c r="H127" s="12"/>
    </row>
    <row r="128" ht="14.25" customHeight="1">
      <c r="B128" s="19"/>
      <c r="C128" s="19"/>
      <c r="F128" s="55"/>
      <c r="G128" s="55"/>
      <c r="H128" s="12"/>
    </row>
    <row r="129" ht="14.25" customHeight="1">
      <c r="B129" s="19"/>
      <c r="C129" s="19"/>
      <c r="F129" s="55"/>
      <c r="G129" s="55"/>
      <c r="H129" s="12"/>
    </row>
    <row r="130" ht="14.25" customHeight="1">
      <c r="B130" s="19"/>
      <c r="C130" s="19"/>
      <c r="F130" s="55"/>
      <c r="G130" s="55"/>
      <c r="H130" s="12"/>
    </row>
    <row r="131" ht="14.25" customHeight="1">
      <c r="B131" s="19"/>
      <c r="C131" s="19"/>
      <c r="F131" s="55"/>
      <c r="G131" s="55"/>
      <c r="H131" s="12"/>
    </row>
    <row r="132" ht="14.25" customHeight="1">
      <c r="B132" s="19"/>
      <c r="C132" s="19"/>
      <c r="F132" s="55"/>
      <c r="G132" s="55"/>
      <c r="H132" s="12"/>
    </row>
    <row r="133" ht="14.25" customHeight="1">
      <c r="B133" s="19"/>
      <c r="C133" s="19"/>
      <c r="F133" s="55"/>
      <c r="G133" s="55"/>
      <c r="H133" s="12"/>
    </row>
    <row r="134" ht="14.25" customHeight="1">
      <c r="B134" s="19"/>
      <c r="C134" s="19"/>
      <c r="F134" s="55"/>
      <c r="G134" s="55"/>
      <c r="H134" s="12"/>
    </row>
    <row r="135" ht="14.25" customHeight="1">
      <c r="B135" s="19"/>
      <c r="C135" s="19"/>
      <c r="F135" s="55"/>
      <c r="G135" s="55"/>
      <c r="H135" s="12"/>
    </row>
    <row r="136" ht="14.25" customHeight="1">
      <c r="B136" s="19"/>
      <c r="C136" s="19"/>
      <c r="F136" s="55"/>
      <c r="G136" s="55"/>
      <c r="H136" s="12"/>
    </row>
    <row r="137" ht="14.25" customHeight="1">
      <c r="B137" s="19"/>
      <c r="C137" s="19"/>
      <c r="F137" s="55"/>
      <c r="G137" s="55"/>
      <c r="H137" s="12"/>
    </row>
    <row r="138" ht="14.25" customHeight="1">
      <c r="B138" s="19"/>
      <c r="C138" s="19"/>
      <c r="F138" s="55"/>
      <c r="G138" s="55"/>
      <c r="H138" s="12"/>
    </row>
    <row r="139" ht="14.25" customHeight="1">
      <c r="B139" s="19"/>
      <c r="C139" s="19"/>
      <c r="F139" s="55"/>
      <c r="G139" s="55"/>
      <c r="H139" s="12"/>
    </row>
    <row r="140" ht="14.25" customHeight="1">
      <c r="B140" s="19"/>
      <c r="C140" s="19"/>
      <c r="F140" s="55"/>
      <c r="G140" s="55"/>
      <c r="H140" s="12"/>
    </row>
    <row r="141" ht="14.25" customHeight="1">
      <c r="B141" s="19"/>
      <c r="C141" s="19"/>
      <c r="F141" s="55"/>
      <c r="G141" s="55"/>
      <c r="H141" s="12"/>
    </row>
    <row r="142" ht="14.25" customHeight="1">
      <c r="B142" s="19"/>
      <c r="C142" s="19"/>
      <c r="F142" s="55"/>
      <c r="G142" s="55"/>
      <c r="H142" s="12"/>
    </row>
    <row r="143" ht="14.25" customHeight="1">
      <c r="B143" s="19"/>
      <c r="C143" s="19"/>
      <c r="F143" s="55"/>
      <c r="G143" s="55"/>
      <c r="H143" s="12"/>
    </row>
    <row r="144" ht="14.25" customHeight="1">
      <c r="B144" s="19"/>
      <c r="C144" s="19"/>
      <c r="F144" s="55"/>
      <c r="G144" s="55"/>
      <c r="H144" s="12"/>
    </row>
    <row r="145" ht="14.25" customHeight="1">
      <c r="B145" s="19"/>
      <c r="C145" s="19"/>
      <c r="F145" s="55"/>
      <c r="G145" s="55"/>
      <c r="H145" s="12"/>
    </row>
    <row r="146" ht="14.25" customHeight="1">
      <c r="B146" s="19"/>
      <c r="C146" s="19"/>
      <c r="F146" s="55"/>
      <c r="G146" s="55"/>
      <c r="H146" s="12"/>
    </row>
    <row r="147" ht="14.25" customHeight="1">
      <c r="B147" s="19"/>
      <c r="C147" s="19"/>
      <c r="F147" s="55"/>
      <c r="G147" s="55"/>
      <c r="H147" s="12"/>
    </row>
    <row r="148" ht="14.25" customHeight="1">
      <c r="B148" s="19"/>
      <c r="C148" s="19"/>
      <c r="F148" s="55"/>
      <c r="G148" s="55"/>
      <c r="H148" s="12"/>
    </row>
    <row r="149" ht="14.25" customHeight="1">
      <c r="B149" s="19"/>
      <c r="C149" s="19"/>
      <c r="F149" s="55"/>
      <c r="G149" s="55"/>
      <c r="H149" s="12"/>
    </row>
    <row r="150" ht="14.25" customHeight="1">
      <c r="B150" s="19"/>
      <c r="C150" s="19"/>
      <c r="F150" s="55"/>
      <c r="G150" s="55"/>
      <c r="H150" s="12"/>
    </row>
    <row r="151" ht="14.25" customHeight="1">
      <c r="B151" s="19"/>
      <c r="C151" s="19"/>
      <c r="F151" s="55"/>
      <c r="G151" s="55"/>
      <c r="H151" s="12"/>
    </row>
    <row r="152" ht="14.25" customHeight="1">
      <c r="B152" s="19"/>
      <c r="C152" s="19"/>
      <c r="F152" s="55"/>
      <c r="G152" s="55"/>
      <c r="H152" s="12"/>
    </row>
    <row r="153" ht="14.25" customHeight="1">
      <c r="B153" s="19"/>
      <c r="C153" s="19"/>
      <c r="F153" s="55"/>
      <c r="G153" s="55"/>
      <c r="H153" s="12"/>
    </row>
    <row r="154" ht="14.25" customHeight="1">
      <c r="B154" s="19"/>
      <c r="C154" s="19"/>
      <c r="F154" s="55"/>
      <c r="G154" s="55"/>
      <c r="H154" s="12"/>
    </row>
    <row r="155" ht="14.25" customHeight="1">
      <c r="B155" s="19"/>
      <c r="C155" s="19"/>
      <c r="F155" s="55"/>
      <c r="G155" s="55"/>
      <c r="H155" s="12"/>
    </row>
    <row r="156" ht="14.25" customHeight="1">
      <c r="B156" s="19"/>
      <c r="C156" s="19"/>
      <c r="F156" s="55"/>
      <c r="G156" s="55"/>
      <c r="H156" s="12"/>
    </row>
    <row r="157" ht="14.25" customHeight="1">
      <c r="B157" s="19"/>
      <c r="C157" s="19"/>
      <c r="F157" s="55"/>
      <c r="G157" s="55"/>
      <c r="H157" s="12"/>
    </row>
    <row r="158" ht="14.25" customHeight="1">
      <c r="B158" s="19"/>
      <c r="C158" s="19"/>
      <c r="F158" s="55"/>
      <c r="G158" s="55"/>
      <c r="H158" s="12"/>
    </row>
    <row r="159" ht="14.25" customHeight="1">
      <c r="B159" s="19"/>
      <c r="C159" s="19"/>
      <c r="F159" s="55"/>
      <c r="G159" s="55"/>
      <c r="H159" s="12"/>
    </row>
    <row r="160" ht="14.25" customHeight="1">
      <c r="B160" s="19"/>
      <c r="C160" s="19"/>
      <c r="F160" s="55"/>
      <c r="G160" s="55"/>
      <c r="H160" s="12"/>
    </row>
    <row r="161" ht="14.25" customHeight="1">
      <c r="B161" s="19"/>
      <c r="C161" s="19"/>
      <c r="F161" s="55"/>
      <c r="G161" s="55"/>
      <c r="H161" s="12"/>
    </row>
    <row r="162" ht="14.25" customHeight="1">
      <c r="B162" s="19"/>
      <c r="C162" s="19"/>
      <c r="F162" s="55"/>
      <c r="G162" s="55"/>
      <c r="H162" s="12"/>
    </row>
    <row r="163" ht="14.25" customHeight="1">
      <c r="B163" s="19"/>
      <c r="C163" s="19"/>
      <c r="F163" s="55"/>
      <c r="G163" s="55"/>
      <c r="H163" s="12"/>
    </row>
    <row r="164" ht="14.25" customHeight="1">
      <c r="B164" s="19"/>
      <c r="C164" s="19"/>
      <c r="F164" s="55"/>
      <c r="G164" s="55"/>
      <c r="H164" s="12"/>
    </row>
    <row r="165" ht="14.25" customHeight="1">
      <c r="B165" s="19"/>
      <c r="C165" s="19"/>
      <c r="F165" s="55"/>
      <c r="G165" s="55"/>
      <c r="H165" s="12"/>
    </row>
    <row r="166" ht="14.25" customHeight="1">
      <c r="B166" s="19"/>
      <c r="C166" s="19"/>
      <c r="F166" s="55"/>
      <c r="G166" s="55"/>
      <c r="H166" s="12"/>
    </row>
    <row r="167" ht="14.25" customHeight="1">
      <c r="B167" s="19"/>
      <c r="C167" s="19"/>
      <c r="F167" s="55"/>
      <c r="G167" s="55"/>
      <c r="H167" s="12"/>
    </row>
    <row r="168" ht="14.25" customHeight="1">
      <c r="B168" s="19"/>
      <c r="C168" s="19"/>
      <c r="F168" s="55"/>
      <c r="G168" s="55"/>
      <c r="H168" s="12"/>
    </row>
    <row r="169" ht="14.25" customHeight="1">
      <c r="B169" s="19"/>
      <c r="C169" s="19"/>
      <c r="F169" s="55"/>
      <c r="G169" s="55"/>
      <c r="H169" s="12"/>
    </row>
    <row r="170" ht="14.25" customHeight="1">
      <c r="B170" s="19"/>
      <c r="C170" s="19"/>
      <c r="F170" s="55"/>
      <c r="G170" s="55"/>
      <c r="H170" s="12"/>
    </row>
    <row r="171" ht="14.25" customHeight="1">
      <c r="B171" s="19"/>
      <c r="C171" s="19"/>
      <c r="F171" s="55"/>
      <c r="G171" s="55"/>
      <c r="H171" s="12"/>
    </row>
    <row r="172" ht="14.25" customHeight="1">
      <c r="B172" s="19"/>
      <c r="C172" s="19"/>
      <c r="F172" s="55"/>
      <c r="G172" s="55"/>
      <c r="H172" s="12"/>
    </row>
    <row r="173" ht="14.25" customHeight="1">
      <c r="B173" s="19"/>
      <c r="C173" s="19"/>
      <c r="F173" s="55"/>
      <c r="G173" s="55"/>
      <c r="H173" s="12"/>
    </row>
    <row r="174" ht="14.25" customHeight="1">
      <c r="B174" s="19"/>
      <c r="C174" s="19"/>
      <c r="F174" s="55"/>
      <c r="G174" s="55"/>
      <c r="H174" s="12"/>
    </row>
    <row r="175" ht="14.25" customHeight="1">
      <c r="B175" s="19"/>
      <c r="C175" s="19"/>
      <c r="F175" s="55"/>
      <c r="G175" s="55"/>
      <c r="H175" s="12"/>
    </row>
    <row r="176" ht="14.25" customHeight="1">
      <c r="B176" s="19"/>
      <c r="C176" s="19"/>
      <c r="F176" s="55"/>
      <c r="G176" s="55"/>
      <c r="H176" s="12"/>
    </row>
    <row r="177" ht="14.25" customHeight="1">
      <c r="B177" s="19"/>
      <c r="C177" s="19"/>
      <c r="F177" s="55"/>
      <c r="G177" s="55"/>
      <c r="H177" s="12"/>
    </row>
    <row r="178" ht="14.25" customHeight="1">
      <c r="B178" s="19"/>
      <c r="C178" s="19"/>
      <c r="F178" s="55"/>
      <c r="G178" s="55"/>
      <c r="H178" s="12"/>
    </row>
    <row r="179" ht="14.25" customHeight="1">
      <c r="B179" s="19"/>
      <c r="C179" s="19"/>
      <c r="F179" s="55"/>
      <c r="G179" s="55"/>
      <c r="H179" s="12"/>
    </row>
    <row r="180" ht="14.25" customHeight="1">
      <c r="B180" s="19"/>
      <c r="C180" s="19"/>
      <c r="F180" s="55"/>
      <c r="G180" s="55"/>
      <c r="H180" s="12"/>
    </row>
    <row r="181" ht="14.25" customHeight="1">
      <c r="B181" s="19"/>
      <c r="C181" s="19"/>
      <c r="F181" s="55"/>
      <c r="G181" s="55"/>
      <c r="H181" s="12"/>
    </row>
    <row r="182" ht="14.25" customHeight="1">
      <c r="B182" s="19"/>
      <c r="C182" s="19"/>
      <c r="F182" s="55"/>
      <c r="G182" s="55"/>
      <c r="H182" s="12"/>
    </row>
    <row r="183" ht="14.25" customHeight="1">
      <c r="B183" s="19"/>
      <c r="C183" s="19"/>
      <c r="F183" s="55"/>
      <c r="G183" s="55"/>
      <c r="H183" s="12"/>
    </row>
    <row r="184" ht="14.25" customHeight="1">
      <c r="B184" s="19"/>
      <c r="C184" s="19"/>
      <c r="F184" s="55"/>
      <c r="G184" s="55"/>
      <c r="H184" s="12"/>
    </row>
    <row r="185" ht="14.25" customHeight="1">
      <c r="B185" s="19"/>
      <c r="C185" s="19"/>
      <c r="F185" s="55"/>
      <c r="G185" s="55"/>
      <c r="H185" s="12"/>
    </row>
    <row r="186" ht="14.25" customHeight="1">
      <c r="B186" s="19"/>
      <c r="C186" s="19"/>
      <c r="F186" s="55"/>
      <c r="G186" s="55"/>
      <c r="H186" s="12"/>
    </row>
    <row r="187" ht="14.25" customHeight="1">
      <c r="B187" s="19"/>
      <c r="C187" s="19"/>
      <c r="F187" s="55"/>
      <c r="G187" s="55"/>
      <c r="H187" s="12"/>
    </row>
    <row r="188" ht="14.25" customHeight="1">
      <c r="B188" s="19"/>
      <c r="C188" s="19"/>
      <c r="F188" s="55"/>
      <c r="G188" s="55"/>
      <c r="H188" s="12"/>
    </row>
    <row r="189" ht="14.25" customHeight="1">
      <c r="B189" s="19"/>
      <c r="C189" s="19"/>
      <c r="F189" s="55"/>
      <c r="G189" s="55"/>
      <c r="H189" s="12"/>
    </row>
    <row r="190" ht="14.25" customHeight="1">
      <c r="B190" s="19"/>
      <c r="C190" s="19"/>
      <c r="F190" s="55"/>
      <c r="G190" s="55"/>
      <c r="H190" s="12"/>
    </row>
    <row r="191" ht="14.25" customHeight="1">
      <c r="B191" s="19"/>
      <c r="C191" s="19"/>
      <c r="F191" s="55"/>
      <c r="G191" s="55"/>
      <c r="H191" s="12"/>
    </row>
    <row r="192" ht="14.25" customHeight="1">
      <c r="B192" s="19"/>
      <c r="C192" s="19"/>
      <c r="F192" s="55"/>
      <c r="G192" s="55"/>
      <c r="H192" s="12"/>
    </row>
    <row r="193" ht="14.25" customHeight="1">
      <c r="B193" s="19"/>
      <c r="C193" s="19"/>
      <c r="F193" s="55"/>
      <c r="G193" s="55"/>
      <c r="H193" s="12"/>
    </row>
    <row r="194" ht="14.25" customHeight="1">
      <c r="B194" s="19"/>
      <c r="C194" s="19"/>
      <c r="F194" s="55"/>
      <c r="G194" s="55"/>
      <c r="H194" s="12"/>
    </row>
    <row r="195" ht="14.25" customHeight="1">
      <c r="B195" s="19"/>
      <c r="C195" s="19"/>
      <c r="F195" s="55"/>
      <c r="G195" s="55"/>
      <c r="H195" s="12"/>
    </row>
    <row r="196" ht="14.25" customHeight="1">
      <c r="B196" s="19"/>
      <c r="C196" s="19"/>
      <c r="F196" s="55"/>
      <c r="G196" s="55"/>
      <c r="H196" s="12"/>
    </row>
    <row r="197" ht="14.25" customHeight="1">
      <c r="B197" s="19"/>
      <c r="C197" s="19"/>
      <c r="F197" s="55"/>
      <c r="G197" s="55"/>
      <c r="H197" s="12"/>
    </row>
    <row r="198" ht="14.25" customHeight="1">
      <c r="B198" s="19"/>
      <c r="C198" s="19"/>
      <c r="F198" s="55"/>
      <c r="G198" s="55"/>
      <c r="H198" s="12"/>
    </row>
    <row r="199" ht="14.25" customHeight="1">
      <c r="B199" s="19"/>
      <c r="C199" s="19"/>
      <c r="F199" s="55"/>
      <c r="G199" s="55"/>
      <c r="H199" s="12"/>
    </row>
    <row r="200" ht="14.25" customHeight="1">
      <c r="B200" s="19"/>
      <c r="C200" s="19"/>
      <c r="F200" s="55"/>
      <c r="G200" s="55"/>
      <c r="H200" s="12"/>
    </row>
    <row r="201" ht="14.25" customHeight="1">
      <c r="B201" s="19"/>
      <c r="C201" s="19"/>
      <c r="F201" s="55"/>
      <c r="G201" s="55"/>
      <c r="H201" s="12"/>
    </row>
    <row r="202" ht="14.25" customHeight="1">
      <c r="B202" s="19"/>
      <c r="C202" s="19"/>
      <c r="F202" s="55"/>
      <c r="G202" s="55"/>
      <c r="H202" s="12"/>
    </row>
    <row r="203" ht="14.25" customHeight="1">
      <c r="B203" s="19"/>
      <c r="C203" s="19"/>
      <c r="F203" s="55"/>
      <c r="G203" s="55"/>
      <c r="H203" s="12"/>
    </row>
    <row r="204" ht="14.25" customHeight="1">
      <c r="B204" s="19"/>
      <c r="C204" s="19"/>
      <c r="F204" s="55"/>
      <c r="G204" s="55"/>
      <c r="H204" s="12"/>
    </row>
    <row r="205" ht="14.25" customHeight="1">
      <c r="B205" s="19"/>
      <c r="C205" s="19"/>
      <c r="F205" s="55"/>
      <c r="G205" s="55"/>
      <c r="H205" s="12"/>
    </row>
    <row r="206" ht="14.25" customHeight="1">
      <c r="B206" s="19"/>
      <c r="C206" s="19"/>
      <c r="F206" s="55"/>
      <c r="G206" s="55"/>
      <c r="H206" s="12"/>
    </row>
    <row r="207" ht="14.25" customHeight="1">
      <c r="B207" s="19"/>
      <c r="C207" s="19"/>
      <c r="F207" s="55"/>
      <c r="G207" s="55"/>
      <c r="H207" s="12"/>
    </row>
    <row r="208" ht="14.25" customHeight="1">
      <c r="B208" s="19"/>
      <c r="C208" s="19"/>
      <c r="F208" s="55"/>
      <c r="G208" s="55"/>
      <c r="H208" s="12"/>
    </row>
    <row r="209" ht="14.25" customHeight="1">
      <c r="B209" s="19"/>
      <c r="C209" s="19"/>
      <c r="F209" s="55"/>
      <c r="G209" s="55"/>
      <c r="H209" s="12"/>
    </row>
    <row r="210" ht="14.25" customHeight="1">
      <c r="B210" s="19"/>
      <c r="C210" s="19"/>
      <c r="F210" s="55"/>
      <c r="G210" s="55"/>
      <c r="H210" s="12"/>
    </row>
    <row r="211" ht="14.25" customHeight="1">
      <c r="B211" s="19"/>
      <c r="C211" s="19"/>
      <c r="F211" s="55"/>
      <c r="G211" s="55"/>
      <c r="H211" s="12"/>
    </row>
    <row r="212" ht="14.25" customHeight="1">
      <c r="B212" s="19"/>
      <c r="C212" s="19"/>
      <c r="F212" s="55"/>
      <c r="G212" s="55"/>
      <c r="H212" s="12"/>
    </row>
    <row r="213" ht="14.25" customHeight="1">
      <c r="B213" s="19"/>
      <c r="C213" s="19"/>
      <c r="F213" s="55"/>
      <c r="G213" s="55"/>
      <c r="H213" s="12"/>
    </row>
    <row r="214" ht="14.25" customHeight="1">
      <c r="B214" s="19"/>
      <c r="C214" s="19"/>
      <c r="F214" s="55"/>
      <c r="G214" s="55"/>
      <c r="H214" s="12"/>
    </row>
    <row r="215" ht="14.25" customHeight="1">
      <c r="B215" s="19"/>
      <c r="C215" s="19"/>
      <c r="F215" s="55"/>
      <c r="G215" s="55"/>
      <c r="H215" s="12"/>
    </row>
    <row r="216" ht="14.25" customHeight="1">
      <c r="B216" s="19"/>
      <c r="C216" s="19"/>
      <c r="F216" s="55"/>
      <c r="G216" s="55"/>
      <c r="H216" s="12"/>
    </row>
    <row r="217" ht="14.25" customHeight="1">
      <c r="B217" s="19"/>
      <c r="C217" s="19"/>
      <c r="F217" s="55"/>
      <c r="G217" s="55"/>
      <c r="H217" s="12"/>
    </row>
    <row r="218" ht="14.25" customHeight="1">
      <c r="B218" s="19"/>
      <c r="C218" s="19"/>
      <c r="F218" s="55"/>
      <c r="G218" s="55"/>
      <c r="H218" s="12"/>
    </row>
    <row r="219" ht="14.25" customHeight="1">
      <c r="B219" s="19"/>
      <c r="C219" s="19"/>
      <c r="F219" s="55"/>
      <c r="G219" s="55"/>
      <c r="H219" s="12"/>
    </row>
    <row r="220" ht="14.25" customHeight="1">
      <c r="B220" s="19"/>
      <c r="C220" s="19"/>
      <c r="F220" s="55"/>
      <c r="G220" s="55"/>
      <c r="H220" s="12"/>
    </row>
    <row r="221" ht="14.25" customHeight="1">
      <c r="B221" s="19"/>
      <c r="C221" s="19"/>
      <c r="F221" s="55"/>
      <c r="G221" s="55"/>
      <c r="H221" s="12"/>
    </row>
    <row r="222" ht="14.25" customHeight="1">
      <c r="B222" s="19"/>
      <c r="C222" s="19"/>
      <c r="F222" s="55"/>
      <c r="G222" s="55"/>
      <c r="H222" s="12"/>
    </row>
    <row r="223" ht="14.25" customHeight="1">
      <c r="B223" s="19"/>
      <c r="C223" s="19"/>
      <c r="F223" s="55"/>
      <c r="G223" s="55"/>
      <c r="H223" s="12"/>
    </row>
    <row r="224" ht="14.25" customHeight="1">
      <c r="B224" s="19"/>
      <c r="C224" s="19"/>
      <c r="F224" s="55"/>
      <c r="G224" s="55"/>
      <c r="H224" s="12"/>
    </row>
    <row r="225" ht="14.25" customHeight="1">
      <c r="B225" s="19"/>
      <c r="C225" s="19"/>
      <c r="F225" s="55"/>
      <c r="G225" s="55"/>
      <c r="H225" s="12"/>
    </row>
    <row r="226" ht="14.25" customHeight="1">
      <c r="B226" s="19"/>
      <c r="C226" s="19"/>
      <c r="F226" s="55"/>
      <c r="G226" s="55"/>
      <c r="H226" s="12"/>
    </row>
    <row r="227" ht="14.25" customHeight="1">
      <c r="B227" s="19"/>
      <c r="C227" s="19"/>
      <c r="F227" s="55"/>
      <c r="G227" s="55"/>
      <c r="H227" s="12"/>
    </row>
    <row r="228" ht="14.25" customHeight="1">
      <c r="B228" s="19"/>
      <c r="C228" s="19"/>
      <c r="F228" s="55"/>
      <c r="G228" s="55"/>
      <c r="H228" s="12"/>
    </row>
    <row r="229" ht="14.25" customHeight="1">
      <c r="B229" s="19"/>
      <c r="C229" s="19"/>
      <c r="F229" s="55"/>
      <c r="G229" s="55"/>
      <c r="H229" s="12"/>
    </row>
    <row r="230" ht="14.25" customHeight="1">
      <c r="B230" s="19"/>
      <c r="C230" s="19"/>
      <c r="F230" s="55"/>
      <c r="G230" s="55"/>
      <c r="H230" s="12"/>
    </row>
    <row r="231" ht="14.25" customHeight="1">
      <c r="B231" s="19"/>
      <c r="C231" s="19"/>
      <c r="F231" s="55"/>
      <c r="G231" s="55"/>
      <c r="H231" s="12"/>
    </row>
    <row r="232" ht="14.25" customHeight="1">
      <c r="B232" s="19"/>
      <c r="C232" s="19"/>
      <c r="F232" s="55"/>
      <c r="G232" s="55"/>
      <c r="H232" s="12"/>
    </row>
    <row r="233" ht="14.25" customHeight="1">
      <c r="B233" s="19"/>
      <c r="C233" s="19"/>
      <c r="F233" s="55"/>
      <c r="G233" s="55"/>
      <c r="H233" s="12"/>
    </row>
    <row r="234" ht="14.25" customHeight="1">
      <c r="B234" s="19"/>
      <c r="C234" s="19"/>
      <c r="F234" s="55"/>
      <c r="G234" s="55"/>
      <c r="H234" s="12"/>
    </row>
    <row r="235" ht="14.25" customHeight="1">
      <c r="B235" s="19"/>
      <c r="C235" s="19"/>
      <c r="F235" s="55"/>
      <c r="G235" s="55"/>
      <c r="H235" s="12"/>
    </row>
    <row r="236" ht="14.25" customHeight="1">
      <c r="B236" s="19"/>
      <c r="C236" s="19"/>
      <c r="F236" s="55"/>
      <c r="G236" s="55"/>
      <c r="H236" s="12"/>
    </row>
    <row r="237" ht="14.25" customHeight="1">
      <c r="B237" s="19"/>
      <c r="C237" s="19"/>
      <c r="F237" s="55"/>
      <c r="G237" s="55"/>
      <c r="H237" s="12"/>
    </row>
    <row r="238" ht="14.25" customHeight="1">
      <c r="B238" s="19"/>
      <c r="C238" s="19"/>
      <c r="F238" s="55"/>
      <c r="G238" s="55"/>
      <c r="H238" s="12"/>
    </row>
    <row r="239" ht="14.25" customHeight="1">
      <c r="B239" s="19"/>
      <c r="C239" s="19"/>
      <c r="F239" s="55"/>
      <c r="G239" s="55"/>
      <c r="H239" s="12"/>
    </row>
    <row r="240" ht="14.25" customHeight="1">
      <c r="B240" s="19"/>
      <c r="C240" s="19"/>
      <c r="F240" s="55"/>
      <c r="G240" s="55"/>
      <c r="H240" s="12"/>
    </row>
    <row r="241" ht="14.25" customHeight="1">
      <c r="B241" s="19"/>
      <c r="C241" s="19"/>
      <c r="F241" s="55"/>
      <c r="G241" s="55"/>
      <c r="H241" s="12"/>
    </row>
    <row r="242" ht="14.25" customHeight="1">
      <c r="B242" s="19"/>
      <c r="C242" s="19"/>
      <c r="F242" s="55"/>
      <c r="G242" s="55"/>
      <c r="H242" s="12"/>
    </row>
    <row r="243" ht="14.25" customHeight="1">
      <c r="B243" s="19"/>
      <c r="C243" s="19"/>
      <c r="F243" s="55"/>
      <c r="G243" s="55"/>
      <c r="H243" s="12"/>
    </row>
    <row r="244" ht="14.25" customHeight="1">
      <c r="B244" s="19"/>
      <c r="C244" s="19"/>
      <c r="F244" s="55"/>
      <c r="G244" s="55"/>
      <c r="H244" s="12"/>
    </row>
    <row r="245" ht="14.25" customHeight="1">
      <c r="B245" s="19"/>
      <c r="C245" s="19"/>
      <c r="F245" s="55"/>
      <c r="G245" s="55"/>
      <c r="H245" s="12"/>
    </row>
    <row r="246" ht="14.25" customHeight="1">
      <c r="B246" s="19"/>
      <c r="C246" s="19"/>
      <c r="F246" s="55"/>
      <c r="G246" s="55"/>
      <c r="H246" s="12"/>
    </row>
    <row r="247" ht="14.25" customHeight="1">
      <c r="B247" s="19"/>
      <c r="C247" s="19"/>
      <c r="F247" s="55"/>
      <c r="G247" s="55"/>
      <c r="H247" s="12"/>
    </row>
    <row r="248" ht="14.25" customHeight="1">
      <c r="B248" s="19"/>
      <c r="C248" s="19"/>
      <c r="F248" s="55"/>
      <c r="G248" s="55"/>
      <c r="H248" s="12"/>
    </row>
    <row r="249" ht="14.25" customHeight="1">
      <c r="B249" s="19"/>
      <c r="C249" s="19"/>
      <c r="F249" s="55"/>
      <c r="G249" s="55"/>
      <c r="H249" s="12"/>
    </row>
    <row r="250" ht="14.25" customHeight="1">
      <c r="B250" s="19"/>
      <c r="C250" s="19"/>
      <c r="F250" s="55"/>
      <c r="G250" s="55"/>
      <c r="H250" s="12"/>
    </row>
    <row r="251" ht="14.25" customHeight="1">
      <c r="B251" s="19"/>
      <c r="C251" s="19"/>
      <c r="F251" s="55"/>
      <c r="G251" s="55"/>
      <c r="H251" s="12"/>
    </row>
    <row r="252" ht="14.25" customHeight="1">
      <c r="B252" s="19"/>
      <c r="C252" s="19"/>
      <c r="F252" s="55"/>
      <c r="G252" s="55"/>
      <c r="H252" s="12"/>
    </row>
    <row r="253" ht="14.25" customHeight="1">
      <c r="B253" s="19"/>
      <c r="C253" s="19"/>
      <c r="F253" s="55"/>
      <c r="G253" s="55"/>
      <c r="H253" s="12"/>
    </row>
    <row r="254" ht="14.25" customHeight="1">
      <c r="B254" s="19"/>
      <c r="C254" s="19"/>
      <c r="F254" s="55"/>
      <c r="G254" s="55"/>
      <c r="H254" s="12"/>
    </row>
    <row r="255" ht="14.25" customHeight="1">
      <c r="B255" s="19"/>
      <c r="C255" s="19"/>
      <c r="F255" s="55"/>
      <c r="G255" s="55"/>
      <c r="H255" s="12"/>
    </row>
    <row r="256" ht="14.25" customHeight="1">
      <c r="B256" s="19"/>
      <c r="C256" s="19"/>
      <c r="F256" s="55"/>
      <c r="G256" s="55"/>
      <c r="H256" s="12"/>
    </row>
    <row r="257" ht="14.25" customHeight="1">
      <c r="B257" s="19"/>
      <c r="C257" s="19"/>
      <c r="F257" s="55"/>
      <c r="G257" s="55"/>
      <c r="H257" s="12"/>
    </row>
    <row r="258" ht="14.25" customHeight="1">
      <c r="B258" s="19"/>
      <c r="C258" s="19"/>
      <c r="F258" s="55"/>
      <c r="G258" s="55"/>
      <c r="H258" s="12"/>
    </row>
    <row r="259" ht="14.25" customHeight="1">
      <c r="B259" s="19"/>
      <c r="C259" s="19"/>
      <c r="F259" s="55"/>
      <c r="G259" s="55"/>
      <c r="H259" s="12"/>
    </row>
    <row r="260" ht="14.25" customHeight="1">
      <c r="B260" s="19"/>
      <c r="C260" s="19"/>
      <c r="F260" s="55"/>
      <c r="G260" s="55"/>
      <c r="H260" s="12"/>
    </row>
    <row r="261" ht="14.25" customHeight="1">
      <c r="B261" s="19"/>
      <c r="C261" s="19"/>
      <c r="F261" s="55"/>
      <c r="G261" s="55"/>
      <c r="H261" s="12"/>
    </row>
    <row r="262" ht="14.25" customHeight="1">
      <c r="B262" s="19"/>
      <c r="C262" s="19"/>
      <c r="F262" s="55"/>
      <c r="G262" s="55"/>
      <c r="H262" s="12"/>
    </row>
    <row r="263" ht="14.25" customHeight="1">
      <c r="B263" s="19"/>
      <c r="C263" s="19"/>
      <c r="F263" s="55"/>
      <c r="G263" s="55"/>
      <c r="H263" s="12"/>
    </row>
    <row r="264" ht="14.25" customHeight="1">
      <c r="B264" s="19"/>
      <c r="C264" s="19"/>
      <c r="F264" s="55"/>
      <c r="G264" s="55"/>
      <c r="H264" s="12"/>
    </row>
    <row r="265" ht="14.25" customHeight="1">
      <c r="B265" s="19"/>
      <c r="C265" s="19"/>
      <c r="F265" s="55"/>
      <c r="G265" s="55"/>
      <c r="H265" s="12"/>
    </row>
    <row r="266" ht="14.25" customHeight="1">
      <c r="B266" s="19"/>
      <c r="C266" s="19"/>
      <c r="F266" s="55"/>
      <c r="G266" s="55"/>
      <c r="H266" s="12"/>
    </row>
    <row r="267" ht="14.25" customHeight="1">
      <c r="B267" s="19"/>
      <c r="C267" s="19"/>
      <c r="F267" s="55"/>
      <c r="G267" s="55"/>
      <c r="H267" s="12"/>
    </row>
    <row r="268" ht="14.25" customHeight="1">
      <c r="B268" s="19"/>
      <c r="C268" s="19"/>
      <c r="F268" s="55"/>
      <c r="G268" s="55"/>
      <c r="H268" s="12"/>
    </row>
    <row r="269" ht="14.25" customHeight="1">
      <c r="B269" s="19"/>
      <c r="C269" s="19"/>
      <c r="F269" s="55"/>
      <c r="G269" s="55"/>
      <c r="H269" s="12"/>
    </row>
    <row r="270" ht="14.25" customHeight="1">
      <c r="B270" s="19"/>
      <c r="C270" s="19"/>
      <c r="F270" s="55"/>
      <c r="G270" s="55"/>
      <c r="H270" s="12"/>
    </row>
    <row r="271" ht="14.25" customHeight="1">
      <c r="B271" s="19"/>
      <c r="C271" s="19"/>
      <c r="F271" s="55"/>
      <c r="G271" s="55"/>
      <c r="H271" s="12"/>
    </row>
    <row r="272" ht="14.25" customHeight="1">
      <c r="B272" s="19"/>
      <c r="C272" s="19"/>
      <c r="F272" s="55"/>
      <c r="G272" s="55"/>
      <c r="H272" s="12"/>
    </row>
    <row r="273" ht="14.25" customHeight="1">
      <c r="B273" s="19"/>
      <c r="C273" s="19"/>
      <c r="F273" s="55"/>
      <c r="G273" s="55"/>
      <c r="H273" s="12"/>
    </row>
    <row r="274" ht="14.25" customHeight="1">
      <c r="B274" s="19"/>
      <c r="C274" s="19"/>
      <c r="F274" s="55"/>
      <c r="G274" s="55"/>
      <c r="H274" s="12"/>
    </row>
    <row r="275" ht="14.25" customHeight="1">
      <c r="B275" s="19"/>
      <c r="C275" s="19"/>
      <c r="F275" s="55"/>
      <c r="G275" s="55"/>
      <c r="H275" s="12"/>
    </row>
    <row r="276" ht="14.25" customHeight="1">
      <c r="B276" s="19"/>
      <c r="C276" s="19"/>
      <c r="F276" s="55"/>
      <c r="G276" s="55"/>
      <c r="H276" s="12"/>
    </row>
    <row r="277" ht="14.25" customHeight="1">
      <c r="B277" s="19"/>
      <c r="C277" s="19"/>
      <c r="F277" s="55"/>
      <c r="G277" s="55"/>
      <c r="H277" s="12"/>
    </row>
    <row r="278" ht="14.25" customHeight="1">
      <c r="B278" s="19"/>
      <c r="C278" s="19"/>
      <c r="F278" s="55"/>
      <c r="G278" s="55"/>
      <c r="H278" s="12"/>
    </row>
    <row r="279" ht="14.25" customHeight="1">
      <c r="B279" s="19"/>
      <c r="C279" s="19"/>
      <c r="F279" s="55"/>
      <c r="G279" s="55"/>
      <c r="H279" s="12"/>
    </row>
    <row r="280" ht="14.25" customHeight="1">
      <c r="B280" s="19"/>
      <c r="C280" s="19"/>
      <c r="F280" s="55"/>
      <c r="G280" s="55"/>
      <c r="H280" s="12"/>
    </row>
    <row r="281" ht="14.25" customHeight="1">
      <c r="B281" s="19"/>
      <c r="C281" s="19"/>
      <c r="F281" s="55"/>
      <c r="G281" s="55"/>
      <c r="H281" s="12"/>
    </row>
    <row r="282" ht="14.25" customHeight="1">
      <c r="B282" s="19"/>
      <c r="C282" s="19"/>
      <c r="F282" s="55"/>
      <c r="G282" s="55"/>
      <c r="H282" s="12"/>
    </row>
    <row r="283" ht="14.25" customHeight="1">
      <c r="B283" s="19"/>
      <c r="C283" s="19"/>
      <c r="F283" s="55"/>
      <c r="G283" s="55"/>
      <c r="H283" s="12"/>
    </row>
    <row r="284" ht="14.25" customHeight="1">
      <c r="B284" s="19"/>
      <c r="C284" s="19"/>
      <c r="F284" s="55"/>
      <c r="G284" s="55"/>
      <c r="H284" s="12"/>
    </row>
    <row r="285" ht="14.25" customHeight="1">
      <c r="B285" s="19"/>
      <c r="C285" s="19"/>
      <c r="F285" s="55"/>
      <c r="G285" s="55"/>
      <c r="H285" s="12"/>
    </row>
    <row r="286" ht="14.25" customHeight="1">
      <c r="B286" s="19"/>
      <c r="C286" s="19"/>
      <c r="F286" s="55"/>
      <c r="G286" s="55"/>
      <c r="H286" s="12"/>
    </row>
    <row r="287" ht="14.25" customHeight="1">
      <c r="B287" s="19"/>
      <c r="C287" s="19"/>
      <c r="F287" s="55"/>
      <c r="G287" s="55"/>
      <c r="H287" s="12"/>
    </row>
    <row r="288" ht="14.25" customHeight="1">
      <c r="B288" s="19"/>
      <c r="C288" s="19"/>
      <c r="F288" s="55"/>
      <c r="G288" s="55"/>
      <c r="H288" s="12"/>
    </row>
    <row r="289" ht="14.25" customHeight="1">
      <c r="B289" s="19"/>
      <c r="C289" s="19"/>
      <c r="F289" s="55"/>
      <c r="G289" s="55"/>
      <c r="H289" s="12"/>
    </row>
    <row r="290" ht="14.25" customHeight="1">
      <c r="B290" s="19"/>
      <c r="C290" s="19"/>
      <c r="F290" s="55"/>
      <c r="G290" s="55"/>
      <c r="H290" s="12"/>
    </row>
    <row r="291" ht="14.25" customHeight="1">
      <c r="B291" s="19"/>
      <c r="C291" s="19"/>
      <c r="F291" s="55"/>
      <c r="G291" s="55"/>
      <c r="H291" s="12"/>
    </row>
    <row r="292" ht="14.25" customHeight="1">
      <c r="B292" s="19"/>
      <c r="C292" s="19"/>
      <c r="F292" s="55"/>
      <c r="G292" s="55"/>
      <c r="H292" s="12"/>
    </row>
    <row r="293" ht="14.25" customHeight="1">
      <c r="B293" s="19"/>
      <c r="C293" s="19"/>
      <c r="F293" s="55"/>
      <c r="G293" s="55"/>
      <c r="H293" s="12"/>
    </row>
    <row r="294" ht="14.25" customHeight="1">
      <c r="B294" s="19"/>
      <c r="C294" s="19"/>
      <c r="F294" s="55"/>
      <c r="G294" s="55"/>
      <c r="H294" s="12"/>
    </row>
    <row r="295" ht="14.25" customHeight="1">
      <c r="B295" s="19"/>
      <c r="C295" s="19"/>
      <c r="F295" s="55"/>
      <c r="G295" s="55"/>
      <c r="H295" s="12"/>
    </row>
    <row r="296" ht="14.25" customHeight="1">
      <c r="B296" s="19"/>
      <c r="C296" s="19"/>
      <c r="F296" s="55"/>
      <c r="G296" s="55"/>
      <c r="H296" s="12"/>
    </row>
    <row r="297" ht="14.25" customHeight="1">
      <c r="B297" s="19"/>
      <c r="C297" s="19"/>
      <c r="F297" s="55"/>
      <c r="G297" s="55"/>
      <c r="H297" s="12"/>
    </row>
    <row r="298" ht="14.25" customHeight="1">
      <c r="B298" s="19"/>
      <c r="C298" s="19"/>
      <c r="F298" s="55"/>
      <c r="G298" s="55"/>
      <c r="H298" s="12"/>
    </row>
    <row r="299" ht="14.25" customHeight="1">
      <c r="B299" s="19"/>
      <c r="C299" s="19"/>
      <c r="F299" s="55"/>
      <c r="G299" s="55"/>
      <c r="H299" s="12"/>
    </row>
    <row r="300" ht="14.25" customHeight="1">
      <c r="B300" s="19"/>
      <c r="C300" s="19"/>
      <c r="F300" s="55"/>
      <c r="G300" s="55"/>
      <c r="H300" s="12"/>
    </row>
    <row r="301" ht="14.25" customHeight="1">
      <c r="B301" s="19"/>
      <c r="C301" s="19"/>
      <c r="F301" s="55"/>
      <c r="G301" s="55"/>
      <c r="H301" s="12"/>
    </row>
    <row r="302" ht="14.25" customHeight="1">
      <c r="B302" s="19"/>
      <c r="C302" s="19"/>
      <c r="F302" s="55"/>
      <c r="G302" s="55"/>
      <c r="H302" s="12"/>
    </row>
    <row r="303" ht="14.25" customHeight="1">
      <c r="B303" s="19"/>
      <c r="C303" s="19"/>
      <c r="F303" s="55"/>
      <c r="G303" s="55"/>
      <c r="H303" s="12"/>
    </row>
    <row r="304" ht="14.25" customHeight="1">
      <c r="B304" s="19"/>
      <c r="C304" s="19"/>
      <c r="F304" s="55"/>
      <c r="G304" s="55"/>
      <c r="H304" s="12"/>
    </row>
    <row r="305" ht="14.25" customHeight="1">
      <c r="B305" s="19"/>
      <c r="C305" s="19"/>
      <c r="F305" s="55"/>
      <c r="G305" s="55"/>
      <c r="H305" s="12"/>
    </row>
    <row r="306" ht="14.25" customHeight="1">
      <c r="B306" s="19"/>
      <c r="C306" s="19"/>
      <c r="F306" s="55"/>
      <c r="G306" s="55"/>
      <c r="H306" s="12"/>
    </row>
    <row r="307" ht="14.25" customHeight="1">
      <c r="B307" s="19"/>
      <c r="C307" s="19"/>
      <c r="F307" s="55"/>
      <c r="G307" s="55"/>
      <c r="H307" s="12"/>
    </row>
    <row r="308" ht="14.25" customHeight="1">
      <c r="B308" s="19"/>
      <c r="C308" s="19"/>
      <c r="F308" s="55"/>
      <c r="G308" s="55"/>
      <c r="H308" s="12"/>
    </row>
    <row r="309" ht="14.25" customHeight="1">
      <c r="B309" s="19"/>
      <c r="C309" s="19"/>
      <c r="F309" s="55"/>
      <c r="G309" s="55"/>
      <c r="H309" s="12"/>
    </row>
    <row r="310" ht="14.25" customHeight="1">
      <c r="B310" s="19"/>
      <c r="C310" s="19"/>
      <c r="F310" s="55"/>
      <c r="G310" s="55"/>
      <c r="H310" s="12"/>
    </row>
    <row r="311" ht="14.25" customHeight="1">
      <c r="B311" s="19"/>
      <c r="C311" s="19"/>
      <c r="F311" s="55"/>
      <c r="G311" s="55"/>
      <c r="H311" s="12"/>
    </row>
    <row r="312" ht="14.25" customHeight="1">
      <c r="B312" s="19"/>
      <c r="C312" s="19"/>
      <c r="F312" s="55"/>
      <c r="G312" s="55"/>
      <c r="H312" s="12"/>
    </row>
    <row r="313" ht="14.25" customHeight="1">
      <c r="B313" s="19"/>
      <c r="C313" s="19"/>
      <c r="F313" s="55"/>
      <c r="G313" s="55"/>
      <c r="H313" s="12"/>
    </row>
    <row r="314" ht="14.25" customHeight="1">
      <c r="B314" s="19"/>
      <c r="C314" s="19"/>
      <c r="F314" s="55"/>
      <c r="G314" s="55"/>
      <c r="H314" s="12"/>
    </row>
    <row r="315" ht="14.25" customHeight="1">
      <c r="B315" s="19"/>
      <c r="C315" s="19"/>
      <c r="F315" s="55"/>
      <c r="G315" s="55"/>
      <c r="H315" s="12"/>
    </row>
    <row r="316" ht="14.25" customHeight="1">
      <c r="B316" s="19"/>
      <c r="C316" s="19"/>
      <c r="F316" s="55"/>
      <c r="G316" s="55"/>
      <c r="H316" s="12"/>
    </row>
    <row r="317" ht="14.25" customHeight="1">
      <c r="B317" s="19"/>
      <c r="C317" s="19"/>
      <c r="F317" s="55"/>
      <c r="G317" s="55"/>
      <c r="H317" s="12"/>
    </row>
    <row r="318" ht="14.25" customHeight="1">
      <c r="B318" s="19"/>
      <c r="C318" s="19"/>
      <c r="F318" s="55"/>
      <c r="G318" s="55"/>
      <c r="H318" s="12"/>
    </row>
    <row r="319" ht="14.25" customHeight="1">
      <c r="B319" s="19"/>
      <c r="C319" s="19"/>
      <c r="F319" s="55"/>
      <c r="G319" s="55"/>
      <c r="H319" s="12"/>
    </row>
    <row r="320" ht="14.25" customHeight="1">
      <c r="B320" s="19"/>
      <c r="C320" s="19"/>
      <c r="F320" s="55"/>
      <c r="G320" s="55"/>
      <c r="H320" s="12"/>
    </row>
    <row r="321" ht="14.25" customHeight="1">
      <c r="B321" s="19"/>
      <c r="C321" s="19"/>
      <c r="F321" s="55"/>
      <c r="G321" s="55"/>
      <c r="H321" s="12"/>
    </row>
    <row r="322" ht="14.25" customHeight="1">
      <c r="B322" s="19"/>
      <c r="C322" s="19"/>
      <c r="F322" s="55"/>
      <c r="G322" s="55"/>
      <c r="H322" s="12"/>
    </row>
    <row r="323" ht="14.25" customHeight="1">
      <c r="B323" s="19"/>
      <c r="C323" s="19"/>
      <c r="F323" s="55"/>
      <c r="G323" s="55"/>
      <c r="H323" s="12"/>
    </row>
    <row r="324" ht="14.25" customHeight="1">
      <c r="B324" s="19"/>
      <c r="C324" s="19"/>
      <c r="F324" s="55"/>
      <c r="G324" s="55"/>
      <c r="H324" s="12"/>
    </row>
    <row r="325" ht="14.25" customHeight="1">
      <c r="B325" s="19"/>
      <c r="C325" s="19"/>
      <c r="F325" s="55"/>
      <c r="G325" s="55"/>
      <c r="H325" s="12"/>
    </row>
    <row r="326" ht="14.25" customHeight="1">
      <c r="B326" s="19"/>
      <c r="C326" s="19"/>
      <c r="F326" s="55"/>
      <c r="G326" s="55"/>
      <c r="H326" s="12"/>
    </row>
    <row r="327" ht="14.25" customHeight="1">
      <c r="B327" s="19"/>
      <c r="C327" s="19"/>
      <c r="F327" s="55"/>
      <c r="G327" s="55"/>
      <c r="H327" s="12"/>
    </row>
    <row r="328" ht="14.25" customHeight="1">
      <c r="B328" s="19"/>
      <c r="C328" s="19"/>
      <c r="F328" s="55"/>
      <c r="G328" s="55"/>
      <c r="H328" s="12"/>
    </row>
    <row r="329" ht="14.25" customHeight="1">
      <c r="B329" s="19"/>
      <c r="C329" s="19"/>
      <c r="F329" s="55"/>
      <c r="G329" s="55"/>
      <c r="H329" s="12"/>
    </row>
    <row r="330" ht="14.25" customHeight="1">
      <c r="B330" s="19"/>
      <c r="C330" s="19"/>
      <c r="F330" s="55"/>
      <c r="G330" s="55"/>
      <c r="H330" s="12"/>
    </row>
    <row r="331" ht="14.25" customHeight="1">
      <c r="B331" s="19"/>
      <c r="C331" s="19"/>
      <c r="F331" s="55"/>
      <c r="G331" s="55"/>
      <c r="H331" s="12"/>
    </row>
    <row r="332" ht="14.25" customHeight="1">
      <c r="B332" s="19"/>
      <c r="C332" s="19"/>
      <c r="F332" s="55"/>
      <c r="G332" s="55"/>
      <c r="H332" s="12"/>
    </row>
    <row r="333" ht="14.25" customHeight="1">
      <c r="B333" s="19"/>
      <c r="C333" s="19"/>
      <c r="F333" s="55"/>
      <c r="G333" s="55"/>
      <c r="H333" s="12"/>
    </row>
    <row r="334" ht="14.25" customHeight="1">
      <c r="B334" s="19"/>
      <c r="C334" s="19"/>
      <c r="F334" s="55"/>
      <c r="G334" s="55"/>
      <c r="H334" s="12"/>
    </row>
    <row r="335" ht="14.25" customHeight="1">
      <c r="B335" s="19"/>
      <c r="C335" s="19"/>
      <c r="F335" s="55"/>
      <c r="G335" s="55"/>
      <c r="H335" s="12"/>
    </row>
    <row r="336" ht="14.25" customHeight="1">
      <c r="B336" s="19"/>
      <c r="C336" s="19"/>
      <c r="F336" s="55"/>
      <c r="G336" s="55"/>
      <c r="H336" s="12"/>
    </row>
    <row r="337" ht="14.25" customHeight="1">
      <c r="B337" s="19"/>
      <c r="C337" s="19"/>
      <c r="F337" s="55"/>
      <c r="G337" s="55"/>
      <c r="H337" s="12"/>
    </row>
    <row r="338" ht="14.25" customHeight="1">
      <c r="B338" s="19"/>
      <c r="C338" s="19"/>
      <c r="F338" s="55"/>
      <c r="G338" s="55"/>
      <c r="H338" s="12"/>
    </row>
    <row r="339" ht="14.25" customHeight="1">
      <c r="B339" s="19"/>
      <c r="C339" s="19"/>
      <c r="F339" s="55"/>
      <c r="G339" s="55"/>
      <c r="H339" s="12"/>
    </row>
    <row r="340" ht="14.25" customHeight="1">
      <c r="B340" s="19"/>
      <c r="C340" s="19"/>
      <c r="F340" s="55"/>
      <c r="G340" s="55"/>
      <c r="H340" s="12"/>
    </row>
    <row r="341" ht="14.25" customHeight="1">
      <c r="B341" s="19"/>
      <c r="C341" s="19"/>
      <c r="F341" s="55"/>
      <c r="G341" s="55"/>
      <c r="H341" s="12"/>
    </row>
    <row r="342" ht="14.25" customHeight="1">
      <c r="B342" s="19"/>
      <c r="C342" s="19"/>
      <c r="F342" s="55"/>
      <c r="G342" s="55"/>
      <c r="H342" s="12"/>
    </row>
    <row r="343" ht="14.25" customHeight="1">
      <c r="B343" s="19"/>
      <c r="C343" s="19"/>
      <c r="F343" s="55"/>
      <c r="G343" s="55"/>
      <c r="H343" s="12"/>
    </row>
    <row r="344" ht="14.25" customHeight="1">
      <c r="B344" s="19"/>
      <c r="C344" s="19"/>
      <c r="F344" s="55"/>
      <c r="G344" s="55"/>
      <c r="H344" s="12"/>
    </row>
    <row r="345" ht="14.25" customHeight="1">
      <c r="B345" s="19"/>
      <c r="C345" s="19"/>
      <c r="F345" s="55"/>
      <c r="G345" s="55"/>
      <c r="H345" s="12"/>
    </row>
    <row r="346" ht="14.25" customHeight="1">
      <c r="B346" s="19"/>
      <c r="C346" s="19"/>
      <c r="F346" s="55"/>
      <c r="G346" s="55"/>
      <c r="H346" s="12"/>
    </row>
    <row r="347" ht="14.25" customHeight="1">
      <c r="B347" s="19"/>
      <c r="C347" s="19"/>
      <c r="F347" s="55"/>
      <c r="G347" s="55"/>
      <c r="H347" s="12"/>
    </row>
    <row r="348" ht="14.25" customHeight="1">
      <c r="B348" s="19"/>
      <c r="C348" s="19"/>
      <c r="F348" s="55"/>
      <c r="G348" s="55"/>
      <c r="H348" s="12"/>
    </row>
    <row r="349" ht="14.25" customHeight="1">
      <c r="B349" s="19"/>
      <c r="C349" s="19"/>
      <c r="F349" s="55"/>
      <c r="G349" s="55"/>
      <c r="H349" s="12"/>
    </row>
    <row r="350" ht="14.25" customHeight="1">
      <c r="B350" s="19"/>
      <c r="C350" s="19"/>
      <c r="F350" s="55"/>
      <c r="G350" s="55"/>
      <c r="H350" s="12"/>
    </row>
    <row r="351" ht="14.25" customHeight="1">
      <c r="B351" s="19"/>
      <c r="C351" s="19"/>
      <c r="F351" s="55"/>
      <c r="G351" s="55"/>
      <c r="H351" s="12"/>
    </row>
    <row r="352" ht="14.25" customHeight="1">
      <c r="B352" s="19"/>
      <c r="C352" s="19"/>
      <c r="F352" s="55"/>
      <c r="G352" s="55"/>
      <c r="H352" s="12"/>
    </row>
    <row r="353" ht="14.25" customHeight="1">
      <c r="B353" s="19"/>
      <c r="C353" s="19"/>
      <c r="F353" s="55"/>
      <c r="G353" s="55"/>
      <c r="H353" s="12"/>
    </row>
    <row r="354" ht="14.25" customHeight="1">
      <c r="B354" s="19"/>
      <c r="C354" s="19"/>
      <c r="F354" s="55"/>
      <c r="G354" s="55"/>
      <c r="H354" s="12"/>
    </row>
    <row r="355" ht="14.25" customHeight="1">
      <c r="B355" s="19"/>
      <c r="C355" s="19"/>
      <c r="F355" s="55"/>
      <c r="G355" s="55"/>
      <c r="H355" s="12"/>
    </row>
    <row r="356" ht="14.25" customHeight="1">
      <c r="B356" s="19"/>
      <c r="C356" s="19"/>
      <c r="F356" s="55"/>
      <c r="G356" s="55"/>
      <c r="H356" s="12"/>
    </row>
    <row r="357" ht="14.25" customHeight="1">
      <c r="B357" s="19"/>
      <c r="C357" s="19"/>
      <c r="F357" s="55"/>
      <c r="G357" s="55"/>
      <c r="H357" s="12"/>
    </row>
    <row r="358" ht="14.25" customHeight="1">
      <c r="B358" s="19"/>
      <c r="C358" s="19"/>
      <c r="F358" s="55"/>
      <c r="G358" s="55"/>
      <c r="H358" s="12"/>
    </row>
    <row r="359" ht="14.25" customHeight="1">
      <c r="B359" s="19"/>
      <c r="C359" s="19"/>
      <c r="F359" s="55"/>
      <c r="G359" s="55"/>
      <c r="H359" s="12"/>
    </row>
    <row r="360" ht="14.25" customHeight="1">
      <c r="B360" s="19"/>
      <c r="C360" s="19"/>
      <c r="F360" s="55"/>
      <c r="G360" s="55"/>
      <c r="H360" s="12"/>
    </row>
    <row r="361" ht="14.25" customHeight="1">
      <c r="B361" s="19"/>
      <c r="C361" s="19"/>
      <c r="F361" s="55"/>
      <c r="G361" s="55"/>
      <c r="H361" s="12"/>
    </row>
    <row r="362" ht="14.25" customHeight="1">
      <c r="B362" s="19"/>
      <c r="C362" s="19"/>
      <c r="F362" s="55"/>
      <c r="G362" s="55"/>
      <c r="H362" s="12"/>
    </row>
    <row r="363" ht="14.25" customHeight="1">
      <c r="B363" s="19"/>
      <c r="C363" s="19"/>
      <c r="F363" s="55"/>
      <c r="G363" s="55"/>
      <c r="H363" s="12"/>
    </row>
    <row r="364" ht="14.25" customHeight="1">
      <c r="B364" s="19"/>
      <c r="C364" s="19"/>
      <c r="F364" s="55"/>
      <c r="G364" s="55"/>
      <c r="H364" s="12"/>
    </row>
    <row r="365" ht="14.25" customHeight="1">
      <c r="B365" s="19"/>
      <c r="C365" s="19"/>
      <c r="F365" s="55"/>
      <c r="G365" s="55"/>
      <c r="H365" s="12"/>
    </row>
    <row r="366" ht="14.25" customHeight="1">
      <c r="B366" s="19"/>
      <c r="C366" s="19"/>
      <c r="F366" s="55"/>
      <c r="G366" s="55"/>
      <c r="H366" s="12"/>
    </row>
    <row r="367" ht="14.25" customHeight="1">
      <c r="B367" s="19"/>
      <c r="C367" s="19"/>
      <c r="F367" s="55"/>
      <c r="G367" s="55"/>
      <c r="H367" s="12"/>
    </row>
    <row r="368" ht="14.25" customHeight="1">
      <c r="B368" s="19"/>
      <c r="C368" s="19"/>
      <c r="F368" s="55"/>
      <c r="G368" s="55"/>
      <c r="H368" s="12"/>
    </row>
    <row r="369" ht="14.25" customHeight="1">
      <c r="B369" s="19"/>
      <c r="C369" s="19"/>
      <c r="F369" s="55"/>
      <c r="G369" s="55"/>
      <c r="H369" s="12"/>
    </row>
    <row r="370" ht="14.25" customHeight="1">
      <c r="B370" s="19"/>
      <c r="C370" s="19"/>
      <c r="F370" s="55"/>
      <c r="G370" s="55"/>
      <c r="H370" s="12"/>
    </row>
    <row r="371" ht="14.25" customHeight="1">
      <c r="B371" s="19"/>
      <c r="C371" s="19"/>
      <c r="F371" s="55"/>
      <c r="G371" s="55"/>
      <c r="H371" s="12"/>
    </row>
    <row r="372" ht="14.25" customHeight="1">
      <c r="B372" s="19"/>
      <c r="C372" s="19"/>
      <c r="F372" s="55"/>
      <c r="G372" s="55"/>
      <c r="H372" s="12"/>
    </row>
    <row r="373" ht="14.25" customHeight="1">
      <c r="B373" s="19"/>
      <c r="C373" s="19"/>
      <c r="F373" s="55"/>
      <c r="G373" s="55"/>
      <c r="H373" s="12"/>
    </row>
    <row r="374" ht="14.25" customHeight="1">
      <c r="B374" s="19"/>
      <c r="C374" s="19"/>
      <c r="F374" s="55"/>
      <c r="G374" s="55"/>
      <c r="H374" s="12"/>
    </row>
    <row r="375" ht="14.25" customHeight="1">
      <c r="B375" s="19"/>
      <c r="C375" s="19"/>
      <c r="F375" s="55"/>
      <c r="G375" s="55"/>
      <c r="H375" s="12"/>
    </row>
    <row r="376" ht="14.25" customHeight="1">
      <c r="B376" s="19"/>
      <c r="C376" s="19"/>
      <c r="F376" s="55"/>
      <c r="G376" s="55"/>
      <c r="H376" s="12"/>
    </row>
    <row r="377" ht="14.25" customHeight="1">
      <c r="B377" s="19"/>
      <c r="C377" s="19"/>
      <c r="F377" s="55"/>
      <c r="G377" s="55"/>
      <c r="H377" s="12"/>
    </row>
    <row r="378" ht="14.25" customHeight="1">
      <c r="B378" s="19"/>
      <c r="C378" s="19"/>
      <c r="F378" s="55"/>
      <c r="G378" s="55"/>
      <c r="H378" s="12"/>
    </row>
    <row r="379" ht="14.25" customHeight="1">
      <c r="B379" s="19"/>
      <c r="C379" s="19"/>
      <c r="F379" s="55"/>
      <c r="G379" s="55"/>
      <c r="H379" s="12"/>
    </row>
    <row r="380" ht="14.25" customHeight="1">
      <c r="B380" s="19"/>
      <c r="C380" s="19"/>
      <c r="F380" s="55"/>
      <c r="G380" s="55"/>
      <c r="H380" s="12"/>
    </row>
    <row r="381" ht="14.25" customHeight="1">
      <c r="B381" s="19"/>
      <c r="C381" s="19"/>
      <c r="F381" s="55"/>
      <c r="G381" s="55"/>
      <c r="H381" s="12"/>
    </row>
    <row r="382" ht="14.25" customHeight="1">
      <c r="B382" s="19"/>
      <c r="C382" s="19"/>
      <c r="F382" s="55"/>
      <c r="G382" s="55"/>
      <c r="H382" s="12"/>
    </row>
    <row r="383" ht="14.25" customHeight="1">
      <c r="B383" s="19"/>
      <c r="C383" s="19"/>
      <c r="F383" s="55"/>
      <c r="G383" s="55"/>
      <c r="H383" s="12"/>
    </row>
    <row r="384" ht="14.25" customHeight="1">
      <c r="B384" s="19"/>
      <c r="C384" s="19"/>
      <c r="F384" s="55"/>
      <c r="G384" s="55"/>
      <c r="H384" s="12"/>
    </row>
    <row r="385" ht="14.25" customHeight="1">
      <c r="B385" s="19"/>
      <c r="C385" s="19"/>
      <c r="F385" s="55"/>
      <c r="G385" s="55"/>
      <c r="H385" s="12"/>
    </row>
    <row r="386" ht="14.25" customHeight="1">
      <c r="B386" s="19"/>
      <c r="C386" s="19"/>
      <c r="F386" s="55"/>
      <c r="G386" s="55"/>
      <c r="H386" s="12"/>
    </row>
    <row r="387" ht="14.25" customHeight="1">
      <c r="B387" s="19"/>
      <c r="C387" s="19"/>
      <c r="F387" s="55"/>
      <c r="G387" s="55"/>
      <c r="H387" s="12"/>
    </row>
    <row r="388" ht="14.25" customHeight="1">
      <c r="B388" s="19"/>
      <c r="C388" s="19"/>
      <c r="F388" s="55"/>
      <c r="G388" s="55"/>
      <c r="H388" s="12"/>
    </row>
    <row r="389" ht="14.25" customHeight="1">
      <c r="B389" s="19"/>
      <c r="C389" s="19"/>
      <c r="F389" s="55"/>
      <c r="G389" s="55"/>
      <c r="H389" s="12"/>
    </row>
    <row r="390" ht="14.25" customHeight="1">
      <c r="B390" s="19"/>
      <c r="C390" s="19"/>
      <c r="F390" s="55"/>
      <c r="G390" s="55"/>
      <c r="H390" s="12"/>
    </row>
    <row r="391" ht="14.25" customHeight="1">
      <c r="B391" s="19"/>
      <c r="C391" s="19"/>
      <c r="F391" s="55"/>
      <c r="G391" s="55"/>
      <c r="H391" s="12"/>
    </row>
    <row r="392" ht="14.25" customHeight="1">
      <c r="B392" s="19"/>
      <c r="C392" s="19"/>
      <c r="F392" s="55"/>
      <c r="G392" s="55"/>
      <c r="H392" s="12"/>
    </row>
    <row r="393" ht="14.25" customHeight="1">
      <c r="B393" s="19"/>
      <c r="C393" s="19"/>
      <c r="F393" s="55"/>
      <c r="G393" s="55"/>
      <c r="H393" s="12"/>
    </row>
    <row r="394" ht="14.25" customHeight="1">
      <c r="B394" s="19"/>
      <c r="C394" s="19"/>
      <c r="F394" s="55"/>
      <c r="G394" s="55"/>
      <c r="H394" s="12"/>
    </row>
    <row r="395" ht="14.25" customHeight="1">
      <c r="B395" s="19"/>
      <c r="C395" s="19"/>
      <c r="F395" s="55"/>
      <c r="G395" s="55"/>
      <c r="H395" s="12"/>
    </row>
    <row r="396" ht="14.25" customHeight="1">
      <c r="B396" s="19"/>
      <c r="C396" s="19"/>
      <c r="F396" s="55"/>
      <c r="G396" s="55"/>
      <c r="H396" s="12"/>
    </row>
    <row r="397" ht="14.25" customHeight="1">
      <c r="B397" s="19"/>
      <c r="C397" s="19"/>
      <c r="F397" s="55"/>
      <c r="G397" s="55"/>
      <c r="H397" s="12"/>
    </row>
    <row r="398" ht="14.25" customHeight="1">
      <c r="B398" s="19"/>
      <c r="C398" s="19"/>
      <c r="F398" s="55"/>
      <c r="G398" s="55"/>
      <c r="H398" s="12"/>
    </row>
    <row r="399" ht="14.25" customHeight="1">
      <c r="B399" s="19"/>
      <c r="C399" s="19"/>
      <c r="F399" s="55"/>
      <c r="G399" s="55"/>
      <c r="H399" s="12"/>
    </row>
    <row r="400" ht="14.25" customHeight="1">
      <c r="B400" s="19"/>
      <c r="C400" s="19"/>
      <c r="F400" s="55"/>
      <c r="G400" s="55"/>
      <c r="H400" s="12"/>
    </row>
    <row r="401" ht="14.25" customHeight="1">
      <c r="B401" s="19"/>
      <c r="C401" s="19"/>
      <c r="F401" s="55"/>
      <c r="G401" s="55"/>
      <c r="H401" s="12"/>
    </row>
    <row r="402" ht="14.25" customHeight="1">
      <c r="B402" s="19"/>
      <c r="C402" s="19"/>
      <c r="F402" s="55"/>
      <c r="G402" s="55"/>
      <c r="H402" s="12"/>
    </row>
    <row r="403" ht="14.25" customHeight="1">
      <c r="B403" s="19"/>
      <c r="C403" s="19"/>
      <c r="F403" s="55"/>
      <c r="G403" s="55"/>
      <c r="H403" s="12"/>
    </row>
    <row r="404" ht="14.25" customHeight="1">
      <c r="B404" s="19"/>
      <c r="C404" s="19"/>
      <c r="F404" s="55"/>
      <c r="G404" s="55"/>
      <c r="H404" s="12"/>
    </row>
    <row r="405" ht="14.25" customHeight="1">
      <c r="B405" s="19"/>
      <c r="C405" s="19"/>
      <c r="F405" s="55"/>
      <c r="G405" s="55"/>
      <c r="H405" s="12"/>
    </row>
    <row r="406" ht="14.25" customHeight="1">
      <c r="B406" s="19"/>
      <c r="C406" s="19"/>
      <c r="F406" s="55"/>
      <c r="G406" s="55"/>
      <c r="H406" s="12"/>
    </row>
    <row r="407" ht="14.25" customHeight="1">
      <c r="B407" s="19"/>
      <c r="C407" s="19"/>
      <c r="F407" s="55"/>
      <c r="G407" s="55"/>
      <c r="H407" s="12"/>
    </row>
    <row r="408" ht="14.25" customHeight="1">
      <c r="B408" s="19"/>
      <c r="C408" s="19"/>
      <c r="F408" s="55"/>
      <c r="G408" s="55"/>
      <c r="H408" s="12"/>
    </row>
    <row r="409" ht="14.25" customHeight="1">
      <c r="B409" s="19"/>
      <c r="C409" s="19"/>
      <c r="F409" s="55"/>
      <c r="G409" s="55"/>
      <c r="H409" s="12"/>
    </row>
    <row r="410" ht="14.25" customHeight="1">
      <c r="B410" s="19"/>
      <c r="C410" s="19"/>
      <c r="F410" s="55"/>
      <c r="G410" s="55"/>
      <c r="H410" s="12"/>
    </row>
    <row r="411" ht="14.25" customHeight="1">
      <c r="B411" s="19"/>
      <c r="C411" s="19"/>
      <c r="F411" s="55"/>
      <c r="G411" s="55"/>
      <c r="H411" s="12"/>
    </row>
    <row r="412" ht="14.25" customHeight="1">
      <c r="B412" s="19"/>
      <c r="C412" s="19"/>
      <c r="F412" s="55"/>
      <c r="G412" s="55"/>
      <c r="H412" s="12"/>
    </row>
    <row r="413" ht="14.25" customHeight="1">
      <c r="B413" s="19"/>
      <c r="C413" s="19"/>
      <c r="F413" s="55"/>
      <c r="G413" s="55"/>
      <c r="H413" s="12"/>
    </row>
    <row r="414" ht="14.25" customHeight="1">
      <c r="B414" s="19"/>
      <c r="C414" s="19"/>
      <c r="F414" s="55"/>
      <c r="G414" s="55"/>
      <c r="H414" s="12"/>
    </row>
    <row r="415" ht="14.25" customHeight="1">
      <c r="B415" s="19"/>
      <c r="C415" s="19"/>
      <c r="F415" s="55"/>
      <c r="G415" s="55"/>
      <c r="H415" s="12"/>
    </row>
    <row r="416" ht="14.25" customHeight="1">
      <c r="B416" s="19"/>
      <c r="C416" s="19"/>
      <c r="F416" s="55"/>
      <c r="G416" s="55"/>
      <c r="H416" s="12"/>
    </row>
    <row r="417" ht="14.25" customHeight="1">
      <c r="B417" s="19"/>
      <c r="C417" s="19"/>
      <c r="F417" s="55"/>
      <c r="G417" s="55"/>
      <c r="H417" s="12"/>
    </row>
    <row r="418" ht="14.25" customHeight="1">
      <c r="B418" s="19"/>
      <c r="C418" s="19"/>
      <c r="F418" s="55"/>
      <c r="G418" s="55"/>
      <c r="H418" s="12"/>
    </row>
    <row r="419" ht="14.25" customHeight="1">
      <c r="B419" s="19"/>
      <c r="C419" s="19"/>
      <c r="F419" s="55"/>
      <c r="G419" s="55"/>
      <c r="H419" s="12"/>
    </row>
    <row r="420" ht="14.25" customHeight="1">
      <c r="B420" s="19"/>
      <c r="C420" s="19"/>
      <c r="F420" s="55"/>
      <c r="G420" s="55"/>
      <c r="H420" s="12"/>
    </row>
    <row r="421" ht="14.25" customHeight="1">
      <c r="B421" s="19"/>
      <c r="C421" s="19"/>
      <c r="F421" s="55"/>
      <c r="G421" s="55"/>
      <c r="H421" s="12"/>
    </row>
    <row r="422" ht="14.25" customHeight="1">
      <c r="B422" s="19"/>
      <c r="C422" s="19"/>
      <c r="F422" s="55"/>
      <c r="G422" s="55"/>
      <c r="H422" s="12"/>
    </row>
    <row r="423" ht="14.25" customHeight="1">
      <c r="B423" s="19"/>
      <c r="C423" s="19"/>
      <c r="F423" s="55"/>
      <c r="G423" s="55"/>
      <c r="H423" s="12"/>
    </row>
    <row r="424" ht="14.25" customHeight="1">
      <c r="B424" s="19"/>
      <c r="C424" s="19"/>
      <c r="F424" s="55"/>
      <c r="G424" s="55"/>
      <c r="H424" s="12"/>
    </row>
    <row r="425" ht="14.25" customHeight="1">
      <c r="B425" s="19"/>
      <c r="C425" s="19"/>
      <c r="F425" s="55"/>
      <c r="G425" s="55"/>
      <c r="H425" s="12"/>
    </row>
    <row r="426" ht="14.25" customHeight="1">
      <c r="B426" s="19"/>
      <c r="C426" s="19"/>
      <c r="F426" s="55"/>
      <c r="G426" s="55"/>
      <c r="H426" s="12"/>
    </row>
    <row r="427" ht="14.25" customHeight="1">
      <c r="B427" s="19"/>
      <c r="C427" s="19"/>
      <c r="F427" s="55"/>
      <c r="G427" s="55"/>
      <c r="H427" s="12"/>
    </row>
    <row r="428" ht="14.25" customHeight="1">
      <c r="B428" s="19"/>
      <c r="C428" s="19"/>
      <c r="F428" s="55"/>
      <c r="G428" s="55"/>
      <c r="H428" s="12"/>
    </row>
    <row r="429" ht="14.25" customHeight="1">
      <c r="B429" s="19"/>
      <c r="C429" s="19"/>
      <c r="F429" s="55"/>
      <c r="G429" s="55"/>
      <c r="H429" s="12"/>
    </row>
    <row r="430" ht="14.25" customHeight="1">
      <c r="B430" s="19"/>
      <c r="C430" s="19"/>
      <c r="F430" s="55"/>
      <c r="G430" s="55"/>
      <c r="H430" s="12"/>
    </row>
    <row r="431" ht="14.25" customHeight="1">
      <c r="B431" s="19"/>
      <c r="C431" s="19"/>
      <c r="F431" s="55"/>
      <c r="G431" s="55"/>
      <c r="H431" s="12"/>
    </row>
    <row r="432" ht="14.25" customHeight="1">
      <c r="B432" s="19"/>
      <c r="C432" s="19"/>
      <c r="F432" s="55"/>
      <c r="G432" s="55"/>
      <c r="H432" s="12"/>
    </row>
    <row r="433" ht="14.25" customHeight="1">
      <c r="B433" s="19"/>
      <c r="C433" s="19"/>
      <c r="F433" s="55"/>
      <c r="G433" s="55"/>
      <c r="H433" s="12"/>
    </row>
    <row r="434" ht="14.25" customHeight="1">
      <c r="B434" s="19"/>
      <c r="C434" s="19"/>
      <c r="F434" s="55"/>
      <c r="G434" s="55"/>
      <c r="H434" s="12"/>
    </row>
    <row r="435" ht="14.25" customHeight="1">
      <c r="B435" s="19"/>
      <c r="C435" s="19"/>
      <c r="F435" s="55"/>
      <c r="G435" s="55"/>
      <c r="H435" s="12"/>
    </row>
    <row r="436" ht="14.25" customHeight="1">
      <c r="B436" s="19"/>
      <c r="C436" s="19"/>
      <c r="F436" s="55"/>
      <c r="G436" s="55"/>
      <c r="H436" s="12"/>
    </row>
    <row r="437" ht="14.25" customHeight="1">
      <c r="B437" s="19"/>
      <c r="C437" s="19"/>
      <c r="F437" s="55"/>
      <c r="G437" s="55"/>
      <c r="H437" s="12"/>
    </row>
    <row r="438" ht="14.25" customHeight="1">
      <c r="B438" s="19"/>
      <c r="C438" s="19"/>
      <c r="F438" s="55"/>
      <c r="G438" s="55"/>
      <c r="H438" s="12"/>
    </row>
    <row r="439" ht="14.25" customHeight="1">
      <c r="B439" s="19"/>
      <c r="C439" s="19"/>
      <c r="F439" s="55"/>
      <c r="G439" s="55"/>
      <c r="H439" s="12"/>
    </row>
    <row r="440" ht="14.25" customHeight="1">
      <c r="B440" s="19"/>
      <c r="C440" s="19"/>
      <c r="F440" s="55"/>
      <c r="G440" s="55"/>
      <c r="H440" s="12"/>
    </row>
    <row r="441" ht="14.25" customHeight="1">
      <c r="B441" s="19"/>
      <c r="C441" s="19"/>
      <c r="F441" s="55"/>
      <c r="G441" s="55"/>
      <c r="H441" s="12"/>
    </row>
    <row r="442" ht="14.25" customHeight="1">
      <c r="B442" s="19"/>
      <c r="C442" s="19"/>
      <c r="F442" s="55"/>
      <c r="G442" s="55"/>
      <c r="H442" s="12"/>
    </row>
    <row r="443" ht="14.25" customHeight="1">
      <c r="B443" s="19"/>
      <c r="C443" s="19"/>
      <c r="F443" s="55"/>
      <c r="G443" s="55"/>
      <c r="H443" s="12"/>
    </row>
    <row r="444" ht="14.25" customHeight="1">
      <c r="B444" s="19"/>
      <c r="C444" s="19"/>
      <c r="F444" s="55"/>
      <c r="G444" s="55"/>
      <c r="H444" s="12"/>
    </row>
    <row r="445" ht="14.25" customHeight="1">
      <c r="B445" s="19"/>
      <c r="C445" s="19"/>
      <c r="F445" s="55"/>
      <c r="G445" s="55"/>
      <c r="H445" s="12"/>
    </row>
    <row r="446" ht="14.25" customHeight="1">
      <c r="B446" s="19"/>
      <c r="C446" s="19"/>
      <c r="F446" s="55"/>
      <c r="G446" s="55"/>
      <c r="H446" s="12"/>
    </row>
    <row r="447" ht="14.25" customHeight="1">
      <c r="B447" s="19"/>
      <c r="C447" s="19"/>
      <c r="F447" s="55"/>
      <c r="G447" s="55"/>
      <c r="H447" s="12"/>
    </row>
    <row r="448" ht="14.25" customHeight="1">
      <c r="B448" s="19"/>
      <c r="C448" s="19"/>
      <c r="F448" s="55"/>
      <c r="G448" s="55"/>
      <c r="H448" s="12"/>
    </row>
    <row r="449" ht="14.25" customHeight="1">
      <c r="B449" s="19"/>
      <c r="C449" s="19"/>
      <c r="F449" s="55"/>
      <c r="G449" s="55"/>
      <c r="H449" s="12"/>
    </row>
    <row r="450" ht="14.25" customHeight="1">
      <c r="B450" s="19"/>
      <c r="C450" s="19"/>
      <c r="F450" s="55"/>
      <c r="G450" s="55"/>
      <c r="H450" s="12"/>
    </row>
    <row r="451" ht="14.25" customHeight="1">
      <c r="B451" s="19"/>
      <c r="C451" s="19"/>
      <c r="F451" s="55"/>
      <c r="G451" s="55"/>
      <c r="H451" s="12"/>
    </row>
    <row r="452" ht="14.25" customHeight="1">
      <c r="B452" s="19"/>
      <c r="C452" s="19"/>
      <c r="F452" s="55"/>
      <c r="G452" s="55"/>
      <c r="H452" s="12"/>
    </row>
    <row r="453" ht="14.25" customHeight="1">
      <c r="B453" s="19"/>
      <c r="C453" s="19"/>
      <c r="F453" s="55"/>
      <c r="G453" s="55"/>
      <c r="H453" s="12"/>
    </row>
    <row r="454" ht="14.25" customHeight="1">
      <c r="B454" s="19"/>
      <c r="C454" s="19"/>
      <c r="F454" s="55"/>
      <c r="G454" s="55"/>
      <c r="H454" s="12"/>
    </row>
    <row r="455" ht="14.25" customHeight="1">
      <c r="B455" s="19"/>
      <c r="C455" s="19"/>
      <c r="F455" s="55"/>
      <c r="G455" s="55"/>
      <c r="H455" s="12"/>
    </row>
    <row r="456" ht="14.25" customHeight="1">
      <c r="B456" s="19"/>
      <c r="C456" s="19"/>
      <c r="F456" s="55"/>
      <c r="G456" s="55"/>
      <c r="H456" s="12"/>
    </row>
    <row r="457" ht="14.25" customHeight="1">
      <c r="B457" s="19"/>
      <c r="C457" s="19"/>
      <c r="F457" s="55"/>
      <c r="G457" s="55"/>
      <c r="H457" s="12"/>
    </row>
    <row r="458" ht="14.25" customHeight="1">
      <c r="B458" s="19"/>
      <c r="C458" s="19"/>
      <c r="F458" s="55"/>
      <c r="G458" s="55"/>
      <c r="H458" s="12"/>
    </row>
    <row r="459" ht="14.25" customHeight="1">
      <c r="B459" s="19"/>
      <c r="C459" s="19"/>
      <c r="F459" s="55"/>
      <c r="G459" s="55"/>
      <c r="H459" s="12"/>
    </row>
    <row r="460" ht="14.25" customHeight="1">
      <c r="B460" s="19"/>
      <c r="C460" s="19"/>
      <c r="F460" s="55"/>
      <c r="G460" s="55"/>
      <c r="H460" s="12"/>
    </row>
    <row r="461" ht="14.25" customHeight="1">
      <c r="B461" s="19"/>
      <c r="C461" s="19"/>
      <c r="F461" s="55"/>
      <c r="G461" s="55"/>
      <c r="H461" s="12"/>
    </row>
    <row r="462" ht="14.25" customHeight="1">
      <c r="B462" s="19"/>
      <c r="C462" s="19"/>
      <c r="F462" s="55"/>
      <c r="G462" s="55"/>
      <c r="H462" s="12"/>
    </row>
    <row r="463" ht="14.25" customHeight="1">
      <c r="B463" s="19"/>
      <c r="C463" s="19"/>
      <c r="F463" s="55"/>
      <c r="G463" s="55"/>
      <c r="H463" s="12"/>
    </row>
    <row r="464" ht="14.25" customHeight="1">
      <c r="B464" s="19"/>
      <c r="C464" s="19"/>
      <c r="F464" s="55"/>
      <c r="G464" s="55"/>
      <c r="H464" s="12"/>
    </row>
    <row r="465" ht="14.25" customHeight="1">
      <c r="B465" s="19"/>
      <c r="C465" s="19"/>
      <c r="F465" s="55"/>
      <c r="G465" s="55"/>
      <c r="H465" s="12"/>
    </row>
    <row r="466" ht="14.25" customHeight="1">
      <c r="B466" s="19"/>
      <c r="C466" s="19"/>
      <c r="F466" s="55"/>
      <c r="G466" s="55"/>
      <c r="H466" s="12"/>
    </row>
    <row r="467" ht="14.25" customHeight="1">
      <c r="B467" s="19"/>
      <c r="C467" s="19"/>
      <c r="F467" s="55"/>
      <c r="G467" s="55"/>
      <c r="H467" s="12"/>
    </row>
    <row r="468" ht="14.25" customHeight="1">
      <c r="B468" s="19"/>
      <c r="C468" s="19"/>
      <c r="F468" s="55"/>
      <c r="G468" s="55"/>
      <c r="H468" s="12"/>
    </row>
    <row r="469" ht="14.25" customHeight="1">
      <c r="B469" s="19"/>
      <c r="C469" s="19"/>
      <c r="F469" s="55"/>
      <c r="G469" s="55"/>
      <c r="H469" s="12"/>
    </row>
    <row r="470" ht="14.25" customHeight="1">
      <c r="B470" s="19"/>
      <c r="C470" s="19"/>
      <c r="F470" s="55"/>
      <c r="G470" s="55"/>
      <c r="H470" s="12"/>
    </row>
    <row r="471" ht="14.25" customHeight="1">
      <c r="B471" s="19"/>
      <c r="C471" s="19"/>
      <c r="F471" s="55"/>
      <c r="G471" s="55"/>
      <c r="H471" s="12"/>
    </row>
    <row r="472" ht="14.25" customHeight="1">
      <c r="B472" s="19"/>
      <c r="C472" s="19"/>
      <c r="F472" s="55"/>
      <c r="G472" s="55"/>
      <c r="H472" s="12"/>
    </row>
    <row r="473" ht="14.25" customHeight="1">
      <c r="B473" s="19"/>
      <c r="C473" s="19"/>
      <c r="F473" s="55"/>
      <c r="G473" s="55"/>
      <c r="H473" s="12"/>
    </row>
    <row r="474" ht="14.25" customHeight="1">
      <c r="B474" s="19"/>
      <c r="C474" s="19"/>
      <c r="F474" s="55"/>
      <c r="G474" s="55"/>
      <c r="H474" s="12"/>
    </row>
    <row r="475" ht="14.25" customHeight="1">
      <c r="B475" s="19"/>
      <c r="C475" s="19"/>
      <c r="F475" s="55"/>
      <c r="G475" s="55"/>
      <c r="H475" s="12"/>
    </row>
    <row r="476" ht="14.25" customHeight="1">
      <c r="B476" s="19"/>
      <c r="C476" s="19"/>
      <c r="F476" s="55"/>
      <c r="G476" s="55"/>
      <c r="H476" s="12"/>
    </row>
    <row r="477" ht="14.25" customHeight="1">
      <c r="B477" s="19"/>
      <c r="C477" s="19"/>
      <c r="F477" s="55"/>
      <c r="G477" s="55"/>
      <c r="H477" s="12"/>
    </row>
    <row r="478" ht="14.25" customHeight="1">
      <c r="B478" s="19"/>
      <c r="C478" s="19"/>
      <c r="F478" s="55"/>
      <c r="G478" s="55"/>
      <c r="H478" s="12"/>
    </row>
    <row r="479" ht="14.25" customHeight="1">
      <c r="B479" s="19"/>
      <c r="C479" s="19"/>
      <c r="F479" s="55"/>
      <c r="G479" s="55"/>
      <c r="H479" s="12"/>
    </row>
    <row r="480" ht="14.25" customHeight="1">
      <c r="B480" s="19"/>
      <c r="C480" s="19"/>
      <c r="F480" s="55"/>
      <c r="G480" s="55"/>
      <c r="H480" s="12"/>
    </row>
    <row r="481" ht="14.25" customHeight="1">
      <c r="B481" s="19"/>
      <c r="C481" s="19"/>
      <c r="F481" s="55"/>
      <c r="G481" s="55"/>
      <c r="H481" s="12"/>
    </row>
    <row r="482" ht="14.25" customHeight="1">
      <c r="B482" s="19"/>
      <c r="C482" s="19"/>
      <c r="F482" s="55"/>
      <c r="G482" s="55"/>
      <c r="H482" s="12"/>
    </row>
    <row r="483" ht="14.25" customHeight="1">
      <c r="B483" s="19"/>
      <c r="C483" s="19"/>
      <c r="F483" s="55"/>
      <c r="G483" s="55"/>
      <c r="H483" s="12"/>
    </row>
    <row r="484" ht="14.25" customHeight="1">
      <c r="B484" s="19"/>
      <c r="C484" s="19"/>
      <c r="F484" s="55"/>
      <c r="G484" s="55"/>
      <c r="H484" s="12"/>
    </row>
    <row r="485" ht="14.25" customHeight="1">
      <c r="B485" s="19"/>
      <c r="C485" s="19"/>
      <c r="F485" s="55"/>
      <c r="G485" s="55"/>
      <c r="H485" s="12"/>
    </row>
    <row r="486" ht="14.25" customHeight="1">
      <c r="B486" s="19"/>
      <c r="C486" s="19"/>
      <c r="F486" s="55"/>
      <c r="G486" s="55"/>
      <c r="H486" s="12"/>
    </row>
    <row r="487" ht="14.25" customHeight="1">
      <c r="B487" s="19"/>
      <c r="C487" s="19"/>
      <c r="F487" s="55"/>
      <c r="G487" s="55"/>
      <c r="H487" s="12"/>
    </row>
    <row r="488" ht="14.25" customHeight="1">
      <c r="B488" s="19"/>
      <c r="C488" s="19"/>
      <c r="F488" s="55"/>
      <c r="G488" s="55"/>
      <c r="H488" s="12"/>
    </row>
    <row r="489" ht="14.25" customHeight="1">
      <c r="B489" s="19"/>
      <c r="C489" s="19"/>
      <c r="F489" s="55"/>
      <c r="G489" s="55"/>
      <c r="H489" s="12"/>
    </row>
    <row r="490" ht="14.25" customHeight="1">
      <c r="B490" s="19"/>
      <c r="C490" s="19"/>
      <c r="F490" s="55"/>
      <c r="G490" s="55"/>
      <c r="H490" s="12"/>
    </row>
    <row r="491" ht="14.25" customHeight="1">
      <c r="B491" s="19"/>
      <c r="C491" s="19"/>
      <c r="F491" s="55"/>
      <c r="G491" s="55"/>
      <c r="H491" s="12"/>
    </row>
    <row r="492" ht="14.25" customHeight="1">
      <c r="B492" s="19"/>
      <c r="C492" s="19"/>
      <c r="F492" s="55"/>
      <c r="G492" s="55"/>
      <c r="H492" s="12"/>
    </row>
    <row r="493" ht="14.25" customHeight="1">
      <c r="B493" s="19"/>
      <c r="C493" s="19"/>
      <c r="F493" s="55"/>
      <c r="G493" s="55"/>
      <c r="H493" s="12"/>
    </row>
    <row r="494" ht="14.25" customHeight="1">
      <c r="B494" s="19"/>
      <c r="C494" s="19"/>
      <c r="F494" s="55"/>
      <c r="G494" s="55"/>
      <c r="H494" s="12"/>
    </row>
    <row r="495" ht="14.25" customHeight="1">
      <c r="B495" s="19"/>
      <c r="C495" s="19"/>
      <c r="F495" s="55"/>
      <c r="G495" s="55"/>
      <c r="H495" s="12"/>
    </row>
    <row r="496" ht="14.25" customHeight="1">
      <c r="B496" s="19"/>
      <c r="C496" s="19"/>
      <c r="F496" s="55"/>
      <c r="G496" s="55"/>
      <c r="H496" s="12"/>
    </row>
    <row r="497" ht="14.25" customHeight="1">
      <c r="B497" s="19"/>
      <c r="C497" s="19"/>
      <c r="F497" s="55"/>
      <c r="G497" s="55"/>
      <c r="H497" s="12"/>
    </row>
    <row r="498" ht="14.25" customHeight="1">
      <c r="B498" s="19"/>
      <c r="C498" s="19"/>
      <c r="F498" s="55"/>
      <c r="G498" s="55"/>
      <c r="H498" s="12"/>
    </row>
    <row r="499" ht="14.25" customHeight="1">
      <c r="B499" s="19"/>
      <c r="C499" s="19"/>
      <c r="F499" s="55"/>
      <c r="G499" s="55"/>
      <c r="H499" s="12"/>
    </row>
    <row r="500" ht="14.25" customHeight="1">
      <c r="B500" s="19"/>
      <c r="C500" s="19"/>
      <c r="F500" s="55"/>
      <c r="G500" s="55"/>
      <c r="H500" s="12"/>
    </row>
    <row r="501" ht="14.25" customHeight="1">
      <c r="B501" s="19"/>
      <c r="C501" s="19"/>
      <c r="F501" s="55"/>
      <c r="G501" s="55"/>
      <c r="H501" s="12"/>
    </row>
    <row r="502" ht="14.25" customHeight="1">
      <c r="B502" s="19"/>
      <c r="C502" s="19"/>
      <c r="F502" s="55"/>
      <c r="G502" s="55"/>
      <c r="H502" s="12"/>
    </row>
    <row r="503" ht="14.25" customHeight="1">
      <c r="B503" s="19"/>
      <c r="C503" s="19"/>
      <c r="F503" s="55"/>
      <c r="G503" s="55"/>
      <c r="H503" s="12"/>
    </row>
    <row r="504" ht="14.25" customHeight="1">
      <c r="B504" s="19"/>
      <c r="C504" s="19"/>
      <c r="F504" s="55"/>
      <c r="G504" s="55"/>
      <c r="H504" s="12"/>
    </row>
    <row r="505" ht="14.25" customHeight="1">
      <c r="B505" s="19"/>
      <c r="C505" s="19"/>
      <c r="F505" s="55"/>
      <c r="G505" s="55"/>
      <c r="H505" s="12"/>
    </row>
    <row r="506" ht="14.25" customHeight="1">
      <c r="B506" s="19"/>
      <c r="C506" s="19"/>
      <c r="F506" s="55"/>
      <c r="G506" s="55"/>
      <c r="H506" s="12"/>
    </row>
    <row r="507" ht="14.25" customHeight="1">
      <c r="B507" s="19"/>
      <c r="C507" s="19"/>
      <c r="F507" s="55"/>
      <c r="G507" s="55"/>
      <c r="H507" s="12"/>
    </row>
    <row r="508" ht="14.25" customHeight="1">
      <c r="B508" s="19"/>
      <c r="C508" s="19"/>
      <c r="F508" s="55"/>
      <c r="G508" s="55"/>
      <c r="H508" s="12"/>
    </row>
    <row r="509" ht="14.25" customHeight="1">
      <c r="B509" s="19"/>
      <c r="C509" s="19"/>
      <c r="F509" s="55"/>
      <c r="G509" s="55"/>
      <c r="H509" s="12"/>
    </row>
    <row r="510" ht="14.25" customHeight="1">
      <c r="B510" s="19"/>
      <c r="C510" s="19"/>
      <c r="F510" s="55"/>
      <c r="G510" s="55"/>
      <c r="H510" s="12"/>
    </row>
    <row r="511" ht="14.25" customHeight="1">
      <c r="B511" s="19"/>
      <c r="C511" s="19"/>
      <c r="F511" s="55"/>
      <c r="G511" s="55"/>
      <c r="H511" s="12"/>
    </row>
    <row r="512" ht="14.25" customHeight="1">
      <c r="B512" s="19"/>
      <c r="C512" s="19"/>
      <c r="F512" s="55"/>
      <c r="G512" s="55"/>
      <c r="H512" s="12"/>
    </row>
    <row r="513" ht="14.25" customHeight="1">
      <c r="B513" s="19"/>
      <c r="C513" s="19"/>
      <c r="F513" s="55"/>
      <c r="G513" s="55"/>
      <c r="H513" s="12"/>
    </row>
    <row r="514" ht="14.25" customHeight="1">
      <c r="B514" s="19"/>
      <c r="C514" s="19"/>
      <c r="F514" s="55"/>
      <c r="G514" s="55"/>
      <c r="H514" s="12"/>
    </row>
    <row r="515" ht="14.25" customHeight="1">
      <c r="B515" s="19"/>
      <c r="C515" s="19"/>
      <c r="F515" s="55"/>
      <c r="G515" s="55"/>
      <c r="H515" s="12"/>
    </row>
    <row r="516" ht="14.25" customHeight="1">
      <c r="B516" s="19"/>
      <c r="C516" s="19"/>
      <c r="F516" s="55"/>
      <c r="G516" s="55"/>
      <c r="H516" s="12"/>
    </row>
    <row r="517" ht="14.25" customHeight="1">
      <c r="B517" s="19"/>
      <c r="C517" s="19"/>
      <c r="F517" s="55"/>
      <c r="G517" s="55"/>
      <c r="H517" s="12"/>
    </row>
    <row r="518" ht="14.25" customHeight="1">
      <c r="B518" s="19"/>
      <c r="C518" s="19"/>
      <c r="F518" s="55"/>
      <c r="G518" s="55"/>
      <c r="H518" s="12"/>
    </row>
    <row r="519" ht="14.25" customHeight="1">
      <c r="B519" s="19"/>
      <c r="C519" s="19"/>
      <c r="F519" s="55"/>
      <c r="G519" s="55"/>
      <c r="H519" s="12"/>
    </row>
    <row r="520" ht="14.25" customHeight="1">
      <c r="B520" s="19"/>
      <c r="C520" s="19"/>
      <c r="F520" s="55"/>
      <c r="G520" s="55"/>
      <c r="H520" s="12"/>
    </row>
    <row r="521" ht="14.25" customHeight="1">
      <c r="B521" s="19"/>
      <c r="C521" s="19"/>
      <c r="F521" s="55"/>
      <c r="G521" s="55"/>
      <c r="H521" s="12"/>
    </row>
    <row r="522" ht="14.25" customHeight="1">
      <c r="B522" s="19"/>
      <c r="C522" s="19"/>
      <c r="F522" s="55"/>
      <c r="G522" s="55"/>
      <c r="H522" s="12"/>
    </row>
    <row r="523" ht="14.25" customHeight="1">
      <c r="B523" s="19"/>
      <c r="C523" s="19"/>
      <c r="F523" s="55"/>
      <c r="G523" s="55"/>
      <c r="H523" s="12"/>
    </row>
    <row r="524" ht="14.25" customHeight="1">
      <c r="B524" s="19"/>
      <c r="C524" s="19"/>
      <c r="F524" s="55"/>
      <c r="G524" s="55"/>
      <c r="H524" s="12"/>
    </row>
    <row r="525" ht="14.25" customHeight="1">
      <c r="B525" s="19"/>
      <c r="C525" s="19"/>
      <c r="F525" s="55"/>
      <c r="G525" s="55"/>
      <c r="H525" s="12"/>
    </row>
    <row r="526" ht="14.25" customHeight="1">
      <c r="B526" s="19"/>
      <c r="C526" s="19"/>
      <c r="F526" s="55"/>
      <c r="G526" s="55"/>
      <c r="H526" s="12"/>
    </row>
    <row r="527" ht="14.25" customHeight="1">
      <c r="B527" s="19"/>
      <c r="C527" s="19"/>
      <c r="F527" s="55"/>
      <c r="G527" s="55"/>
      <c r="H527" s="12"/>
    </row>
    <row r="528" ht="14.25" customHeight="1">
      <c r="B528" s="19"/>
      <c r="C528" s="19"/>
      <c r="F528" s="55"/>
      <c r="G528" s="55"/>
      <c r="H528" s="12"/>
    </row>
    <row r="529" ht="14.25" customHeight="1">
      <c r="B529" s="19"/>
      <c r="C529" s="19"/>
      <c r="F529" s="55"/>
      <c r="G529" s="55"/>
      <c r="H529" s="12"/>
    </row>
    <row r="530" ht="14.25" customHeight="1">
      <c r="B530" s="19"/>
      <c r="C530" s="19"/>
      <c r="F530" s="55"/>
      <c r="G530" s="55"/>
      <c r="H530" s="12"/>
    </row>
    <row r="531" ht="14.25" customHeight="1">
      <c r="B531" s="19"/>
      <c r="C531" s="19"/>
      <c r="F531" s="55"/>
      <c r="G531" s="55"/>
      <c r="H531" s="12"/>
    </row>
    <row r="532" ht="14.25" customHeight="1">
      <c r="B532" s="19"/>
      <c r="C532" s="19"/>
      <c r="F532" s="55"/>
      <c r="G532" s="55"/>
      <c r="H532" s="12"/>
    </row>
    <row r="533" ht="14.25" customHeight="1">
      <c r="B533" s="19"/>
      <c r="C533" s="19"/>
      <c r="F533" s="55"/>
      <c r="G533" s="55"/>
      <c r="H533" s="12"/>
    </row>
    <row r="534" ht="14.25" customHeight="1">
      <c r="B534" s="19"/>
      <c r="C534" s="19"/>
      <c r="F534" s="55"/>
      <c r="G534" s="55"/>
      <c r="H534" s="12"/>
    </row>
    <row r="535" ht="14.25" customHeight="1">
      <c r="B535" s="19"/>
      <c r="C535" s="19"/>
      <c r="F535" s="55"/>
      <c r="G535" s="55"/>
      <c r="H535" s="12"/>
    </row>
    <row r="536" ht="14.25" customHeight="1">
      <c r="B536" s="19"/>
      <c r="C536" s="19"/>
      <c r="F536" s="55"/>
      <c r="G536" s="55"/>
      <c r="H536" s="12"/>
    </row>
    <row r="537" ht="14.25" customHeight="1">
      <c r="B537" s="19"/>
      <c r="C537" s="19"/>
      <c r="F537" s="55"/>
      <c r="G537" s="55"/>
      <c r="H537" s="12"/>
    </row>
    <row r="538" ht="14.25" customHeight="1">
      <c r="B538" s="19"/>
      <c r="C538" s="19"/>
      <c r="F538" s="55"/>
      <c r="G538" s="55"/>
      <c r="H538" s="12"/>
    </row>
    <row r="539" ht="14.25" customHeight="1">
      <c r="B539" s="19"/>
      <c r="C539" s="19"/>
      <c r="F539" s="55"/>
      <c r="G539" s="55"/>
      <c r="H539" s="12"/>
    </row>
    <row r="540" ht="14.25" customHeight="1">
      <c r="B540" s="19"/>
      <c r="C540" s="19"/>
      <c r="F540" s="55"/>
      <c r="G540" s="55"/>
      <c r="H540" s="12"/>
    </row>
    <row r="541" ht="14.25" customHeight="1">
      <c r="B541" s="19"/>
      <c r="C541" s="19"/>
      <c r="F541" s="55"/>
      <c r="G541" s="55"/>
      <c r="H541" s="12"/>
    </row>
    <row r="542" ht="14.25" customHeight="1">
      <c r="B542" s="19"/>
      <c r="C542" s="19"/>
      <c r="F542" s="55"/>
      <c r="G542" s="55"/>
      <c r="H542" s="12"/>
    </row>
    <row r="543" ht="14.25" customHeight="1">
      <c r="B543" s="19"/>
      <c r="C543" s="19"/>
      <c r="F543" s="55"/>
      <c r="G543" s="55"/>
      <c r="H543" s="12"/>
    </row>
    <row r="544" ht="14.25" customHeight="1">
      <c r="B544" s="19"/>
      <c r="C544" s="19"/>
      <c r="F544" s="55"/>
      <c r="G544" s="55"/>
      <c r="H544" s="12"/>
    </row>
    <row r="545" ht="14.25" customHeight="1">
      <c r="B545" s="19"/>
      <c r="C545" s="19"/>
      <c r="F545" s="55"/>
      <c r="G545" s="55"/>
      <c r="H545" s="12"/>
    </row>
    <row r="546" ht="14.25" customHeight="1">
      <c r="B546" s="19"/>
      <c r="C546" s="19"/>
      <c r="F546" s="55"/>
      <c r="G546" s="55"/>
      <c r="H546" s="12"/>
    </row>
    <row r="547" ht="14.25" customHeight="1">
      <c r="B547" s="19"/>
      <c r="C547" s="19"/>
      <c r="F547" s="55"/>
      <c r="G547" s="55"/>
      <c r="H547" s="12"/>
    </row>
    <row r="548" ht="14.25" customHeight="1">
      <c r="B548" s="19"/>
      <c r="C548" s="19"/>
      <c r="F548" s="55"/>
      <c r="G548" s="55"/>
      <c r="H548" s="12"/>
    </row>
    <row r="549" ht="14.25" customHeight="1">
      <c r="B549" s="19"/>
      <c r="C549" s="19"/>
      <c r="F549" s="55"/>
      <c r="G549" s="55"/>
      <c r="H549" s="12"/>
    </row>
    <row r="550" ht="14.25" customHeight="1">
      <c r="B550" s="19"/>
      <c r="C550" s="19"/>
      <c r="F550" s="55"/>
      <c r="G550" s="55"/>
      <c r="H550" s="12"/>
    </row>
    <row r="551" ht="14.25" customHeight="1">
      <c r="B551" s="19"/>
      <c r="C551" s="19"/>
      <c r="F551" s="55"/>
      <c r="G551" s="55"/>
      <c r="H551" s="12"/>
    </row>
    <row r="552" ht="14.25" customHeight="1">
      <c r="B552" s="19"/>
      <c r="C552" s="19"/>
      <c r="F552" s="55"/>
      <c r="G552" s="55"/>
      <c r="H552" s="12"/>
    </row>
    <row r="553" ht="14.25" customHeight="1">
      <c r="B553" s="19"/>
      <c r="C553" s="19"/>
      <c r="F553" s="55"/>
      <c r="G553" s="55"/>
      <c r="H553" s="12"/>
    </row>
    <row r="554" ht="14.25" customHeight="1">
      <c r="B554" s="19"/>
      <c r="C554" s="19"/>
      <c r="F554" s="55"/>
      <c r="G554" s="55"/>
      <c r="H554" s="12"/>
    </row>
    <row r="555" ht="14.25" customHeight="1">
      <c r="B555" s="19"/>
      <c r="C555" s="19"/>
      <c r="F555" s="55"/>
      <c r="G555" s="55"/>
      <c r="H555" s="12"/>
    </row>
    <row r="556" ht="14.25" customHeight="1">
      <c r="B556" s="19"/>
      <c r="C556" s="19"/>
      <c r="F556" s="55"/>
      <c r="G556" s="55"/>
      <c r="H556" s="12"/>
    </row>
    <row r="557" ht="14.25" customHeight="1">
      <c r="B557" s="19"/>
      <c r="C557" s="19"/>
      <c r="F557" s="55"/>
      <c r="G557" s="55"/>
      <c r="H557" s="12"/>
    </row>
    <row r="558" ht="14.25" customHeight="1">
      <c r="B558" s="19"/>
      <c r="C558" s="19"/>
      <c r="F558" s="55"/>
      <c r="G558" s="55"/>
      <c r="H558" s="12"/>
    </row>
    <row r="559" ht="14.25" customHeight="1">
      <c r="B559" s="19"/>
      <c r="C559" s="19"/>
      <c r="F559" s="55"/>
      <c r="G559" s="55"/>
      <c r="H559" s="12"/>
    </row>
    <row r="560" ht="14.25" customHeight="1">
      <c r="B560" s="19"/>
      <c r="C560" s="19"/>
      <c r="F560" s="55"/>
      <c r="G560" s="55"/>
      <c r="H560" s="12"/>
    </row>
    <row r="561" ht="14.25" customHeight="1">
      <c r="B561" s="19"/>
      <c r="C561" s="19"/>
      <c r="F561" s="55"/>
      <c r="G561" s="55"/>
      <c r="H561" s="12"/>
    </row>
    <row r="562" ht="14.25" customHeight="1">
      <c r="B562" s="19"/>
      <c r="C562" s="19"/>
      <c r="F562" s="55"/>
      <c r="G562" s="55"/>
      <c r="H562" s="12"/>
    </row>
    <row r="563" ht="14.25" customHeight="1">
      <c r="B563" s="19"/>
      <c r="C563" s="19"/>
      <c r="F563" s="55"/>
      <c r="G563" s="55"/>
      <c r="H563" s="12"/>
    </row>
    <row r="564" ht="14.25" customHeight="1">
      <c r="B564" s="19"/>
      <c r="C564" s="19"/>
      <c r="F564" s="55"/>
      <c r="G564" s="55"/>
      <c r="H564" s="12"/>
    </row>
    <row r="565" ht="14.25" customHeight="1">
      <c r="B565" s="19"/>
      <c r="C565" s="19"/>
      <c r="F565" s="55"/>
      <c r="G565" s="55"/>
      <c r="H565" s="12"/>
    </row>
    <row r="566" ht="14.25" customHeight="1">
      <c r="B566" s="19"/>
      <c r="C566" s="19"/>
      <c r="F566" s="55"/>
      <c r="G566" s="55"/>
      <c r="H566" s="12"/>
    </row>
    <row r="567" ht="14.25" customHeight="1">
      <c r="B567" s="19"/>
      <c r="C567" s="19"/>
      <c r="F567" s="55"/>
      <c r="G567" s="55"/>
      <c r="H567" s="12"/>
    </row>
    <row r="568" ht="14.25" customHeight="1">
      <c r="B568" s="19"/>
      <c r="C568" s="19"/>
      <c r="F568" s="55"/>
      <c r="G568" s="55"/>
      <c r="H568" s="12"/>
    </row>
    <row r="569" ht="14.25" customHeight="1">
      <c r="B569" s="19"/>
      <c r="C569" s="19"/>
      <c r="F569" s="55"/>
      <c r="G569" s="55"/>
      <c r="H569" s="12"/>
    </row>
    <row r="570" ht="14.25" customHeight="1">
      <c r="B570" s="19"/>
      <c r="C570" s="19"/>
      <c r="F570" s="55"/>
      <c r="G570" s="55"/>
      <c r="H570" s="12"/>
    </row>
    <row r="571" ht="14.25" customHeight="1">
      <c r="B571" s="19"/>
      <c r="C571" s="19"/>
      <c r="F571" s="55"/>
      <c r="G571" s="55"/>
      <c r="H571" s="12"/>
    </row>
    <row r="572" ht="14.25" customHeight="1">
      <c r="B572" s="19"/>
      <c r="C572" s="19"/>
      <c r="F572" s="55"/>
      <c r="G572" s="55"/>
      <c r="H572" s="12"/>
    </row>
    <row r="573" ht="14.25" customHeight="1">
      <c r="B573" s="19"/>
      <c r="C573" s="19"/>
      <c r="F573" s="55"/>
      <c r="G573" s="55"/>
      <c r="H573" s="12"/>
    </row>
    <row r="574" ht="14.25" customHeight="1">
      <c r="B574" s="19"/>
      <c r="C574" s="19"/>
      <c r="F574" s="55"/>
      <c r="G574" s="55"/>
      <c r="H574" s="12"/>
    </row>
    <row r="575" ht="14.25" customHeight="1">
      <c r="B575" s="19"/>
      <c r="C575" s="19"/>
      <c r="F575" s="55"/>
      <c r="G575" s="55"/>
      <c r="H575" s="12"/>
    </row>
    <row r="576" ht="14.25" customHeight="1">
      <c r="B576" s="19"/>
      <c r="C576" s="19"/>
      <c r="F576" s="55"/>
      <c r="G576" s="55"/>
      <c r="H576" s="12"/>
    </row>
    <row r="577" ht="14.25" customHeight="1">
      <c r="B577" s="19"/>
      <c r="C577" s="19"/>
      <c r="F577" s="55"/>
      <c r="G577" s="55"/>
      <c r="H577" s="12"/>
    </row>
    <row r="578" ht="14.25" customHeight="1">
      <c r="B578" s="19"/>
      <c r="C578" s="19"/>
      <c r="F578" s="55"/>
      <c r="G578" s="55"/>
      <c r="H578" s="12"/>
    </row>
    <row r="579" ht="14.25" customHeight="1">
      <c r="B579" s="19"/>
      <c r="C579" s="19"/>
      <c r="F579" s="55"/>
      <c r="G579" s="55"/>
      <c r="H579" s="12"/>
    </row>
    <row r="580" ht="14.25" customHeight="1">
      <c r="B580" s="19"/>
      <c r="C580" s="19"/>
      <c r="F580" s="55"/>
      <c r="G580" s="55"/>
      <c r="H580" s="12"/>
    </row>
    <row r="581" ht="14.25" customHeight="1">
      <c r="B581" s="19"/>
      <c r="C581" s="19"/>
      <c r="F581" s="55"/>
      <c r="G581" s="55"/>
      <c r="H581" s="12"/>
    </row>
    <row r="582" ht="14.25" customHeight="1">
      <c r="B582" s="19"/>
      <c r="C582" s="19"/>
      <c r="F582" s="55"/>
      <c r="G582" s="55"/>
      <c r="H582" s="12"/>
    </row>
    <row r="583" ht="14.25" customHeight="1">
      <c r="B583" s="19"/>
      <c r="C583" s="19"/>
      <c r="F583" s="55"/>
      <c r="G583" s="55"/>
      <c r="H583" s="12"/>
    </row>
    <row r="584" ht="14.25" customHeight="1">
      <c r="B584" s="19"/>
      <c r="C584" s="19"/>
      <c r="F584" s="55"/>
      <c r="G584" s="55"/>
      <c r="H584" s="12"/>
    </row>
    <row r="585" ht="14.25" customHeight="1">
      <c r="B585" s="19"/>
      <c r="C585" s="19"/>
      <c r="F585" s="55"/>
      <c r="G585" s="55"/>
      <c r="H585" s="12"/>
    </row>
    <row r="586" ht="14.25" customHeight="1">
      <c r="B586" s="19"/>
      <c r="C586" s="19"/>
      <c r="F586" s="55"/>
      <c r="G586" s="55"/>
      <c r="H586" s="12"/>
    </row>
    <row r="587" ht="14.25" customHeight="1">
      <c r="B587" s="19"/>
      <c r="C587" s="19"/>
      <c r="F587" s="55"/>
      <c r="G587" s="55"/>
      <c r="H587" s="12"/>
    </row>
    <row r="588" ht="14.25" customHeight="1">
      <c r="B588" s="19"/>
      <c r="C588" s="19"/>
      <c r="F588" s="55"/>
      <c r="G588" s="55"/>
      <c r="H588" s="12"/>
    </row>
    <row r="589" ht="14.25" customHeight="1">
      <c r="B589" s="19"/>
      <c r="C589" s="19"/>
      <c r="F589" s="55"/>
      <c r="G589" s="55"/>
      <c r="H589" s="12"/>
    </row>
    <row r="590" ht="14.25" customHeight="1">
      <c r="B590" s="19"/>
      <c r="C590" s="19"/>
      <c r="F590" s="55"/>
      <c r="G590" s="55"/>
      <c r="H590" s="12"/>
    </row>
    <row r="591" ht="14.25" customHeight="1">
      <c r="B591" s="19"/>
      <c r="C591" s="19"/>
      <c r="F591" s="55"/>
      <c r="G591" s="55"/>
      <c r="H591" s="12"/>
    </row>
    <row r="592" ht="14.25" customHeight="1">
      <c r="B592" s="19"/>
      <c r="C592" s="19"/>
      <c r="F592" s="55"/>
      <c r="G592" s="55"/>
      <c r="H592" s="12"/>
    </row>
    <row r="593" ht="14.25" customHeight="1">
      <c r="B593" s="19"/>
      <c r="C593" s="19"/>
      <c r="F593" s="55"/>
      <c r="G593" s="55"/>
      <c r="H593" s="12"/>
    </row>
    <row r="594" ht="14.25" customHeight="1">
      <c r="B594" s="19"/>
      <c r="C594" s="19"/>
      <c r="F594" s="55"/>
      <c r="G594" s="55"/>
      <c r="H594" s="12"/>
    </row>
    <row r="595" ht="14.25" customHeight="1">
      <c r="B595" s="19"/>
      <c r="C595" s="19"/>
      <c r="F595" s="55"/>
      <c r="G595" s="55"/>
      <c r="H595" s="12"/>
    </row>
    <row r="596" ht="14.25" customHeight="1">
      <c r="B596" s="19"/>
      <c r="C596" s="19"/>
      <c r="F596" s="55"/>
      <c r="G596" s="55"/>
      <c r="H596" s="12"/>
    </row>
    <row r="597" ht="14.25" customHeight="1">
      <c r="B597" s="19"/>
      <c r="C597" s="19"/>
      <c r="F597" s="55"/>
      <c r="G597" s="55"/>
      <c r="H597" s="12"/>
    </row>
    <row r="598" ht="14.25" customHeight="1">
      <c r="B598" s="19"/>
      <c r="C598" s="19"/>
      <c r="F598" s="55"/>
      <c r="G598" s="55"/>
      <c r="H598" s="12"/>
    </row>
    <row r="599" ht="14.25" customHeight="1">
      <c r="B599" s="19"/>
      <c r="C599" s="19"/>
      <c r="F599" s="55"/>
      <c r="G599" s="55"/>
      <c r="H599" s="12"/>
    </row>
    <row r="600" ht="14.25" customHeight="1">
      <c r="B600" s="19"/>
      <c r="C600" s="19"/>
      <c r="F600" s="55"/>
      <c r="G600" s="55"/>
      <c r="H600" s="12"/>
    </row>
    <row r="601" ht="14.25" customHeight="1">
      <c r="B601" s="19"/>
      <c r="C601" s="19"/>
      <c r="F601" s="55"/>
      <c r="G601" s="55"/>
      <c r="H601" s="12"/>
    </row>
    <row r="602" ht="14.25" customHeight="1">
      <c r="B602" s="19"/>
      <c r="C602" s="19"/>
      <c r="F602" s="55"/>
      <c r="G602" s="55"/>
      <c r="H602" s="12"/>
    </row>
    <row r="603" ht="14.25" customHeight="1">
      <c r="B603" s="19"/>
      <c r="C603" s="19"/>
      <c r="F603" s="55"/>
      <c r="G603" s="55"/>
      <c r="H603" s="12"/>
    </row>
    <row r="604" ht="14.25" customHeight="1">
      <c r="B604" s="19"/>
      <c r="C604" s="19"/>
      <c r="F604" s="55"/>
      <c r="G604" s="55"/>
      <c r="H604" s="12"/>
    </row>
    <row r="605" ht="14.25" customHeight="1">
      <c r="B605" s="19"/>
      <c r="C605" s="19"/>
      <c r="F605" s="55"/>
      <c r="G605" s="55"/>
      <c r="H605" s="12"/>
    </row>
    <row r="606" ht="14.25" customHeight="1">
      <c r="B606" s="19"/>
      <c r="C606" s="19"/>
      <c r="F606" s="55"/>
      <c r="G606" s="55"/>
      <c r="H606" s="12"/>
    </row>
    <row r="607" ht="14.25" customHeight="1">
      <c r="B607" s="19"/>
      <c r="C607" s="19"/>
      <c r="F607" s="55"/>
      <c r="G607" s="55"/>
      <c r="H607" s="12"/>
    </row>
    <row r="608" ht="14.25" customHeight="1">
      <c r="B608" s="19"/>
      <c r="C608" s="19"/>
      <c r="F608" s="55"/>
      <c r="G608" s="55"/>
      <c r="H608" s="12"/>
    </row>
    <row r="609" ht="14.25" customHeight="1">
      <c r="B609" s="19"/>
      <c r="C609" s="19"/>
      <c r="F609" s="55"/>
      <c r="G609" s="55"/>
      <c r="H609" s="12"/>
    </row>
    <row r="610" ht="14.25" customHeight="1">
      <c r="B610" s="19"/>
      <c r="C610" s="19"/>
      <c r="F610" s="55"/>
      <c r="G610" s="55"/>
      <c r="H610" s="12"/>
    </row>
    <row r="611" ht="14.25" customHeight="1">
      <c r="B611" s="19"/>
      <c r="C611" s="19"/>
      <c r="F611" s="55"/>
      <c r="G611" s="55"/>
      <c r="H611" s="12"/>
    </row>
    <row r="612" ht="14.25" customHeight="1">
      <c r="B612" s="19"/>
      <c r="C612" s="19"/>
      <c r="F612" s="55"/>
      <c r="G612" s="55"/>
      <c r="H612" s="12"/>
    </row>
    <row r="613" ht="14.25" customHeight="1">
      <c r="B613" s="19"/>
      <c r="C613" s="19"/>
      <c r="F613" s="55"/>
      <c r="G613" s="55"/>
      <c r="H613" s="12"/>
    </row>
    <row r="614" ht="14.25" customHeight="1">
      <c r="B614" s="19"/>
      <c r="C614" s="19"/>
      <c r="F614" s="55"/>
      <c r="G614" s="55"/>
      <c r="H614" s="12"/>
    </row>
    <row r="615" ht="14.25" customHeight="1">
      <c r="B615" s="19"/>
      <c r="C615" s="19"/>
      <c r="F615" s="55"/>
      <c r="G615" s="55"/>
      <c r="H615" s="12"/>
    </row>
    <row r="616" ht="14.25" customHeight="1">
      <c r="B616" s="19"/>
      <c r="C616" s="19"/>
      <c r="F616" s="55"/>
      <c r="G616" s="55"/>
      <c r="H616" s="12"/>
    </row>
    <row r="617" ht="14.25" customHeight="1">
      <c r="B617" s="19"/>
      <c r="C617" s="19"/>
      <c r="F617" s="55"/>
      <c r="G617" s="55"/>
      <c r="H617" s="12"/>
    </row>
    <row r="618" ht="14.25" customHeight="1">
      <c r="B618" s="19"/>
      <c r="C618" s="19"/>
      <c r="F618" s="55"/>
      <c r="G618" s="55"/>
      <c r="H618" s="12"/>
    </row>
    <row r="619" ht="14.25" customHeight="1">
      <c r="B619" s="19"/>
      <c r="C619" s="19"/>
      <c r="F619" s="55"/>
      <c r="G619" s="55"/>
      <c r="H619" s="12"/>
    </row>
    <row r="620" ht="14.25" customHeight="1">
      <c r="B620" s="19"/>
      <c r="C620" s="19"/>
      <c r="F620" s="55"/>
      <c r="G620" s="55"/>
      <c r="H620" s="12"/>
    </row>
    <row r="621" ht="14.25" customHeight="1">
      <c r="B621" s="19"/>
      <c r="C621" s="19"/>
      <c r="F621" s="55"/>
      <c r="G621" s="55"/>
      <c r="H621" s="12"/>
    </row>
    <row r="622" ht="14.25" customHeight="1">
      <c r="B622" s="19"/>
      <c r="C622" s="19"/>
      <c r="F622" s="55"/>
      <c r="G622" s="55"/>
      <c r="H622" s="12"/>
    </row>
    <row r="623" ht="14.25" customHeight="1">
      <c r="B623" s="19"/>
      <c r="C623" s="19"/>
      <c r="F623" s="55"/>
      <c r="G623" s="55"/>
      <c r="H623" s="12"/>
    </row>
    <row r="624" ht="14.25" customHeight="1">
      <c r="B624" s="19"/>
      <c r="C624" s="19"/>
      <c r="F624" s="55"/>
      <c r="G624" s="55"/>
      <c r="H624" s="12"/>
    </row>
    <row r="625" ht="14.25" customHeight="1">
      <c r="B625" s="19"/>
      <c r="C625" s="19"/>
      <c r="F625" s="55"/>
      <c r="G625" s="55"/>
      <c r="H625" s="12"/>
    </row>
    <row r="626" ht="14.25" customHeight="1">
      <c r="B626" s="19"/>
      <c r="C626" s="19"/>
      <c r="F626" s="55"/>
      <c r="G626" s="55"/>
      <c r="H626" s="12"/>
    </row>
    <row r="627" ht="14.25" customHeight="1">
      <c r="B627" s="19"/>
      <c r="C627" s="19"/>
      <c r="F627" s="55"/>
      <c r="G627" s="55"/>
      <c r="H627" s="12"/>
    </row>
    <row r="628" ht="14.25" customHeight="1">
      <c r="B628" s="19"/>
      <c r="C628" s="19"/>
      <c r="F628" s="55"/>
      <c r="G628" s="55"/>
      <c r="H628" s="12"/>
    </row>
    <row r="629" ht="14.25" customHeight="1">
      <c r="B629" s="19"/>
      <c r="C629" s="19"/>
      <c r="F629" s="55"/>
      <c r="G629" s="55"/>
      <c r="H629" s="12"/>
    </row>
    <row r="630" ht="14.25" customHeight="1">
      <c r="B630" s="19"/>
      <c r="C630" s="19"/>
      <c r="F630" s="55"/>
      <c r="G630" s="55"/>
      <c r="H630" s="12"/>
    </row>
    <row r="631" ht="14.25" customHeight="1">
      <c r="B631" s="19"/>
      <c r="C631" s="19"/>
      <c r="F631" s="55"/>
      <c r="G631" s="55"/>
      <c r="H631" s="12"/>
    </row>
    <row r="632" ht="14.25" customHeight="1">
      <c r="B632" s="19"/>
      <c r="C632" s="19"/>
      <c r="F632" s="55"/>
      <c r="G632" s="55"/>
      <c r="H632" s="12"/>
    </row>
    <row r="633" ht="14.25" customHeight="1">
      <c r="B633" s="19"/>
      <c r="C633" s="19"/>
      <c r="F633" s="55"/>
      <c r="G633" s="55"/>
      <c r="H633" s="12"/>
    </row>
    <row r="634" ht="14.25" customHeight="1">
      <c r="B634" s="19"/>
      <c r="C634" s="19"/>
      <c r="F634" s="55"/>
      <c r="G634" s="55"/>
      <c r="H634" s="12"/>
    </row>
    <row r="635" ht="14.25" customHeight="1">
      <c r="B635" s="19"/>
      <c r="C635" s="19"/>
      <c r="F635" s="55"/>
      <c r="G635" s="55"/>
      <c r="H635" s="12"/>
    </row>
    <row r="636" ht="14.25" customHeight="1">
      <c r="B636" s="19"/>
      <c r="C636" s="19"/>
      <c r="F636" s="55"/>
      <c r="G636" s="55"/>
      <c r="H636" s="12"/>
    </row>
    <row r="637" ht="14.25" customHeight="1">
      <c r="B637" s="19"/>
      <c r="C637" s="19"/>
      <c r="F637" s="55"/>
      <c r="G637" s="55"/>
      <c r="H637" s="12"/>
    </row>
    <row r="638" ht="14.25" customHeight="1">
      <c r="B638" s="19"/>
      <c r="C638" s="19"/>
      <c r="F638" s="55"/>
      <c r="G638" s="55"/>
      <c r="H638" s="12"/>
    </row>
    <row r="639" ht="14.25" customHeight="1">
      <c r="B639" s="19"/>
      <c r="C639" s="19"/>
      <c r="F639" s="55"/>
      <c r="G639" s="55"/>
      <c r="H639" s="12"/>
    </row>
    <row r="640" ht="14.25" customHeight="1">
      <c r="B640" s="19"/>
      <c r="C640" s="19"/>
      <c r="F640" s="55"/>
      <c r="G640" s="55"/>
      <c r="H640" s="12"/>
    </row>
    <row r="641" ht="14.25" customHeight="1">
      <c r="B641" s="19"/>
      <c r="C641" s="19"/>
      <c r="F641" s="55"/>
      <c r="G641" s="55"/>
      <c r="H641" s="12"/>
    </row>
    <row r="642" ht="14.25" customHeight="1">
      <c r="B642" s="19"/>
      <c r="C642" s="19"/>
      <c r="F642" s="55"/>
      <c r="G642" s="55"/>
      <c r="H642" s="12"/>
    </row>
    <row r="643" ht="14.25" customHeight="1">
      <c r="B643" s="19"/>
      <c r="C643" s="19"/>
      <c r="F643" s="55"/>
      <c r="G643" s="55"/>
      <c r="H643" s="12"/>
    </row>
    <row r="644" ht="14.25" customHeight="1">
      <c r="B644" s="19"/>
      <c r="C644" s="19"/>
      <c r="F644" s="55"/>
      <c r="G644" s="55"/>
      <c r="H644" s="12"/>
    </row>
    <row r="645" ht="14.25" customHeight="1">
      <c r="B645" s="19"/>
      <c r="C645" s="19"/>
      <c r="F645" s="55"/>
      <c r="G645" s="55"/>
      <c r="H645" s="12"/>
    </row>
    <row r="646" ht="14.25" customHeight="1">
      <c r="B646" s="19"/>
      <c r="C646" s="19"/>
      <c r="F646" s="55"/>
      <c r="G646" s="55"/>
      <c r="H646" s="12"/>
    </row>
    <row r="647" ht="14.25" customHeight="1">
      <c r="B647" s="19"/>
      <c r="C647" s="19"/>
      <c r="F647" s="55"/>
      <c r="G647" s="55"/>
      <c r="H647" s="12"/>
    </row>
    <row r="648" ht="14.25" customHeight="1">
      <c r="B648" s="19"/>
      <c r="C648" s="19"/>
      <c r="F648" s="55"/>
      <c r="G648" s="55"/>
      <c r="H648" s="12"/>
    </row>
    <row r="649" ht="14.25" customHeight="1">
      <c r="B649" s="19"/>
      <c r="C649" s="19"/>
      <c r="F649" s="55"/>
      <c r="G649" s="55"/>
      <c r="H649" s="12"/>
    </row>
    <row r="650" ht="14.25" customHeight="1">
      <c r="B650" s="19"/>
      <c r="C650" s="19"/>
      <c r="F650" s="55"/>
      <c r="G650" s="55"/>
      <c r="H650" s="12"/>
    </row>
    <row r="651" ht="14.25" customHeight="1">
      <c r="B651" s="19"/>
      <c r="C651" s="19"/>
      <c r="F651" s="55"/>
      <c r="G651" s="55"/>
      <c r="H651" s="12"/>
    </row>
    <row r="652" ht="14.25" customHeight="1">
      <c r="B652" s="19"/>
      <c r="C652" s="19"/>
      <c r="F652" s="55"/>
      <c r="G652" s="55"/>
      <c r="H652" s="12"/>
    </row>
    <row r="653" ht="14.25" customHeight="1">
      <c r="B653" s="19"/>
      <c r="C653" s="19"/>
      <c r="F653" s="55"/>
      <c r="G653" s="55"/>
      <c r="H653" s="12"/>
    </row>
    <row r="654" ht="14.25" customHeight="1">
      <c r="B654" s="19"/>
      <c r="C654" s="19"/>
      <c r="F654" s="55"/>
      <c r="G654" s="55"/>
      <c r="H654" s="12"/>
    </row>
    <row r="655" ht="14.25" customHeight="1">
      <c r="B655" s="19"/>
      <c r="C655" s="19"/>
      <c r="F655" s="55"/>
      <c r="G655" s="55"/>
      <c r="H655" s="12"/>
    </row>
    <row r="656" ht="14.25" customHeight="1">
      <c r="B656" s="19"/>
      <c r="C656" s="19"/>
      <c r="F656" s="55"/>
      <c r="G656" s="55"/>
      <c r="H656" s="12"/>
    </row>
    <row r="657" ht="14.25" customHeight="1">
      <c r="B657" s="19"/>
      <c r="C657" s="19"/>
      <c r="F657" s="55"/>
      <c r="G657" s="55"/>
      <c r="H657" s="12"/>
    </row>
    <row r="658" ht="14.25" customHeight="1">
      <c r="B658" s="19"/>
      <c r="C658" s="19"/>
      <c r="F658" s="55"/>
      <c r="G658" s="55"/>
      <c r="H658" s="12"/>
    </row>
    <row r="659" ht="14.25" customHeight="1">
      <c r="B659" s="19"/>
      <c r="C659" s="19"/>
      <c r="F659" s="55"/>
      <c r="G659" s="55"/>
      <c r="H659" s="12"/>
    </row>
    <row r="660" ht="14.25" customHeight="1">
      <c r="B660" s="19"/>
      <c r="C660" s="19"/>
      <c r="F660" s="55"/>
      <c r="G660" s="55"/>
      <c r="H660" s="12"/>
    </row>
    <row r="661" ht="14.25" customHeight="1">
      <c r="B661" s="19"/>
      <c r="C661" s="19"/>
      <c r="F661" s="55"/>
      <c r="G661" s="55"/>
      <c r="H661" s="12"/>
    </row>
    <row r="662" ht="14.25" customHeight="1">
      <c r="B662" s="19"/>
      <c r="C662" s="19"/>
      <c r="F662" s="55"/>
      <c r="G662" s="55"/>
      <c r="H662" s="12"/>
    </row>
    <row r="663" ht="14.25" customHeight="1">
      <c r="B663" s="19"/>
      <c r="C663" s="19"/>
      <c r="F663" s="55"/>
      <c r="G663" s="55"/>
      <c r="H663" s="12"/>
    </row>
    <row r="664" ht="14.25" customHeight="1">
      <c r="B664" s="19"/>
      <c r="C664" s="19"/>
      <c r="F664" s="55"/>
      <c r="G664" s="55"/>
      <c r="H664" s="12"/>
    </row>
    <row r="665" ht="14.25" customHeight="1">
      <c r="B665" s="19"/>
      <c r="C665" s="19"/>
      <c r="F665" s="55"/>
      <c r="G665" s="55"/>
      <c r="H665" s="12"/>
    </row>
    <row r="666" ht="14.25" customHeight="1">
      <c r="B666" s="19"/>
      <c r="C666" s="19"/>
      <c r="F666" s="55"/>
      <c r="G666" s="55"/>
      <c r="H666" s="12"/>
    </row>
    <row r="667" ht="14.25" customHeight="1">
      <c r="B667" s="19"/>
      <c r="C667" s="19"/>
      <c r="F667" s="55"/>
      <c r="G667" s="55"/>
      <c r="H667" s="12"/>
    </row>
    <row r="668" ht="14.25" customHeight="1">
      <c r="B668" s="19"/>
      <c r="C668" s="19"/>
      <c r="F668" s="55"/>
      <c r="G668" s="55"/>
      <c r="H668" s="12"/>
    </row>
    <row r="669" ht="14.25" customHeight="1">
      <c r="B669" s="19"/>
      <c r="C669" s="19"/>
      <c r="F669" s="55"/>
      <c r="G669" s="55"/>
      <c r="H669" s="12"/>
    </row>
    <row r="670" ht="14.25" customHeight="1">
      <c r="B670" s="19"/>
      <c r="C670" s="19"/>
      <c r="F670" s="55"/>
      <c r="G670" s="55"/>
      <c r="H670" s="12"/>
    </row>
    <row r="671" ht="14.25" customHeight="1">
      <c r="B671" s="19"/>
      <c r="C671" s="19"/>
      <c r="F671" s="55"/>
      <c r="G671" s="55"/>
      <c r="H671" s="12"/>
    </row>
    <row r="672" ht="14.25" customHeight="1">
      <c r="B672" s="19"/>
      <c r="C672" s="19"/>
      <c r="F672" s="55"/>
      <c r="G672" s="55"/>
      <c r="H672" s="12"/>
    </row>
    <row r="673" ht="14.25" customHeight="1">
      <c r="B673" s="19"/>
      <c r="C673" s="19"/>
      <c r="F673" s="55"/>
      <c r="G673" s="55"/>
      <c r="H673" s="12"/>
    </row>
    <row r="674" ht="14.25" customHeight="1">
      <c r="B674" s="19"/>
      <c r="C674" s="19"/>
      <c r="F674" s="55"/>
      <c r="G674" s="55"/>
      <c r="H674" s="12"/>
    </row>
    <row r="675" ht="14.25" customHeight="1">
      <c r="B675" s="19"/>
      <c r="C675" s="19"/>
      <c r="F675" s="55"/>
      <c r="G675" s="55"/>
      <c r="H675" s="12"/>
    </row>
    <row r="676" ht="14.25" customHeight="1">
      <c r="B676" s="19"/>
      <c r="C676" s="19"/>
      <c r="F676" s="55"/>
      <c r="G676" s="55"/>
      <c r="H676" s="12"/>
    </row>
    <row r="677" ht="14.25" customHeight="1">
      <c r="B677" s="19"/>
      <c r="C677" s="19"/>
      <c r="F677" s="55"/>
      <c r="G677" s="55"/>
      <c r="H677" s="12"/>
    </row>
    <row r="678" ht="14.25" customHeight="1">
      <c r="B678" s="19"/>
      <c r="C678" s="19"/>
      <c r="F678" s="55"/>
      <c r="G678" s="55"/>
      <c r="H678" s="12"/>
    </row>
    <row r="679" ht="14.25" customHeight="1">
      <c r="B679" s="19"/>
      <c r="C679" s="19"/>
      <c r="F679" s="55"/>
      <c r="G679" s="55"/>
      <c r="H679" s="12"/>
    </row>
    <row r="680" ht="14.25" customHeight="1">
      <c r="B680" s="19"/>
      <c r="C680" s="19"/>
      <c r="F680" s="55"/>
      <c r="G680" s="55"/>
      <c r="H680" s="12"/>
    </row>
    <row r="681" ht="14.25" customHeight="1">
      <c r="B681" s="19"/>
      <c r="C681" s="19"/>
      <c r="F681" s="55"/>
      <c r="G681" s="55"/>
      <c r="H681" s="12"/>
    </row>
    <row r="682" ht="14.25" customHeight="1">
      <c r="B682" s="19"/>
      <c r="C682" s="19"/>
      <c r="F682" s="55"/>
      <c r="G682" s="55"/>
      <c r="H682" s="12"/>
    </row>
    <row r="683" ht="14.25" customHeight="1">
      <c r="B683" s="19"/>
      <c r="C683" s="19"/>
      <c r="F683" s="55"/>
      <c r="G683" s="55"/>
      <c r="H683" s="12"/>
    </row>
    <row r="684" ht="14.25" customHeight="1">
      <c r="B684" s="19"/>
      <c r="C684" s="19"/>
      <c r="F684" s="55"/>
      <c r="G684" s="55"/>
      <c r="H684" s="12"/>
    </row>
    <row r="685" ht="14.25" customHeight="1">
      <c r="B685" s="19"/>
      <c r="C685" s="19"/>
      <c r="F685" s="55"/>
      <c r="G685" s="55"/>
      <c r="H685" s="12"/>
    </row>
    <row r="686" ht="14.25" customHeight="1">
      <c r="B686" s="19"/>
      <c r="C686" s="19"/>
      <c r="F686" s="55"/>
      <c r="G686" s="55"/>
      <c r="H686" s="12"/>
    </row>
    <row r="687" ht="14.25" customHeight="1">
      <c r="B687" s="19"/>
      <c r="C687" s="19"/>
      <c r="F687" s="55"/>
      <c r="G687" s="55"/>
      <c r="H687" s="12"/>
    </row>
    <row r="688" ht="14.25" customHeight="1">
      <c r="B688" s="19"/>
      <c r="C688" s="19"/>
      <c r="F688" s="55"/>
      <c r="G688" s="55"/>
      <c r="H688" s="12"/>
    </row>
    <row r="689" ht="14.25" customHeight="1">
      <c r="B689" s="19"/>
      <c r="C689" s="19"/>
      <c r="F689" s="55"/>
      <c r="G689" s="55"/>
      <c r="H689" s="12"/>
    </row>
    <row r="690" ht="14.25" customHeight="1">
      <c r="B690" s="19"/>
      <c r="C690" s="19"/>
      <c r="F690" s="55"/>
      <c r="G690" s="55"/>
      <c r="H690" s="12"/>
    </row>
    <row r="691" ht="14.25" customHeight="1">
      <c r="B691" s="19"/>
      <c r="C691" s="19"/>
      <c r="F691" s="55"/>
      <c r="G691" s="55"/>
      <c r="H691" s="12"/>
    </row>
    <row r="692" ht="14.25" customHeight="1">
      <c r="B692" s="19"/>
      <c r="C692" s="19"/>
      <c r="F692" s="55"/>
      <c r="G692" s="55"/>
      <c r="H692" s="12"/>
    </row>
    <row r="693" ht="14.25" customHeight="1">
      <c r="B693" s="19"/>
      <c r="C693" s="19"/>
      <c r="F693" s="55"/>
      <c r="G693" s="55"/>
      <c r="H693" s="12"/>
    </row>
    <row r="694" ht="14.25" customHeight="1">
      <c r="B694" s="19"/>
      <c r="C694" s="19"/>
      <c r="F694" s="55"/>
      <c r="G694" s="55"/>
      <c r="H694" s="12"/>
    </row>
    <row r="695" ht="14.25" customHeight="1">
      <c r="B695" s="19"/>
      <c r="C695" s="19"/>
      <c r="F695" s="55"/>
      <c r="G695" s="55"/>
      <c r="H695" s="12"/>
    </row>
    <row r="696" ht="14.25" customHeight="1">
      <c r="B696" s="19"/>
      <c r="C696" s="19"/>
      <c r="F696" s="55"/>
      <c r="G696" s="55"/>
      <c r="H696" s="12"/>
    </row>
    <row r="697" ht="14.25" customHeight="1">
      <c r="B697" s="19"/>
      <c r="C697" s="19"/>
      <c r="F697" s="55"/>
      <c r="G697" s="55"/>
      <c r="H697" s="12"/>
    </row>
    <row r="698" ht="14.25" customHeight="1">
      <c r="B698" s="19"/>
      <c r="C698" s="19"/>
      <c r="F698" s="55"/>
      <c r="G698" s="55"/>
      <c r="H698" s="12"/>
    </row>
    <row r="699" ht="14.25" customHeight="1">
      <c r="B699" s="19"/>
      <c r="C699" s="19"/>
      <c r="F699" s="55"/>
      <c r="G699" s="55"/>
      <c r="H699" s="12"/>
    </row>
    <row r="700" ht="14.25" customHeight="1">
      <c r="B700" s="19"/>
      <c r="C700" s="19"/>
      <c r="F700" s="55"/>
      <c r="G700" s="55"/>
      <c r="H700" s="12"/>
    </row>
    <row r="701" ht="14.25" customHeight="1">
      <c r="B701" s="19"/>
      <c r="C701" s="19"/>
      <c r="F701" s="55"/>
      <c r="G701" s="55"/>
      <c r="H701" s="12"/>
    </row>
    <row r="702" ht="14.25" customHeight="1">
      <c r="B702" s="19"/>
      <c r="C702" s="19"/>
      <c r="F702" s="55"/>
      <c r="G702" s="55"/>
      <c r="H702" s="12"/>
    </row>
    <row r="703" ht="14.25" customHeight="1">
      <c r="B703" s="19"/>
      <c r="C703" s="19"/>
      <c r="F703" s="55"/>
      <c r="G703" s="55"/>
      <c r="H703" s="12"/>
    </row>
    <row r="704" ht="14.25" customHeight="1">
      <c r="B704" s="19"/>
      <c r="C704" s="19"/>
      <c r="F704" s="55"/>
      <c r="G704" s="55"/>
      <c r="H704" s="12"/>
    </row>
    <row r="705" ht="14.25" customHeight="1">
      <c r="B705" s="19"/>
      <c r="C705" s="19"/>
      <c r="F705" s="55"/>
      <c r="G705" s="55"/>
      <c r="H705" s="12"/>
    </row>
    <row r="706" ht="14.25" customHeight="1">
      <c r="B706" s="19"/>
      <c r="C706" s="19"/>
      <c r="F706" s="55"/>
      <c r="G706" s="55"/>
      <c r="H706" s="12"/>
    </row>
    <row r="707" ht="14.25" customHeight="1">
      <c r="B707" s="19"/>
      <c r="C707" s="19"/>
      <c r="F707" s="55"/>
      <c r="G707" s="55"/>
      <c r="H707" s="12"/>
    </row>
    <row r="708" ht="14.25" customHeight="1">
      <c r="B708" s="19"/>
      <c r="C708" s="19"/>
      <c r="F708" s="55"/>
      <c r="G708" s="55"/>
      <c r="H708" s="12"/>
    </row>
    <row r="709" ht="14.25" customHeight="1">
      <c r="B709" s="19"/>
      <c r="C709" s="19"/>
      <c r="F709" s="55"/>
      <c r="G709" s="55"/>
      <c r="H709" s="12"/>
    </row>
    <row r="710" ht="14.25" customHeight="1">
      <c r="B710" s="19"/>
      <c r="C710" s="19"/>
      <c r="F710" s="55"/>
      <c r="G710" s="55"/>
      <c r="H710" s="12"/>
    </row>
    <row r="711" ht="14.25" customHeight="1">
      <c r="B711" s="19"/>
      <c r="C711" s="19"/>
      <c r="F711" s="55"/>
      <c r="G711" s="55"/>
      <c r="H711" s="12"/>
    </row>
    <row r="712" ht="14.25" customHeight="1">
      <c r="B712" s="19"/>
      <c r="C712" s="19"/>
      <c r="F712" s="55"/>
      <c r="G712" s="55"/>
      <c r="H712" s="12"/>
    </row>
    <row r="713" ht="14.25" customHeight="1">
      <c r="B713" s="19"/>
      <c r="C713" s="19"/>
      <c r="F713" s="55"/>
      <c r="G713" s="55"/>
      <c r="H713" s="12"/>
    </row>
    <row r="714" ht="14.25" customHeight="1">
      <c r="B714" s="19"/>
      <c r="C714" s="19"/>
      <c r="F714" s="55"/>
      <c r="G714" s="55"/>
      <c r="H714" s="12"/>
    </row>
    <row r="715" ht="14.25" customHeight="1">
      <c r="B715" s="19"/>
      <c r="C715" s="19"/>
      <c r="F715" s="55"/>
      <c r="G715" s="55"/>
      <c r="H715" s="12"/>
    </row>
    <row r="716" ht="14.25" customHeight="1">
      <c r="B716" s="19"/>
      <c r="C716" s="19"/>
      <c r="F716" s="55"/>
      <c r="G716" s="55"/>
      <c r="H716" s="12"/>
    </row>
    <row r="717" ht="14.25" customHeight="1">
      <c r="B717" s="19"/>
      <c r="C717" s="19"/>
      <c r="F717" s="55"/>
      <c r="G717" s="55"/>
      <c r="H717" s="12"/>
    </row>
    <row r="718" ht="14.25" customHeight="1">
      <c r="B718" s="19"/>
      <c r="C718" s="19"/>
      <c r="F718" s="55"/>
      <c r="G718" s="55"/>
      <c r="H718" s="12"/>
    </row>
    <row r="719" ht="14.25" customHeight="1">
      <c r="B719" s="19"/>
      <c r="C719" s="19"/>
      <c r="F719" s="55"/>
      <c r="G719" s="55"/>
      <c r="H719" s="12"/>
    </row>
    <row r="720" ht="14.25" customHeight="1">
      <c r="B720" s="19"/>
      <c r="C720" s="19"/>
      <c r="F720" s="55"/>
      <c r="G720" s="55"/>
      <c r="H720" s="12"/>
    </row>
    <row r="721" ht="14.25" customHeight="1">
      <c r="B721" s="19"/>
      <c r="C721" s="19"/>
      <c r="F721" s="55"/>
      <c r="G721" s="55"/>
      <c r="H721" s="12"/>
    </row>
    <row r="722" ht="14.25" customHeight="1">
      <c r="B722" s="19"/>
      <c r="C722" s="19"/>
      <c r="F722" s="55"/>
      <c r="G722" s="55"/>
      <c r="H722" s="12"/>
    </row>
    <row r="723" ht="14.25" customHeight="1">
      <c r="B723" s="19"/>
      <c r="C723" s="19"/>
      <c r="F723" s="55"/>
      <c r="G723" s="55"/>
      <c r="H723" s="12"/>
    </row>
    <row r="724" ht="14.25" customHeight="1">
      <c r="B724" s="19"/>
      <c r="C724" s="19"/>
      <c r="F724" s="55"/>
      <c r="G724" s="55"/>
      <c r="H724" s="12"/>
    </row>
    <row r="725" ht="14.25" customHeight="1">
      <c r="B725" s="19"/>
      <c r="C725" s="19"/>
      <c r="F725" s="55"/>
      <c r="G725" s="55"/>
      <c r="H725" s="12"/>
    </row>
    <row r="726" ht="14.25" customHeight="1">
      <c r="B726" s="19"/>
      <c r="C726" s="19"/>
      <c r="F726" s="55"/>
      <c r="G726" s="55"/>
      <c r="H726" s="12"/>
    </row>
    <row r="727" ht="14.25" customHeight="1">
      <c r="B727" s="19"/>
      <c r="C727" s="19"/>
      <c r="F727" s="55"/>
      <c r="G727" s="55"/>
      <c r="H727" s="12"/>
    </row>
    <row r="728" ht="14.25" customHeight="1">
      <c r="B728" s="19"/>
      <c r="C728" s="19"/>
      <c r="F728" s="55"/>
      <c r="G728" s="55"/>
      <c r="H728" s="12"/>
    </row>
    <row r="729" ht="14.25" customHeight="1">
      <c r="B729" s="19"/>
      <c r="C729" s="19"/>
      <c r="F729" s="55"/>
      <c r="G729" s="55"/>
      <c r="H729" s="12"/>
    </row>
    <row r="730" ht="14.25" customHeight="1">
      <c r="B730" s="19"/>
      <c r="C730" s="19"/>
      <c r="F730" s="55"/>
      <c r="G730" s="55"/>
      <c r="H730" s="12"/>
    </row>
    <row r="731" ht="14.25" customHeight="1">
      <c r="B731" s="19"/>
      <c r="C731" s="19"/>
      <c r="F731" s="55"/>
      <c r="G731" s="55"/>
      <c r="H731" s="12"/>
    </row>
    <row r="732" ht="14.25" customHeight="1">
      <c r="B732" s="19"/>
      <c r="C732" s="19"/>
      <c r="F732" s="55"/>
      <c r="G732" s="55"/>
      <c r="H732" s="12"/>
    </row>
    <row r="733" ht="14.25" customHeight="1">
      <c r="B733" s="19"/>
      <c r="C733" s="19"/>
      <c r="F733" s="55"/>
      <c r="G733" s="55"/>
      <c r="H733" s="12"/>
    </row>
    <row r="734" ht="14.25" customHeight="1">
      <c r="B734" s="19"/>
      <c r="C734" s="19"/>
      <c r="F734" s="55"/>
      <c r="G734" s="55"/>
      <c r="H734" s="12"/>
    </row>
    <row r="735" ht="14.25" customHeight="1">
      <c r="B735" s="19"/>
      <c r="C735" s="19"/>
      <c r="F735" s="55"/>
      <c r="G735" s="55"/>
      <c r="H735" s="12"/>
    </row>
    <row r="736" ht="14.25" customHeight="1">
      <c r="B736" s="19"/>
      <c r="C736" s="19"/>
      <c r="F736" s="55"/>
      <c r="G736" s="55"/>
      <c r="H736" s="12"/>
    </row>
    <row r="737" ht="14.25" customHeight="1">
      <c r="B737" s="19"/>
      <c r="C737" s="19"/>
      <c r="F737" s="55"/>
      <c r="G737" s="55"/>
      <c r="H737" s="12"/>
    </row>
    <row r="738" ht="14.25" customHeight="1">
      <c r="B738" s="19"/>
      <c r="C738" s="19"/>
      <c r="F738" s="55"/>
      <c r="G738" s="55"/>
      <c r="H738" s="12"/>
    </row>
    <row r="739" ht="14.25" customHeight="1">
      <c r="B739" s="19"/>
      <c r="C739" s="19"/>
      <c r="F739" s="55"/>
      <c r="G739" s="55"/>
      <c r="H739" s="12"/>
    </row>
    <row r="740" ht="14.25" customHeight="1">
      <c r="B740" s="19"/>
      <c r="C740" s="19"/>
      <c r="F740" s="55"/>
      <c r="G740" s="55"/>
      <c r="H740" s="12"/>
    </row>
    <row r="741" ht="14.25" customHeight="1">
      <c r="B741" s="19"/>
      <c r="C741" s="19"/>
      <c r="F741" s="55"/>
      <c r="G741" s="55"/>
      <c r="H741" s="12"/>
    </row>
    <row r="742" ht="14.25" customHeight="1">
      <c r="B742" s="19"/>
      <c r="C742" s="19"/>
      <c r="F742" s="55"/>
      <c r="G742" s="55"/>
      <c r="H742" s="12"/>
    </row>
    <row r="743" ht="14.25" customHeight="1">
      <c r="B743" s="19"/>
      <c r="C743" s="19"/>
      <c r="F743" s="55"/>
      <c r="G743" s="55"/>
      <c r="H743" s="12"/>
    </row>
    <row r="744" ht="14.25" customHeight="1">
      <c r="B744" s="19"/>
      <c r="C744" s="19"/>
      <c r="F744" s="55"/>
      <c r="G744" s="55"/>
      <c r="H744" s="12"/>
    </row>
    <row r="745" ht="14.25" customHeight="1">
      <c r="B745" s="19"/>
      <c r="C745" s="19"/>
      <c r="F745" s="55"/>
      <c r="G745" s="55"/>
      <c r="H745" s="12"/>
    </row>
    <row r="746" ht="14.25" customHeight="1">
      <c r="B746" s="19"/>
      <c r="C746" s="19"/>
      <c r="F746" s="55"/>
      <c r="G746" s="55"/>
      <c r="H746" s="12"/>
    </row>
    <row r="747" ht="14.25" customHeight="1">
      <c r="B747" s="19"/>
      <c r="C747" s="19"/>
      <c r="F747" s="55"/>
      <c r="G747" s="55"/>
      <c r="H747" s="12"/>
    </row>
    <row r="748" ht="14.25" customHeight="1">
      <c r="B748" s="19"/>
      <c r="C748" s="19"/>
      <c r="F748" s="55"/>
      <c r="G748" s="55"/>
      <c r="H748" s="12"/>
    </row>
    <row r="749" ht="14.25" customHeight="1">
      <c r="B749" s="19"/>
      <c r="C749" s="19"/>
      <c r="F749" s="55"/>
      <c r="G749" s="55"/>
      <c r="H749" s="12"/>
    </row>
    <row r="750" ht="14.25" customHeight="1">
      <c r="B750" s="19"/>
      <c r="C750" s="19"/>
      <c r="F750" s="55"/>
      <c r="G750" s="55"/>
      <c r="H750" s="12"/>
    </row>
    <row r="751" ht="14.25" customHeight="1">
      <c r="B751" s="19"/>
      <c r="C751" s="19"/>
      <c r="F751" s="55"/>
      <c r="G751" s="55"/>
      <c r="H751" s="12"/>
    </row>
    <row r="752" ht="14.25" customHeight="1">
      <c r="B752" s="19"/>
      <c r="C752" s="19"/>
      <c r="F752" s="55"/>
      <c r="G752" s="55"/>
      <c r="H752" s="12"/>
    </row>
    <row r="753" ht="14.25" customHeight="1">
      <c r="B753" s="19"/>
      <c r="C753" s="19"/>
      <c r="F753" s="55"/>
      <c r="G753" s="55"/>
      <c r="H753" s="12"/>
    </row>
    <row r="754" ht="14.25" customHeight="1">
      <c r="B754" s="19"/>
      <c r="C754" s="19"/>
      <c r="F754" s="55"/>
      <c r="G754" s="55"/>
      <c r="H754" s="12"/>
    </row>
    <row r="755" ht="14.25" customHeight="1">
      <c r="B755" s="19"/>
      <c r="C755" s="19"/>
      <c r="F755" s="55"/>
      <c r="G755" s="55"/>
      <c r="H755" s="12"/>
    </row>
    <row r="756" ht="14.25" customHeight="1">
      <c r="B756" s="19"/>
      <c r="C756" s="19"/>
      <c r="F756" s="55"/>
      <c r="G756" s="55"/>
      <c r="H756" s="12"/>
    </row>
    <row r="757" ht="14.25" customHeight="1">
      <c r="B757" s="19"/>
      <c r="C757" s="19"/>
      <c r="F757" s="55"/>
      <c r="G757" s="55"/>
      <c r="H757" s="12"/>
    </row>
    <row r="758" ht="14.25" customHeight="1">
      <c r="B758" s="19"/>
      <c r="C758" s="19"/>
      <c r="F758" s="55"/>
      <c r="G758" s="55"/>
      <c r="H758" s="12"/>
    </row>
    <row r="759" ht="14.25" customHeight="1">
      <c r="B759" s="19"/>
      <c r="C759" s="19"/>
      <c r="F759" s="55"/>
      <c r="G759" s="55"/>
      <c r="H759" s="12"/>
    </row>
    <row r="760" ht="14.25" customHeight="1">
      <c r="B760" s="19"/>
      <c r="C760" s="19"/>
      <c r="F760" s="55"/>
      <c r="G760" s="55"/>
      <c r="H760" s="12"/>
    </row>
    <row r="761" ht="14.25" customHeight="1">
      <c r="B761" s="19"/>
      <c r="C761" s="19"/>
      <c r="F761" s="55"/>
      <c r="G761" s="55"/>
      <c r="H761" s="12"/>
    </row>
    <row r="762" ht="14.25" customHeight="1">
      <c r="B762" s="19"/>
      <c r="C762" s="19"/>
      <c r="F762" s="55"/>
      <c r="G762" s="55"/>
      <c r="H762" s="12"/>
    </row>
    <row r="763" ht="14.25" customHeight="1">
      <c r="B763" s="19"/>
      <c r="C763" s="19"/>
      <c r="F763" s="55"/>
      <c r="G763" s="55"/>
      <c r="H763" s="12"/>
    </row>
    <row r="764" ht="14.25" customHeight="1">
      <c r="B764" s="19"/>
      <c r="C764" s="19"/>
      <c r="F764" s="55"/>
      <c r="G764" s="55"/>
      <c r="H764" s="12"/>
    </row>
    <row r="765" ht="14.25" customHeight="1">
      <c r="B765" s="19"/>
      <c r="C765" s="19"/>
      <c r="F765" s="55"/>
      <c r="G765" s="55"/>
      <c r="H765" s="12"/>
    </row>
    <row r="766" ht="14.25" customHeight="1">
      <c r="B766" s="19"/>
      <c r="C766" s="19"/>
      <c r="F766" s="55"/>
      <c r="G766" s="55"/>
      <c r="H766" s="12"/>
    </row>
    <row r="767" ht="14.25" customHeight="1">
      <c r="B767" s="19"/>
      <c r="C767" s="19"/>
      <c r="F767" s="55"/>
      <c r="G767" s="55"/>
      <c r="H767" s="12"/>
    </row>
    <row r="768" ht="14.25" customHeight="1">
      <c r="B768" s="19"/>
      <c r="C768" s="19"/>
      <c r="F768" s="55"/>
      <c r="G768" s="55"/>
      <c r="H768" s="12"/>
    </row>
    <row r="769" ht="14.25" customHeight="1">
      <c r="B769" s="19"/>
      <c r="C769" s="19"/>
      <c r="F769" s="55"/>
      <c r="G769" s="55"/>
      <c r="H769" s="12"/>
    </row>
    <row r="770" ht="14.25" customHeight="1">
      <c r="B770" s="19"/>
      <c r="C770" s="19"/>
      <c r="F770" s="55"/>
      <c r="G770" s="55"/>
      <c r="H770" s="12"/>
    </row>
    <row r="771" ht="14.25" customHeight="1">
      <c r="B771" s="19"/>
      <c r="C771" s="19"/>
      <c r="F771" s="55"/>
      <c r="G771" s="55"/>
      <c r="H771" s="12"/>
    </row>
    <row r="772" ht="14.25" customHeight="1">
      <c r="B772" s="19"/>
      <c r="C772" s="19"/>
      <c r="F772" s="55"/>
      <c r="G772" s="55"/>
      <c r="H772" s="12"/>
    </row>
    <row r="773" ht="14.25" customHeight="1">
      <c r="B773" s="19"/>
      <c r="C773" s="19"/>
      <c r="F773" s="55"/>
      <c r="G773" s="55"/>
      <c r="H773" s="12"/>
    </row>
    <row r="774" ht="14.25" customHeight="1">
      <c r="B774" s="19"/>
      <c r="C774" s="19"/>
      <c r="F774" s="55"/>
      <c r="G774" s="55"/>
      <c r="H774" s="12"/>
    </row>
    <row r="775" ht="14.25" customHeight="1">
      <c r="B775" s="19"/>
      <c r="C775" s="19"/>
      <c r="F775" s="55"/>
      <c r="G775" s="55"/>
      <c r="H775" s="12"/>
    </row>
    <row r="776" ht="14.25" customHeight="1">
      <c r="B776" s="19"/>
      <c r="C776" s="19"/>
      <c r="F776" s="55"/>
      <c r="G776" s="55"/>
      <c r="H776" s="12"/>
    </row>
    <row r="777" ht="14.25" customHeight="1">
      <c r="B777" s="19"/>
      <c r="C777" s="19"/>
      <c r="F777" s="55"/>
      <c r="G777" s="55"/>
      <c r="H777" s="12"/>
    </row>
    <row r="778" ht="14.25" customHeight="1">
      <c r="B778" s="19"/>
      <c r="C778" s="19"/>
      <c r="F778" s="55"/>
      <c r="G778" s="55"/>
      <c r="H778" s="12"/>
    </row>
    <row r="779" ht="14.25" customHeight="1">
      <c r="B779" s="19"/>
      <c r="C779" s="19"/>
      <c r="F779" s="55"/>
      <c r="G779" s="55"/>
      <c r="H779" s="12"/>
    </row>
    <row r="780" ht="14.25" customHeight="1">
      <c r="B780" s="19"/>
      <c r="C780" s="19"/>
      <c r="F780" s="55"/>
      <c r="G780" s="55"/>
      <c r="H780" s="12"/>
    </row>
    <row r="781" ht="14.25" customHeight="1">
      <c r="B781" s="19"/>
      <c r="C781" s="19"/>
      <c r="F781" s="55"/>
      <c r="G781" s="55"/>
      <c r="H781" s="12"/>
    </row>
    <row r="782" ht="14.25" customHeight="1">
      <c r="B782" s="19"/>
      <c r="C782" s="19"/>
      <c r="F782" s="55"/>
      <c r="G782" s="55"/>
      <c r="H782" s="12"/>
    </row>
    <row r="783" ht="14.25" customHeight="1">
      <c r="B783" s="19"/>
      <c r="C783" s="19"/>
      <c r="F783" s="55"/>
      <c r="G783" s="55"/>
      <c r="H783" s="12"/>
    </row>
    <row r="784" ht="14.25" customHeight="1">
      <c r="B784" s="19"/>
      <c r="C784" s="19"/>
      <c r="F784" s="55"/>
      <c r="G784" s="55"/>
      <c r="H784" s="12"/>
    </row>
    <row r="785" ht="14.25" customHeight="1">
      <c r="B785" s="19"/>
      <c r="C785" s="19"/>
      <c r="F785" s="55"/>
      <c r="G785" s="55"/>
      <c r="H785" s="12"/>
    </row>
    <row r="786" ht="14.25" customHeight="1">
      <c r="B786" s="19"/>
      <c r="C786" s="19"/>
      <c r="F786" s="55"/>
      <c r="G786" s="55"/>
      <c r="H786" s="12"/>
    </row>
    <row r="787" ht="14.25" customHeight="1">
      <c r="B787" s="19"/>
      <c r="C787" s="19"/>
      <c r="F787" s="55"/>
      <c r="G787" s="55"/>
      <c r="H787" s="12"/>
    </row>
    <row r="788" ht="14.25" customHeight="1">
      <c r="B788" s="19"/>
      <c r="C788" s="19"/>
      <c r="F788" s="55"/>
      <c r="G788" s="55"/>
      <c r="H788" s="12"/>
    </row>
    <row r="789" ht="14.25" customHeight="1">
      <c r="B789" s="19"/>
      <c r="C789" s="19"/>
      <c r="F789" s="55"/>
      <c r="G789" s="55"/>
      <c r="H789" s="12"/>
    </row>
    <row r="790" ht="14.25" customHeight="1">
      <c r="B790" s="19"/>
      <c r="C790" s="19"/>
      <c r="F790" s="55"/>
      <c r="G790" s="55"/>
      <c r="H790" s="12"/>
    </row>
    <row r="791" ht="14.25" customHeight="1">
      <c r="B791" s="19"/>
      <c r="C791" s="19"/>
      <c r="F791" s="55"/>
      <c r="G791" s="55"/>
      <c r="H791" s="12"/>
    </row>
    <row r="792" ht="14.25" customHeight="1">
      <c r="B792" s="19"/>
      <c r="C792" s="19"/>
      <c r="F792" s="55"/>
      <c r="G792" s="55"/>
      <c r="H792" s="12"/>
    </row>
    <row r="793" ht="14.25" customHeight="1">
      <c r="B793" s="19"/>
      <c r="C793" s="19"/>
      <c r="F793" s="55"/>
      <c r="G793" s="55"/>
      <c r="H793" s="12"/>
    </row>
    <row r="794" ht="14.25" customHeight="1">
      <c r="B794" s="19"/>
      <c r="C794" s="19"/>
      <c r="F794" s="55"/>
      <c r="G794" s="55"/>
      <c r="H794" s="12"/>
    </row>
    <row r="795" ht="14.25" customHeight="1">
      <c r="B795" s="19"/>
      <c r="C795" s="19"/>
      <c r="F795" s="55"/>
      <c r="G795" s="55"/>
      <c r="H795" s="12"/>
    </row>
    <row r="796" ht="14.25" customHeight="1">
      <c r="B796" s="19"/>
      <c r="C796" s="19"/>
      <c r="F796" s="55"/>
      <c r="G796" s="55"/>
      <c r="H796" s="12"/>
    </row>
    <row r="797" ht="14.25" customHeight="1">
      <c r="B797" s="19"/>
      <c r="C797" s="19"/>
      <c r="F797" s="55"/>
      <c r="G797" s="55"/>
      <c r="H797" s="12"/>
    </row>
    <row r="798" ht="14.25" customHeight="1">
      <c r="B798" s="19"/>
      <c r="C798" s="19"/>
      <c r="F798" s="55"/>
      <c r="G798" s="55"/>
      <c r="H798" s="12"/>
    </row>
    <row r="799" ht="14.25" customHeight="1">
      <c r="B799" s="19"/>
      <c r="C799" s="19"/>
      <c r="F799" s="55"/>
      <c r="G799" s="55"/>
      <c r="H799" s="12"/>
    </row>
    <row r="800" ht="14.25" customHeight="1">
      <c r="B800" s="19"/>
      <c r="C800" s="19"/>
      <c r="F800" s="55"/>
      <c r="G800" s="55"/>
      <c r="H800" s="12"/>
    </row>
    <row r="801" ht="14.25" customHeight="1">
      <c r="B801" s="19"/>
      <c r="C801" s="19"/>
      <c r="F801" s="55"/>
      <c r="G801" s="55"/>
      <c r="H801" s="12"/>
    </row>
    <row r="802" ht="14.25" customHeight="1">
      <c r="B802" s="19"/>
      <c r="C802" s="19"/>
      <c r="F802" s="55"/>
      <c r="G802" s="55"/>
      <c r="H802" s="12"/>
    </row>
    <row r="803" ht="14.25" customHeight="1">
      <c r="B803" s="19"/>
      <c r="C803" s="19"/>
      <c r="F803" s="55"/>
      <c r="G803" s="55"/>
      <c r="H803" s="12"/>
    </row>
    <row r="804" ht="14.25" customHeight="1">
      <c r="B804" s="19"/>
      <c r="C804" s="19"/>
      <c r="F804" s="55"/>
      <c r="G804" s="55"/>
      <c r="H804" s="12"/>
    </row>
    <row r="805" ht="14.25" customHeight="1">
      <c r="B805" s="19"/>
      <c r="C805" s="19"/>
      <c r="F805" s="55"/>
      <c r="G805" s="55"/>
      <c r="H805" s="12"/>
    </row>
    <row r="806" ht="14.25" customHeight="1">
      <c r="B806" s="19"/>
      <c r="C806" s="19"/>
      <c r="F806" s="55"/>
      <c r="G806" s="55"/>
      <c r="H806" s="12"/>
    </row>
    <row r="807" ht="14.25" customHeight="1">
      <c r="B807" s="19"/>
      <c r="C807" s="19"/>
      <c r="F807" s="55"/>
      <c r="G807" s="55"/>
      <c r="H807" s="12"/>
    </row>
    <row r="808" ht="14.25" customHeight="1">
      <c r="B808" s="19"/>
      <c r="C808" s="19"/>
      <c r="F808" s="55"/>
      <c r="G808" s="55"/>
      <c r="H808" s="12"/>
    </row>
    <row r="809" ht="14.25" customHeight="1">
      <c r="B809" s="19"/>
      <c r="C809" s="19"/>
      <c r="F809" s="55"/>
      <c r="G809" s="55"/>
      <c r="H809" s="12"/>
    </row>
    <row r="810" ht="14.25" customHeight="1">
      <c r="B810" s="19"/>
      <c r="C810" s="19"/>
      <c r="F810" s="55"/>
      <c r="G810" s="55"/>
      <c r="H810" s="12"/>
    </row>
    <row r="811" ht="14.25" customHeight="1">
      <c r="B811" s="19"/>
      <c r="C811" s="19"/>
      <c r="F811" s="55"/>
      <c r="G811" s="55"/>
      <c r="H811" s="12"/>
    </row>
    <row r="812" ht="14.25" customHeight="1">
      <c r="B812" s="19"/>
      <c r="C812" s="19"/>
      <c r="F812" s="55"/>
      <c r="G812" s="55"/>
      <c r="H812" s="12"/>
    </row>
    <row r="813" ht="14.25" customHeight="1">
      <c r="B813" s="19"/>
      <c r="C813" s="19"/>
      <c r="F813" s="55"/>
      <c r="G813" s="55"/>
      <c r="H813" s="12"/>
    </row>
    <row r="814" ht="14.25" customHeight="1">
      <c r="B814" s="19"/>
      <c r="C814" s="19"/>
      <c r="F814" s="55"/>
      <c r="G814" s="55"/>
      <c r="H814" s="12"/>
    </row>
    <row r="815" ht="14.25" customHeight="1">
      <c r="B815" s="19"/>
      <c r="C815" s="19"/>
      <c r="F815" s="55"/>
      <c r="G815" s="55"/>
      <c r="H815" s="12"/>
    </row>
    <row r="816" ht="14.25" customHeight="1">
      <c r="B816" s="19"/>
      <c r="C816" s="19"/>
      <c r="F816" s="55"/>
      <c r="G816" s="55"/>
      <c r="H816" s="12"/>
    </row>
    <row r="817" ht="14.25" customHeight="1">
      <c r="B817" s="19"/>
      <c r="C817" s="19"/>
      <c r="F817" s="55"/>
      <c r="G817" s="55"/>
      <c r="H817" s="12"/>
    </row>
    <row r="818" ht="14.25" customHeight="1">
      <c r="B818" s="19"/>
      <c r="C818" s="19"/>
      <c r="F818" s="55"/>
      <c r="G818" s="55"/>
      <c r="H818" s="12"/>
    </row>
    <row r="819" ht="14.25" customHeight="1">
      <c r="B819" s="19"/>
      <c r="C819" s="19"/>
      <c r="F819" s="55"/>
      <c r="G819" s="55"/>
      <c r="H819" s="12"/>
    </row>
    <row r="820" ht="14.25" customHeight="1">
      <c r="B820" s="19"/>
      <c r="C820" s="19"/>
      <c r="F820" s="55"/>
      <c r="G820" s="55"/>
      <c r="H820" s="12"/>
    </row>
    <row r="821" ht="14.25" customHeight="1">
      <c r="B821" s="19"/>
      <c r="C821" s="19"/>
      <c r="F821" s="55"/>
      <c r="G821" s="55"/>
      <c r="H821" s="12"/>
    </row>
    <row r="822" ht="14.25" customHeight="1">
      <c r="B822" s="19"/>
      <c r="C822" s="19"/>
      <c r="F822" s="55"/>
      <c r="G822" s="55"/>
      <c r="H822" s="12"/>
    </row>
    <row r="823" ht="14.25" customHeight="1">
      <c r="B823" s="19"/>
      <c r="C823" s="19"/>
      <c r="F823" s="55"/>
      <c r="G823" s="55"/>
      <c r="H823" s="12"/>
    </row>
    <row r="824" ht="14.25" customHeight="1">
      <c r="B824" s="19"/>
      <c r="C824" s="19"/>
      <c r="F824" s="55"/>
      <c r="G824" s="55"/>
      <c r="H824" s="12"/>
    </row>
    <row r="825" ht="14.25" customHeight="1">
      <c r="B825" s="19"/>
      <c r="C825" s="19"/>
      <c r="F825" s="55"/>
      <c r="G825" s="55"/>
      <c r="H825" s="12"/>
    </row>
    <row r="826" ht="14.25" customHeight="1">
      <c r="B826" s="19"/>
      <c r="C826" s="19"/>
      <c r="F826" s="55"/>
      <c r="G826" s="55"/>
      <c r="H826" s="12"/>
    </row>
    <row r="827" ht="14.25" customHeight="1">
      <c r="B827" s="19"/>
      <c r="C827" s="19"/>
      <c r="F827" s="55"/>
      <c r="G827" s="55"/>
      <c r="H827" s="12"/>
    </row>
    <row r="828" ht="14.25" customHeight="1">
      <c r="B828" s="19"/>
      <c r="C828" s="19"/>
      <c r="F828" s="55"/>
      <c r="G828" s="55"/>
      <c r="H828" s="12"/>
    </row>
    <row r="829" ht="14.25" customHeight="1">
      <c r="B829" s="19"/>
      <c r="C829" s="19"/>
      <c r="F829" s="55"/>
      <c r="G829" s="55"/>
      <c r="H829" s="12"/>
    </row>
    <row r="830" ht="14.25" customHeight="1">
      <c r="B830" s="19"/>
      <c r="C830" s="19"/>
      <c r="F830" s="55"/>
      <c r="G830" s="55"/>
      <c r="H830" s="12"/>
    </row>
    <row r="831" ht="14.25" customHeight="1">
      <c r="B831" s="19"/>
      <c r="C831" s="19"/>
      <c r="F831" s="55"/>
      <c r="G831" s="55"/>
      <c r="H831" s="12"/>
    </row>
    <row r="832" ht="14.25" customHeight="1">
      <c r="B832" s="19"/>
      <c r="C832" s="19"/>
      <c r="F832" s="55"/>
      <c r="G832" s="55"/>
      <c r="H832" s="12"/>
    </row>
    <row r="833" ht="14.25" customHeight="1">
      <c r="B833" s="19"/>
      <c r="C833" s="19"/>
      <c r="F833" s="55"/>
      <c r="G833" s="55"/>
      <c r="H833" s="12"/>
    </row>
    <row r="834" ht="14.25" customHeight="1">
      <c r="B834" s="19"/>
      <c r="C834" s="19"/>
      <c r="F834" s="55"/>
      <c r="G834" s="55"/>
      <c r="H834" s="12"/>
    </row>
    <row r="835" ht="14.25" customHeight="1">
      <c r="B835" s="19"/>
      <c r="C835" s="19"/>
      <c r="F835" s="55"/>
      <c r="G835" s="55"/>
      <c r="H835" s="12"/>
    </row>
    <row r="836" ht="14.25" customHeight="1">
      <c r="B836" s="19"/>
      <c r="C836" s="19"/>
      <c r="F836" s="55"/>
      <c r="G836" s="55"/>
      <c r="H836" s="12"/>
    </row>
    <row r="837" ht="14.25" customHeight="1">
      <c r="B837" s="19"/>
      <c r="C837" s="19"/>
      <c r="F837" s="55"/>
      <c r="G837" s="55"/>
      <c r="H837" s="12"/>
    </row>
    <row r="838" ht="14.25" customHeight="1">
      <c r="B838" s="19"/>
      <c r="C838" s="19"/>
      <c r="F838" s="55"/>
      <c r="G838" s="55"/>
      <c r="H838" s="12"/>
    </row>
    <row r="839" ht="14.25" customHeight="1">
      <c r="B839" s="19"/>
      <c r="C839" s="19"/>
      <c r="F839" s="55"/>
      <c r="G839" s="55"/>
      <c r="H839" s="12"/>
    </row>
    <row r="840" ht="14.25" customHeight="1">
      <c r="B840" s="19"/>
      <c r="C840" s="19"/>
      <c r="F840" s="55"/>
      <c r="G840" s="55"/>
      <c r="H840" s="12"/>
    </row>
    <row r="841" ht="14.25" customHeight="1">
      <c r="B841" s="19"/>
      <c r="C841" s="19"/>
      <c r="F841" s="55"/>
      <c r="G841" s="55"/>
      <c r="H841" s="12"/>
    </row>
    <row r="842" ht="14.25" customHeight="1">
      <c r="B842" s="19"/>
      <c r="C842" s="19"/>
      <c r="F842" s="55"/>
      <c r="G842" s="55"/>
      <c r="H842" s="12"/>
    </row>
    <row r="843" ht="14.25" customHeight="1">
      <c r="B843" s="19"/>
      <c r="C843" s="19"/>
      <c r="F843" s="55"/>
      <c r="G843" s="55"/>
      <c r="H843" s="12"/>
    </row>
    <row r="844" ht="14.25" customHeight="1">
      <c r="B844" s="19"/>
      <c r="C844" s="19"/>
      <c r="F844" s="55"/>
      <c r="G844" s="55"/>
      <c r="H844" s="12"/>
    </row>
    <row r="845" ht="14.25" customHeight="1">
      <c r="B845" s="19"/>
      <c r="C845" s="19"/>
      <c r="F845" s="55"/>
      <c r="G845" s="55"/>
      <c r="H845" s="12"/>
    </row>
    <row r="846" ht="14.25" customHeight="1">
      <c r="B846" s="19"/>
      <c r="C846" s="19"/>
      <c r="F846" s="55"/>
      <c r="G846" s="55"/>
      <c r="H846" s="12"/>
    </row>
    <row r="847" ht="14.25" customHeight="1">
      <c r="B847" s="19"/>
      <c r="C847" s="19"/>
      <c r="F847" s="55"/>
      <c r="G847" s="55"/>
      <c r="H847" s="12"/>
    </row>
    <row r="848" ht="14.25" customHeight="1">
      <c r="B848" s="19"/>
      <c r="C848" s="19"/>
      <c r="F848" s="55"/>
      <c r="G848" s="55"/>
      <c r="H848" s="12"/>
    </row>
    <row r="849" ht="14.25" customHeight="1">
      <c r="B849" s="19"/>
      <c r="C849" s="19"/>
      <c r="F849" s="55"/>
      <c r="G849" s="55"/>
      <c r="H849" s="12"/>
    </row>
    <row r="850" ht="14.25" customHeight="1">
      <c r="B850" s="19"/>
      <c r="C850" s="19"/>
      <c r="F850" s="55"/>
      <c r="G850" s="55"/>
      <c r="H850" s="12"/>
    </row>
    <row r="851" ht="14.25" customHeight="1">
      <c r="B851" s="19"/>
      <c r="C851" s="19"/>
      <c r="F851" s="55"/>
      <c r="G851" s="55"/>
      <c r="H851" s="12"/>
    </row>
    <row r="852" ht="14.25" customHeight="1">
      <c r="B852" s="19"/>
      <c r="C852" s="19"/>
      <c r="F852" s="55"/>
      <c r="G852" s="55"/>
      <c r="H852" s="12"/>
    </row>
    <row r="853" ht="14.25" customHeight="1">
      <c r="B853" s="19"/>
      <c r="C853" s="19"/>
      <c r="F853" s="55"/>
      <c r="G853" s="55"/>
      <c r="H853" s="12"/>
    </row>
    <row r="854" ht="14.25" customHeight="1">
      <c r="B854" s="19"/>
      <c r="C854" s="19"/>
      <c r="F854" s="55"/>
      <c r="G854" s="55"/>
      <c r="H854" s="12"/>
    </row>
    <row r="855" ht="14.25" customHeight="1">
      <c r="B855" s="19"/>
      <c r="C855" s="19"/>
      <c r="F855" s="55"/>
      <c r="G855" s="55"/>
      <c r="H855" s="12"/>
    </row>
    <row r="856" ht="14.25" customHeight="1">
      <c r="B856" s="19"/>
      <c r="C856" s="19"/>
      <c r="F856" s="55"/>
      <c r="G856" s="55"/>
      <c r="H856" s="12"/>
    </row>
    <row r="857" ht="14.25" customHeight="1">
      <c r="B857" s="19"/>
      <c r="C857" s="19"/>
      <c r="F857" s="55"/>
      <c r="G857" s="55"/>
      <c r="H857" s="12"/>
    </row>
    <row r="858" ht="14.25" customHeight="1">
      <c r="B858" s="19"/>
      <c r="C858" s="19"/>
      <c r="F858" s="55"/>
      <c r="G858" s="55"/>
      <c r="H858" s="12"/>
    </row>
    <row r="859" ht="14.25" customHeight="1">
      <c r="B859" s="19"/>
      <c r="C859" s="19"/>
      <c r="F859" s="55"/>
      <c r="G859" s="55"/>
      <c r="H859" s="12"/>
    </row>
    <row r="860" ht="14.25" customHeight="1">
      <c r="B860" s="19"/>
      <c r="C860" s="19"/>
      <c r="F860" s="55"/>
      <c r="G860" s="55"/>
      <c r="H860" s="12"/>
    </row>
    <row r="861" ht="14.25" customHeight="1">
      <c r="B861" s="19"/>
      <c r="C861" s="19"/>
      <c r="F861" s="55"/>
      <c r="G861" s="55"/>
      <c r="H861" s="12"/>
    </row>
    <row r="862" ht="14.25" customHeight="1">
      <c r="B862" s="19"/>
      <c r="C862" s="19"/>
      <c r="F862" s="55"/>
      <c r="G862" s="55"/>
      <c r="H862" s="12"/>
    </row>
    <row r="863" ht="14.25" customHeight="1">
      <c r="B863" s="19"/>
      <c r="C863" s="19"/>
      <c r="F863" s="55"/>
      <c r="G863" s="55"/>
      <c r="H863" s="12"/>
    </row>
    <row r="864" ht="14.25" customHeight="1">
      <c r="B864" s="19"/>
      <c r="C864" s="19"/>
      <c r="F864" s="55"/>
      <c r="G864" s="55"/>
      <c r="H864" s="12"/>
    </row>
    <row r="865" ht="14.25" customHeight="1">
      <c r="B865" s="19"/>
      <c r="C865" s="19"/>
      <c r="F865" s="55"/>
      <c r="G865" s="55"/>
      <c r="H865" s="12"/>
    </row>
    <row r="866" ht="14.25" customHeight="1">
      <c r="B866" s="19"/>
      <c r="C866" s="19"/>
      <c r="F866" s="55"/>
      <c r="G866" s="55"/>
      <c r="H866" s="12"/>
    </row>
    <row r="867" ht="14.25" customHeight="1">
      <c r="B867" s="19"/>
      <c r="C867" s="19"/>
      <c r="F867" s="55"/>
      <c r="G867" s="55"/>
      <c r="H867" s="12"/>
    </row>
    <row r="868" ht="14.25" customHeight="1">
      <c r="B868" s="19"/>
      <c r="C868" s="19"/>
      <c r="F868" s="55"/>
      <c r="G868" s="55"/>
      <c r="H868" s="12"/>
    </row>
    <row r="869" ht="14.25" customHeight="1">
      <c r="B869" s="19"/>
      <c r="C869" s="19"/>
      <c r="F869" s="55"/>
      <c r="G869" s="55"/>
      <c r="H869" s="12"/>
    </row>
    <row r="870" ht="14.25" customHeight="1">
      <c r="B870" s="19"/>
      <c r="C870" s="19"/>
      <c r="F870" s="55"/>
      <c r="G870" s="55"/>
      <c r="H870" s="12"/>
    </row>
    <row r="871" ht="14.25" customHeight="1">
      <c r="B871" s="19"/>
      <c r="C871" s="19"/>
      <c r="F871" s="55"/>
      <c r="G871" s="55"/>
      <c r="H871" s="12"/>
    </row>
    <row r="872" ht="14.25" customHeight="1">
      <c r="B872" s="19"/>
      <c r="C872" s="19"/>
      <c r="F872" s="55"/>
      <c r="G872" s="55"/>
      <c r="H872" s="12"/>
    </row>
    <row r="873" ht="14.25" customHeight="1">
      <c r="B873" s="19"/>
      <c r="C873" s="19"/>
      <c r="F873" s="55"/>
      <c r="G873" s="55"/>
      <c r="H873" s="12"/>
    </row>
    <row r="874" ht="14.25" customHeight="1">
      <c r="B874" s="19"/>
      <c r="C874" s="19"/>
      <c r="F874" s="55"/>
      <c r="G874" s="55"/>
      <c r="H874" s="12"/>
    </row>
    <row r="875" ht="14.25" customHeight="1">
      <c r="B875" s="19"/>
      <c r="C875" s="19"/>
      <c r="F875" s="55"/>
      <c r="G875" s="55"/>
      <c r="H875" s="12"/>
    </row>
    <row r="876" ht="14.25" customHeight="1">
      <c r="B876" s="19"/>
      <c r="C876" s="19"/>
      <c r="F876" s="55"/>
      <c r="G876" s="55"/>
      <c r="H876" s="12"/>
    </row>
    <row r="877" ht="14.25" customHeight="1">
      <c r="B877" s="19"/>
      <c r="C877" s="19"/>
      <c r="F877" s="55"/>
      <c r="G877" s="55"/>
      <c r="H877" s="12"/>
    </row>
    <row r="878" ht="14.25" customHeight="1">
      <c r="B878" s="19"/>
      <c r="C878" s="19"/>
      <c r="F878" s="55"/>
      <c r="G878" s="55"/>
      <c r="H878" s="12"/>
    </row>
    <row r="879" ht="14.25" customHeight="1">
      <c r="B879" s="19"/>
      <c r="C879" s="19"/>
      <c r="F879" s="55"/>
      <c r="G879" s="55"/>
      <c r="H879" s="12"/>
    </row>
    <row r="880" ht="14.25" customHeight="1">
      <c r="B880" s="19"/>
      <c r="C880" s="19"/>
      <c r="F880" s="55"/>
      <c r="G880" s="55"/>
      <c r="H880" s="12"/>
    </row>
    <row r="881" ht="14.25" customHeight="1">
      <c r="B881" s="19"/>
      <c r="C881" s="19"/>
      <c r="F881" s="55"/>
      <c r="G881" s="55"/>
      <c r="H881" s="12"/>
    </row>
    <row r="882" ht="14.25" customHeight="1">
      <c r="B882" s="19"/>
      <c r="C882" s="19"/>
      <c r="F882" s="55"/>
      <c r="G882" s="55"/>
      <c r="H882" s="12"/>
    </row>
    <row r="883" ht="14.25" customHeight="1">
      <c r="B883" s="19"/>
      <c r="C883" s="19"/>
      <c r="F883" s="55"/>
      <c r="G883" s="55"/>
      <c r="H883" s="12"/>
    </row>
    <row r="884" ht="14.25" customHeight="1">
      <c r="B884" s="19"/>
      <c r="C884" s="19"/>
      <c r="F884" s="55"/>
      <c r="G884" s="55"/>
      <c r="H884" s="12"/>
    </row>
    <row r="885" ht="14.25" customHeight="1">
      <c r="B885" s="19"/>
      <c r="C885" s="19"/>
      <c r="F885" s="55"/>
      <c r="G885" s="55"/>
      <c r="H885" s="12"/>
    </row>
    <row r="886" ht="14.25" customHeight="1">
      <c r="B886" s="19"/>
      <c r="C886" s="19"/>
      <c r="F886" s="55"/>
      <c r="G886" s="55"/>
      <c r="H886" s="12"/>
    </row>
    <row r="887" ht="14.25" customHeight="1">
      <c r="B887" s="19"/>
      <c r="C887" s="19"/>
      <c r="F887" s="55"/>
      <c r="G887" s="55"/>
      <c r="H887" s="12"/>
    </row>
    <row r="888" ht="14.25" customHeight="1">
      <c r="B888" s="19"/>
      <c r="C888" s="19"/>
      <c r="F888" s="55"/>
      <c r="G888" s="55"/>
      <c r="H888" s="12"/>
    </row>
    <row r="889" ht="14.25" customHeight="1">
      <c r="B889" s="19"/>
      <c r="C889" s="19"/>
      <c r="F889" s="55"/>
      <c r="G889" s="55"/>
      <c r="H889" s="12"/>
    </row>
    <row r="890" ht="14.25" customHeight="1">
      <c r="B890" s="19"/>
      <c r="C890" s="19"/>
      <c r="F890" s="55"/>
      <c r="G890" s="55"/>
      <c r="H890" s="12"/>
    </row>
    <row r="891" ht="14.25" customHeight="1">
      <c r="B891" s="19"/>
      <c r="C891" s="19"/>
      <c r="F891" s="55"/>
      <c r="G891" s="55"/>
      <c r="H891" s="12"/>
    </row>
    <row r="892" ht="14.25" customHeight="1">
      <c r="B892" s="19"/>
      <c r="C892" s="19"/>
      <c r="F892" s="55"/>
      <c r="G892" s="55"/>
      <c r="H892" s="12"/>
    </row>
    <row r="893" ht="14.25" customHeight="1">
      <c r="B893" s="19"/>
      <c r="C893" s="19"/>
      <c r="F893" s="55"/>
      <c r="G893" s="55"/>
      <c r="H893" s="12"/>
    </row>
    <row r="894" ht="14.25" customHeight="1">
      <c r="B894" s="19"/>
      <c r="C894" s="19"/>
      <c r="F894" s="55"/>
      <c r="G894" s="55"/>
      <c r="H894" s="12"/>
    </row>
    <row r="895" ht="14.25" customHeight="1">
      <c r="B895" s="19"/>
      <c r="C895" s="19"/>
      <c r="F895" s="55"/>
      <c r="G895" s="55"/>
      <c r="H895" s="12"/>
    </row>
    <row r="896" ht="14.25" customHeight="1">
      <c r="B896" s="19"/>
      <c r="C896" s="19"/>
      <c r="F896" s="55"/>
      <c r="G896" s="55"/>
      <c r="H896" s="12"/>
    </row>
    <row r="897" ht="14.25" customHeight="1">
      <c r="B897" s="19"/>
      <c r="C897" s="19"/>
      <c r="F897" s="55"/>
      <c r="G897" s="55"/>
      <c r="H897" s="12"/>
    </row>
    <row r="898" ht="14.25" customHeight="1">
      <c r="B898" s="19"/>
      <c r="C898" s="19"/>
      <c r="F898" s="55"/>
      <c r="G898" s="55"/>
      <c r="H898" s="12"/>
    </row>
    <row r="899" ht="14.25" customHeight="1">
      <c r="B899" s="19"/>
      <c r="C899" s="19"/>
      <c r="F899" s="55"/>
      <c r="G899" s="55"/>
      <c r="H899" s="12"/>
    </row>
    <row r="900" ht="14.25" customHeight="1">
      <c r="B900" s="19"/>
      <c r="C900" s="19"/>
      <c r="F900" s="55"/>
      <c r="G900" s="55"/>
      <c r="H900" s="12"/>
    </row>
    <row r="901" ht="14.25" customHeight="1">
      <c r="B901" s="19"/>
      <c r="C901" s="19"/>
      <c r="F901" s="55"/>
      <c r="G901" s="55"/>
      <c r="H901" s="12"/>
    </row>
    <row r="902" ht="14.25" customHeight="1">
      <c r="B902" s="19"/>
      <c r="C902" s="19"/>
      <c r="F902" s="55"/>
      <c r="G902" s="55"/>
      <c r="H902" s="12"/>
    </row>
    <row r="903" ht="14.25" customHeight="1">
      <c r="B903" s="19"/>
      <c r="C903" s="19"/>
      <c r="F903" s="55"/>
      <c r="G903" s="55"/>
      <c r="H903" s="12"/>
    </row>
    <row r="904" ht="14.25" customHeight="1">
      <c r="B904" s="19"/>
      <c r="C904" s="19"/>
      <c r="F904" s="55"/>
      <c r="G904" s="55"/>
      <c r="H904" s="12"/>
    </row>
    <row r="905" ht="14.25" customHeight="1">
      <c r="B905" s="19"/>
      <c r="C905" s="19"/>
      <c r="F905" s="55"/>
      <c r="G905" s="55"/>
      <c r="H905" s="12"/>
    </row>
    <row r="906" ht="14.25" customHeight="1">
      <c r="B906" s="19"/>
      <c r="C906" s="19"/>
      <c r="F906" s="55"/>
      <c r="G906" s="55"/>
      <c r="H906" s="12"/>
    </row>
    <row r="907" ht="14.25" customHeight="1">
      <c r="B907" s="19"/>
      <c r="C907" s="19"/>
      <c r="F907" s="55"/>
      <c r="G907" s="55"/>
      <c r="H907" s="12"/>
    </row>
    <row r="908" ht="14.25" customHeight="1">
      <c r="B908" s="19"/>
      <c r="C908" s="19"/>
      <c r="F908" s="55"/>
      <c r="G908" s="55"/>
      <c r="H908" s="12"/>
    </row>
    <row r="909" ht="14.25" customHeight="1">
      <c r="B909" s="19"/>
      <c r="C909" s="19"/>
      <c r="F909" s="55"/>
      <c r="G909" s="55"/>
      <c r="H909" s="12"/>
    </row>
    <row r="910" ht="14.25" customHeight="1">
      <c r="B910" s="19"/>
      <c r="C910" s="19"/>
      <c r="F910" s="55"/>
      <c r="G910" s="55"/>
      <c r="H910" s="12"/>
    </row>
    <row r="911" ht="14.25" customHeight="1">
      <c r="B911" s="19"/>
      <c r="C911" s="19"/>
      <c r="F911" s="55"/>
      <c r="G911" s="55"/>
      <c r="H911" s="12"/>
    </row>
    <row r="912" ht="14.25" customHeight="1">
      <c r="B912" s="19"/>
      <c r="C912" s="19"/>
      <c r="F912" s="55"/>
      <c r="G912" s="55"/>
      <c r="H912" s="12"/>
    </row>
    <row r="913" ht="14.25" customHeight="1">
      <c r="B913" s="19"/>
      <c r="C913" s="19"/>
      <c r="F913" s="55"/>
      <c r="G913" s="55"/>
      <c r="H913" s="12"/>
    </row>
    <row r="914" ht="14.25" customHeight="1">
      <c r="B914" s="19"/>
      <c r="C914" s="19"/>
      <c r="F914" s="55"/>
      <c r="G914" s="55"/>
      <c r="H914" s="12"/>
    </row>
    <row r="915" ht="14.25" customHeight="1">
      <c r="B915" s="19"/>
      <c r="C915" s="19"/>
      <c r="F915" s="55"/>
      <c r="G915" s="55"/>
      <c r="H915" s="12"/>
    </row>
    <row r="916" ht="14.25" customHeight="1">
      <c r="B916" s="19"/>
      <c r="C916" s="19"/>
      <c r="F916" s="55"/>
      <c r="G916" s="55"/>
      <c r="H916" s="12"/>
    </row>
    <row r="917" ht="14.25" customHeight="1">
      <c r="B917" s="19"/>
      <c r="C917" s="19"/>
      <c r="F917" s="55"/>
      <c r="G917" s="55"/>
      <c r="H917" s="12"/>
    </row>
    <row r="918" ht="14.25" customHeight="1">
      <c r="B918" s="19"/>
      <c r="C918" s="19"/>
      <c r="F918" s="55"/>
      <c r="G918" s="55"/>
      <c r="H918" s="12"/>
    </row>
    <row r="919" ht="14.25" customHeight="1">
      <c r="B919" s="19"/>
      <c r="C919" s="19"/>
      <c r="F919" s="55"/>
      <c r="G919" s="55"/>
      <c r="H919" s="12"/>
    </row>
    <row r="920" ht="14.25" customHeight="1">
      <c r="B920" s="19"/>
      <c r="C920" s="19"/>
      <c r="F920" s="55"/>
      <c r="G920" s="55"/>
      <c r="H920" s="12"/>
    </row>
    <row r="921" ht="14.25" customHeight="1">
      <c r="B921" s="19"/>
      <c r="C921" s="19"/>
      <c r="F921" s="55"/>
      <c r="G921" s="55"/>
      <c r="H921" s="12"/>
    </row>
    <row r="922" ht="14.25" customHeight="1">
      <c r="B922" s="19"/>
      <c r="C922" s="19"/>
      <c r="F922" s="55"/>
      <c r="G922" s="55"/>
      <c r="H922" s="12"/>
    </row>
    <row r="923" ht="14.25" customHeight="1">
      <c r="B923" s="19"/>
      <c r="C923" s="19"/>
      <c r="F923" s="55"/>
      <c r="G923" s="55"/>
      <c r="H923" s="12"/>
    </row>
    <row r="924" ht="14.25" customHeight="1">
      <c r="B924" s="19"/>
      <c r="C924" s="19"/>
      <c r="F924" s="55"/>
      <c r="G924" s="55"/>
      <c r="H924" s="12"/>
    </row>
    <row r="925" ht="14.25" customHeight="1">
      <c r="B925" s="19"/>
      <c r="C925" s="19"/>
      <c r="F925" s="55"/>
      <c r="G925" s="55"/>
      <c r="H925" s="12"/>
    </row>
    <row r="926" ht="14.25" customHeight="1">
      <c r="B926" s="19"/>
      <c r="C926" s="19"/>
      <c r="F926" s="55"/>
      <c r="G926" s="55"/>
      <c r="H926" s="12"/>
    </row>
    <row r="927" ht="14.25" customHeight="1">
      <c r="B927" s="19"/>
      <c r="C927" s="19"/>
      <c r="F927" s="55"/>
      <c r="G927" s="55"/>
      <c r="H927" s="12"/>
    </row>
    <row r="928" ht="14.25" customHeight="1">
      <c r="B928" s="19"/>
      <c r="C928" s="19"/>
      <c r="F928" s="55"/>
      <c r="G928" s="55"/>
      <c r="H928" s="12"/>
    </row>
    <row r="929" ht="14.25" customHeight="1">
      <c r="B929" s="19"/>
      <c r="C929" s="19"/>
      <c r="F929" s="55"/>
      <c r="G929" s="55"/>
      <c r="H929" s="12"/>
    </row>
    <row r="930" ht="14.25" customHeight="1">
      <c r="B930" s="19"/>
      <c r="C930" s="19"/>
      <c r="F930" s="55"/>
      <c r="G930" s="55"/>
      <c r="H930" s="12"/>
    </row>
    <row r="931" ht="14.25" customHeight="1">
      <c r="B931" s="19"/>
      <c r="C931" s="19"/>
      <c r="F931" s="55"/>
      <c r="G931" s="55"/>
      <c r="H931" s="12"/>
    </row>
    <row r="932" ht="14.25" customHeight="1">
      <c r="B932" s="19"/>
      <c r="C932" s="19"/>
      <c r="F932" s="55"/>
      <c r="G932" s="55"/>
      <c r="H932" s="12"/>
    </row>
    <row r="933" ht="14.25" customHeight="1">
      <c r="B933" s="19"/>
      <c r="C933" s="19"/>
      <c r="F933" s="55"/>
      <c r="G933" s="55"/>
      <c r="H933" s="12"/>
    </row>
    <row r="934" ht="14.25" customHeight="1">
      <c r="B934" s="19"/>
      <c r="C934" s="19"/>
      <c r="F934" s="55"/>
      <c r="G934" s="55"/>
      <c r="H934" s="12"/>
    </row>
    <row r="935" ht="14.25" customHeight="1">
      <c r="B935" s="19"/>
      <c r="C935" s="19"/>
      <c r="F935" s="55"/>
      <c r="G935" s="55"/>
      <c r="H935" s="12"/>
    </row>
    <row r="936" ht="14.25" customHeight="1">
      <c r="B936" s="19"/>
      <c r="C936" s="19"/>
      <c r="F936" s="55"/>
      <c r="G936" s="55"/>
      <c r="H936" s="12"/>
    </row>
    <row r="937" ht="14.25" customHeight="1">
      <c r="B937" s="19"/>
      <c r="C937" s="19"/>
      <c r="F937" s="55"/>
      <c r="G937" s="55"/>
      <c r="H937" s="12"/>
    </row>
    <row r="938" ht="14.25" customHeight="1">
      <c r="B938" s="19"/>
      <c r="C938" s="19"/>
      <c r="F938" s="55"/>
      <c r="G938" s="55"/>
      <c r="H938" s="12"/>
    </row>
    <row r="939" ht="14.25" customHeight="1">
      <c r="B939" s="19"/>
      <c r="C939" s="19"/>
      <c r="F939" s="55"/>
      <c r="G939" s="55"/>
      <c r="H939" s="12"/>
    </row>
    <row r="940" ht="14.25" customHeight="1">
      <c r="B940" s="19"/>
      <c r="C940" s="19"/>
      <c r="F940" s="55"/>
      <c r="G940" s="55"/>
      <c r="H940" s="12"/>
    </row>
    <row r="941" ht="14.25" customHeight="1">
      <c r="B941" s="19"/>
      <c r="C941" s="19"/>
      <c r="F941" s="55"/>
      <c r="G941" s="55"/>
      <c r="H941" s="12"/>
    </row>
    <row r="942" ht="14.25" customHeight="1">
      <c r="B942" s="19"/>
      <c r="C942" s="19"/>
      <c r="F942" s="55"/>
      <c r="G942" s="55"/>
      <c r="H942" s="12"/>
    </row>
    <row r="943" ht="14.25" customHeight="1">
      <c r="B943" s="19"/>
      <c r="C943" s="19"/>
      <c r="F943" s="55"/>
      <c r="G943" s="55"/>
      <c r="H943" s="12"/>
    </row>
    <row r="944" ht="14.25" customHeight="1">
      <c r="B944" s="19"/>
      <c r="C944" s="19"/>
      <c r="F944" s="55"/>
      <c r="G944" s="55"/>
      <c r="H944" s="12"/>
    </row>
    <row r="945" ht="14.25" customHeight="1">
      <c r="B945" s="19"/>
      <c r="C945" s="19"/>
      <c r="F945" s="55"/>
      <c r="G945" s="55"/>
      <c r="H945" s="12"/>
    </row>
    <row r="946" ht="14.25" customHeight="1">
      <c r="B946" s="19"/>
      <c r="C946" s="19"/>
      <c r="F946" s="55"/>
      <c r="G946" s="55"/>
      <c r="H946" s="12"/>
    </row>
    <row r="947" ht="14.25" customHeight="1">
      <c r="B947" s="19"/>
      <c r="C947" s="19"/>
      <c r="F947" s="55"/>
      <c r="G947" s="55"/>
      <c r="H947" s="12"/>
    </row>
    <row r="948" ht="14.25" customHeight="1">
      <c r="B948" s="19"/>
      <c r="C948" s="19"/>
      <c r="F948" s="55"/>
      <c r="G948" s="55"/>
      <c r="H948" s="12"/>
    </row>
    <row r="949" ht="14.25" customHeight="1">
      <c r="B949" s="19"/>
      <c r="C949" s="19"/>
      <c r="F949" s="55"/>
      <c r="G949" s="55"/>
      <c r="H949" s="12"/>
    </row>
    <row r="950" ht="14.25" customHeight="1">
      <c r="B950" s="19"/>
      <c r="C950" s="19"/>
      <c r="F950" s="55"/>
      <c r="G950" s="55"/>
      <c r="H950" s="12"/>
    </row>
    <row r="951" ht="14.25" customHeight="1">
      <c r="B951" s="19"/>
      <c r="C951" s="19"/>
      <c r="F951" s="55"/>
      <c r="G951" s="55"/>
      <c r="H951" s="12"/>
    </row>
    <row r="952" ht="14.25" customHeight="1">
      <c r="B952" s="19"/>
      <c r="C952" s="19"/>
      <c r="F952" s="55"/>
      <c r="G952" s="55"/>
      <c r="H952" s="12"/>
    </row>
    <row r="953" ht="14.25" customHeight="1">
      <c r="B953" s="19"/>
      <c r="C953" s="19"/>
      <c r="F953" s="55"/>
      <c r="G953" s="55"/>
      <c r="H953" s="12"/>
    </row>
    <row r="954" ht="14.25" customHeight="1">
      <c r="B954" s="19"/>
      <c r="C954" s="19"/>
      <c r="F954" s="55"/>
      <c r="G954" s="55"/>
      <c r="H954" s="12"/>
    </row>
    <row r="955" ht="14.25" customHeight="1">
      <c r="B955" s="19"/>
      <c r="C955" s="19"/>
      <c r="F955" s="55"/>
      <c r="G955" s="55"/>
      <c r="H955" s="12"/>
    </row>
    <row r="956" ht="14.25" customHeight="1">
      <c r="B956" s="19"/>
      <c r="C956" s="19"/>
      <c r="F956" s="55"/>
      <c r="G956" s="55"/>
      <c r="H956" s="12"/>
    </row>
    <row r="957" ht="14.25" customHeight="1">
      <c r="B957" s="19"/>
      <c r="C957" s="19"/>
      <c r="F957" s="55"/>
      <c r="G957" s="55"/>
      <c r="H957" s="12"/>
    </row>
    <row r="958" ht="14.25" customHeight="1">
      <c r="B958" s="19"/>
      <c r="C958" s="19"/>
      <c r="F958" s="55"/>
      <c r="G958" s="55"/>
      <c r="H958" s="12"/>
    </row>
    <row r="959" ht="14.25" customHeight="1">
      <c r="B959" s="19"/>
      <c r="C959" s="19"/>
      <c r="F959" s="55"/>
      <c r="G959" s="55"/>
      <c r="H959" s="12"/>
    </row>
    <row r="960" ht="14.25" customHeight="1">
      <c r="B960" s="19"/>
      <c r="C960" s="19"/>
      <c r="F960" s="55"/>
      <c r="G960" s="55"/>
      <c r="H960" s="12"/>
    </row>
    <row r="961" ht="14.25" customHeight="1">
      <c r="B961" s="19"/>
      <c r="C961" s="19"/>
      <c r="F961" s="55"/>
      <c r="G961" s="55"/>
      <c r="H961" s="12"/>
    </row>
    <row r="962" ht="14.25" customHeight="1">
      <c r="B962" s="19"/>
      <c r="C962" s="19"/>
      <c r="F962" s="55"/>
      <c r="G962" s="55"/>
      <c r="H962" s="12"/>
    </row>
    <row r="963" ht="14.25" customHeight="1">
      <c r="B963" s="19"/>
      <c r="C963" s="19"/>
      <c r="F963" s="55"/>
      <c r="G963" s="55"/>
      <c r="H963" s="12"/>
    </row>
    <row r="964" ht="14.25" customHeight="1">
      <c r="B964" s="19"/>
      <c r="C964" s="19"/>
      <c r="F964" s="55"/>
      <c r="G964" s="55"/>
      <c r="H964" s="12"/>
    </row>
    <row r="965" ht="14.25" customHeight="1">
      <c r="B965" s="19"/>
      <c r="C965" s="19"/>
      <c r="F965" s="55"/>
      <c r="G965" s="55"/>
      <c r="H965" s="12"/>
    </row>
    <row r="966" ht="14.25" customHeight="1">
      <c r="B966" s="19"/>
      <c r="C966" s="19"/>
      <c r="F966" s="55"/>
      <c r="G966" s="55"/>
      <c r="H966" s="12"/>
    </row>
    <row r="967" ht="14.25" customHeight="1">
      <c r="B967" s="19"/>
      <c r="C967" s="19"/>
      <c r="F967" s="55"/>
      <c r="G967" s="55"/>
      <c r="H967" s="12"/>
    </row>
    <row r="968" ht="14.25" customHeight="1">
      <c r="B968" s="19"/>
      <c r="C968" s="19"/>
      <c r="F968" s="55"/>
      <c r="G968" s="55"/>
      <c r="H968" s="12"/>
    </row>
    <row r="969" ht="14.25" customHeight="1">
      <c r="B969" s="19"/>
      <c r="C969" s="19"/>
      <c r="F969" s="55"/>
      <c r="G969" s="55"/>
      <c r="H969" s="12"/>
    </row>
    <row r="970" ht="14.25" customHeight="1">
      <c r="B970" s="19"/>
      <c r="C970" s="19"/>
      <c r="F970" s="55"/>
      <c r="G970" s="55"/>
      <c r="H970" s="12"/>
    </row>
    <row r="971" ht="14.25" customHeight="1">
      <c r="B971" s="19"/>
      <c r="C971" s="19"/>
      <c r="F971" s="55"/>
      <c r="G971" s="55"/>
      <c r="H971" s="12"/>
    </row>
    <row r="972" ht="14.25" customHeight="1">
      <c r="B972" s="19"/>
      <c r="C972" s="19"/>
      <c r="F972" s="55"/>
      <c r="G972" s="55"/>
      <c r="H972" s="12"/>
    </row>
    <row r="973" ht="14.25" customHeight="1">
      <c r="B973" s="19"/>
      <c r="C973" s="19"/>
      <c r="F973" s="55"/>
      <c r="G973" s="55"/>
      <c r="H973" s="12"/>
    </row>
    <row r="974" ht="14.25" customHeight="1">
      <c r="B974" s="19"/>
      <c r="C974" s="19"/>
      <c r="F974" s="55"/>
      <c r="G974" s="55"/>
      <c r="H974" s="12"/>
    </row>
    <row r="975" ht="14.25" customHeight="1">
      <c r="B975" s="19"/>
      <c r="C975" s="19"/>
      <c r="F975" s="55"/>
      <c r="G975" s="55"/>
      <c r="H975" s="12"/>
    </row>
    <row r="976" ht="14.25" customHeight="1">
      <c r="B976" s="19"/>
      <c r="C976" s="19"/>
      <c r="F976" s="55"/>
      <c r="G976" s="55"/>
      <c r="H976" s="12"/>
    </row>
    <row r="977" ht="14.25" customHeight="1">
      <c r="B977" s="19"/>
      <c r="C977" s="19"/>
      <c r="F977" s="55"/>
      <c r="G977" s="55"/>
      <c r="H977" s="12"/>
    </row>
    <row r="978" ht="14.25" customHeight="1">
      <c r="B978" s="19"/>
      <c r="C978" s="19"/>
      <c r="F978" s="55"/>
      <c r="G978" s="55"/>
      <c r="H978" s="12"/>
    </row>
    <row r="979" ht="14.25" customHeight="1">
      <c r="B979" s="19"/>
      <c r="C979" s="19"/>
      <c r="F979" s="55"/>
      <c r="G979" s="55"/>
      <c r="H979" s="12"/>
    </row>
    <row r="980" ht="14.25" customHeight="1">
      <c r="B980" s="19"/>
      <c r="C980" s="19"/>
      <c r="F980" s="55"/>
      <c r="G980" s="55"/>
      <c r="H980" s="12"/>
    </row>
    <row r="981" ht="14.25" customHeight="1">
      <c r="B981" s="19"/>
      <c r="C981" s="19"/>
      <c r="F981" s="55"/>
      <c r="G981" s="55"/>
      <c r="H981" s="12"/>
    </row>
    <row r="982" ht="14.25" customHeight="1">
      <c r="B982" s="19"/>
      <c r="C982" s="19"/>
      <c r="F982" s="55"/>
      <c r="G982" s="55"/>
      <c r="H982" s="12"/>
    </row>
    <row r="983" ht="14.25" customHeight="1">
      <c r="B983" s="19"/>
      <c r="C983" s="19"/>
      <c r="F983" s="55"/>
      <c r="G983" s="55"/>
      <c r="H983" s="12"/>
    </row>
    <row r="984" ht="14.25" customHeight="1">
      <c r="B984" s="19"/>
      <c r="C984" s="19"/>
      <c r="F984" s="55"/>
      <c r="G984" s="55"/>
      <c r="H984" s="12"/>
    </row>
    <row r="985" ht="14.25" customHeight="1">
      <c r="B985" s="19"/>
      <c r="C985" s="19"/>
      <c r="F985" s="55"/>
      <c r="G985" s="55"/>
      <c r="H985" s="12"/>
    </row>
    <row r="986" ht="14.25" customHeight="1">
      <c r="B986" s="19"/>
      <c r="C986" s="19"/>
      <c r="F986" s="55"/>
      <c r="G986" s="55"/>
      <c r="H986" s="12"/>
    </row>
    <row r="987" ht="14.25" customHeight="1">
      <c r="B987" s="19"/>
      <c r="C987" s="19"/>
      <c r="F987" s="55"/>
      <c r="G987" s="55"/>
      <c r="H987" s="12"/>
    </row>
    <row r="988" ht="14.25" customHeight="1">
      <c r="B988" s="19"/>
      <c r="C988" s="19"/>
      <c r="F988" s="55"/>
      <c r="G988" s="55"/>
      <c r="H988" s="12"/>
    </row>
    <row r="989" ht="14.25" customHeight="1">
      <c r="B989" s="19"/>
      <c r="C989" s="19"/>
      <c r="F989" s="55"/>
      <c r="G989" s="55"/>
      <c r="H989" s="12"/>
    </row>
    <row r="990" ht="14.25" customHeight="1">
      <c r="B990" s="19"/>
      <c r="C990" s="19"/>
      <c r="F990" s="55"/>
      <c r="G990" s="55"/>
      <c r="H990" s="12"/>
    </row>
    <row r="991" ht="14.25" customHeight="1">
      <c r="B991" s="19"/>
      <c r="C991" s="19"/>
      <c r="F991" s="55"/>
      <c r="G991" s="55"/>
      <c r="H991" s="12"/>
    </row>
    <row r="992" ht="14.25" customHeight="1">
      <c r="B992" s="19"/>
      <c r="C992" s="19"/>
      <c r="F992" s="55"/>
      <c r="G992" s="55"/>
      <c r="H992" s="12"/>
    </row>
    <row r="993" ht="14.25" customHeight="1">
      <c r="B993" s="19"/>
      <c r="C993" s="19"/>
      <c r="F993" s="55"/>
      <c r="G993" s="55"/>
      <c r="H993" s="12"/>
    </row>
    <row r="994" ht="14.25" customHeight="1">
      <c r="B994" s="19"/>
      <c r="C994" s="19"/>
      <c r="F994" s="55"/>
      <c r="G994" s="55"/>
      <c r="H994" s="12"/>
    </row>
    <row r="995" ht="14.25" customHeight="1">
      <c r="B995" s="19"/>
      <c r="C995" s="19"/>
      <c r="F995" s="55"/>
      <c r="G995" s="55"/>
      <c r="H995" s="12"/>
    </row>
    <row r="996" ht="14.25" customHeight="1">
      <c r="B996" s="19"/>
      <c r="C996" s="19"/>
      <c r="F996" s="55"/>
      <c r="G996" s="55"/>
      <c r="H996" s="12"/>
    </row>
    <row r="997" ht="14.25" customHeight="1">
      <c r="B997" s="19"/>
      <c r="C997" s="19"/>
      <c r="F997" s="55"/>
      <c r="G997" s="55"/>
      <c r="H997" s="12"/>
    </row>
    <row r="998" ht="14.25" customHeight="1">
      <c r="B998" s="19"/>
      <c r="C998" s="19"/>
      <c r="F998" s="55"/>
      <c r="G998" s="55"/>
      <c r="H998" s="12"/>
    </row>
    <row r="999" ht="14.25" customHeight="1">
      <c r="B999" s="19"/>
      <c r="C999" s="19"/>
      <c r="F999" s="55"/>
      <c r="G999" s="55"/>
      <c r="H999" s="12"/>
    </row>
    <row r="1000" ht="14.25" customHeight="1">
      <c r="B1000" s="19"/>
      <c r="C1000" s="19"/>
      <c r="F1000" s="55"/>
      <c r="G1000" s="55"/>
      <c r="H1000" s="12"/>
    </row>
    <row r="1001" ht="14.25" customHeight="1">
      <c r="B1001" s="19"/>
      <c r="C1001" s="19"/>
      <c r="F1001" s="55"/>
      <c r="G1001" s="55"/>
      <c r="H1001" s="12"/>
    </row>
    <row r="1002" ht="14.25" customHeight="1">
      <c r="B1002" s="19"/>
      <c r="C1002" s="19"/>
      <c r="F1002" s="55"/>
      <c r="G1002" s="55"/>
      <c r="H1002" s="12"/>
    </row>
  </sheetData>
  <mergeCells count="11">
    <mergeCell ref="B5:D5"/>
    <mergeCell ref="B6:D6"/>
    <mergeCell ref="F6:G6"/>
    <mergeCell ref="F43:I43"/>
    <mergeCell ref="A1:F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3.71"/>
    <col customWidth="1" min="7" max="7" width="22.29"/>
    <col customWidth="1" min="8" max="8" width="13.71"/>
    <col customWidth="1" min="9" max="28" width="8.71"/>
  </cols>
  <sheetData>
    <row r="1" ht="31.5" customHeight="1">
      <c r="A1" s="11" t="s">
        <v>42</v>
      </c>
      <c r="H1" s="12"/>
    </row>
    <row r="2" ht="25.5" customHeight="1">
      <c r="B2" s="19"/>
      <c r="C2" s="13" t="s">
        <v>43</v>
      </c>
      <c r="F2" s="55"/>
      <c r="G2" s="55"/>
      <c r="H2" s="12"/>
    </row>
    <row r="3" ht="14.25" customHeight="1">
      <c r="A3" s="14" t="s">
        <v>44</v>
      </c>
      <c r="B3" s="18" t="s">
        <v>262</v>
      </c>
      <c r="E3" s="14" t="s">
        <v>46</v>
      </c>
      <c r="F3" s="18" t="s">
        <v>263</v>
      </c>
      <c r="H3" s="12"/>
    </row>
    <row r="4" ht="14.25" customHeight="1">
      <c r="A4" s="14" t="s">
        <v>48</v>
      </c>
      <c r="B4" s="18" t="s">
        <v>264</v>
      </c>
      <c r="E4" s="14" t="s">
        <v>105</v>
      </c>
      <c r="F4" s="18">
        <v>6.311136100166E12</v>
      </c>
      <c r="H4" s="12"/>
    </row>
    <row r="5" ht="14.25" customHeight="1">
      <c r="A5" s="14" t="s">
        <v>51</v>
      </c>
      <c r="B5" s="18" t="s">
        <v>231</v>
      </c>
      <c r="E5" s="14" t="s">
        <v>53</v>
      </c>
      <c r="F5" s="18" t="s">
        <v>264</v>
      </c>
      <c r="H5" s="12"/>
    </row>
    <row r="6" ht="14.25" customHeight="1">
      <c r="A6" s="14" t="s">
        <v>54</v>
      </c>
      <c r="B6" s="18">
        <v>1779.0</v>
      </c>
      <c r="E6" s="14" t="s">
        <v>55</v>
      </c>
      <c r="F6" s="18">
        <v>6.2094610758E10</v>
      </c>
      <c r="H6" s="12"/>
    </row>
    <row r="7" ht="14.25" customHeight="1">
      <c r="B7" s="19"/>
      <c r="C7" s="19"/>
      <c r="D7" s="19"/>
      <c r="F7" s="55"/>
      <c r="G7" s="55"/>
      <c r="H7" s="12"/>
    </row>
    <row r="8" ht="14.25" customHeight="1">
      <c r="B8" s="19"/>
      <c r="C8" s="19"/>
      <c r="D8" s="19"/>
      <c r="F8" s="55"/>
      <c r="G8" s="55"/>
      <c r="H8" s="12"/>
    </row>
    <row r="9" ht="14.25" customHeight="1">
      <c r="A9" s="20" t="s">
        <v>56</v>
      </c>
      <c r="B9" s="21" t="s">
        <v>107</v>
      </c>
      <c r="C9" s="57" t="s">
        <v>58</v>
      </c>
      <c r="D9" s="21" t="s">
        <v>59</v>
      </c>
      <c r="E9" s="20" t="s">
        <v>60</v>
      </c>
      <c r="F9" s="58" t="s">
        <v>61</v>
      </c>
      <c r="G9" s="58" t="s">
        <v>62</v>
      </c>
      <c r="H9" s="22" t="s">
        <v>63</v>
      </c>
      <c r="I9" s="20" t="s">
        <v>64</v>
      </c>
    </row>
    <row r="10" ht="14.25" customHeight="1">
      <c r="A10" s="87" t="s">
        <v>265</v>
      </c>
      <c r="B10" s="67">
        <v>7.6746433E7</v>
      </c>
      <c r="C10" s="148">
        <v>45088.0</v>
      </c>
      <c r="D10" s="29" t="s">
        <v>266</v>
      </c>
      <c r="E10" s="29" t="s">
        <v>267</v>
      </c>
      <c r="F10" s="60">
        <v>2.0</v>
      </c>
      <c r="G10" s="30">
        <v>2.0</v>
      </c>
      <c r="H10" s="27">
        <f t="shared" ref="H10:H47" si="1">G10*200</f>
        <v>400</v>
      </c>
      <c r="I10" s="23"/>
    </row>
    <row r="11" ht="14.25" customHeight="1">
      <c r="A11" s="85" t="s">
        <v>268</v>
      </c>
      <c r="B11" s="85">
        <v>7.8541839E7</v>
      </c>
      <c r="C11" s="149">
        <v>45088.0</v>
      </c>
      <c r="D11" s="29" t="s">
        <v>269</v>
      </c>
      <c r="E11" s="28" t="s">
        <v>270</v>
      </c>
      <c r="F11" s="60">
        <v>2.0</v>
      </c>
      <c r="G11" s="30">
        <v>2.0</v>
      </c>
      <c r="H11" s="27">
        <f t="shared" si="1"/>
        <v>400</v>
      </c>
      <c r="I11" s="23"/>
    </row>
    <row r="12" ht="14.25" customHeight="1">
      <c r="A12" s="85" t="s">
        <v>271</v>
      </c>
      <c r="B12" s="85">
        <v>7.6052996E7</v>
      </c>
      <c r="C12" s="90">
        <v>45088.0</v>
      </c>
      <c r="D12" s="29" t="s">
        <v>272</v>
      </c>
      <c r="E12" s="28" t="s">
        <v>273</v>
      </c>
      <c r="F12" s="60">
        <v>1.0</v>
      </c>
      <c r="G12" s="30">
        <v>1.0</v>
      </c>
      <c r="H12" s="27">
        <f t="shared" si="1"/>
        <v>200</v>
      </c>
      <c r="I12" s="23"/>
    </row>
    <row r="13" ht="14.25" customHeight="1">
      <c r="A13" s="87" t="s">
        <v>274</v>
      </c>
      <c r="B13" s="87">
        <v>7.6804699E7</v>
      </c>
      <c r="C13" s="90">
        <v>45088.0</v>
      </c>
      <c r="D13" s="29" t="s">
        <v>275</v>
      </c>
      <c r="E13" s="28" t="s">
        <v>276</v>
      </c>
      <c r="F13" s="60">
        <v>1.0</v>
      </c>
      <c r="G13" s="30">
        <v>1.0</v>
      </c>
      <c r="H13" s="27">
        <f t="shared" si="1"/>
        <v>200</v>
      </c>
      <c r="I13" s="23"/>
    </row>
    <row r="14" ht="14.25" customHeight="1">
      <c r="A14" s="85" t="s">
        <v>277</v>
      </c>
      <c r="B14" s="85">
        <v>7.8526604E7</v>
      </c>
      <c r="C14" s="90">
        <v>45088.0</v>
      </c>
      <c r="D14" s="29" t="s">
        <v>278</v>
      </c>
      <c r="E14" s="28" t="s">
        <v>279</v>
      </c>
      <c r="F14" s="60">
        <v>1.0</v>
      </c>
      <c r="G14" s="30">
        <v>1.0</v>
      </c>
      <c r="H14" s="27">
        <f t="shared" si="1"/>
        <v>200</v>
      </c>
      <c r="I14" s="23"/>
    </row>
    <row r="15" ht="14.25" customHeight="1">
      <c r="A15" s="85" t="s">
        <v>280</v>
      </c>
      <c r="B15" s="85">
        <v>7.6590417E7</v>
      </c>
      <c r="C15" s="90">
        <v>45088.0</v>
      </c>
      <c r="D15" s="29" t="s">
        <v>281</v>
      </c>
      <c r="E15" s="28" t="s">
        <v>282</v>
      </c>
      <c r="F15" s="60">
        <v>1.0</v>
      </c>
      <c r="G15" s="30">
        <v>1.0</v>
      </c>
      <c r="H15" s="27">
        <f t="shared" si="1"/>
        <v>200</v>
      </c>
      <c r="I15" s="23"/>
    </row>
    <row r="16" ht="14.25" customHeight="1">
      <c r="A16" s="87" t="s">
        <v>283</v>
      </c>
      <c r="B16" s="87">
        <v>7.6518082E7</v>
      </c>
      <c r="C16" s="90">
        <v>45118.0</v>
      </c>
      <c r="D16" s="29" t="s">
        <v>284</v>
      </c>
      <c r="E16" s="28" t="s">
        <v>285</v>
      </c>
      <c r="F16" s="69">
        <v>2.0</v>
      </c>
      <c r="G16" s="30">
        <v>2.0</v>
      </c>
      <c r="H16" s="27">
        <f t="shared" si="1"/>
        <v>400</v>
      </c>
      <c r="I16" s="23"/>
    </row>
    <row r="17" ht="14.25" customHeight="1">
      <c r="A17" s="85" t="s">
        <v>286</v>
      </c>
      <c r="B17" s="85">
        <v>7.8261614E7</v>
      </c>
      <c r="C17" s="90">
        <v>45118.0</v>
      </c>
      <c r="D17" s="29" t="s">
        <v>287</v>
      </c>
      <c r="E17" s="28" t="s">
        <v>288</v>
      </c>
      <c r="F17" s="60">
        <v>1.0</v>
      </c>
      <c r="G17" s="30">
        <v>1.0</v>
      </c>
      <c r="H17" s="27">
        <f t="shared" si="1"/>
        <v>200</v>
      </c>
      <c r="I17" s="23"/>
    </row>
    <row r="18" ht="14.25" customHeight="1">
      <c r="A18" s="87" t="s">
        <v>289</v>
      </c>
      <c r="B18" s="67">
        <v>7.6148718E7</v>
      </c>
      <c r="C18" s="90">
        <v>45118.0</v>
      </c>
      <c r="D18" s="29" t="s">
        <v>290</v>
      </c>
      <c r="E18" s="28" t="s">
        <v>291</v>
      </c>
      <c r="F18" s="60">
        <v>1.0</v>
      </c>
      <c r="G18" s="30">
        <v>1.0</v>
      </c>
      <c r="H18" s="27">
        <f t="shared" si="1"/>
        <v>200</v>
      </c>
      <c r="I18" s="23"/>
    </row>
    <row r="19">
      <c r="A19" s="88" t="s">
        <v>292</v>
      </c>
      <c r="B19" s="150">
        <v>7835517.0</v>
      </c>
      <c r="C19" s="151">
        <v>45149.0</v>
      </c>
      <c r="D19" s="88" t="s">
        <v>293</v>
      </c>
      <c r="E19" s="88" t="s">
        <v>294</v>
      </c>
      <c r="F19" s="89">
        <v>2.0</v>
      </c>
      <c r="G19" s="89">
        <v>2.0</v>
      </c>
      <c r="H19" s="27">
        <f t="shared" si="1"/>
        <v>400</v>
      </c>
      <c r="I19" s="43"/>
    </row>
    <row r="20" ht="14.25" customHeight="1">
      <c r="A20" s="85" t="s">
        <v>295</v>
      </c>
      <c r="B20" s="87">
        <v>7.66725315E8</v>
      </c>
      <c r="C20" s="151">
        <v>45149.0</v>
      </c>
      <c r="D20" s="70" t="s">
        <v>296</v>
      </c>
      <c r="E20" s="28" t="s">
        <v>297</v>
      </c>
      <c r="F20" s="69">
        <v>2.0</v>
      </c>
      <c r="G20" s="30">
        <v>2.0</v>
      </c>
      <c r="H20" s="27">
        <f t="shared" si="1"/>
        <v>400</v>
      </c>
      <c r="I20" s="23"/>
    </row>
    <row r="21" ht="14.25" customHeight="1">
      <c r="A21" s="85" t="s">
        <v>298</v>
      </c>
      <c r="B21" s="87">
        <v>7.612383E7</v>
      </c>
      <c r="C21" s="151">
        <v>45180.0</v>
      </c>
      <c r="D21" s="70" t="s">
        <v>299</v>
      </c>
      <c r="E21" s="28" t="s">
        <v>300</v>
      </c>
      <c r="F21" s="69">
        <v>1.0</v>
      </c>
      <c r="G21" s="30">
        <v>1.0</v>
      </c>
      <c r="H21" s="27">
        <f t="shared" si="1"/>
        <v>200</v>
      </c>
      <c r="I21" s="23"/>
    </row>
    <row r="22" ht="14.25" customHeight="1">
      <c r="A22" s="85" t="s">
        <v>301</v>
      </c>
      <c r="B22" s="152" t="s">
        <v>81</v>
      </c>
      <c r="C22" s="151">
        <v>45180.0</v>
      </c>
      <c r="D22" s="70" t="s">
        <v>302</v>
      </c>
      <c r="E22" s="28" t="s">
        <v>303</v>
      </c>
      <c r="F22" s="69">
        <v>1.0</v>
      </c>
      <c r="G22" s="30">
        <v>1.0</v>
      </c>
      <c r="H22" s="27">
        <f t="shared" si="1"/>
        <v>200</v>
      </c>
      <c r="I22" s="23"/>
    </row>
    <row r="23" ht="14.25" customHeight="1">
      <c r="A23" s="85" t="s">
        <v>304</v>
      </c>
      <c r="B23" s="87">
        <v>7.6148833E7</v>
      </c>
      <c r="C23" s="151">
        <v>45180.0</v>
      </c>
      <c r="D23" s="70" t="s">
        <v>305</v>
      </c>
      <c r="E23" s="28" t="s">
        <v>306</v>
      </c>
      <c r="F23" s="69">
        <v>1.0</v>
      </c>
      <c r="G23" s="30">
        <v>1.0</v>
      </c>
      <c r="H23" s="27">
        <f t="shared" si="1"/>
        <v>200</v>
      </c>
      <c r="I23" s="23"/>
    </row>
    <row r="24" ht="14.25" customHeight="1">
      <c r="A24" s="85" t="s">
        <v>307</v>
      </c>
      <c r="B24" s="87">
        <v>7.8407657E7</v>
      </c>
      <c r="C24" s="151">
        <v>45180.0</v>
      </c>
      <c r="D24" s="70" t="s">
        <v>270</v>
      </c>
      <c r="E24" s="28" t="s">
        <v>308</v>
      </c>
      <c r="F24" s="69">
        <v>2.0</v>
      </c>
      <c r="G24" s="30">
        <v>2.0</v>
      </c>
      <c r="H24" s="27">
        <f t="shared" si="1"/>
        <v>400</v>
      </c>
      <c r="I24" s="23"/>
    </row>
    <row r="25" ht="14.25" customHeight="1">
      <c r="A25" s="85" t="s">
        <v>309</v>
      </c>
      <c r="B25" s="87">
        <v>7.6889377E7</v>
      </c>
      <c r="C25" s="151">
        <v>45180.0</v>
      </c>
      <c r="D25" s="70" t="s">
        <v>310</v>
      </c>
      <c r="E25" s="28" t="s">
        <v>311</v>
      </c>
      <c r="F25" s="69">
        <v>1.0</v>
      </c>
      <c r="G25" s="30">
        <v>1.0</v>
      </c>
      <c r="H25" s="27">
        <f t="shared" si="1"/>
        <v>200</v>
      </c>
      <c r="I25" s="23"/>
    </row>
    <row r="26" ht="14.25" customHeight="1">
      <c r="A26" s="85" t="s">
        <v>312</v>
      </c>
      <c r="B26" s="87">
        <v>7.6074075E7</v>
      </c>
      <c r="C26" s="151">
        <v>45180.0</v>
      </c>
      <c r="D26" s="70" t="s">
        <v>313</v>
      </c>
      <c r="E26" s="28" t="s">
        <v>314</v>
      </c>
      <c r="F26" s="69">
        <v>1.0</v>
      </c>
      <c r="G26" s="30">
        <v>1.0</v>
      </c>
      <c r="H26" s="27">
        <f t="shared" si="1"/>
        <v>200</v>
      </c>
      <c r="I26" s="23"/>
    </row>
    <row r="27" ht="14.25" customHeight="1">
      <c r="A27" s="85" t="s">
        <v>315</v>
      </c>
      <c r="B27" s="87">
        <v>7.8154421E7</v>
      </c>
      <c r="C27" s="151">
        <v>45180.0</v>
      </c>
      <c r="D27" s="70" t="s">
        <v>316</v>
      </c>
      <c r="E27" s="28" t="s">
        <v>317</v>
      </c>
      <c r="F27" s="69">
        <v>1.0</v>
      </c>
      <c r="G27" s="30">
        <v>1.0</v>
      </c>
      <c r="H27" s="27">
        <f t="shared" si="1"/>
        <v>200</v>
      </c>
      <c r="I27" s="23"/>
    </row>
    <row r="28" ht="14.25" customHeight="1">
      <c r="A28" s="88" t="s">
        <v>318</v>
      </c>
      <c r="B28" s="85">
        <v>7.6084154E7</v>
      </c>
      <c r="C28" s="68">
        <v>45210.0</v>
      </c>
      <c r="D28" s="29" t="s">
        <v>319</v>
      </c>
      <c r="E28" s="28" t="s">
        <v>320</v>
      </c>
      <c r="F28" s="60">
        <v>3.0</v>
      </c>
      <c r="G28" s="30">
        <v>3.0</v>
      </c>
      <c r="H28" s="27">
        <f t="shared" si="1"/>
        <v>600</v>
      </c>
      <c r="I28" s="23"/>
    </row>
    <row r="29" ht="14.25" customHeight="1">
      <c r="A29" s="82" t="s">
        <v>321</v>
      </c>
      <c r="B29" s="67">
        <v>7818857.0</v>
      </c>
      <c r="C29" s="68">
        <v>45210.0</v>
      </c>
      <c r="D29" s="29" t="s">
        <v>322</v>
      </c>
      <c r="E29" s="28" t="s">
        <v>323</v>
      </c>
      <c r="F29" s="60">
        <v>1.0</v>
      </c>
      <c r="G29" s="30">
        <v>1.0</v>
      </c>
      <c r="H29" s="27">
        <f t="shared" si="1"/>
        <v>200</v>
      </c>
      <c r="I29" s="23"/>
    </row>
    <row r="30" ht="14.25" customHeight="1">
      <c r="A30" s="85" t="s">
        <v>324</v>
      </c>
      <c r="B30" s="85">
        <v>7.6071011E7</v>
      </c>
      <c r="C30" s="68">
        <v>45210.0</v>
      </c>
      <c r="D30" s="70" t="s">
        <v>325</v>
      </c>
      <c r="E30" s="29" t="s">
        <v>326</v>
      </c>
      <c r="F30" s="60">
        <v>1.0</v>
      </c>
      <c r="G30" s="30">
        <v>1.0</v>
      </c>
      <c r="H30" s="27">
        <f t="shared" si="1"/>
        <v>200</v>
      </c>
      <c r="I30" s="23"/>
    </row>
    <row r="31" ht="14.25" customHeight="1">
      <c r="A31" s="87" t="s">
        <v>327</v>
      </c>
      <c r="B31" s="67">
        <v>7.6037008E7</v>
      </c>
      <c r="C31" s="68">
        <v>45210.0</v>
      </c>
      <c r="D31" s="29" t="s">
        <v>328</v>
      </c>
      <c r="E31" s="28" t="s">
        <v>329</v>
      </c>
      <c r="F31" s="60">
        <v>2.0</v>
      </c>
      <c r="G31" s="30">
        <v>2.0</v>
      </c>
      <c r="H31" s="27">
        <f t="shared" si="1"/>
        <v>400</v>
      </c>
      <c r="I31" s="23"/>
    </row>
    <row r="32" ht="14.25" customHeight="1">
      <c r="A32" s="85" t="s">
        <v>330</v>
      </c>
      <c r="B32" s="85">
        <v>7.6437743E7</v>
      </c>
      <c r="C32" s="68">
        <v>45241.0</v>
      </c>
      <c r="D32" s="29" t="s">
        <v>331</v>
      </c>
      <c r="E32" s="28" t="s">
        <v>332</v>
      </c>
      <c r="F32" s="60">
        <v>2.0</v>
      </c>
      <c r="G32" s="30">
        <v>2.0</v>
      </c>
      <c r="H32" s="27">
        <f t="shared" si="1"/>
        <v>400</v>
      </c>
      <c r="I32" s="23"/>
    </row>
    <row r="33" ht="14.25" customHeight="1">
      <c r="A33" s="85" t="s">
        <v>333</v>
      </c>
      <c r="B33" s="85">
        <v>7.8112019E7</v>
      </c>
      <c r="C33" s="68">
        <v>45241.0</v>
      </c>
      <c r="D33" s="29" t="s">
        <v>334</v>
      </c>
      <c r="E33" s="28" t="s">
        <v>335</v>
      </c>
      <c r="F33" s="60">
        <v>1.0</v>
      </c>
      <c r="G33" s="30">
        <v>1.0</v>
      </c>
      <c r="H33" s="27">
        <f t="shared" si="1"/>
        <v>200</v>
      </c>
      <c r="I33" s="23"/>
    </row>
    <row r="34" ht="14.25" customHeight="1">
      <c r="A34" s="85" t="s">
        <v>336</v>
      </c>
      <c r="B34" s="85">
        <v>7.6587432E7</v>
      </c>
      <c r="C34" s="68">
        <v>45241.0</v>
      </c>
      <c r="D34" s="29" t="s">
        <v>337</v>
      </c>
      <c r="E34" s="28" t="s">
        <v>338</v>
      </c>
      <c r="F34" s="60">
        <v>1.0</v>
      </c>
      <c r="G34" s="30">
        <v>1.0</v>
      </c>
      <c r="H34" s="27">
        <f t="shared" si="1"/>
        <v>200</v>
      </c>
      <c r="I34" s="23"/>
    </row>
    <row r="35" ht="14.25" customHeight="1">
      <c r="A35" s="85" t="s">
        <v>339</v>
      </c>
      <c r="B35" s="85">
        <v>7.6150843E7</v>
      </c>
      <c r="C35" s="68">
        <v>45241.0</v>
      </c>
      <c r="D35" s="29" t="s">
        <v>340</v>
      </c>
      <c r="E35" s="28" t="s">
        <v>341</v>
      </c>
      <c r="F35" s="60">
        <v>1.0</v>
      </c>
      <c r="G35" s="30">
        <v>1.0</v>
      </c>
      <c r="H35" s="27">
        <f t="shared" si="1"/>
        <v>200</v>
      </c>
      <c r="I35" s="23"/>
    </row>
    <row r="36" ht="14.25" customHeight="1">
      <c r="A36" s="85" t="s">
        <v>342</v>
      </c>
      <c r="B36" s="85">
        <v>7.6084808E7</v>
      </c>
      <c r="C36" s="70" t="s">
        <v>129</v>
      </c>
      <c r="D36" s="29" t="s">
        <v>343</v>
      </c>
      <c r="E36" s="28" t="s">
        <v>344</v>
      </c>
      <c r="F36" s="60">
        <v>2.0</v>
      </c>
      <c r="G36" s="30">
        <v>2.0</v>
      </c>
      <c r="H36" s="27">
        <f t="shared" si="1"/>
        <v>400</v>
      </c>
      <c r="I36" s="23"/>
    </row>
    <row r="37" ht="14.25" customHeight="1">
      <c r="A37" s="85" t="s">
        <v>327</v>
      </c>
      <c r="B37" s="67">
        <v>7.6037008E7</v>
      </c>
      <c r="C37" s="70" t="s">
        <v>129</v>
      </c>
      <c r="D37" s="29" t="s">
        <v>345</v>
      </c>
      <c r="E37" s="28" t="s">
        <v>346</v>
      </c>
      <c r="F37" s="60">
        <v>1.0</v>
      </c>
      <c r="G37" s="30">
        <v>1.0</v>
      </c>
      <c r="H37" s="27">
        <f t="shared" si="1"/>
        <v>200</v>
      </c>
      <c r="I37" s="23"/>
    </row>
    <row r="38" ht="14.25" customHeight="1">
      <c r="A38" s="87" t="s">
        <v>347</v>
      </c>
      <c r="B38" s="85">
        <v>7.8145747E7</v>
      </c>
      <c r="C38" s="70" t="s">
        <v>129</v>
      </c>
      <c r="D38" s="29" t="s">
        <v>348</v>
      </c>
      <c r="E38" s="28" t="s">
        <v>349</v>
      </c>
      <c r="F38" s="60">
        <v>1.0</v>
      </c>
      <c r="G38" s="30">
        <v>1.0</v>
      </c>
      <c r="H38" s="27">
        <f t="shared" si="1"/>
        <v>200</v>
      </c>
      <c r="I38" s="23"/>
    </row>
    <row r="39" ht="14.25" customHeight="1">
      <c r="A39" s="2" t="s">
        <v>350</v>
      </c>
      <c r="B39" s="87">
        <v>7.812818E7</v>
      </c>
      <c r="C39" s="70" t="s">
        <v>129</v>
      </c>
      <c r="D39" s="29" t="s">
        <v>351</v>
      </c>
      <c r="E39" s="28" t="s">
        <v>352</v>
      </c>
      <c r="F39" s="60">
        <v>1.0</v>
      </c>
      <c r="G39" s="30">
        <v>1.0</v>
      </c>
      <c r="H39" s="27">
        <f t="shared" si="1"/>
        <v>200</v>
      </c>
      <c r="I39" s="23"/>
    </row>
    <row r="40" ht="14.25" customHeight="1">
      <c r="A40" s="153" t="s">
        <v>353</v>
      </c>
      <c r="B40" s="152" t="s">
        <v>81</v>
      </c>
      <c r="C40" s="70" t="s">
        <v>129</v>
      </c>
      <c r="D40" s="29" t="s">
        <v>291</v>
      </c>
      <c r="E40" s="28" t="s">
        <v>354</v>
      </c>
      <c r="F40" s="63">
        <v>1.0</v>
      </c>
      <c r="G40" s="30">
        <v>1.0</v>
      </c>
      <c r="H40" s="27">
        <f t="shared" si="1"/>
        <v>200</v>
      </c>
      <c r="I40" s="23"/>
    </row>
    <row r="41" ht="14.25" customHeight="1">
      <c r="A41" s="87" t="s">
        <v>355</v>
      </c>
      <c r="B41" s="87">
        <v>7.6544107E7</v>
      </c>
      <c r="C41" s="70" t="s">
        <v>129</v>
      </c>
      <c r="D41" s="29" t="s">
        <v>320</v>
      </c>
      <c r="E41" s="28" t="s">
        <v>356</v>
      </c>
      <c r="F41" s="63">
        <v>1.0</v>
      </c>
      <c r="G41" s="30">
        <v>1.0</v>
      </c>
      <c r="H41" s="27">
        <f t="shared" si="1"/>
        <v>200</v>
      </c>
      <c r="I41" s="23"/>
    </row>
    <row r="42" ht="14.25" customHeight="1">
      <c r="A42" s="85" t="s">
        <v>357</v>
      </c>
      <c r="B42" s="85">
        <v>7.8154421E7</v>
      </c>
      <c r="C42" s="70" t="s">
        <v>129</v>
      </c>
      <c r="D42" s="29" t="s">
        <v>358</v>
      </c>
      <c r="E42" s="28" t="s">
        <v>359</v>
      </c>
      <c r="F42" s="63">
        <v>1.0</v>
      </c>
      <c r="G42" s="30">
        <v>1.0</v>
      </c>
      <c r="H42" s="27">
        <f t="shared" si="1"/>
        <v>200</v>
      </c>
      <c r="I42" s="23"/>
    </row>
    <row r="43" ht="14.25" customHeight="1">
      <c r="A43" s="87" t="s">
        <v>360</v>
      </c>
      <c r="B43" s="87">
        <v>7.6331807E7</v>
      </c>
      <c r="C43" s="70" t="s">
        <v>361</v>
      </c>
      <c r="D43" s="29" t="s">
        <v>299</v>
      </c>
      <c r="E43" s="28" t="s">
        <v>362</v>
      </c>
      <c r="F43" s="63">
        <v>1.0</v>
      </c>
      <c r="G43" s="30">
        <v>1.0</v>
      </c>
      <c r="H43" s="27">
        <f t="shared" si="1"/>
        <v>200</v>
      </c>
      <c r="I43" s="23"/>
    </row>
    <row r="44" ht="14.25" customHeight="1">
      <c r="A44" s="85" t="s">
        <v>363</v>
      </c>
      <c r="B44" s="152" t="s">
        <v>81</v>
      </c>
      <c r="C44" s="70" t="s">
        <v>361</v>
      </c>
      <c r="D44" s="28" t="s">
        <v>364</v>
      </c>
      <c r="E44" s="28" t="s">
        <v>365</v>
      </c>
      <c r="F44" s="63">
        <v>1.0</v>
      </c>
      <c r="G44" s="30">
        <v>1.0</v>
      </c>
      <c r="H44" s="27">
        <f t="shared" si="1"/>
        <v>200</v>
      </c>
      <c r="I44" s="23"/>
    </row>
    <row r="45" ht="14.25" customHeight="1">
      <c r="A45" s="85" t="s">
        <v>366</v>
      </c>
      <c r="B45" s="85">
        <v>7.8652865E7</v>
      </c>
      <c r="C45" s="70" t="s">
        <v>137</v>
      </c>
      <c r="D45" s="29" t="s">
        <v>269</v>
      </c>
      <c r="E45" s="28" t="s">
        <v>285</v>
      </c>
      <c r="F45" s="63">
        <v>1.0</v>
      </c>
      <c r="G45" s="30">
        <v>1.0</v>
      </c>
      <c r="H45" s="27">
        <f t="shared" si="1"/>
        <v>200</v>
      </c>
      <c r="I45" s="23"/>
    </row>
    <row r="46" ht="14.25" customHeight="1">
      <c r="A46" s="85" t="s">
        <v>367</v>
      </c>
      <c r="B46" s="85">
        <v>7.650473E7</v>
      </c>
      <c r="C46" s="70" t="s">
        <v>137</v>
      </c>
      <c r="D46" s="29" t="s">
        <v>368</v>
      </c>
      <c r="E46" s="28" t="s">
        <v>369</v>
      </c>
      <c r="F46" s="63">
        <v>2.0</v>
      </c>
      <c r="G46" s="30">
        <v>2.0</v>
      </c>
      <c r="H46" s="27">
        <f t="shared" si="1"/>
        <v>400</v>
      </c>
      <c r="I46" s="23"/>
    </row>
    <row r="47" ht="14.25" customHeight="1">
      <c r="A47" s="85" t="s">
        <v>370</v>
      </c>
      <c r="B47" s="85">
        <v>7.6319994E7</v>
      </c>
      <c r="C47" s="70" t="s">
        <v>137</v>
      </c>
      <c r="D47" s="29" t="s">
        <v>371</v>
      </c>
      <c r="E47" s="28" t="s">
        <v>372</v>
      </c>
      <c r="F47" s="63">
        <v>1.0</v>
      </c>
      <c r="G47" s="30">
        <v>1.0</v>
      </c>
      <c r="H47" s="27">
        <f t="shared" si="1"/>
        <v>200</v>
      </c>
      <c r="I47" s="23"/>
    </row>
    <row r="48" ht="18.0" customHeight="1">
      <c r="A48" s="91"/>
      <c r="B48" s="92"/>
      <c r="C48" s="72"/>
      <c r="D48" s="24"/>
      <c r="E48" s="73" t="s">
        <v>41</v>
      </c>
      <c r="F48" s="40">
        <f>SUM(F9:F47)</f>
        <v>50</v>
      </c>
      <c r="G48" s="40">
        <f>SUM(G1:G47)</f>
        <v>50</v>
      </c>
      <c r="H48" s="74">
        <f>SUM(H9:H47)</f>
        <v>10000</v>
      </c>
      <c r="I48" s="42"/>
    </row>
    <row r="49" ht="21.0" customHeight="1">
      <c r="A49" s="73"/>
      <c r="B49" s="75"/>
      <c r="C49" s="75"/>
      <c r="D49" s="75"/>
      <c r="E49" s="76" t="s">
        <v>100</v>
      </c>
      <c r="F49" s="46">
        <f>COUNT(G10:G47)</f>
        <v>38</v>
      </c>
      <c r="G49" s="47"/>
      <c r="H49" s="47"/>
      <c r="I49" s="48"/>
    </row>
    <row r="50" ht="14.25" customHeight="1">
      <c r="B50" s="19"/>
      <c r="C50" s="19"/>
      <c r="D50" s="19"/>
      <c r="F50" s="55"/>
      <c r="G50" s="55"/>
      <c r="H50" s="12"/>
    </row>
    <row r="51" ht="14.25" customHeight="1">
      <c r="B51" s="19"/>
      <c r="C51" s="19"/>
      <c r="D51" s="49" t="s">
        <v>101</v>
      </c>
      <c r="E51" s="50"/>
      <c r="F51" s="55"/>
      <c r="G51" s="55"/>
      <c r="H51" s="12"/>
    </row>
    <row r="52" ht="14.25" customHeight="1">
      <c r="B52" s="19"/>
      <c r="C52" s="19"/>
      <c r="D52" s="51" t="s">
        <v>102</v>
      </c>
      <c r="E52" s="50"/>
      <c r="F52" s="55"/>
      <c r="G52" s="55"/>
      <c r="H52" s="12"/>
    </row>
    <row r="53" ht="14.25" customHeight="1">
      <c r="B53" s="19"/>
      <c r="C53" s="19"/>
      <c r="D53" s="52" t="s">
        <v>58</v>
      </c>
      <c r="E53" s="53"/>
      <c r="F53" s="55"/>
      <c r="G53" s="55"/>
      <c r="H53" s="12"/>
    </row>
    <row r="54" ht="14.25" customHeight="1">
      <c r="B54" s="19"/>
      <c r="C54" s="19"/>
      <c r="D54" s="19"/>
      <c r="F54" s="55"/>
      <c r="G54" s="55"/>
      <c r="H54" s="12"/>
    </row>
    <row r="55" ht="14.25" customHeight="1">
      <c r="B55" s="19"/>
      <c r="C55" s="19"/>
      <c r="D55" s="19"/>
      <c r="F55" s="55"/>
      <c r="G55" s="55"/>
      <c r="H55" s="12"/>
    </row>
    <row r="56" ht="14.25" customHeight="1">
      <c r="B56" s="19"/>
      <c r="C56" s="19"/>
      <c r="D56" s="19"/>
      <c r="F56" s="55"/>
      <c r="G56" s="55"/>
      <c r="H56" s="12"/>
    </row>
    <row r="57" ht="14.25" customHeight="1">
      <c r="B57" s="19"/>
      <c r="C57" s="19"/>
      <c r="D57" s="19"/>
      <c r="F57" s="55"/>
      <c r="G57" s="55"/>
      <c r="H57" s="12"/>
    </row>
    <row r="58" ht="14.25" customHeight="1">
      <c r="B58" s="19"/>
      <c r="C58" s="19"/>
      <c r="D58" s="19"/>
      <c r="F58" s="55"/>
      <c r="G58" s="55"/>
      <c r="H58" s="12"/>
    </row>
    <row r="59" ht="14.25" customHeight="1">
      <c r="B59" s="19"/>
      <c r="C59" s="19"/>
      <c r="D59" s="19"/>
      <c r="F59" s="55"/>
      <c r="G59" s="55"/>
      <c r="H59" s="12"/>
    </row>
    <row r="60" ht="14.25" customHeight="1">
      <c r="B60" s="19"/>
      <c r="C60" s="19"/>
      <c r="D60" s="19"/>
      <c r="F60" s="55"/>
      <c r="G60" s="55"/>
      <c r="H60" s="12"/>
    </row>
    <row r="61" ht="14.25" customHeight="1">
      <c r="B61" s="19"/>
      <c r="C61" s="19"/>
      <c r="D61" s="19"/>
      <c r="F61" s="55"/>
      <c r="G61" s="55"/>
      <c r="H61" s="12"/>
    </row>
    <row r="62" ht="14.25" customHeight="1">
      <c r="B62" s="19"/>
      <c r="C62" s="19"/>
      <c r="D62" s="19"/>
      <c r="F62" s="55"/>
      <c r="G62" s="55"/>
      <c r="H62" s="12"/>
    </row>
    <row r="63" ht="14.25" customHeight="1">
      <c r="B63" s="19"/>
      <c r="C63" s="19"/>
      <c r="D63" s="19"/>
      <c r="F63" s="55"/>
      <c r="G63" s="55"/>
      <c r="H63" s="12"/>
    </row>
    <row r="64" ht="14.25" customHeight="1">
      <c r="B64" s="19"/>
      <c r="C64" s="19"/>
      <c r="D64" s="19"/>
      <c r="F64" s="55"/>
      <c r="G64" s="55"/>
      <c r="H64" s="12"/>
    </row>
    <row r="65" ht="14.25" customHeight="1">
      <c r="B65" s="19"/>
      <c r="C65" s="19"/>
      <c r="D65" s="19"/>
      <c r="F65" s="55"/>
      <c r="G65" s="55"/>
      <c r="H65" s="12"/>
    </row>
    <row r="66" ht="14.25" customHeight="1">
      <c r="B66" s="19"/>
      <c r="C66" s="19"/>
      <c r="D66" s="19"/>
      <c r="F66" s="55"/>
      <c r="G66" s="55"/>
      <c r="H66" s="12"/>
    </row>
    <row r="67" ht="14.25" customHeight="1">
      <c r="B67" s="19"/>
      <c r="C67" s="19"/>
      <c r="D67" s="19"/>
      <c r="F67" s="55"/>
      <c r="G67" s="55"/>
      <c r="H67" s="12"/>
    </row>
    <row r="68" ht="14.25" customHeight="1">
      <c r="B68" s="19"/>
      <c r="C68" s="19"/>
      <c r="D68" s="19"/>
      <c r="F68" s="55"/>
      <c r="G68" s="55"/>
      <c r="H68" s="12"/>
    </row>
    <row r="69" ht="14.25" customHeight="1">
      <c r="B69" s="19"/>
      <c r="C69" s="19"/>
      <c r="D69" s="19"/>
      <c r="F69" s="55"/>
      <c r="G69" s="55"/>
      <c r="H69" s="12"/>
    </row>
    <row r="70" ht="14.25" customHeight="1">
      <c r="B70" s="19"/>
      <c r="C70" s="19"/>
      <c r="D70" s="19"/>
      <c r="F70" s="55"/>
      <c r="G70" s="55"/>
      <c r="H70" s="12"/>
    </row>
    <row r="71" ht="14.25" customHeight="1">
      <c r="B71" s="19"/>
      <c r="C71" s="19"/>
      <c r="D71" s="19"/>
      <c r="F71" s="55"/>
      <c r="G71" s="55"/>
      <c r="H71" s="12"/>
    </row>
    <row r="72" ht="14.25" customHeight="1">
      <c r="B72" s="19"/>
      <c r="C72" s="19"/>
      <c r="D72" s="19"/>
      <c r="F72" s="55"/>
      <c r="G72" s="55"/>
      <c r="H72" s="12"/>
    </row>
    <row r="73" ht="14.25" customHeight="1">
      <c r="B73" s="19"/>
      <c r="C73" s="19"/>
      <c r="D73" s="19"/>
      <c r="F73" s="55"/>
      <c r="G73" s="55"/>
      <c r="H73" s="12"/>
    </row>
    <row r="74" ht="14.25" customHeight="1">
      <c r="B74" s="19"/>
      <c r="C74" s="19"/>
      <c r="D74" s="19"/>
      <c r="F74" s="55"/>
      <c r="G74" s="55"/>
      <c r="H74" s="12"/>
    </row>
    <row r="75" ht="14.25" customHeight="1">
      <c r="B75" s="19"/>
      <c r="C75" s="19"/>
      <c r="D75" s="19"/>
      <c r="F75" s="55"/>
      <c r="G75" s="55"/>
      <c r="H75" s="12"/>
    </row>
    <row r="76" ht="14.25" customHeight="1">
      <c r="B76" s="19"/>
      <c r="C76" s="19"/>
      <c r="D76" s="19"/>
      <c r="F76" s="55"/>
      <c r="G76" s="55"/>
      <c r="H76" s="12"/>
    </row>
    <row r="77" ht="14.25" customHeight="1">
      <c r="B77" s="19"/>
      <c r="C77" s="19"/>
      <c r="D77" s="19"/>
      <c r="F77" s="55"/>
      <c r="G77" s="55"/>
      <c r="H77" s="12"/>
    </row>
    <row r="78" ht="14.25" customHeight="1">
      <c r="B78" s="19"/>
      <c r="C78" s="19"/>
      <c r="D78" s="19"/>
      <c r="F78" s="55"/>
      <c r="G78" s="55"/>
      <c r="H78" s="12"/>
    </row>
    <row r="79" ht="14.25" customHeight="1">
      <c r="B79" s="19"/>
      <c r="C79" s="19"/>
      <c r="D79" s="19"/>
      <c r="F79" s="55"/>
      <c r="G79" s="55"/>
      <c r="H79" s="12"/>
    </row>
    <row r="80" ht="14.25" customHeight="1">
      <c r="B80" s="19"/>
      <c r="C80" s="19"/>
      <c r="D80" s="19"/>
      <c r="F80" s="55"/>
      <c r="G80" s="55"/>
      <c r="H80" s="12"/>
    </row>
    <row r="81" ht="14.25" customHeight="1">
      <c r="B81" s="19"/>
      <c r="C81" s="19"/>
      <c r="D81" s="19"/>
      <c r="F81" s="55"/>
      <c r="G81" s="55"/>
      <c r="H81" s="12"/>
    </row>
    <row r="82" ht="14.25" customHeight="1">
      <c r="B82" s="19"/>
      <c r="C82" s="19"/>
      <c r="D82" s="19"/>
      <c r="F82" s="55"/>
      <c r="G82" s="55"/>
      <c r="H82" s="12"/>
    </row>
    <row r="83" ht="14.25" customHeight="1">
      <c r="B83" s="19"/>
      <c r="C83" s="19"/>
      <c r="D83" s="19"/>
      <c r="F83" s="55"/>
      <c r="G83" s="55"/>
      <c r="H83" s="12"/>
    </row>
    <row r="84" ht="14.25" customHeight="1">
      <c r="B84" s="19"/>
      <c r="C84" s="19"/>
      <c r="D84" s="19"/>
      <c r="F84" s="55"/>
      <c r="G84" s="55"/>
      <c r="H84" s="12"/>
    </row>
    <row r="85" ht="14.25" customHeight="1">
      <c r="B85" s="19"/>
      <c r="C85" s="19"/>
      <c r="D85" s="19"/>
      <c r="F85" s="55"/>
      <c r="G85" s="55"/>
      <c r="H85" s="12"/>
    </row>
    <row r="86" ht="14.25" customHeight="1">
      <c r="B86" s="19"/>
      <c r="C86" s="19"/>
      <c r="D86" s="19"/>
      <c r="F86" s="55"/>
      <c r="G86" s="55"/>
      <c r="H86" s="12"/>
    </row>
    <row r="87" ht="14.25" customHeight="1">
      <c r="B87" s="19"/>
      <c r="C87" s="19"/>
      <c r="D87" s="19"/>
      <c r="F87" s="55"/>
      <c r="G87" s="55"/>
      <c r="H87" s="12"/>
    </row>
    <row r="88" ht="14.25" customHeight="1">
      <c r="B88" s="19"/>
      <c r="C88" s="19"/>
      <c r="D88" s="19"/>
      <c r="F88" s="55"/>
      <c r="G88" s="55"/>
      <c r="H88" s="12"/>
    </row>
    <row r="89" ht="14.25" customHeight="1">
      <c r="B89" s="19"/>
      <c r="C89" s="19"/>
      <c r="D89" s="19"/>
      <c r="F89" s="55"/>
      <c r="G89" s="55"/>
      <c r="H89" s="12"/>
    </row>
    <row r="90" ht="14.25" customHeight="1">
      <c r="B90" s="19"/>
      <c r="C90" s="19"/>
      <c r="D90" s="19"/>
      <c r="F90" s="55"/>
      <c r="G90" s="55"/>
      <c r="H90" s="12"/>
    </row>
    <row r="91" ht="14.25" customHeight="1">
      <c r="B91" s="19"/>
      <c r="C91" s="19"/>
      <c r="D91" s="19"/>
      <c r="F91" s="55"/>
      <c r="G91" s="55"/>
      <c r="H91" s="12"/>
    </row>
    <row r="92" ht="14.25" customHeight="1">
      <c r="B92" s="19"/>
      <c r="C92" s="19"/>
      <c r="D92" s="19"/>
      <c r="F92" s="55"/>
      <c r="G92" s="55"/>
      <c r="H92" s="12"/>
    </row>
    <row r="93" ht="14.25" customHeight="1">
      <c r="B93" s="19"/>
      <c r="C93" s="19"/>
      <c r="D93" s="19"/>
      <c r="F93" s="55"/>
      <c r="G93" s="55"/>
      <c r="H93" s="12"/>
    </row>
    <row r="94" ht="14.25" customHeight="1">
      <c r="B94" s="19"/>
      <c r="C94" s="19"/>
      <c r="D94" s="19"/>
      <c r="F94" s="55"/>
      <c r="G94" s="55"/>
      <c r="H94" s="12"/>
    </row>
    <row r="95" ht="14.25" customHeight="1">
      <c r="B95" s="19"/>
      <c r="C95" s="19"/>
      <c r="D95" s="19"/>
      <c r="F95" s="55"/>
      <c r="G95" s="55"/>
      <c r="H95" s="12"/>
    </row>
    <row r="96" ht="14.25" customHeight="1">
      <c r="B96" s="19"/>
      <c r="C96" s="19"/>
      <c r="D96" s="19"/>
      <c r="F96" s="55"/>
      <c r="G96" s="55"/>
      <c r="H96" s="12"/>
    </row>
    <row r="97" ht="14.25" customHeight="1">
      <c r="B97" s="19"/>
      <c r="C97" s="19"/>
      <c r="D97" s="19"/>
      <c r="F97" s="55"/>
      <c r="G97" s="55"/>
      <c r="H97" s="12"/>
    </row>
    <row r="98" ht="14.25" customHeight="1">
      <c r="B98" s="19"/>
      <c r="C98" s="19"/>
      <c r="D98" s="19"/>
      <c r="F98" s="55"/>
      <c r="G98" s="55"/>
      <c r="H98" s="12"/>
    </row>
    <row r="99" ht="14.25" customHeight="1">
      <c r="B99" s="19"/>
      <c r="C99" s="19"/>
      <c r="D99" s="19"/>
      <c r="F99" s="55"/>
      <c r="G99" s="55"/>
      <c r="H99" s="12"/>
    </row>
    <row r="100" ht="14.25" customHeight="1">
      <c r="B100" s="19"/>
      <c r="C100" s="19"/>
      <c r="D100" s="19"/>
      <c r="F100" s="55"/>
      <c r="G100" s="55"/>
      <c r="H100" s="12"/>
    </row>
    <row r="101" ht="14.25" customHeight="1">
      <c r="B101" s="19"/>
      <c r="C101" s="19"/>
      <c r="D101" s="19"/>
      <c r="F101" s="55"/>
      <c r="G101" s="55"/>
      <c r="H101" s="12"/>
    </row>
    <row r="102" ht="14.25" customHeight="1">
      <c r="B102" s="19"/>
      <c r="C102" s="19"/>
      <c r="D102" s="19"/>
      <c r="F102" s="55"/>
      <c r="G102" s="55"/>
      <c r="H102" s="12"/>
    </row>
    <row r="103" ht="14.25" customHeight="1">
      <c r="B103" s="19"/>
      <c r="C103" s="19"/>
      <c r="D103" s="19"/>
      <c r="F103" s="55"/>
      <c r="G103" s="55"/>
      <c r="H103" s="12"/>
    </row>
    <row r="104" ht="14.25" customHeight="1">
      <c r="B104" s="19"/>
      <c r="C104" s="19"/>
      <c r="D104" s="19"/>
      <c r="F104" s="55"/>
      <c r="G104" s="55"/>
      <c r="H104" s="12"/>
    </row>
    <row r="105" ht="14.25" customHeight="1">
      <c r="B105" s="19"/>
      <c r="C105" s="19"/>
      <c r="D105" s="19"/>
      <c r="F105" s="55"/>
      <c r="G105" s="55"/>
      <c r="H105" s="12"/>
    </row>
    <row r="106" ht="14.25" customHeight="1">
      <c r="B106" s="19"/>
      <c r="C106" s="19"/>
      <c r="D106" s="19"/>
      <c r="F106" s="55"/>
      <c r="G106" s="55"/>
      <c r="H106" s="12"/>
    </row>
    <row r="107" ht="14.25" customHeight="1">
      <c r="B107" s="19"/>
      <c r="C107" s="19"/>
      <c r="D107" s="19"/>
      <c r="F107" s="55"/>
      <c r="G107" s="55"/>
      <c r="H107" s="12"/>
    </row>
    <row r="108" ht="14.25" customHeight="1">
      <c r="B108" s="19"/>
      <c r="C108" s="19"/>
      <c r="D108" s="19"/>
      <c r="F108" s="55"/>
      <c r="G108" s="55"/>
      <c r="H108" s="12"/>
    </row>
    <row r="109" ht="14.25" customHeight="1">
      <c r="B109" s="19"/>
      <c r="C109" s="19"/>
      <c r="D109" s="19"/>
      <c r="F109" s="55"/>
      <c r="G109" s="55"/>
      <c r="H109" s="12"/>
    </row>
    <row r="110" ht="14.25" customHeight="1">
      <c r="B110" s="19"/>
      <c r="C110" s="19"/>
      <c r="D110" s="19"/>
      <c r="F110" s="55"/>
      <c r="G110" s="55"/>
      <c r="H110" s="12"/>
    </row>
    <row r="111" ht="14.25" customHeight="1">
      <c r="B111" s="19"/>
      <c r="C111" s="19"/>
      <c r="D111" s="19"/>
      <c r="F111" s="55"/>
      <c r="G111" s="55"/>
      <c r="H111" s="12"/>
    </row>
    <row r="112" ht="14.25" customHeight="1">
      <c r="B112" s="19"/>
      <c r="C112" s="19"/>
      <c r="D112" s="19"/>
      <c r="F112" s="55"/>
      <c r="G112" s="55"/>
      <c r="H112" s="12"/>
    </row>
    <row r="113" ht="14.25" customHeight="1">
      <c r="B113" s="19"/>
      <c r="C113" s="19"/>
      <c r="D113" s="19"/>
      <c r="F113" s="55"/>
      <c r="G113" s="55"/>
      <c r="H113" s="12"/>
    </row>
    <row r="114" ht="14.25" customHeight="1">
      <c r="B114" s="19"/>
      <c r="C114" s="19"/>
      <c r="D114" s="19"/>
      <c r="F114" s="55"/>
      <c r="G114" s="55"/>
      <c r="H114" s="12"/>
    </row>
    <row r="115" ht="14.25" customHeight="1">
      <c r="B115" s="19"/>
      <c r="C115" s="19"/>
      <c r="D115" s="19"/>
      <c r="F115" s="55"/>
      <c r="G115" s="55"/>
      <c r="H115" s="12"/>
    </row>
    <row r="116" ht="14.25" customHeight="1">
      <c r="B116" s="19"/>
      <c r="C116" s="19"/>
      <c r="D116" s="19"/>
      <c r="F116" s="55"/>
      <c r="G116" s="55"/>
      <c r="H116" s="12"/>
    </row>
    <row r="117" ht="14.25" customHeight="1">
      <c r="B117" s="19"/>
      <c r="C117" s="19"/>
      <c r="D117" s="19"/>
      <c r="F117" s="55"/>
      <c r="G117" s="55"/>
      <c r="H117" s="12"/>
    </row>
    <row r="118" ht="14.25" customHeight="1">
      <c r="B118" s="19"/>
      <c r="C118" s="19"/>
      <c r="D118" s="19"/>
      <c r="F118" s="55"/>
      <c r="G118" s="55"/>
      <c r="H118" s="12"/>
    </row>
    <row r="119" ht="14.25" customHeight="1">
      <c r="B119" s="19"/>
      <c r="C119" s="19"/>
      <c r="D119" s="19"/>
      <c r="F119" s="55"/>
      <c r="G119" s="55"/>
      <c r="H119" s="12"/>
    </row>
    <row r="120" ht="14.25" customHeight="1">
      <c r="B120" s="19"/>
      <c r="C120" s="19"/>
      <c r="D120" s="19"/>
      <c r="F120" s="55"/>
      <c r="G120" s="55"/>
      <c r="H120" s="12"/>
    </row>
    <row r="121" ht="14.25" customHeight="1">
      <c r="B121" s="19"/>
      <c r="C121" s="19"/>
      <c r="D121" s="19"/>
      <c r="F121" s="55"/>
      <c r="G121" s="55"/>
      <c r="H121" s="12"/>
    </row>
    <row r="122" ht="14.25" customHeight="1">
      <c r="B122" s="19"/>
      <c r="C122" s="19"/>
      <c r="D122" s="19"/>
      <c r="F122" s="55"/>
      <c r="G122" s="55"/>
      <c r="H122" s="12"/>
    </row>
    <row r="123" ht="14.25" customHeight="1">
      <c r="B123" s="19"/>
      <c r="C123" s="19"/>
      <c r="D123" s="19"/>
      <c r="F123" s="55"/>
      <c r="G123" s="55"/>
      <c r="H123" s="12"/>
    </row>
    <row r="124" ht="14.25" customHeight="1">
      <c r="B124" s="19"/>
      <c r="C124" s="19"/>
      <c r="D124" s="19"/>
      <c r="F124" s="55"/>
      <c r="G124" s="55"/>
      <c r="H124" s="12"/>
    </row>
    <row r="125" ht="14.25" customHeight="1">
      <c r="B125" s="19"/>
      <c r="C125" s="19"/>
      <c r="D125" s="19"/>
      <c r="F125" s="55"/>
      <c r="G125" s="55"/>
      <c r="H125" s="12"/>
    </row>
    <row r="126" ht="14.25" customHeight="1">
      <c r="B126" s="19"/>
      <c r="C126" s="19"/>
      <c r="D126" s="19"/>
      <c r="F126" s="55"/>
      <c r="G126" s="55"/>
      <c r="H126" s="12"/>
    </row>
    <row r="127" ht="14.25" customHeight="1">
      <c r="B127" s="19"/>
      <c r="C127" s="19"/>
      <c r="D127" s="19"/>
      <c r="F127" s="55"/>
      <c r="G127" s="55"/>
      <c r="H127" s="12"/>
    </row>
    <row r="128" ht="14.25" customHeight="1">
      <c r="B128" s="19"/>
      <c r="C128" s="19"/>
      <c r="D128" s="19"/>
      <c r="F128" s="55"/>
      <c r="G128" s="55"/>
      <c r="H128" s="12"/>
    </row>
    <row r="129" ht="14.25" customHeight="1">
      <c r="B129" s="19"/>
      <c r="C129" s="19"/>
      <c r="D129" s="19"/>
      <c r="F129" s="55"/>
      <c r="G129" s="55"/>
      <c r="H129" s="12"/>
    </row>
    <row r="130" ht="14.25" customHeight="1">
      <c r="B130" s="19"/>
      <c r="C130" s="19"/>
      <c r="D130" s="19"/>
      <c r="F130" s="55"/>
      <c r="G130" s="55"/>
      <c r="H130" s="12"/>
    </row>
    <row r="131" ht="14.25" customHeight="1">
      <c r="B131" s="19"/>
      <c r="C131" s="19"/>
      <c r="D131" s="19"/>
      <c r="F131" s="55"/>
      <c r="G131" s="55"/>
      <c r="H131" s="12"/>
    </row>
    <row r="132" ht="14.25" customHeight="1">
      <c r="B132" s="19"/>
      <c r="C132" s="19"/>
      <c r="D132" s="19"/>
      <c r="F132" s="55"/>
      <c r="G132" s="55"/>
      <c r="H132" s="12"/>
    </row>
    <row r="133" ht="14.25" customHeight="1">
      <c r="B133" s="19"/>
      <c r="C133" s="19"/>
      <c r="D133" s="19"/>
      <c r="F133" s="55"/>
      <c r="G133" s="55"/>
      <c r="H133" s="12"/>
    </row>
    <row r="134" ht="14.25" customHeight="1">
      <c r="B134" s="19"/>
      <c r="C134" s="19"/>
      <c r="D134" s="19"/>
      <c r="F134" s="55"/>
      <c r="G134" s="55"/>
      <c r="H134" s="12"/>
    </row>
    <row r="135" ht="14.25" customHeight="1">
      <c r="B135" s="19"/>
      <c r="C135" s="19"/>
      <c r="D135" s="19"/>
      <c r="F135" s="55"/>
      <c r="G135" s="55"/>
      <c r="H135" s="12"/>
    </row>
    <row r="136" ht="14.25" customHeight="1">
      <c r="B136" s="19"/>
      <c r="C136" s="19"/>
      <c r="D136" s="19"/>
      <c r="F136" s="55"/>
      <c r="G136" s="55"/>
      <c r="H136" s="12"/>
    </row>
    <row r="137" ht="14.25" customHeight="1">
      <c r="B137" s="19"/>
      <c r="C137" s="19"/>
      <c r="D137" s="19"/>
      <c r="F137" s="55"/>
      <c r="G137" s="55"/>
      <c r="H137" s="12"/>
    </row>
    <row r="138" ht="14.25" customHeight="1">
      <c r="B138" s="19"/>
      <c r="C138" s="19"/>
      <c r="D138" s="19"/>
      <c r="F138" s="55"/>
      <c r="G138" s="55"/>
      <c r="H138" s="12"/>
    </row>
    <row r="139" ht="14.25" customHeight="1">
      <c r="B139" s="19"/>
      <c r="C139" s="19"/>
      <c r="D139" s="19"/>
      <c r="F139" s="55"/>
      <c r="G139" s="55"/>
      <c r="H139" s="12"/>
    </row>
    <row r="140" ht="14.25" customHeight="1">
      <c r="B140" s="19"/>
      <c r="C140" s="19"/>
      <c r="D140" s="19"/>
      <c r="F140" s="55"/>
      <c r="G140" s="55"/>
      <c r="H140" s="12"/>
    </row>
    <row r="141" ht="14.25" customHeight="1">
      <c r="B141" s="19"/>
      <c r="C141" s="19"/>
      <c r="D141" s="19"/>
      <c r="F141" s="55"/>
      <c r="G141" s="55"/>
      <c r="H141" s="12"/>
    </row>
    <row r="142" ht="14.25" customHeight="1">
      <c r="B142" s="19"/>
      <c r="C142" s="19"/>
      <c r="D142" s="19"/>
      <c r="F142" s="55"/>
      <c r="G142" s="55"/>
      <c r="H142" s="12"/>
    </row>
    <row r="143" ht="14.25" customHeight="1">
      <c r="B143" s="19"/>
      <c r="C143" s="19"/>
      <c r="D143" s="19"/>
      <c r="F143" s="55"/>
      <c r="G143" s="55"/>
      <c r="H143" s="12"/>
    </row>
    <row r="144" ht="14.25" customHeight="1">
      <c r="B144" s="19"/>
      <c r="C144" s="19"/>
      <c r="D144" s="19"/>
      <c r="F144" s="55"/>
      <c r="G144" s="55"/>
      <c r="H144" s="12"/>
    </row>
    <row r="145" ht="14.25" customHeight="1">
      <c r="B145" s="19"/>
      <c r="C145" s="19"/>
      <c r="D145" s="19"/>
      <c r="F145" s="55"/>
      <c r="G145" s="55"/>
      <c r="H145" s="12"/>
    </row>
    <row r="146" ht="14.25" customHeight="1">
      <c r="B146" s="19"/>
      <c r="C146" s="19"/>
      <c r="D146" s="19"/>
      <c r="F146" s="55"/>
      <c r="G146" s="55"/>
      <c r="H146" s="12"/>
    </row>
    <row r="147" ht="14.25" customHeight="1">
      <c r="B147" s="19"/>
      <c r="C147" s="19"/>
      <c r="D147" s="19"/>
      <c r="F147" s="55"/>
      <c r="G147" s="55"/>
      <c r="H147" s="12"/>
    </row>
    <row r="148" ht="14.25" customHeight="1">
      <c r="B148" s="19"/>
      <c r="C148" s="19"/>
      <c r="D148" s="19"/>
      <c r="F148" s="55"/>
      <c r="G148" s="55"/>
      <c r="H148" s="12"/>
    </row>
    <row r="149" ht="14.25" customHeight="1">
      <c r="B149" s="19"/>
      <c r="C149" s="19"/>
      <c r="D149" s="19"/>
      <c r="F149" s="55"/>
      <c r="G149" s="55"/>
      <c r="H149" s="12"/>
    </row>
    <row r="150" ht="14.25" customHeight="1">
      <c r="B150" s="19"/>
      <c r="C150" s="19"/>
      <c r="D150" s="19"/>
      <c r="F150" s="55"/>
      <c r="G150" s="55"/>
      <c r="H150" s="12"/>
    </row>
    <row r="151" ht="14.25" customHeight="1">
      <c r="B151" s="19"/>
      <c r="C151" s="19"/>
      <c r="D151" s="19"/>
      <c r="F151" s="55"/>
      <c r="G151" s="55"/>
      <c r="H151" s="12"/>
    </row>
    <row r="152" ht="14.25" customHeight="1">
      <c r="B152" s="19"/>
      <c r="C152" s="19"/>
      <c r="D152" s="19"/>
      <c r="F152" s="55"/>
      <c r="G152" s="55"/>
      <c r="H152" s="12"/>
    </row>
    <row r="153" ht="14.25" customHeight="1">
      <c r="B153" s="19"/>
      <c r="C153" s="19"/>
      <c r="D153" s="19"/>
      <c r="F153" s="55"/>
      <c r="G153" s="55"/>
      <c r="H153" s="12"/>
    </row>
    <row r="154" ht="14.25" customHeight="1">
      <c r="B154" s="19"/>
      <c r="C154" s="19"/>
      <c r="D154" s="19"/>
      <c r="F154" s="55"/>
      <c r="G154" s="55"/>
      <c r="H154" s="12"/>
    </row>
    <row r="155" ht="14.25" customHeight="1">
      <c r="B155" s="19"/>
      <c r="C155" s="19"/>
      <c r="D155" s="19"/>
      <c r="F155" s="55"/>
      <c r="G155" s="55"/>
      <c r="H155" s="12"/>
    </row>
    <row r="156" ht="14.25" customHeight="1">
      <c r="B156" s="19"/>
      <c r="C156" s="19"/>
      <c r="D156" s="19"/>
      <c r="F156" s="55"/>
      <c r="G156" s="55"/>
      <c r="H156" s="12"/>
    </row>
    <row r="157" ht="14.25" customHeight="1">
      <c r="B157" s="19"/>
      <c r="C157" s="19"/>
      <c r="D157" s="19"/>
      <c r="F157" s="55"/>
      <c r="G157" s="55"/>
      <c r="H157" s="12"/>
    </row>
    <row r="158" ht="14.25" customHeight="1">
      <c r="B158" s="19"/>
      <c r="C158" s="19"/>
      <c r="D158" s="19"/>
      <c r="F158" s="55"/>
      <c r="G158" s="55"/>
      <c r="H158" s="12"/>
    </row>
    <row r="159" ht="14.25" customHeight="1">
      <c r="B159" s="19"/>
      <c r="C159" s="19"/>
      <c r="D159" s="19"/>
      <c r="F159" s="55"/>
      <c r="G159" s="55"/>
      <c r="H159" s="12"/>
    </row>
    <row r="160" ht="14.25" customHeight="1">
      <c r="B160" s="19"/>
      <c r="C160" s="19"/>
      <c r="D160" s="19"/>
      <c r="F160" s="55"/>
      <c r="G160" s="55"/>
      <c r="H160" s="12"/>
    </row>
    <row r="161" ht="14.25" customHeight="1">
      <c r="B161" s="19"/>
      <c r="C161" s="19"/>
      <c r="D161" s="19"/>
      <c r="F161" s="55"/>
      <c r="G161" s="55"/>
      <c r="H161" s="12"/>
    </row>
    <row r="162" ht="14.25" customHeight="1">
      <c r="B162" s="19"/>
      <c r="C162" s="19"/>
      <c r="D162" s="19"/>
      <c r="F162" s="55"/>
      <c r="G162" s="55"/>
      <c r="H162" s="12"/>
    </row>
    <row r="163" ht="14.25" customHeight="1">
      <c r="B163" s="19"/>
      <c r="C163" s="19"/>
      <c r="D163" s="19"/>
      <c r="F163" s="55"/>
      <c r="G163" s="55"/>
      <c r="H163" s="12"/>
    </row>
    <row r="164" ht="14.25" customHeight="1">
      <c r="B164" s="19"/>
      <c r="C164" s="19"/>
      <c r="D164" s="19"/>
      <c r="F164" s="55"/>
      <c r="G164" s="55"/>
      <c r="H164" s="12"/>
    </row>
    <row r="165" ht="14.25" customHeight="1">
      <c r="B165" s="19"/>
      <c r="C165" s="19"/>
      <c r="D165" s="19"/>
      <c r="F165" s="55"/>
      <c r="G165" s="55"/>
      <c r="H165" s="12"/>
    </row>
    <row r="166" ht="14.25" customHeight="1">
      <c r="B166" s="19"/>
      <c r="C166" s="19"/>
      <c r="D166" s="19"/>
      <c r="F166" s="55"/>
      <c r="G166" s="55"/>
      <c r="H166" s="12"/>
    </row>
    <row r="167" ht="14.25" customHeight="1">
      <c r="B167" s="19"/>
      <c r="C167" s="19"/>
      <c r="D167" s="19"/>
      <c r="F167" s="55"/>
      <c r="G167" s="55"/>
      <c r="H167" s="12"/>
    </row>
    <row r="168" ht="14.25" customHeight="1">
      <c r="B168" s="19"/>
      <c r="C168" s="19"/>
      <c r="D168" s="19"/>
      <c r="F168" s="55"/>
      <c r="G168" s="55"/>
      <c r="H168" s="12"/>
    </row>
    <row r="169" ht="14.25" customHeight="1">
      <c r="B169" s="19"/>
      <c r="C169" s="19"/>
      <c r="D169" s="19"/>
      <c r="F169" s="55"/>
      <c r="G169" s="55"/>
      <c r="H169" s="12"/>
    </row>
    <row r="170" ht="14.25" customHeight="1">
      <c r="B170" s="19"/>
      <c r="C170" s="19"/>
      <c r="D170" s="19"/>
      <c r="F170" s="55"/>
      <c r="G170" s="55"/>
      <c r="H170" s="12"/>
    </row>
    <row r="171" ht="14.25" customHeight="1">
      <c r="B171" s="19"/>
      <c r="C171" s="19"/>
      <c r="D171" s="19"/>
      <c r="F171" s="55"/>
      <c r="G171" s="55"/>
      <c r="H171" s="12"/>
    </row>
    <row r="172" ht="14.25" customHeight="1">
      <c r="B172" s="19"/>
      <c r="C172" s="19"/>
      <c r="D172" s="19"/>
      <c r="F172" s="55"/>
      <c r="G172" s="55"/>
      <c r="H172" s="12"/>
    </row>
    <row r="173" ht="14.25" customHeight="1">
      <c r="B173" s="19"/>
      <c r="C173" s="19"/>
      <c r="D173" s="19"/>
      <c r="F173" s="55"/>
      <c r="G173" s="55"/>
      <c r="H173" s="12"/>
    </row>
    <row r="174" ht="14.25" customHeight="1">
      <c r="B174" s="19"/>
      <c r="C174" s="19"/>
      <c r="D174" s="19"/>
      <c r="F174" s="55"/>
      <c r="G174" s="55"/>
      <c r="H174" s="12"/>
    </row>
    <row r="175" ht="14.25" customHeight="1">
      <c r="B175" s="19"/>
      <c r="C175" s="19"/>
      <c r="D175" s="19"/>
      <c r="F175" s="55"/>
      <c r="G175" s="55"/>
      <c r="H175" s="12"/>
    </row>
    <row r="176" ht="14.25" customHeight="1">
      <c r="B176" s="19"/>
      <c r="C176" s="19"/>
      <c r="D176" s="19"/>
      <c r="F176" s="55"/>
      <c r="G176" s="55"/>
      <c r="H176" s="12"/>
    </row>
    <row r="177" ht="14.25" customHeight="1">
      <c r="B177" s="19"/>
      <c r="C177" s="19"/>
      <c r="D177" s="19"/>
      <c r="F177" s="55"/>
      <c r="G177" s="55"/>
      <c r="H177" s="12"/>
    </row>
    <row r="178" ht="14.25" customHeight="1">
      <c r="B178" s="19"/>
      <c r="C178" s="19"/>
      <c r="D178" s="19"/>
      <c r="F178" s="55"/>
      <c r="G178" s="55"/>
      <c r="H178" s="12"/>
    </row>
    <row r="179" ht="14.25" customHeight="1">
      <c r="B179" s="19"/>
      <c r="C179" s="19"/>
      <c r="D179" s="19"/>
      <c r="F179" s="55"/>
      <c r="G179" s="55"/>
      <c r="H179" s="12"/>
    </row>
    <row r="180" ht="14.25" customHeight="1">
      <c r="B180" s="19"/>
      <c r="C180" s="19"/>
      <c r="D180" s="19"/>
      <c r="F180" s="55"/>
      <c r="G180" s="55"/>
      <c r="H180" s="12"/>
    </row>
    <row r="181" ht="14.25" customHeight="1">
      <c r="B181" s="19"/>
      <c r="C181" s="19"/>
      <c r="D181" s="19"/>
      <c r="F181" s="55"/>
      <c r="G181" s="55"/>
      <c r="H181" s="12"/>
    </row>
    <row r="182" ht="14.25" customHeight="1">
      <c r="B182" s="19"/>
      <c r="C182" s="19"/>
      <c r="D182" s="19"/>
      <c r="F182" s="55"/>
      <c r="G182" s="55"/>
      <c r="H182" s="12"/>
    </row>
    <row r="183" ht="14.25" customHeight="1">
      <c r="B183" s="19"/>
      <c r="C183" s="19"/>
      <c r="D183" s="19"/>
      <c r="F183" s="55"/>
      <c r="G183" s="55"/>
      <c r="H183" s="12"/>
    </row>
    <row r="184" ht="14.25" customHeight="1">
      <c r="B184" s="19"/>
      <c r="C184" s="19"/>
      <c r="D184" s="19"/>
      <c r="F184" s="55"/>
      <c r="G184" s="55"/>
      <c r="H184" s="12"/>
    </row>
    <row r="185" ht="14.25" customHeight="1">
      <c r="B185" s="19"/>
      <c r="C185" s="19"/>
      <c r="D185" s="19"/>
      <c r="F185" s="55"/>
      <c r="G185" s="55"/>
      <c r="H185" s="12"/>
    </row>
    <row r="186" ht="14.25" customHeight="1">
      <c r="B186" s="19"/>
      <c r="C186" s="19"/>
      <c r="D186" s="19"/>
      <c r="F186" s="55"/>
      <c r="G186" s="55"/>
      <c r="H186" s="12"/>
    </row>
    <row r="187" ht="14.25" customHeight="1">
      <c r="B187" s="19"/>
      <c r="C187" s="19"/>
      <c r="D187" s="19"/>
      <c r="F187" s="55"/>
      <c r="G187" s="55"/>
      <c r="H187" s="12"/>
    </row>
    <row r="188" ht="14.25" customHeight="1">
      <c r="B188" s="19"/>
      <c r="C188" s="19"/>
      <c r="D188" s="19"/>
      <c r="F188" s="55"/>
      <c r="G188" s="55"/>
      <c r="H188" s="12"/>
    </row>
    <row r="189" ht="14.25" customHeight="1">
      <c r="B189" s="19"/>
      <c r="C189" s="19"/>
      <c r="D189" s="19"/>
      <c r="F189" s="55"/>
      <c r="G189" s="55"/>
      <c r="H189" s="12"/>
    </row>
    <row r="190" ht="14.25" customHeight="1">
      <c r="B190" s="19"/>
      <c r="C190" s="19"/>
      <c r="D190" s="19"/>
      <c r="F190" s="55"/>
      <c r="G190" s="55"/>
      <c r="H190" s="12"/>
    </row>
    <row r="191" ht="14.25" customHeight="1">
      <c r="B191" s="19"/>
      <c r="C191" s="19"/>
      <c r="D191" s="19"/>
      <c r="F191" s="55"/>
      <c r="G191" s="55"/>
      <c r="H191" s="12"/>
    </row>
    <row r="192" ht="14.25" customHeight="1">
      <c r="B192" s="19"/>
      <c r="C192" s="19"/>
      <c r="D192" s="19"/>
      <c r="F192" s="55"/>
      <c r="G192" s="55"/>
      <c r="H192" s="12"/>
    </row>
    <row r="193" ht="14.25" customHeight="1">
      <c r="B193" s="19"/>
      <c r="C193" s="19"/>
      <c r="D193" s="19"/>
      <c r="F193" s="55"/>
      <c r="G193" s="55"/>
      <c r="H193" s="12"/>
    </row>
    <row r="194" ht="14.25" customHeight="1">
      <c r="B194" s="19"/>
      <c r="C194" s="19"/>
      <c r="D194" s="19"/>
      <c r="F194" s="55"/>
      <c r="G194" s="55"/>
      <c r="H194" s="12"/>
    </row>
    <row r="195" ht="14.25" customHeight="1">
      <c r="B195" s="19"/>
      <c r="C195" s="19"/>
      <c r="D195" s="19"/>
      <c r="F195" s="55"/>
      <c r="G195" s="55"/>
      <c r="H195" s="12"/>
    </row>
    <row r="196" ht="14.25" customHeight="1">
      <c r="B196" s="19"/>
      <c r="C196" s="19"/>
      <c r="D196" s="19"/>
      <c r="F196" s="55"/>
      <c r="G196" s="55"/>
      <c r="H196" s="12"/>
    </row>
    <row r="197" ht="14.25" customHeight="1">
      <c r="B197" s="19"/>
      <c r="C197" s="19"/>
      <c r="D197" s="19"/>
      <c r="F197" s="55"/>
      <c r="G197" s="55"/>
      <c r="H197" s="12"/>
    </row>
    <row r="198" ht="14.25" customHeight="1">
      <c r="B198" s="19"/>
      <c r="C198" s="19"/>
      <c r="D198" s="19"/>
      <c r="F198" s="55"/>
      <c r="G198" s="55"/>
      <c r="H198" s="12"/>
    </row>
    <row r="199" ht="14.25" customHeight="1">
      <c r="B199" s="19"/>
      <c r="C199" s="19"/>
      <c r="D199" s="19"/>
      <c r="F199" s="55"/>
      <c r="G199" s="55"/>
      <c r="H199" s="12"/>
    </row>
    <row r="200" ht="14.25" customHeight="1">
      <c r="B200" s="19"/>
      <c r="C200" s="19"/>
      <c r="D200" s="19"/>
      <c r="F200" s="55"/>
      <c r="G200" s="55"/>
      <c r="H200" s="12"/>
    </row>
    <row r="201" ht="14.25" customHeight="1">
      <c r="B201" s="19"/>
      <c r="C201" s="19"/>
      <c r="D201" s="19"/>
      <c r="F201" s="55"/>
      <c r="G201" s="55"/>
      <c r="H201" s="12"/>
    </row>
    <row r="202" ht="14.25" customHeight="1">
      <c r="B202" s="19"/>
      <c r="C202" s="19"/>
      <c r="D202" s="19"/>
      <c r="F202" s="55"/>
      <c r="G202" s="55"/>
      <c r="H202" s="12"/>
    </row>
    <row r="203" ht="14.25" customHeight="1">
      <c r="B203" s="19"/>
      <c r="C203" s="19"/>
      <c r="D203" s="19"/>
      <c r="F203" s="55"/>
      <c r="G203" s="55"/>
      <c r="H203" s="12"/>
    </row>
    <row r="204" ht="14.25" customHeight="1">
      <c r="B204" s="19"/>
      <c r="C204" s="19"/>
      <c r="D204" s="19"/>
      <c r="F204" s="55"/>
      <c r="G204" s="55"/>
      <c r="H204" s="12"/>
    </row>
    <row r="205" ht="14.25" customHeight="1">
      <c r="B205" s="19"/>
      <c r="C205" s="19"/>
      <c r="D205" s="19"/>
      <c r="F205" s="55"/>
      <c r="G205" s="55"/>
      <c r="H205" s="12"/>
    </row>
    <row r="206" ht="14.25" customHeight="1">
      <c r="B206" s="19"/>
      <c r="C206" s="19"/>
      <c r="D206" s="19"/>
      <c r="F206" s="55"/>
      <c r="G206" s="55"/>
      <c r="H206" s="12"/>
    </row>
    <row r="207" ht="14.25" customHeight="1">
      <c r="B207" s="19"/>
      <c r="C207" s="19"/>
      <c r="D207" s="19"/>
      <c r="F207" s="55"/>
      <c r="G207" s="55"/>
      <c r="H207" s="12"/>
    </row>
    <row r="208" ht="14.25" customHeight="1">
      <c r="B208" s="19"/>
      <c r="C208" s="19"/>
      <c r="D208" s="19"/>
      <c r="F208" s="55"/>
      <c r="G208" s="55"/>
      <c r="H208" s="12"/>
    </row>
    <row r="209" ht="14.25" customHeight="1">
      <c r="B209" s="19"/>
      <c r="C209" s="19"/>
      <c r="D209" s="19"/>
      <c r="F209" s="55"/>
      <c r="G209" s="55"/>
      <c r="H209" s="12"/>
    </row>
    <row r="210" ht="14.25" customHeight="1">
      <c r="B210" s="19"/>
      <c r="C210" s="19"/>
      <c r="D210" s="19"/>
      <c r="F210" s="55"/>
      <c r="G210" s="55"/>
      <c r="H210" s="12"/>
    </row>
    <row r="211" ht="14.25" customHeight="1">
      <c r="B211" s="19"/>
      <c r="C211" s="19"/>
      <c r="D211" s="19"/>
      <c r="F211" s="55"/>
      <c r="G211" s="55"/>
      <c r="H211" s="12"/>
    </row>
    <row r="212" ht="14.25" customHeight="1">
      <c r="B212" s="19"/>
      <c r="C212" s="19"/>
      <c r="D212" s="19"/>
      <c r="F212" s="55"/>
      <c r="G212" s="55"/>
      <c r="H212" s="12"/>
    </row>
    <row r="213" ht="14.25" customHeight="1">
      <c r="B213" s="19"/>
      <c r="C213" s="19"/>
      <c r="D213" s="19"/>
      <c r="F213" s="55"/>
      <c r="G213" s="55"/>
      <c r="H213" s="12"/>
    </row>
    <row r="214" ht="14.25" customHeight="1">
      <c r="B214" s="19"/>
      <c r="C214" s="19"/>
      <c r="D214" s="19"/>
      <c r="F214" s="55"/>
      <c r="G214" s="55"/>
      <c r="H214" s="12"/>
    </row>
    <row r="215" ht="14.25" customHeight="1">
      <c r="B215" s="19"/>
      <c r="C215" s="19"/>
      <c r="D215" s="19"/>
      <c r="F215" s="55"/>
      <c r="G215" s="55"/>
      <c r="H215" s="12"/>
    </row>
    <row r="216" ht="14.25" customHeight="1">
      <c r="B216" s="19"/>
      <c r="C216" s="19"/>
      <c r="D216" s="19"/>
      <c r="F216" s="55"/>
      <c r="G216" s="55"/>
      <c r="H216" s="12"/>
    </row>
    <row r="217" ht="14.25" customHeight="1">
      <c r="B217" s="19"/>
      <c r="C217" s="19"/>
      <c r="D217" s="19"/>
      <c r="F217" s="55"/>
      <c r="G217" s="55"/>
      <c r="H217" s="12"/>
    </row>
    <row r="218" ht="14.25" customHeight="1">
      <c r="B218" s="19"/>
      <c r="C218" s="19"/>
      <c r="D218" s="19"/>
      <c r="F218" s="55"/>
      <c r="G218" s="55"/>
      <c r="H218" s="12"/>
    </row>
    <row r="219" ht="14.25" customHeight="1">
      <c r="B219" s="19"/>
      <c r="C219" s="19"/>
      <c r="D219" s="19"/>
      <c r="F219" s="55"/>
      <c r="G219" s="55"/>
      <c r="H219" s="12"/>
    </row>
    <row r="220" ht="14.25" customHeight="1">
      <c r="B220" s="19"/>
      <c r="C220" s="19"/>
      <c r="D220" s="19"/>
      <c r="F220" s="55"/>
      <c r="G220" s="55"/>
      <c r="H220" s="12"/>
    </row>
    <row r="221" ht="14.25" customHeight="1">
      <c r="B221" s="19"/>
      <c r="C221" s="19"/>
      <c r="D221" s="19"/>
      <c r="F221" s="55"/>
      <c r="G221" s="55"/>
      <c r="H221" s="12"/>
    </row>
    <row r="222" ht="14.25" customHeight="1">
      <c r="B222" s="19"/>
      <c r="C222" s="19"/>
      <c r="D222" s="19"/>
      <c r="F222" s="55"/>
      <c r="G222" s="55"/>
      <c r="H222" s="12"/>
    </row>
    <row r="223" ht="14.25" customHeight="1">
      <c r="B223" s="19"/>
      <c r="C223" s="19"/>
      <c r="D223" s="19"/>
      <c r="F223" s="55"/>
      <c r="G223" s="55"/>
      <c r="H223" s="12"/>
    </row>
    <row r="224" ht="14.25" customHeight="1">
      <c r="B224" s="19"/>
      <c r="C224" s="19"/>
      <c r="D224" s="19"/>
      <c r="F224" s="55"/>
      <c r="G224" s="55"/>
      <c r="H224" s="12"/>
    </row>
    <row r="225" ht="14.25" customHeight="1">
      <c r="B225" s="19"/>
      <c r="C225" s="19"/>
      <c r="D225" s="19"/>
      <c r="F225" s="55"/>
      <c r="G225" s="55"/>
      <c r="H225" s="12"/>
    </row>
    <row r="226" ht="14.25" customHeight="1">
      <c r="B226" s="19"/>
      <c r="C226" s="19"/>
      <c r="D226" s="19"/>
      <c r="F226" s="55"/>
      <c r="G226" s="55"/>
      <c r="H226" s="12"/>
    </row>
    <row r="227" ht="14.25" customHeight="1">
      <c r="B227" s="19"/>
      <c r="C227" s="19"/>
      <c r="D227" s="19"/>
      <c r="F227" s="55"/>
      <c r="G227" s="55"/>
      <c r="H227" s="12"/>
    </row>
    <row r="228" ht="14.25" customHeight="1">
      <c r="B228" s="19"/>
      <c r="C228" s="19"/>
      <c r="D228" s="19"/>
      <c r="F228" s="55"/>
      <c r="G228" s="55"/>
      <c r="H228" s="12"/>
    </row>
    <row r="229" ht="14.25" customHeight="1">
      <c r="B229" s="19"/>
      <c r="C229" s="19"/>
      <c r="D229" s="19"/>
      <c r="F229" s="55"/>
      <c r="G229" s="55"/>
      <c r="H229" s="12"/>
    </row>
    <row r="230" ht="14.25" customHeight="1">
      <c r="B230" s="19"/>
      <c r="C230" s="19"/>
      <c r="D230" s="19"/>
      <c r="F230" s="55"/>
      <c r="G230" s="55"/>
      <c r="H230" s="12"/>
    </row>
    <row r="231" ht="14.25" customHeight="1">
      <c r="B231" s="19"/>
      <c r="C231" s="19"/>
      <c r="D231" s="19"/>
      <c r="F231" s="55"/>
      <c r="G231" s="55"/>
      <c r="H231" s="12"/>
    </row>
    <row r="232" ht="14.25" customHeight="1">
      <c r="B232" s="19"/>
      <c r="C232" s="19"/>
      <c r="D232" s="19"/>
      <c r="F232" s="55"/>
      <c r="G232" s="55"/>
      <c r="H232" s="12"/>
    </row>
    <row r="233" ht="14.25" customHeight="1">
      <c r="B233" s="19"/>
      <c r="C233" s="19"/>
      <c r="D233" s="19"/>
      <c r="F233" s="55"/>
      <c r="G233" s="55"/>
      <c r="H233" s="12"/>
    </row>
    <row r="234" ht="14.25" customHeight="1">
      <c r="B234" s="19"/>
      <c r="C234" s="19"/>
      <c r="D234" s="19"/>
      <c r="F234" s="55"/>
      <c r="G234" s="55"/>
      <c r="H234" s="12"/>
    </row>
    <row r="235" ht="14.25" customHeight="1">
      <c r="B235" s="19"/>
      <c r="C235" s="19"/>
      <c r="D235" s="19"/>
      <c r="F235" s="55"/>
      <c r="G235" s="55"/>
      <c r="H235" s="12"/>
    </row>
    <row r="236" ht="14.25" customHeight="1">
      <c r="B236" s="19"/>
      <c r="C236" s="19"/>
      <c r="D236" s="19"/>
      <c r="F236" s="55"/>
      <c r="G236" s="55"/>
      <c r="H236" s="12"/>
    </row>
    <row r="237" ht="14.25" customHeight="1">
      <c r="B237" s="19"/>
      <c r="C237" s="19"/>
      <c r="D237" s="19"/>
      <c r="F237" s="55"/>
      <c r="G237" s="55"/>
      <c r="H237" s="12"/>
    </row>
    <row r="238" ht="14.25" customHeight="1">
      <c r="B238" s="19"/>
      <c r="C238" s="19"/>
      <c r="D238" s="19"/>
      <c r="F238" s="55"/>
      <c r="G238" s="55"/>
      <c r="H238" s="12"/>
    </row>
    <row r="239" ht="14.25" customHeight="1">
      <c r="B239" s="19"/>
      <c r="C239" s="19"/>
      <c r="D239" s="19"/>
      <c r="F239" s="55"/>
      <c r="G239" s="55"/>
      <c r="H239" s="12"/>
    </row>
    <row r="240" ht="14.25" customHeight="1">
      <c r="B240" s="19"/>
      <c r="C240" s="19"/>
      <c r="D240" s="19"/>
      <c r="F240" s="55"/>
      <c r="G240" s="55"/>
      <c r="H240" s="12"/>
    </row>
    <row r="241" ht="14.25" customHeight="1">
      <c r="B241" s="19"/>
      <c r="C241" s="19"/>
      <c r="D241" s="19"/>
      <c r="F241" s="55"/>
      <c r="G241" s="55"/>
      <c r="H241" s="12"/>
    </row>
    <row r="242" ht="14.25" customHeight="1">
      <c r="B242" s="19"/>
      <c r="C242" s="19"/>
      <c r="D242" s="19"/>
      <c r="F242" s="55"/>
      <c r="G242" s="55"/>
      <c r="H242" s="12"/>
    </row>
    <row r="243" ht="14.25" customHeight="1">
      <c r="B243" s="19"/>
      <c r="C243" s="19"/>
      <c r="D243" s="19"/>
      <c r="F243" s="55"/>
      <c r="G243" s="55"/>
      <c r="H243" s="12"/>
    </row>
    <row r="244" ht="14.25" customHeight="1">
      <c r="B244" s="19"/>
      <c r="C244" s="19"/>
      <c r="D244" s="19"/>
      <c r="F244" s="55"/>
      <c r="G244" s="55"/>
      <c r="H244" s="12"/>
    </row>
    <row r="245" ht="14.25" customHeight="1">
      <c r="B245" s="19"/>
      <c r="C245" s="19"/>
      <c r="D245" s="19"/>
      <c r="F245" s="55"/>
      <c r="G245" s="55"/>
      <c r="H245" s="12"/>
    </row>
    <row r="246" ht="14.25" customHeight="1">
      <c r="B246" s="19"/>
      <c r="C246" s="19"/>
      <c r="D246" s="19"/>
      <c r="F246" s="55"/>
      <c r="G246" s="55"/>
      <c r="H246" s="12"/>
    </row>
    <row r="247" ht="14.25" customHeight="1">
      <c r="B247" s="19"/>
      <c r="C247" s="19"/>
      <c r="D247" s="19"/>
      <c r="F247" s="55"/>
      <c r="G247" s="55"/>
      <c r="H247" s="12"/>
    </row>
    <row r="248" ht="14.25" customHeight="1">
      <c r="B248" s="19"/>
      <c r="C248" s="19"/>
      <c r="D248" s="19"/>
      <c r="F248" s="55"/>
      <c r="G248" s="55"/>
      <c r="H248" s="12"/>
    </row>
    <row r="249" ht="14.25" customHeight="1">
      <c r="B249" s="19"/>
      <c r="C249" s="19"/>
      <c r="D249" s="19"/>
      <c r="F249" s="55"/>
      <c r="G249" s="55"/>
      <c r="H249" s="12"/>
    </row>
    <row r="250" ht="14.25" customHeight="1">
      <c r="B250" s="19"/>
      <c r="C250" s="19"/>
      <c r="D250" s="19"/>
      <c r="F250" s="55"/>
      <c r="G250" s="55"/>
      <c r="H250" s="12"/>
    </row>
    <row r="251" ht="14.25" customHeight="1">
      <c r="B251" s="19"/>
      <c r="C251" s="19"/>
      <c r="D251" s="19"/>
      <c r="F251" s="55"/>
      <c r="G251" s="55"/>
      <c r="H251" s="12"/>
    </row>
    <row r="252" ht="14.25" customHeight="1">
      <c r="B252" s="19"/>
      <c r="C252" s="19"/>
      <c r="D252" s="19"/>
      <c r="F252" s="55"/>
      <c r="G252" s="55"/>
      <c r="H252" s="12"/>
    </row>
    <row r="253" ht="14.25" customHeight="1">
      <c r="B253" s="19"/>
      <c r="C253" s="19"/>
      <c r="D253" s="19"/>
      <c r="F253" s="55"/>
      <c r="G253" s="55"/>
      <c r="H253" s="12"/>
    </row>
    <row r="254" ht="14.25" customHeight="1">
      <c r="B254" s="19"/>
      <c r="C254" s="19"/>
      <c r="D254" s="19"/>
      <c r="F254" s="55"/>
      <c r="G254" s="55"/>
      <c r="H254" s="12"/>
    </row>
    <row r="255" ht="14.25" customHeight="1">
      <c r="B255" s="19"/>
      <c r="C255" s="19"/>
      <c r="D255" s="19"/>
      <c r="F255" s="55"/>
      <c r="G255" s="55"/>
      <c r="H255" s="12"/>
    </row>
    <row r="256" ht="14.25" customHeight="1">
      <c r="B256" s="19"/>
      <c r="C256" s="19"/>
      <c r="D256" s="19"/>
      <c r="F256" s="55"/>
      <c r="G256" s="55"/>
      <c r="H256" s="12"/>
    </row>
    <row r="257" ht="14.25" customHeight="1">
      <c r="B257" s="19"/>
      <c r="C257" s="19"/>
      <c r="D257" s="19"/>
      <c r="F257" s="55"/>
      <c r="G257" s="55"/>
      <c r="H257" s="12"/>
    </row>
    <row r="258" ht="14.25" customHeight="1">
      <c r="B258" s="19"/>
      <c r="C258" s="19"/>
      <c r="D258" s="19"/>
      <c r="F258" s="55"/>
      <c r="G258" s="55"/>
      <c r="H258" s="12"/>
    </row>
    <row r="259" ht="14.25" customHeight="1">
      <c r="B259" s="19"/>
      <c r="C259" s="19"/>
      <c r="D259" s="19"/>
      <c r="F259" s="55"/>
      <c r="G259" s="55"/>
      <c r="H259" s="12"/>
    </row>
    <row r="260" ht="14.25" customHeight="1">
      <c r="B260" s="19"/>
      <c r="C260" s="19"/>
      <c r="D260" s="19"/>
      <c r="F260" s="55"/>
      <c r="G260" s="55"/>
      <c r="H260" s="12"/>
    </row>
    <row r="261" ht="14.25" customHeight="1">
      <c r="B261" s="19"/>
      <c r="C261" s="19"/>
      <c r="D261" s="19"/>
      <c r="F261" s="55"/>
      <c r="G261" s="55"/>
      <c r="H261" s="12"/>
    </row>
    <row r="262" ht="14.25" customHeight="1">
      <c r="B262" s="19"/>
      <c r="C262" s="19"/>
      <c r="D262" s="19"/>
      <c r="F262" s="55"/>
      <c r="G262" s="55"/>
      <c r="H262" s="12"/>
    </row>
    <row r="263" ht="14.25" customHeight="1">
      <c r="B263" s="19"/>
      <c r="C263" s="19"/>
      <c r="D263" s="19"/>
      <c r="F263" s="55"/>
      <c r="G263" s="55"/>
      <c r="H263" s="12"/>
    </row>
    <row r="264" ht="14.25" customHeight="1">
      <c r="B264" s="19"/>
      <c r="C264" s="19"/>
      <c r="D264" s="19"/>
      <c r="F264" s="55"/>
      <c r="G264" s="55"/>
      <c r="H264" s="12"/>
    </row>
    <row r="265" ht="14.25" customHeight="1">
      <c r="B265" s="19"/>
      <c r="C265" s="19"/>
      <c r="D265" s="19"/>
      <c r="F265" s="55"/>
      <c r="G265" s="55"/>
      <c r="H265" s="12"/>
    </row>
    <row r="266" ht="14.25" customHeight="1">
      <c r="B266" s="19"/>
      <c r="C266" s="19"/>
      <c r="D266" s="19"/>
      <c r="F266" s="55"/>
      <c r="G266" s="55"/>
      <c r="H266" s="12"/>
    </row>
    <row r="267" ht="14.25" customHeight="1">
      <c r="B267" s="19"/>
      <c r="C267" s="19"/>
      <c r="D267" s="19"/>
      <c r="F267" s="55"/>
      <c r="G267" s="55"/>
      <c r="H267" s="12"/>
    </row>
    <row r="268" ht="14.25" customHeight="1">
      <c r="B268" s="19"/>
      <c r="C268" s="19"/>
      <c r="D268" s="19"/>
      <c r="F268" s="55"/>
      <c r="G268" s="55"/>
      <c r="H268" s="12"/>
    </row>
    <row r="269" ht="14.25" customHeight="1">
      <c r="B269" s="19"/>
      <c r="C269" s="19"/>
      <c r="D269" s="19"/>
      <c r="F269" s="55"/>
      <c r="G269" s="55"/>
      <c r="H269" s="12"/>
    </row>
    <row r="270" ht="14.25" customHeight="1">
      <c r="B270" s="19"/>
      <c r="C270" s="19"/>
      <c r="D270" s="19"/>
      <c r="F270" s="55"/>
      <c r="G270" s="55"/>
      <c r="H270" s="12"/>
    </row>
    <row r="271" ht="14.25" customHeight="1">
      <c r="B271" s="19"/>
      <c r="C271" s="19"/>
      <c r="D271" s="19"/>
      <c r="F271" s="55"/>
      <c r="G271" s="55"/>
      <c r="H271" s="12"/>
    </row>
    <row r="272" ht="14.25" customHeight="1">
      <c r="B272" s="19"/>
      <c r="C272" s="19"/>
      <c r="D272" s="19"/>
      <c r="F272" s="55"/>
      <c r="G272" s="55"/>
      <c r="H272" s="12"/>
    </row>
    <row r="273" ht="14.25" customHeight="1">
      <c r="B273" s="19"/>
      <c r="C273" s="19"/>
      <c r="D273" s="19"/>
      <c r="F273" s="55"/>
      <c r="G273" s="55"/>
      <c r="H273" s="12"/>
    </row>
    <row r="274" ht="14.25" customHeight="1">
      <c r="B274" s="19"/>
      <c r="C274" s="19"/>
      <c r="D274" s="19"/>
      <c r="F274" s="55"/>
      <c r="G274" s="55"/>
      <c r="H274" s="12"/>
    </row>
    <row r="275" ht="14.25" customHeight="1">
      <c r="B275" s="19"/>
      <c r="C275" s="19"/>
      <c r="D275" s="19"/>
      <c r="F275" s="55"/>
      <c r="G275" s="55"/>
      <c r="H275" s="12"/>
    </row>
    <row r="276" ht="14.25" customHeight="1">
      <c r="B276" s="19"/>
      <c r="C276" s="19"/>
      <c r="D276" s="19"/>
      <c r="F276" s="55"/>
      <c r="G276" s="55"/>
      <c r="H276" s="12"/>
    </row>
    <row r="277" ht="14.25" customHeight="1">
      <c r="B277" s="19"/>
      <c r="C277" s="19"/>
      <c r="D277" s="19"/>
      <c r="F277" s="55"/>
      <c r="G277" s="55"/>
      <c r="H277" s="12"/>
    </row>
    <row r="278" ht="14.25" customHeight="1">
      <c r="B278" s="19"/>
      <c r="C278" s="19"/>
      <c r="D278" s="19"/>
      <c r="F278" s="55"/>
      <c r="G278" s="55"/>
      <c r="H278" s="12"/>
    </row>
    <row r="279" ht="14.25" customHeight="1">
      <c r="B279" s="19"/>
      <c r="C279" s="19"/>
      <c r="D279" s="19"/>
      <c r="F279" s="55"/>
      <c r="G279" s="55"/>
      <c r="H279" s="12"/>
    </row>
    <row r="280" ht="14.25" customHeight="1">
      <c r="B280" s="19"/>
      <c r="C280" s="19"/>
      <c r="D280" s="19"/>
      <c r="F280" s="55"/>
      <c r="G280" s="55"/>
      <c r="H280" s="12"/>
    </row>
    <row r="281" ht="14.25" customHeight="1">
      <c r="B281" s="19"/>
      <c r="C281" s="19"/>
      <c r="D281" s="19"/>
      <c r="F281" s="55"/>
      <c r="G281" s="55"/>
      <c r="H281" s="12"/>
    </row>
    <row r="282" ht="14.25" customHeight="1">
      <c r="B282" s="19"/>
      <c r="C282" s="19"/>
      <c r="D282" s="19"/>
      <c r="F282" s="55"/>
      <c r="G282" s="55"/>
      <c r="H282" s="12"/>
    </row>
    <row r="283" ht="14.25" customHeight="1">
      <c r="B283" s="19"/>
      <c r="C283" s="19"/>
      <c r="D283" s="19"/>
      <c r="F283" s="55"/>
      <c r="G283" s="55"/>
      <c r="H283" s="12"/>
    </row>
    <row r="284" ht="14.25" customHeight="1">
      <c r="B284" s="19"/>
      <c r="C284" s="19"/>
      <c r="D284" s="19"/>
      <c r="F284" s="55"/>
      <c r="G284" s="55"/>
      <c r="H284" s="12"/>
    </row>
    <row r="285" ht="14.25" customHeight="1">
      <c r="B285" s="19"/>
      <c r="C285" s="19"/>
      <c r="D285" s="19"/>
      <c r="F285" s="55"/>
      <c r="G285" s="55"/>
      <c r="H285" s="12"/>
    </row>
    <row r="286" ht="14.25" customHeight="1">
      <c r="B286" s="19"/>
      <c r="C286" s="19"/>
      <c r="D286" s="19"/>
      <c r="F286" s="55"/>
      <c r="G286" s="55"/>
      <c r="H286" s="12"/>
    </row>
    <row r="287" ht="14.25" customHeight="1">
      <c r="B287" s="19"/>
      <c r="C287" s="19"/>
      <c r="D287" s="19"/>
      <c r="F287" s="55"/>
      <c r="G287" s="55"/>
      <c r="H287" s="12"/>
    </row>
    <row r="288" ht="14.25" customHeight="1">
      <c r="B288" s="19"/>
      <c r="C288" s="19"/>
      <c r="D288" s="19"/>
      <c r="F288" s="55"/>
      <c r="G288" s="55"/>
      <c r="H288" s="12"/>
    </row>
    <row r="289" ht="14.25" customHeight="1">
      <c r="B289" s="19"/>
      <c r="C289" s="19"/>
      <c r="D289" s="19"/>
      <c r="F289" s="55"/>
      <c r="G289" s="55"/>
      <c r="H289" s="12"/>
    </row>
    <row r="290" ht="14.25" customHeight="1">
      <c r="B290" s="19"/>
      <c r="C290" s="19"/>
      <c r="D290" s="19"/>
      <c r="F290" s="55"/>
      <c r="G290" s="55"/>
      <c r="H290" s="12"/>
    </row>
    <row r="291" ht="14.25" customHeight="1">
      <c r="B291" s="19"/>
      <c r="C291" s="19"/>
      <c r="D291" s="19"/>
      <c r="F291" s="55"/>
      <c r="G291" s="55"/>
      <c r="H291" s="12"/>
    </row>
    <row r="292" ht="14.25" customHeight="1">
      <c r="B292" s="19"/>
      <c r="C292" s="19"/>
      <c r="D292" s="19"/>
      <c r="F292" s="55"/>
      <c r="G292" s="55"/>
      <c r="H292" s="12"/>
    </row>
    <row r="293" ht="14.25" customHeight="1">
      <c r="B293" s="19"/>
      <c r="C293" s="19"/>
      <c r="D293" s="19"/>
      <c r="F293" s="55"/>
      <c r="G293" s="55"/>
      <c r="H293" s="12"/>
    </row>
    <row r="294" ht="14.25" customHeight="1">
      <c r="B294" s="19"/>
      <c r="C294" s="19"/>
      <c r="D294" s="19"/>
      <c r="F294" s="55"/>
      <c r="G294" s="55"/>
      <c r="H294" s="12"/>
    </row>
    <row r="295" ht="14.25" customHeight="1">
      <c r="B295" s="19"/>
      <c r="C295" s="19"/>
      <c r="D295" s="19"/>
      <c r="F295" s="55"/>
      <c r="G295" s="55"/>
      <c r="H295" s="12"/>
    </row>
    <row r="296" ht="14.25" customHeight="1">
      <c r="B296" s="19"/>
      <c r="C296" s="19"/>
      <c r="D296" s="19"/>
      <c r="F296" s="55"/>
      <c r="G296" s="55"/>
      <c r="H296" s="12"/>
    </row>
    <row r="297" ht="14.25" customHeight="1">
      <c r="B297" s="19"/>
      <c r="C297" s="19"/>
      <c r="D297" s="19"/>
      <c r="F297" s="55"/>
      <c r="G297" s="55"/>
      <c r="H297" s="12"/>
    </row>
    <row r="298" ht="14.25" customHeight="1">
      <c r="B298" s="19"/>
      <c r="C298" s="19"/>
      <c r="D298" s="19"/>
      <c r="F298" s="55"/>
      <c r="G298" s="55"/>
      <c r="H298" s="12"/>
    </row>
    <row r="299" ht="14.25" customHeight="1">
      <c r="B299" s="19"/>
      <c r="C299" s="19"/>
      <c r="D299" s="19"/>
      <c r="F299" s="55"/>
      <c r="G299" s="55"/>
      <c r="H299" s="12"/>
    </row>
    <row r="300" ht="14.25" customHeight="1">
      <c r="B300" s="19"/>
      <c r="C300" s="19"/>
      <c r="D300" s="19"/>
      <c r="F300" s="55"/>
      <c r="G300" s="55"/>
      <c r="H300" s="12"/>
    </row>
    <row r="301" ht="14.25" customHeight="1">
      <c r="B301" s="19"/>
      <c r="C301" s="19"/>
      <c r="D301" s="19"/>
      <c r="F301" s="55"/>
      <c r="G301" s="55"/>
      <c r="H301" s="12"/>
    </row>
    <row r="302" ht="14.25" customHeight="1">
      <c r="B302" s="19"/>
      <c r="C302" s="19"/>
      <c r="D302" s="19"/>
      <c r="F302" s="55"/>
      <c r="G302" s="55"/>
      <c r="H302" s="12"/>
    </row>
    <row r="303" ht="14.25" customHeight="1">
      <c r="B303" s="19"/>
      <c r="C303" s="19"/>
      <c r="D303" s="19"/>
      <c r="F303" s="55"/>
      <c r="G303" s="55"/>
      <c r="H303" s="12"/>
    </row>
    <row r="304" ht="14.25" customHeight="1">
      <c r="B304" s="19"/>
      <c r="C304" s="19"/>
      <c r="D304" s="19"/>
      <c r="F304" s="55"/>
      <c r="G304" s="55"/>
      <c r="H304" s="12"/>
    </row>
    <row r="305" ht="14.25" customHeight="1">
      <c r="B305" s="19"/>
      <c r="C305" s="19"/>
      <c r="D305" s="19"/>
      <c r="F305" s="55"/>
      <c r="G305" s="55"/>
      <c r="H305" s="12"/>
    </row>
    <row r="306" ht="14.25" customHeight="1">
      <c r="B306" s="19"/>
      <c r="C306" s="19"/>
      <c r="D306" s="19"/>
      <c r="F306" s="55"/>
      <c r="G306" s="55"/>
      <c r="H306" s="12"/>
    </row>
    <row r="307" ht="14.25" customHeight="1">
      <c r="B307" s="19"/>
      <c r="C307" s="19"/>
      <c r="D307" s="19"/>
      <c r="F307" s="55"/>
      <c r="G307" s="55"/>
      <c r="H307" s="12"/>
    </row>
    <row r="308" ht="14.25" customHeight="1">
      <c r="B308" s="19"/>
      <c r="C308" s="19"/>
      <c r="D308" s="19"/>
      <c r="F308" s="55"/>
      <c r="G308" s="55"/>
      <c r="H308" s="12"/>
    </row>
    <row r="309" ht="14.25" customHeight="1">
      <c r="B309" s="19"/>
      <c r="C309" s="19"/>
      <c r="D309" s="19"/>
      <c r="F309" s="55"/>
      <c r="G309" s="55"/>
      <c r="H309" s="12"/>
    </row>
    <row r="310" ht="14.25" customHeight="1">
      <c r="B310" s="19"/>
      <c r="C310" s="19"/>
      <c r="D310" s="19"/>
      <c r="F310" s="55"/>
      <c r="G310" s="55"/>
      <c r="H310" s="12"/>
    </row>
    <row r="311" ht="14.25" customHeight="1">
      <c r="B311" s="19"/>
      <c r="C311" s="19"/>
      <c r="D311" s="19"/>
      <c r="F311" s="55"/>
      <c r="G311" s="55"/>
      <c r="H311" s="12"/>
    </row>
    <row r="312" ht="14.25" customHeight="1">
      <c r="B312" s="19"/>
      <c r="C312" s="19"/>
      <c r="D312" s="19"/>
      <c r="F312" s="55"/>
      <c r="G312" s="55"/>
      <c r="H312" s="12"/>
    </row>
    <row r="313" ht="14.25" customHeight="1">
      <c r="B313" s="19"/>
      <c r="C313" s="19"/>
      <c r="D313" s="19"/>
      <c r="F313" s="55"/>
      <c r="G313" s="55"/>
      <c r="H313" s="12"/>
    </row>
    <row r="314" ht="14.25" customHeight="1">
      <c r="B314" s="19"/>
      <c r="C314" s="19"/>
      <c r="D314" s="19"/>
      <c r="F314" s="55"/>
      <c r="G314" s="55"/>
      <c r="H314" s="12"/>
    </row>
    <row r="315" ht="14.25" customHeight="1">
      <c r="B315" s="19"/>
      <c r="C315" s="19"/>
      <c r="D315" s="19"/>
      <c r="F315" s="55"/>
      <c r="G315" s="55"/>
      <c r="H315" s="12"/>
    </row>
    <row r="316" ht="14.25" customHeight="1">
      <c r="B316" s="19"/>
      <c r="C316" s="19"/>
      <c r="D316" s="19"/>
      <c r="F316" s="55"/>
      <c r="G316" s="55"/>
      <c r="H316" s="12"/>
    </row>
    <row r="317" ht="14.25" customHeight="1">
      <c r="B317" s="19"/>
      <c r="C317" s="19"/>
      <c r="D317" s="19"/>
      <c r="F317" s="55"/>
      <c r="G317" s="55"/>
      <c r="H317" s="12"/>
    </row>
    <row r="318" ht="14.25" customHeight="1">
      <c r="B318" s="19"/>
      <c r="C318" s="19"/>
      <c r="D318" s="19"/>
      <c r="F318" s="55"/>
      <c r="G318" s="55"/>
      <c r="H318" s="12"/>
    </row>
    <row r="319" ht="14.25" customHeight="1">
      <c r="B319" s="19"/>
      <c r="C319" s="19"/>
      <c r="D319" s="19"/>
      <c r="F319" s="55"/>
      <c r="G319" s="55"/>
      <c r="H319" s="12"/>
    </row>
    <row r="320" ht="14.25" customHeight="1">
      <c r="B320" s="19"/>
      <c r="C320" s="19"/>
      <c r="D320" s="19"/>
      <c r="F320" s="55"/>
      <c r="G320" s="55"/>
      <c r="H320" s="12"/>
    </row>
    <row r="321" ht="14.25" customHeight="1">
      <c r="B321" s="19"/>
      <c r="C321" s="19"/>
      <c r="D321" s="19"/>
      <c r="F321" s="55"/>
      <c r="G321" s="55"/>
      <c r="H321" s="12"/>
    </row>
    <row r="322" ht="14.25" customHeight="1">
      <c r="B322" s="19"/>
      <c r="C322" s="19"/>
      <c r="D322" s="19"/>
      <c r="F322" s="55"/>
      <c r="G322" s="55"/>
      <c r="H322" s="12"/>
    </row>
    <row r="323" ht="14.25" customHeight="1">
      <c r="B323" s="19"/>
      <c r="C323" s="19"/>
      <c r="D323" s="19"/>
      <c r="F323" s="55"/>
      <c r="G323" s="55"/>
      <c r="H323" s="12"/>
    </row>
    <row r="324" ht="14.25" customHeight="1">
      <c r="B324" s="19"/>
      <c r="C324" s="19"/>
      <c r="D324" s="19"/>
      <c r="F324" s="55"/>
      <c r="G324" s="55"/>
      <c r="H324" s="12"/>
    </row>
    <row r="325" ht="14.25" customHeight="1">
      <c r="B325" s="19"/>
      <c r="C325" s="19"/>
      <c r="D325" s="19"/>
      <c r="F325" s="55"/>
      <c r="G325" s="55"/>
      <c r="H325" s="12"/>
    </row>
    <row r="326" ht="14.25" customHeight="1">
      <c r="B326" s="19"/>
      <c r="C326" s="19"/>
      <c r="D326" s="19"/>
      <c r="F326" s="55"/>
      <c r="G326" s="55"/>
      <c r="H326" s="12"/>
    </row>
    <row r="327" ht="14.25" customHeight="1">
      <c r="B327" s="19"/>
      <c r="C327" s="19"/>
      <c r="D327" s="19"/>
      <c r="F327" s="55"/>
      <c r="G327" s="55"/>
      <c r="H327" s="12"/>
    </row>
    <row r="328" ht="14.25" customHeight="1">
      <c r="B328" s="19"/>
      <c r="C328" s="19"/>
      <c r="D328" s="19"/>
      <c r="F328" s="55"/>
      <c r="G328" s="55"/>
      <c r="H328" s="12"/>
    </row>
    <row r="329" ht="14.25" customHeight="1">
      <c r="B329" s="19"/>
      <c r="C329" s="19"/>
      <c r="D329" s="19"/>
      <c r="F329" s="55"/>
      <c r="G329" s="55"/>
      <c r="H329" s="12"/>
    </row>
    <row r="330" ht="14.25" customHeight="1">
      <c r="B330" s="19"/>
      <c r="C330" s="19"/>
      <c r="D330" s="19"/>
      <c r="F330" s="55"/>
      <c r="G330" s="55"/>
      <c r="H330" s="12"/>
    </row>
    <row r="331" ht="14.25" customHeight="1">
      <c r="B331" s="19"/>
      <c r="C331" s="19"/>
      <c r="D331" s="19"/>
      <c r="F331" s="55"/>
      <c r="G331" s="55"/>
      <c r="H331" s="12"/>
    </row>
    <row r="332" ht="14.25" customHeight="1">
      <c r="B332" s="19"/>
      <c r="C332" s="19"/>
      <c r="D332" s="19"/>
      <c r="F332" s="55"/>
      <c r="G332" s="55"/>
      <c r="H332" s="12"/>
    </row>
    <row r="333" ht="14.25" customHeight="1">
      <c r="B333" s="19"/>
      <c r="C333" s="19"/>
      <c r="D333" s="19"/>
      <c r="F333" s="55"/>
      <c r="G333" s="55"/>
      <c r="H333" s="12"/>
    </row>
    <row r="334" ht="14.25" customHeight="1">
      <c r="B334" s="19"/>
      <c r="C334" s="19"/>
      <c r="D334" s="19"/>
      <c r="F334" s="55"/>
      <c r="G334" s="55"/>
      <c r="H334" s="12"/>
    </row>
    <row r="335" ht="14.25" customHeight="1">
      <c r="B335" s="19"/>
      <c r="C335" s="19"/>
      <c r="D335" s="19"/>
      <c r="F335" s="55"/>
      <c r="G335" s="55"/>
      <c r="H335" s="12"/>
    </row>
    <row r="336" ht="14.25" customHeight="1">
      <c r="B336" s="19"/>
      <c r="C336" s="19"/>
      <c r="D336" s="19"/>
      <c r="F336" s="55"/>
      <c r="G336" s="55"/>
      <c r="H336" s="12"/>
    </row>
    <row r="337" ht="14.25" customHeight="1">
      <c r="B337" s="19"/>
      <c r="C337" s="19"/>
      <c r="D337" s="19"/>
      <c r="F337" s="55"/>
      <c r="G337" s="55"/>
      <c r="H337" s="12"/>
    </row>
    <row r="338" ht="14.25" customHeight="1">
      <c r="B338" s="19"/>
      <c r="C338" s="19"/>
      <c r="D338" s="19"/>
      <c r="F338" s="55"/>
      <c r="G338" s="55"/>
      <c r="H338" s="12"/>
    </row>
    <row r="339" ht="14.25" customHeight="1">
      <c r="B339" s="19"/>
      <c r="C339" s="19"/>
      <c r="D339" s="19"/>
      <c r="F339" s="55"/>
      <c r="G339" s="55"/>
      <c r="H339" s="12"/>
    </row>
    <row r="340" ht="14.25" customHeight="1">
      <c r="B340" s="19"/>
      <c r="C340" s="19"/>
      <c r="D340" s="19"/>
      <c r="F340" s="55"/>
      <c r="G340" s="55"/>
      <c r="H340" s="12"/>
    </row>
    <row r="341" ht="14.25" customHeight="1">
      <c r="B341" s="19"/>
      <c r="C341" s="19"/>
      <c r="D341" s="19"/>
      <c r="F341" s="55"/>
      <c r="G341" s="55"/>
      <c r="H341" s="12"/>
    </row>
    <row r="342" ht="14.25" customHeight="1">
      <c r="B342" s="19"/>
      <c r="C342" s="19"/>
      <c r="D342" s="19"/>
      <c r="F342" s="55"/>
      <c r="G342" s="55"/>
      <c r="H342" s="12"/>
    </row>
    <row r="343" ht="14.25" customHeight="1">
      <c r="B343" s="19"/>
      <c r="C343" s="19"/>
      <c r="D343" s="19"/>
      <c r="F343" s="55"/>
      <c r="G343" s="55"/>
      <c r="H343" s="12"/>
    </row>
    <row r="344" ht="14.25" customHeight="1">
      <c r="B344" s="19"/>
      <c r="C344" s="19"/>
      <c r="D344" s="19"/>
      <c r="F344" s="55"/>
      <c r="G344" s="55"/>
      <c r="H344" s="12"/>
    </row>
    <row r="345" ht="14.25" customHeight="1">
      <c r="B345" s="19"/>
      <c r="C345" s="19"/>
      <c r="D345" s="19"/>
      <c r="F345" s="55"/>
      <c r="G345" s="55"/>
      <c r="H345" s="12"/>
    </row>
    <row r="346" ht="14.25" customHeight="1">
      <c r="B346" s="19"/>
      <c r="C346" s="19"/>
      <c r="D346" s="19"/>
      <c r="F346" s="55"/>
      <c r="G346" s="55"/>
      <c r="H346" s="12"/>
    </row>
    <row r="347" ht="14.25" customHeight="1">
      <c r="B347" s="19"/>
      <c r="C347" s="19"/>
      <c r="D347" s="19"/>
      <c r="F347" s="55"/>
      <c r="G347" s="55"/>
      <c r="H347" s="12"/>
    </row>
    <row r="348" ht="14.25" customHeight="1">
      <c r="B348" s="19"/>
      <c r="C348" s="19"/>
      <c r="D348" s="19"/>
      <c r="F348" s="55"/>
      <c r="G348" s="55"/>
      <c r="H348" s="12"/>
    </row>
    <row r="349" ht="14.25" customHeight="1">
      <c r="B349" s="19"/>
      <c r="C349" s="19"/>
      <c r="D349" s="19"/>
      <c r="F349" s="55"/>
      <c r="G349" s="55"/>
      <c r="H349" s="12"/>
    </row>
    <row r="350" ht="14.25" customHeight="1">
      <c r="B350" s="19"/>
      <c r="C350" s="19"/>
      <c r="D350" s="19"/>
      <c r="F350" s="55"/>
      <c r="G350" s="55"/>
      <c r="H350" s="12"/>
    </row>
    <row r="351" ht="14.25" customHeight="1">
      <c r="B351" s="19"/>
      <c r="C351" s="19"/>
      <c r="D351" s="19"/>
      <c r="F351" s="55"/>
      <c r="G351" s="55"/>
      <c r="H351" s="12"/>
    </row>
    <row r="352" ht="14.25" customHeight="1">
      <c r="B352" s="19"/>
      <c r="C352" s="19"/>
      <c r="D352" s="19"/>
      <c r="F352" s="55"/>
      <c r="G352" s="55"/>
      <c r="H352" s="12"/>
    </row>
    <row r="353" ht="14.25" customHeight="1">
      <c r="B353" s="19"/>
      <c r="C353" s="19"/>
      <c r="D353" s="19"/>
      <c r="F353" s="55"/>
      <c r="G353" s="55"/>
      <c r="H353" s="12"/>
    </row>
    <row r="354" ht="14.25" customHeight="1">
      <c r="B354" s="19"/>
      <c r="C354" s="19"/>
      <c r="D354" s="19"/>
      <c r="F354" s="55"/>
      <c r="G354" s="55"/>
      <c r="H354" s="12"/>
    </row>
    <row r="355" ht="14.25" customHeight="1">
      <c r="B355" s="19"/>
      <c r="C355" s="19"/>
      <c r="D355" s="19"/>
      <c r="F355" s="55"/>
      <c r="G355" s="55"/>
      <c r="H355" s="12"/>
    </row>
    <row r="356" ht="14.25" customHeight="1">
      <c r="B356" s="19"/>
      <c r="C356" s="19"/>
      <c r="D356" s="19"/>
      <c r="F356" s="55"/>
      <c r="G356" s="55"/>
      <c r="H356" s="12"/>
    </row>
    <row r="357" ht="14.25" customHeight="1">
      <c r="B357" s="19"/>
      <c r="C357" s="19"/>
      <c r="D357" s="19"/>
      <c r="F357" s="55"/>
      <c r="G357" s="55"/>
      <c r="H357" s="12"/>
    </row>
    <row r="358" ht="14.25" customHeight="1">
      <c r="B358" s="19"/>
      <c r="C358" s="19"/>
      <c r="D358" s="19"/>
      <c r="F358" s="55"/>
      <c r="G358" s="55"/>
      <c r="H358" s="12"/>
    </row>
    <row r="359" ht="14.25" customHeight="1">
      <c r="B359" s="19"/>
      <c r="C359" s="19"/>
      <c r="D359" s="19"/>
      <c r="F359" s="55"/>
      <c r="G359" s="55"/>
      <c r="H359" s="12"/>
    </row>
    <row r="360" ht="14.25" customHeight="1">
      <c r="B360" s="19"/>
      <c r="C360" s="19"/>
      <c r="D360" s="19"/>
      <c r="F360" s="55"/>
      <c r="G360" s="55"/>
      <c r="H360" s="12"/>
    </row>
    <row r="361" ht="14.25" customHeight="1">
      <c r="B361" s="19"/>
      <c r="C361" s="19"/>
      <c r="D361" s="19"/>
      <c r="F361" s="55"/>
      <c r="G361" s="55"/>
      <c r="H361" s="12"/>
    </row>
    <row r="362" ht="14.25" customHeight="1">
      <c r="B362" s="19"/>
      <c r="C362" s="19"/>
      <c r="D362" s="19"/>
      <c r="F362" s="55"/>
      <c r="G362" s="55"/>
      <c r="H362" s="12"/>
    </row>
    <row r="363" ht="14.25" customHeight="1">
      <c r="B363" s="19"/>
      <c r="C363" s="19"/>
      <c r="D363" s="19"/>
      <c r="F363" s="55"/>
      <c r="G363" s="55"/>
      <c r="H363" s="12"/>
    </row>
    <row r="364" ht="14.25" customHeight="1">
      <c r="B364" s="19"/>
      <c r="C364" s="19"/>
      <c r="D364" s="19"/>
      <c r="F364" s="55"/>
      <c r="G364" s="55"/>
      <c r="H364" s="12"/>
    </row>
    <row r="365" ht="14.25" customHeight="1">
      <c r="B365" s="19"/>
      <c r="C365" s="19"/>
      <c r="D365" s="19"/>
      <c r="F365" s="55"/>
      <c r="G365" s="55"/>
      <c r="H365" s="12"/>
    </row>
    <row r="366" ht="14.25" customHeight="1">
      <c r="B366" s="19"/>
      <c r="C366" s="19"/>
      <c r="D366" s="19"/>
      <c r="F366" s="55"/>
      <c r="G366" s="55"/>
      <c r="H366" s="12"/>
    </row>
    <row r="367" ht="14.25" customHeight="1">
      <c r="B367" s="19"/>
      <c r="C367" s="19"/>
      <c r="D367" s="19"/>
      <c r="F367" s="55"/>
      <c r="G367" s="55"/>
      <c r="H367" s="12"/>
    </row>
    <row r="368" ht="14.25" customHeight="1">
      <c r="B368" s="19"/>
      <c r="C368" s="19"/>
      <c r="D368" s="19"/>
      <c r="F368" s="55"/>
      <c r="G368" s="55"/>
      <c r="H368" s="12"/>
    </row>
    <row r="369" ht="14.25" customHeight="1">
      <c r="B369" s="19"/>
      <c r="C369" s="19"/>
      <c r="D369" s="19"/>
      <c r="F369" s="55"/>
      <c r="G369" s="55"/>
      <c r="H369" s="12"/>
    </row>
    <row r="370" ht="14.25" customHeight="1">
      <c r="B370" s="19"/>
      <c r="C370" s="19"/>
      <c r="D370" s="19"/>
      <c r="F370" s="55"/>
      <c r="G370" s="55"/>
      <c r="H370" s="12"/>
    </row>
    <row r="371" ht="14.25" customHeight="1">
      <c r="B371" s="19"/>
      <c r="C371" s="19"/>
      <c r="D371" s="19"/>
      <c r="F371" s="55"/>
      <c r="G371" s="55"/>
      <c r="H371" s="12"/>
    </row>
    <row r="372" ht="14.25" customHeight="1">
      <c r="B372" s="19"/>
      <c r="C372" s="19"/>
      <c r="D372" s="19"/>
      <c r="F372" s="55"/>
      <c r="G372" s="55"/>
      <c r="H372" s="12"/>
    </row>
    <row r="373" ht="14.25" customHeight="1">
      <c r="B373" s="19"/>
      <c r="C373" s="19"/>
      <c r="D373" s="19"/>
      <c r="F373" s="55"/>
      <c r="G373" s="55"/>
      <c r="H373" s="12"/>
    </row>
    <row r="374" ht="14.25" customHeight="1">
      <c r="B374" s="19"/>
      <c r="C374" s="19"/>
      <c r="D374" s="19"/>
      <c r="F374" s="55"/>
      <c r="G374" s="55"/>
      <c r="H374" s="12"/>
    </row>
    <row r="375" ht="14.25" customHeight="1">
      <c r="B375" s="19"/>
      <c r="C375" s="19"/>
      <c r="D375" s="19"/>
      <c r="F375" s="55"/>
      <c r="G375" s="55"/>
      <c r="H375" s="12"/>
    </row>
    <row r="376" ht="14.25" customHeight="1">
      <c r="B376" s="19"/>
      <c r="C376" s="19"/>
      <c r="D376" s="19"/>
      <c r="F376" s="55"/>
      <c r="G376" s="55"/>
      <c r="H376" s="12"/>
    </row>
    <row r="377" ht="14.25" customHeight="1">
      <c r="B377" s="19"/>
      <c r="C377" s="19"/>
      <c r="D377" s="19"/>
      <c r="F377" s="55"/>
      <c r="G377" s="55"/>
      <c r="H377" s="12"/>
    </row>
    <row r="378" ht="14.25" customHeight="1">
      <c r="B378" s="19"/>
      <c r="C378" s="19"/>
      <c r="D378" s="19"/>
      <c r="F378" s="55"/>
      <c r="G378" s="55"/>
      <c r="H378" s="12"/>
    </row>
    <row r="379" ht="14.25" customHeight="1">
      <c r="B379" s="19"/>
      <c r="C379" s="19"/>
      <c r="D379" s="19"/>
      <c r="F379" s="55"/>
      <c r="G379" s="55"/>
      <c r="H379" s="12"/>
    </row>
    <row r="380" ht="14.25" customHeight="1">
      <c r="B380" s="19"/>
      <c r="C380" s="19"/>
      <c r="D380" s="19"/>
      <c r="F380" s="55"/>
      <c r="G380" s="55"/>
      <c r="H380" s="12"/>
    </row>
    <row r="381" ht="14.25" customHeight="1">
      <c r="B381" s="19"/>
      <c r="C381" s="19"/>
      <c r="D381" s="19"/>
      <c r="F381" s="55"/>
      <c r="G381" s="55"/>
      <c r="H381" s="12"/>
    </row>
    <row r="382" ht="14.25" customHeight="1">
      <c r="B382" s="19"/>
      <c r="C382" s="19"/>
      <c r="D382" s="19"/>
      <c r="F382" s="55"/>
      <c r="G382" s="55"/>
      <c r="H382" s="12"/>
    </row>
    <row r="383" ht="14.25" customHeight="1">
      <c r="B383" s="19"/>
      <c r="C383" s="19"/>
      <c r="D383" s="19"/>
      <c r="F383" s="55"/>
      <c r="G383" s="55"/>
      <c r="H383" s="12"/>
    </row>
    <row r="384" ht="14.25" customHeight="1">
      <c r="B384" s="19"/>
      <c r="C384" s="19"/>
      <c r="D384" s="19"/>
      <c r="F384" s="55"/>
      <c r="G384" s="55"/>
      <c r="H384" s="12"/>
    </row>
    <row r="385" ht="14.25" customHeight="1">
      <c r="B385" s="19"/>
      <c r="C385" s="19"/>
      <c r="D385" s="19"/>
      <c r="F385" s="55"/>
      <c r="G385" s="55"/>
      <c r="H385" s="12"/>
    </row>
    <row r="386" ht="14.25" customHeight="1">
      <c r="B386" s="19"/>
      <c r="C386" s="19"/>
      <c r="D386" s="19"/>
      <c r="F386" s="55"/>
      <c r="G386" s="55"/>
      <c r="H386" s="12"/>
    </row>
    <row r="387" ht="14.25" customHeight="1">
      <c r="B387" s="19"/>
      <c r="C387" s="19"/>
      <c r="D387" s="19"/>
      <c r="F387" s="55"/>
      <c r="G387" s="55"/>
      <c r="H387" s="12"/>
    </row>
    <row r="388" ht="14.25" customHeight="1">
      <c r="B388" s="19"/>
      <c r="C388" s="19"/>
      <c r="D388" s="19"/>
      <c r="F388" s="55"/>
      <c r="G388" s="55"/>
      <c r="H388" s="12"/>
    </row>
    <row r="389" ht="14.25" customHeight="1">
      <c r="B389" s="19"/>
      <c r="C389" s="19"/>
      <c r="D389" s="19"/>
      <c r="F389" s="55"/>
      <c r="G389" s="55"/>
      <c r="H389" s="12"/>
    </row>
    <row r="390" ht="14.25" customHeight="1">
      <c r="B390" s="19"/>
      <c r="C390" s="19"/>
      <c r="D390" s="19"/>
      <c r="F390" s="55"/>
      <c r="G390" s="55"/>
      <c r="H390" s="12"/>
    </row>
    <row r="391" ht="14.25" customHeight="1">
      <c r="B391" s="19"/>
      <c r="C391" s="19"/>
      <c r="D391" s="19"/>
      <c r="F391" s="55"/>
      <c r="G391" s="55"/>
      <c r="H391" s="12"/>
    </row>
    <row r="392" ht="14.25" customHeight="1">
      <c r="B392" s="19"/>
      <c r="C392" s="19"/>
      <c r="D392" s="19"/>
      <c r="F392" s="55"/>
      <c r="G392" s="55"/>
      <c r="H392" s="12"/>
    </row>
    <row r="393" ht="14.25" customHeight="1">
      <c r="B393" s="19"/>
      <c r="C393" s="19"/>
      <c r="D393" s="19"/>
      <c r="F393" s="55"/>
      <c r="G393" s="55"/>
      <c r="H393" s="12"/>
    </row>
    <row r="394" ht="14.25" customHeight="1">
      <c r="B394" s="19"/>
      <c r="C394" s="19"/>
      <c r="D394" s="19"/>
      <c r="F394" s="55"/>
      <c r="G394" s="55"/>
      <c r="H394" s="12"/>
    </row>
    <row r="395" ht="14.25" customHeight="1">
      <c r="B395" s="19"/>
      <c r="C395" s="19"/>
      <c r="D395" s="19"/>
      <c r="F395" s="55"/>
      <c r="G395" s="55"/>
      <c r="H395" s="12"/>
    </row>
    <row r="396" ht="14.25" customHeight="1">
      <c r="B396" s="19"/>
      <c r="C396" s="19"/>
      <c r="D396" s="19"/>
      <c r="F396" s="55"/>
      <c r="G396" s="55"/>
      <c r="H396" s="12"/>
    </row>
    <row r="397" ht="14.25" customHeight="1">
      <c r="B397" s="19"/>
      <c r="C397" s="19"/>
      <c r="D397" s="19"/>
      <c r="F397" s="55"/>
      <c r="G397" s="55"/>
      <c r="H397" s="12"/>
    </row>
    <row r="398" ht="14.25" customHeight="1">
      <c r="B398" s="19"/>
      <c r="C398" s="19"/>
      <c r="D398" s="19"/>
      <c r="F398" s="55"/>
      <c r="G398" s="55"/>
      <c r="H398" s="12"/>
    </row>
    <row r="399" ht="14.25" customHeight="1">
      <c r="B399" s="19"/>
      <c r="C399" s="19"/>
      <c r="D399" s="19"/>
      <c r="F399" s="55"/>
      <c r="G399" s="55"/>
      <c r="H399" s="12"/>
    </row>
    <row r="400" ht="14.25" customHeight="1">
      <c r="B400" s="19"/>
      <c r="C400" s="19"/>
      <c r="D400" s="19"/>
      <c r="F400" s="55"/>
      <c r="G400" s="55"/>
      <c r="H400" s="12"/>
    </row>
    <row r="401" ht="14.25" customHeight="1">
      <c r="B401" s="19"/>
      <c r="C401" s="19"/>
      <c r="D401" s="19"/>
      <c r="F401" s="55"/>
      <c r="G401" s="55"/>
      <c r="H401" s="12"/>
    </row>
    <row r="402" ht="14.25" customHeight="1">
      <c r="B402" s="19"/>
      <c r="C402" s="19"/>
      <c r="D402" s="19"/>
      <c r="F402" s="55"/>
      <c r="G402" s="55"/>
      <c r="H402" s="12"/>
    </row>
    <row r="403" ht="14.25" customHeight="1">
      <c r="B403" s="19"/>
      <c r="C403" s="19"/>
      <c r="D403" s="19"/>
      <c r="F403" s="55"/>
      <c r="G403" s="55"/>
      <c r="H403" s="12"/>
    </row>
    <row r="404" ht="14.25" customHeight="1">
      <c r="B404" s="19"/>
      <c r="C404" s="19"/>
      <c r="D404" s="19"/>
      <c r="F404" s="55"/>
      <c r="G404" s="55"/>
      <c r="H404" s="12"/>
    </row>
    <row r="405" ht="14.25" customHeight="1">
      <c r="B405" s="19"/>
      <c r="C405" s="19"/>
      <c r="D405" s="19"/>
      <c r="F405" s="55"/>
      <c r="G405" s="55"/>
      <c r="H405" s="12"/>
    </row>
    <row r="406" ht="14.25" customHeight="1">
      <c r="B406" s="19"/>
      <c r="C406" s="19"/>
      <c r="D406" s="19"/>
      <c r="F406" s="55"/>
      <c r="G406" s="55"/>
      <c r="H406" s="12"/>
    </row>
    <row r="407" ht="14.25" customHeight="1">
      <c r="B407" s="19"/>
      <c r="C407" s="19"/>
      <c r="D407" s="19"/>
      <c r="F407" s="55"/>
      <c r="G407" s="55"/>
      <c r="H407" s="12"/>
    </row>
    <row r="408" ht="14.25" customHeight="1">
      <c r="B408" s="19"/>
      <c r="C408" s="19"/>
      <c r="D408" s="19"/>
      <c r="F408" s="55"/>
      <c r="G408" s="55"/>
      <c r="H408" s="12"/>
    </row>
    <row r="409" ht="14.25" customHeight="1">
      <c r="B409" s="19"/>
      <c r="C409" s="19"/>
      <c r="D409" s="19"/>
      <c r="F409" s="55"/>
      <c r="G409" s="55"/>
      <c r="H409" s="12"/>
    </row>
    <row r="410" ht="14.25" customHeight="1">
      <c r="B410" s="19"/>
      <c r="C410" s="19"/>
      <c r="D410" s="19"/>
      <c r="F410" s="55"/>
      <c r="G410" s="55"/>
      <c r="H410" s="12"/>
    </row>
    <row r="411" ht="14.25" customHeight="1">
      <c r="B411" s="19"/>
      <c r="C411" s="19"/>
      <c r="D411" s="19"/>
      <c r="F411" s="55"/>
      <c r="G411" s="55"/>
      <c r="H411" s="12"/>
    </row>
    <row r="412" ht="14.25" customHeight="1">
      <c r="B412" s="19"/>
      <c r="C412" s="19"/>
      <c r="D412" s="19"/>
      <c r="F412" s="55"/>
      <c r="G412" s="55"/>
      <c r="H412" s="12"/>
    </row>
    <row r="413" ht="14.25" customHeight="1">
      <c r="B413" s="19"/>
      <c r="C413" s="19"/>
      <c r="D413" s="19"/>
      <c r="F413" s="55"/>
      <c r="G413" s="55"/>
      <c r="H413" s="12"/>
    </row>
    <row r="414" ht="14.25" customHeight="1">
      <c r="B414" s="19"/>
      <c r="C414" s="19"/>
      <c r="D414" s="19"/>
      <c r="F414" s="55"/>
      <c r="G414" s="55"/>
      <c r="H414" s="12"/>
    </row>
    <row r="415" ht="14.25" customHeight="1">
      <c r="B415" s="19"/>
      <c r="C415" s="19"/>
      <c r="D415" s="19"/>
      <c r="F415" s="55"/>
      <c r="G415" s="55"/>
      <c r="H415" s="12"/>
    </row>
    <row r="416" ht="14.25" customHeight="1">
      <c r="B416" s="19"/>
      <c r="C416" s="19"/>
      <c r="D416" s="19"/>
      <c r="F416" s="55"/>
      <c r="G416" s="55"/>
      <c r="H416" s="12"/>
    </row>
    <row r="417" ht="14.25" customHeight="1">
      <c r="B417" s="19"/>
      <c r="C417" s="19"/>
      <c r="D417" s="19"/>
      <c r="F417" s="55"/>
      <c r="G417" s="55"/>
      <c r="H417" s="12"/>
    </row>
    <row r="418" ht="14.25" customHeight="1">
      <c r="B418" s="19"/>
      <c r="C418" s="19"/>
      <c r="D418" s="19"/>
      <c r="F418" s="55"/>
      <c r="G418" s="55"/>
      <c r="H418" s="12"/>
    </row>
    <row r="419" ht="14.25" customHeight="1">
      <c r="B419" s="19"/>
      <c r="C419" s="19"/>
      <c r="D419" s="19"/>
      <c r="F419" s="55"/>
      <c r="G419" s="55"/>
      <c r="H419" s="12"/>
    </row>
    <row r="420" ht="14.25" customHeight="1">
      <c r="B420" s="19"/>
      <c r="C420" s="19"/>
      <c r="D420" s="19"/>
      <c r="F420" s="55"/>
      <c r="G420" s="55"/>
      <c r="H420" s="12"/>
    </row>
    <row r="421" ht="14.25" customHeight="1">
      <c r="B421" s="19"/>
      <c r="C421" s="19"/>
      <c r="D421" s="19"/>
      <c r="F421" s="55"/>
      <c r="G421" s="55"/>
      <c r="H421" s="12"/>
    </row>
    <row r="422" ht="14.25" customHeight="1">
      <c r="B422" s="19"/>
      <c r="C422" s="19"/>
      <c r="D422" s="19"/>
      <c r="F422" s="55"/>
      <c r="G422" s="55"/>
      <c r="H422" s="12"/>
    </row>
    <row r="423" ht="14.25" customHeight="1">
      <c r="B423" s="19"/>
      <c r="C423" s="19"/>
      <c r="D423" s="19"/>
      <c r="F423" s="55"/>
      <c r="G423" s="55"/>
      <c r="H423" s="12"/>
    </row>
    <row r="424" ht="14.25" customHeight="1">
      <c r="B424" s="19"/>
      <c r="C424" s="19"/>
      <c r="D424" s="19"/>
      <c r="F424" s="55"/>
      <c r="G424" s="55"/>
      <c r="H424" s="12"/>
    </row>
    <row r="425" ht="14.25" customHeight="1">
      <c r="B425" s="19"/>
      <c r="C425" s="19"/>
      <c r="D425" s="19"/>
      <c r="F425" s="55"/>
      <c r="G425" s="55"/>
      <c r="H425" s="12"/>
    </row>
    <row r="426" ht="14.25" customHeight="1">
      <c r="B426" s="19"/>
      <c r="C426" s="19"/>
      <c r="D426" s="19"/>
      <c r="F426" s="55"/>
      <c r="G426" s="55"/>
      <c r="H426" s="12"/>
    </row>
    <row r="427" ht="14.25" customHeight="1">
      <c r="B427" s="19"/>
      <c r="C427" s="19"/>
      <c r="D427" s="19"/>
      <c r="F427" s="55"/>
      <c r="G427" s="55"/>
      <c r="H427" s="12"/>
    </row>
    <row r="428" ht="14.25" customHeight="1">
      <c r="B428" s="19"/>
      <c r="C428" s="19"/>
      <c r="D428" s="19"/>
      <c r="F428" s="55"/>
      <c r="G428" s="55"/>
      <c r="H428" s="12"/>
    </row>
    <row r="429" ht="14.25" customHeight="1">
      <c r="B429" s="19"/>
      <c r="C429" s="19"/>
      <c r="D429" s="19"/>
      <c r="F429" s="55"/>
      <c r="G429" s="55"/>
      <c r="H429" s="12"/>
    </row>
    <row r="430" ht="14.25" customHeight="1">
      <c r="B430" s="19"/>
      <c r="C430" s="19"/>
      <c r="D430" s="19"/>
      <c r="F430" s="55"/>
      <c r="G430" s="55"/>
      <c r="H430" s="12"/>
    </row>
    <row r="431" ht="14.25" customHeight="1">
      <c r="B431" s="19"/>
      <c r="C431" s="19"/>
      <c r="D431" s="19"/>
      <c r="F431" s="55"/>
      <c r="G431" s="55"/>
      <c r="H431" s="12"/>
    </row>
    <row r="432" ht="14.25" customHeight="1">
      <c r="B432" s="19"/>
      <c r="C432" s="19"/>
      <c r="D432" s="19"/>
      <c r="F432" s="55"/>
      <c r="G432" s="55"/>
      <c r="H432" s="12"/>
    </row>
    <row r="433" ht="14.25" customHeight="1">
      <c r="B433" s="19"/>
      <c r="C433" s="19"/>
      <c r="D433" s="19"/>
      <c r="F433" s="55"/>
      <c r="G433" s="55"/>
      <c r="H433" s="12"/>
    </row>
    <row r="434" ht="14.25" customHeight="1">
      <c r="B434" s="19"/>
      <c r="C434" s="19"/>
      <c r="D434" s="19"/>
      <c r="F434" s="55"/>
      <c r="G434" s="55"/>
      <c r="H434" s="12"/>
    </row>
    <row r="435" ht="14.25" customHeight="1">
      <c r="B435" s="19"/>
      <c r="C435" s="19"/>
      <c r="D435" s="19"/>
      <c r="F435" s="55"/>
      <c r="G435" s="55"/>
      <c r="H435" s="12"/>
    </row>
    <row r="436" ht="14.25" customHeight="1">
      <c r="B436" s="19"/>
      <c r="C436" s="19"/>
      <c r="D436" s="19"/>
      <c r="F436" s="55"/>
      <c r="G436" s="55"/>
      <c r="H436" s="12"/>
    </row>
    <row r="437" ht="14.25" customHeight="1">
      <c r="B437" s="19"/>
      <c r="C437" s="19"/>
      <c r="D437" s="19"/>
      <c r="F437" s="55"/>
      <c r="G437" s="55"/>
      <c r="H437" s="12"/>
    </row>
    <row r="438" ht="14.25" customHeight="1">
      <c r="B438" s="19"/>
      <c r="C438" s="19"/>
      <c r="D438" s="19"/>
      <c r="F438" s="55"/>
      <c r="G438" s="55"/>
      <c r="H438" s="12"/>
    </row>
    <row r="439" ht="14.25" customHeight="1">
      <c r="B439" s="19"/>
      <c r="C439" s="19"/>
      <c r="D439" s="19"/>
      <c r="F439" s="55"/>
      <c r="G439" s="55"/>
      <c r="H439" s="12"/>
    </row>
    <row r="440" ht="14.25" customHeight="1">
      <c r="B440" s="19"/>
      <c r="C440" s="19"/>
      <c r="D440" s="19"/>
      <c r="F440" s="55"/>
      <c r="G440" s="55"/>
      <c r="H440" s="12"/>
    </row>
    <row r="441" ht="14.25" customHeight="1">
      <c r="B441" s="19"/>
      <c r="C441" s="19"/>
      <c r="D441" s="19"/>
      <c r="F441" s="55"/>
      <c r="G441" s="55"/>
      <c r="H441" s="12"/>
    </row>
    <row r="442" ht="14.25" customHeight="1">
      <c r="B442" s="19"/>
      <c r="C442" s="19"/>
      <c r="D442" s="19"/>
      <c r="F442" s="55"/>
      <c r="G442" s="55"/>
      <c r="H442" s="12"/>
    </row>
    <row r="443" ht="14.25" customHeight="1">
      <c r="B443" s="19"/>
      <c r="C443" s="19"/>
      <c r="D443" s="19"/>
      <c r="F443" s="55"/>
      <c r="G443" s="55"/>
      <c r="H443" s="12"/>
    </row>
    <row r="444" ht="14.25" customHeight="1">
      <c r="B444" s="19"/>
      <c r="C444" s="19"/>
      <c r="D444" s="19"/>
      <c r="F444" s="55"/>
      <c r="G444" s="55"/>
      <c r="H444" s="12"/>
    </row>
    <row r="445" ht="14.25" customHeight="1">
      <c r="B445" s="19"/>
      <c r="C445" s="19"/>
      <c r="D445" s="19"/>
      <c r="F445" s="55"/>
      <c r="G445" s="55"/>
      <c r="H445" s="12"/>
    </row>
    <row r="446" ht="14.25" customHeight="1">
      <c r="B446" s="19"/>
      <c r="C446" s="19"/>
      <c r="D446" s="19"/>
      <c r="F446" s="55"/>
      <c r="G446" s="55"/>
      <c r="H446" s="12"/>
    </row>
    <row r="447" ht="14.25" customHeight="1">
      <c r="B447" s="19"/>
      <c r="C447" s="19"/>
      <c r="D447" s="19"/>
      <c r="F447" s="55"/>
      <c r="G447" s="55"/>
      <c r="H447" s="12"/>
    </row>
    <row r="448" ht="14.25" customHeight="1">
      <c r="B448" s="19"/>
      <c r="C448" s="19"/>
      <c r="D448" s="19"/>
      <c r="F448" s="55"/>
      <c r="G448" s="55"/>
      <c r="H448" s="12"/>
    </row>
    <row r="449" ht="14.25" customHeight="1">
      <c r="B449" s="19"/>
      <c r="C449" s="19"/>
      <c r="D449" s="19"/>
      <c r="F449" s="55"/>
      <c r="G449" s="55"/>
      <c r="H449" s="12"/>
    </row>
    <row r="450" ht="14.25" customHeight="1">
      <c r="B450" s="19"/>
      <c r="C450" s="19"/>
      <c r="D450" s="19"/>
      <c r="F450" s="55"/>
      <c r="G450" s="55"/>
      <c r="H450" s="12"/>
    </row>
    <row r="451" ht="14.25" customHeight="1">
      <c r="B451" s="19"/>
      <c r="C451" s="19"/>
      <c r="D451" s="19"/>
      <c r="F451" s="55"/>
      <c r="G451" s="55"/>
      <c r="H451" s="12"/>
    </row>
    <row r="452" ht="14.25" customHeight="1">
      <c r="B452" s="19"/>
      <c r="C452" s="19"/>
      <c r="D452" s="19"/>
      <c r="F452" s="55"/>
      <c r="G452" s="55"/>
      <c r="H452" s="12"/>
    </row>
    <row r="453" ht="14.25" customHeight="1">
      <c r="B453" s="19"/>
      <c r="C453" s="19"/>
      <c r="D453" s="19"/>
      <c r="F453" s="55"/>
      <c r="G453" s="55"/>
      <c r="H453" s="12"/>
    </row>
    <row r="454" ht="14.25" customHeight="1">
      <c r="B454" s="19"/>
      <c r="C454" s="19"/>
      <c r="D454" s="19"/>
      <c r="F454" s="55"/>
      <c r="G454" s="55"/>
      <c r="H454" s="12"/>
    </row>
    <row r="455" ht="14.25" customHeight="1">
      <c r="B455" s="19"/>
      <c r="C455" s="19"/>
      <c r="D455" s="19"/>
      <c r="F455" s="55"/>
      <c r="G455" s="55"/>
      <c r="H455" s="12"/>
    </row>
    <row r="456" ht="14.25" customHeight="1">
      <c r="B456" s="19"/>
      <c r="C456" s="19"/>
      <c r="D456" s="19"/>
      <c r="F456" s="55"/>
      <c r="G456" s="55"/>
      <c r="H456" s="12"/>
    </row>
    <row r="457" ht="14.25" customHeight="1">
      <c r="B457" s="19"/>
      <c r="C457" s="19"/>
      <c r="D457" s="19"/>
      <c r="F457" s="55"/>
      <c r="G457" s="55"/>
      <c r="H457" s="12"/>
    </row>
    <row r="458" ht="14.25" customHeight="1">
      <c r="B458" s="19"/>
      <c r="C458" s="19"/>
      <c r="D458" s="19"/>
      <c r="F458" s="55"/>
      <c r="G458" s="55"/>
      <c r="H458" s="12"/>
    </row>
    <row r="459" ht="14.25" customHeight="1">
      <c r="B459" s="19"/>
      <c r="C459" s="19"/>
      <c r="D459" s="19"/>
      <c r="F459" s="55"/>
      <c r="G459" s="55"/>
      <c r="H459" s="12"/>
    </row>
    <row r="460" ht="14.25" customHeight="1">
      <c r="B460" s="19"/>
      <c r="C460" s="19"/>
      <c r="D460" s="19"/>
      <c r="F460" s="55"/>
      <c r="G460" s="55"/>
      <c r="H460" s="12"/>
    </row>
    <row r="461" ht="14.25" customHeight="1">
      <c r="B461" s="19"/>
      <c r="C461" s="19"/>
      <c r="D461" s="19"/>
      <c r="F461" s="55"/>
      <c r="G461" s="55"/>
      <c r="H461" s="12"/>
    </row>
    <row r="462" ht="14.25" customHeight="1">
      <c r="B462" s="19"/>
      <c r="C462" s="19"/>
      <c r="D462" s="19"/>
      <c r="F462" s="55"/>
      <c r="G462" s="55"/>
      <c r="H462" s="12"/>
    </row>
    <row r="463" ht="14.25" customHeight="1">
      <c r="B463" s="19"/>
      <c r="C463" s="19"/>
      <c r="D463" s="19"/>
      <c r="F463" s="55"/>
      <c r="G463" s="55"/>
      <c r="H463" s="12"/>
    </row>
    <row r="464" ht="14.25" customHeight="1">
      <c r="B464" s="19"/>
      <c r="C464" s="19"/>
      <c r="D464" s="19"/>
      <c r="F464" s="55"/>
      <c r="G464" s="55"/>
      <c r="H464" s="12"/>
    </row>
    <row r="465" ht="14.25" customHeight="1">
      <c r="B465" s="19"/>
      <c r="C465" s="19"/>
      <c r="D465" s="19"/>
      <c r="F465" s="55"/>
      <c r="G465" s="55"/>
      <c r="H465" s="12"/>
    </row>
    <row r="466" ht="14.25" customHeight="1">
      <c r="B466" s="19"/>
      <c r="C466" s="19"/>
      <c r="D466" s="19"/>
      <c r="F466" s="55"/>
      <c r="G466" s="55"/>
      <c r="H466" s="12"/>
    </row>
    <row r="467" ht="14.25" customHeight="1">
      <c r="B467" s="19"/>
      <c r="C467" s="19"/>
      <c r="D467" s="19"/>
      <c r="F467" s="55"/>
      <c r="G467" s="55"/>
      <c r="H467" s="12"/>
    </row>
    <row r="468" ht="14.25" customHeight="1">
      <c r="B468" s="19"/>
      <c r="C468" s="19"/>
      <c r="D468" s="19"/>
      <c r="F468" s="55"/>
      <c r="G468" s="55"/>
      <c r="H468" s="12"/>
    </row>
    <row r="469" ht="14.25" customHeight="1">
      <c r="B469" s="19"/>
      <c r="C469" s="19"/>
      <c r="D469" s="19"/>
      <c r="F469" s="55"/>
      <c r="G469" s="55"/>
      <c r="H469" s="12"/>
    </row>
    <row r="470" ht="14.25" customHeight="1">
      <c r="B470" s="19"/>
      <c r="C470" s="19"/>
      <c r="D470" s="19"/>
      <c r="F470" s="55"/>
      <c r="G470" s="55"/>
      <c r="H470" s="12"/>
    </row>
    <row r="471" ht="14.25" customHeight="1">
      <c r="B471" s="19"/>
      <c r="C471" s="19"/>
      <c r="D471" s="19"/>
      <c r="F471" s="55"/>
      <c r="G471" s="55"/>
      <c r="H471" s="12"/>
    </row>
    <row r="472" ht="14.25" customHeight="1">
      <c r="B472" s="19"/>
      <c r="C472" s="19"/>
      <c r="D472" s="19"/>
      <c r="F472" s="55"/>
      <c r="G472" s="55"/>
      <c r="H472" s="12"/>
    </row>
    <row r="473" ht="14.25" customHeight="1">
      <c r="B473" s="19"/>
      <c r="C473" s="19"/>
      <c r="D473" s="19"/>
      <c r="F473" s="55"/>
      <c r="G473" s="55"/>
      <c r="H473" s="12"/>
    </row>
    <row r="474" ht="14.25" customHeight="1">
      <c r="B474" s="19"/>
      <c r="C474" s="19"/>
      <c r="D474" s="19"/>
      <c r="F474" s="55"/>
      <c r="G474" s="55"/>
      <c r="H474" s="12"/>
    </row>
    <row r="475" ht="14.25" customHeight="1">
      <c r="B475" s="19"/>
      <c r="C475" s="19"/>
      <c r="D475" s="19"/>
      <c r="F475" s="55"/>
      <c r="G475" s="55"/>
      <c r="H475" s="12"/>
    </row>
    <row r="476" ht="14.25" customHeight="1">
      <c r="B476" s="19"/>
      <c r="C476" s="19"/>
      <c r="D476" s="19"/>
      <c r="F476" s="55"/>
      <c r="G476" s="55"/>
      <c r="H476" s="12"/>
    </row>
    <row r="477" ht="14.25" customHeight="1">
      <c r="B477" s="19"/>
      <c r="C477" s="19"/>
      <c r="D477" s="19"/>
      <c r="F477" s="55"/>
      <c r="G477" s="55"/>
      <c r="H477" s="12"/>
    </row>
    <row r="478" ht="14.25" customHeight="1">
      <c r="B478" s="19"/>
      <c r="C478" s="19"/>
      <c r="D478" s="19"/>
      <c r="F478" s="55"/>
      <c r="G478" s="55"/>
      <c r="H478" s="12"/>
    </row>
    <row r="479" ht="14.25" customHeight="1">
      <c r="B479" s="19"/>
      <c r="C479" s="19"/>
      <c r="D479" s="19"/>
      <c r="F479" s="55"/>
      <c r="G479" s="55"/>
      <c r="H479" s="12"/>
    </row>
    <row r="480" ht="14.25" customHeight="1">
      <c r="B480" s="19"/>
      <c r="C480" s="19"/>
      <c r="D480" s="19"/>
      <c r="F480" s="55"/>
      <c r="G480" s="55"/>
      <c r="H480" s="12"/>
    </row>
    <row r="481" ht="14.25" customHeight="1">
      <c r="B481" s="19"/>
      <c r="C481" s="19"/>
      <c r="D481" s="19"/>
      <c r="F481" s="55"/>
      <c r="G481" s="55"/>
      <c r="H481" s="12"/>
    </row>
    <row r="482" ht="14.25" customHeight="1">
      <c r="B482" s="19"/>
      <c r="C482" s="19"/>
      <c r="D482" s="19"/>
      <c r="F482" s="55"/>
      <c r="G482" s="55"/>
      <c r="H482" s="12"/>
    </row>
    <row r="483" ht="14.25" customHeight="1">
      <c r="B483" s="19"/>
      <c r="C483" s="19"/>
      <c r="D483" s="19"/>
      <c r="F483" s="55"/>
      <c r="G483" s="55"/>
      <c r="H483" s="12"/>
    </row>
    <row r="484" ht="14.25" customHeight="1">
      <c r="B484" s="19"/>
      <c r="C484" s="19"/>
      <c r="D484" s="19"/>
      <c r="F484" s="55"/>
      <c r="G484" s="55"/>
      <c r="H484" s="12"/>
    </row>
    <row r="485" ht="14.25" customHeight="1">
      <c r="B485" s="19"/>
      <c r="C485" s="19"/>
      <c r="D485" s="19"/>
      <c r="F485" s="55"/>
      <c r="G485" s="55"/>
      <c r="H485" s="12"/>
    </row>
    <row r="486" ht="14.25" customHeight="1">
      <c r="B486" s="19"/>
      <c r="C486" s="19"/>
      <c r="D486" s="19"/>
      <c r="F486" s="55"/>
      <c r="G486" s="55"/>
      <c r="H486" s="12"/>
    </row>
    <row r="487" ht="14.25" customHeight="1">
      <c r="B487" s="19"/>
      <c r="C487" s="19"/>
      <c r="D487" s="19"/>
      <c r="F487" s="55"/>
      <c r="G487" s="55"/>
      <c r="H487" s="12"/>
    </row>
    <row r="488" ht="14.25" customHeight="1">
      <c r="B488" s="19"/>
      <c r="C488" s="19"/>
      <c r="D488" s="19"/>
      <c r="F488" s="55"/>
      <c r="G488" s="55"/>
      <c r="H488" s="12"/>
    </row>
    <row r="489" ht="14.25" customHeight="1">
      <c r="B489" s="19"/>
      <c r="C489" s="19"/>
      <c r="D489" s="19"/>
      <c r="F489" s="55"/>
      <c r="G489" s="55"/>
      <c r="H489" s="12"/>
    </row>
    <row r="490" ht="14.25" customHeight="1">
      <c r="B490" s="19"/>
      <c r="C490" s="19"/>
      <c r="D490" s="19"/>
      <c r="F490" s="55"/>
      <c r="G490" s="55"/>
      <c r="H490" s="12"/>
    </row>
    <row r="491" ht="14.25" customHeight="1">
      <c r="B491" s="19"/>
      <c r="C491" s="19"/>
      <c r="D491" s="19"/>
      <c r="F491" s="55"/>
      <c r="G491" s="55"/>
      <c r="H491" s="12"/>
    </row>
    <row r="492" ht="14.25" customHeight="1">
      <c r="B492" s="19"/>
      <c r="C492" s="19"/>
      <c r="D492" s="19"/>
      <c r="F492" s="55"/>
      <c r="G492" s="55"/>
      <c r="H492" s="12"/>
    </row>
    <row r="493" ht="14.25" customHeight="1">
      <c r="B493" s="19"/>
      <c r="C493" s="19"/>
      <c r="D493" s="19"/>
      <c r="F493" s="55"/>
      <c r="G493" s="55"/>
      <c r="H493" s="12"/>
    </row>
    <row r="494" ht="14.25" customHeight="1">
      <c r="B494" s="19"/>
      <c r="C494" s="19"/>
      <c r="D494" s="19"/>
      <c r="F494" s="55"/>
      <c r="G494" s="55"/>
      <c r="H494" s="12"/>
    </row>
    <row r="495" ht="14.25" customHeight="1">
      <c r="B495" s="19"/>
      <c r="C495" s="19"/>
      <c r="D495" s="19"/>
      <c r="F495" s="55"/>
      <c r="G495" s="55"/>
      <c r="H495" s="12"/>
    </row>
    <row r="496" ht="14.25" customHeight="1">
      <c r="B496" s="19"/>
      <c r="C496" s="19"/>
      <c r="D496" s="19"/>
      <c r="F496" s="55"/>
      <c r="G496" s="55"/>
      <c r="H496" s="12"/>
    </row>
    <row r="497" ht="14.25" customHeight="1">
      <c r="B497" s="19"/>
      <c r="C497" s="19"/>
      <c r="D497" s="19"/>
      <c r="F497" s="55"/>
      <c r="G497" s="55"/>
      <c r="H497" s="12"/>
    </row>
    <row r="498" ht="14.25" customHeight="1">
      <c r="B498" s="19"/>
      <c r="C498" s="19"/>
      <c r="D498" s="19"/>
      <c r="F498" s="55"/>
      <c r="G498" s="55"/>
      <c r="H498" s="12"/>
    </row>
    <row r="499" ht="14.25" customHeight="1">
      <c r="B499" s="19"/>
      <c r="C499" s="19"/>
      <c r="D499" s="19"/>
      <c r="F499" s="55"/>
      <c r="G499" s="55"/>
      <c r="H499" s="12"/>
    </row>
    <row r="500" ht="14.25" customHeight="1">
      <c r="B500" s="19"/>
      <c r="C500" s="19"/>
      <c r="D500" s="19"/>
      <c r="F500" s="55"/>
      <c r="G500" s="55"/>
      <c r="H500" s="12"/>
    </row>
    <row r="501" ht="14.25" customHeight="1">
      <c r="B501" s="19"/>
      <c r="C501" s="19"/>
      <c r="D501" s="19"/>
      <c r="F501" s="55"/>
      <c r="G501" s="55"/>
      <c r="H501" s="12"/>
    </row>
    <row r="502" ht="14.25" customHeight="1">
      <c r="B502" s="19"/>
      <c r="C502" s="19"/>
      <c r="D502" s="19"/>
      <c r="F502" s="55"/>
      <c r="G502" s="55"/>
      <c r="H502" s="12"/>
    </row>
    <row r="503" ht="14.25" customHeight="1">
      <c r="B503" s="19"/>
      <c r="C503" s="19"/>
      <c r="D503" s="19"/>
      <c r="F503" s="55"/>
      <c r="G503" s="55"/>
      <c r="H503" s="12"/>
    </row>
    <row r="504" ht="14.25" customHeight="1">
      <c r="B504" s="19"/>
      <c r="C504" s="19"/>
      <c r="D504" s="19"/>
      <c r="F504" s="55"/>
      <c r="G504" s="55"/>
      <c r="H504" s="12"/>
    </row>
    <row r="505" ht="14.25" customHeight="1">
      <c r="B505" s="19"/>
      <c r="C505" s="19"/>
      <c r="D505" s="19"/>
      <c r="F505" s="55"/>
      <c r="G505" s="55"/>
      <c r="H505" s="12"/>
    </row>
    <row r="506" ht="14.25" customHeight="1">
      <c r="B506" s="19"/>
      <c r="C506" s="19"/>
      <c r="D506" s="19"/>
      <c r="F506" s="55"/>
      <c r="G506" s="55"/>
      <c r="H506" s="12"/>
    </row>
    <row r="507" ht="14.25" customHeight="1">
      <c r="B507" s="19"/>
      <c r="C507" s="19"/>
      <c r="D507" s="19"/>
      <c r="F507" s="55"/>
      <c r="G507" s="55"/>
      <c r="H507" s="12"/>
    </row>
    <row r="508" ht="14.25" customHeight="1">
      <c r="B508" s="19"/>
      <c r="C508" s="19"/>
      <c r="D508" s="19"/>
      <c r="F508" s="55"/>
      <c r="G508" s="55"/>
      <c r="H508" s="12"/>
    </row>
    <row r="509" ht="14.25" customHeight="1">
      <c r="B509" s="19"/>
      <c r="C509" s="19"/>
      <c r="D509" s="19"/>
      <c r="F509" s="55"/>
      <c r="G509" s="55"/>
      <c r="H509" s="12"/>
    </row>
    <row r="510" ht="14.25" customHeight="1">
      <c r="B510" s="19"/>
      <c r="C510" s="19"/>
      <c r="D510" s="19"/>
      <c r="F510" s="55"/>
      <c r="G510" s="55"/>
      <c r="H510" s="12"/>
    </row>
    <row r="511" ht="14.25" customHeight="1">
      <c r="B511" s="19"/>
      <c r="C511" s="19"/>
      <c r="D511" s="19"/>
      <c r="F511" s="55"/>
      <c r="G511" s="55"/>
      <c r="H511" s="12"/>
    </row>
    <row r="512" ht="14.25" customHeight="1">
      <c r="B512" s="19"/>
      <c r="C512" s="19"/>
      <c r="D512" s="19"/>
      <c r="F512" s="55"/>
      <c r="G512" s="55"/>
      <c r="H512" s="12"/>
    </row>
    <row r="513" ht="14.25" customHeight="1">
      <c r="B513" s="19"/>
      <c r="C513" s="19"/>
      <c r="D513" s="19"/>
      <c r="F513" s="55"/>
      <c r="G513" s="55"/>
      <c r="H513" s="12"/>
    </row>
    <row r="514" ht="14.25" customHeight="1">
      <c r="B514" s="19"/>
      <c r="C514" s="19"/>
      <c r="D514" s="19"/>
      <c r="F514" s="55"/>
      <c r="G514" s="55"/>
      <c r="H514" s="12"/>
    </row>
    <row r="515" ht="14.25" customHeight="1">
      <c r="B515" s="19"/>
      <c r="C515" s="19"/>
      <c r="D515" s="19"/>
      <c r="F515" s="55"/>
      <c r="G515" s="55"/>
      <c r="H515" s="12"/>
    </row>
    <row r="516" ht="14.25" customHeight="1">
      <c r="B516" s="19"/>
      <c r="C516" s="19"/>
      <c r="D516" s="19"/>
      <c r="F516" s="55"/>
      <c r="G516" s="55"/>
      <c r="H516" s="12"/>
    </row>
    <row r="517" ht="14.25" customHeight="1">
      <c r="B517" s="19"/>
      <c r="C517" s="19"/>
      <c r="D517" s="19"/>
      <c r="F517" s="55"/>
      <c r="G517" s="55"/>
      <c r="H517" s="12"/>
    </row>
    <row r="518" ht="14.25" customHeight="1">
      <c r="B518" s="19"/>
      <c r="C518" s="19"/>
      <c r="D518" s="19"/>
      <c r="F518" s="55"/>
      <c r="G518" s="55"/>
      <c r="H518" s="12"/>
    </row>
    <row r="519" ht="14.25" customHeight="1">
      <c r="B519" s="19"/>
      <c r="C519" s="19"/>
      <c r="D519" s="19"/>
      <c r="F519" s="55"/>
      <c r="G519" s="55"/>
      <c r="H519" s="12"/>
    </row>
    <row r="520" ht="14.25" customHeight="1">
      <c r="B520" s="19"/>
      <c r="C520" s="19"/>
      <c r="D520" s="19"/>
      <c r="F520" s="55"/>
      <c r="G520" s="55"/>
      <c r="H520" s="12"/>
    </row>
    <row r="521" ht="14.25" customHeight="1">
      <c r="B521" s="19"/>
      <c r="C521" s="19"/>
      <c r="D521" s="19"/>
      <c r="F521" s="55"/>
      <c r="G521" s="55"/>
      <c r="H521" s="12"/>
    </row>
    <row r="522" ht="14.25" customHeight="1">
      <c r="B522" s="19"/>
      <c r="C522" s="19"/>
      <c r="D522" s="19"/>
      <c r="F522" s="55"/>
      <c r="G522" s="55"/>
      <c r="H522" s="12"/>
    </row>
    <row r="523" ht="14.25" customHeight="1">
      <c r="B523" s="19"/>
      <c r="C523" s="19"/>
      <c r="D523" s="19"/>
      <c r="F523" s="55"/>
      <c r="G523" s="55"/>
      <c r="H523" s="12"/>
    </row>
    <row r="524" ht="14.25" customHeight="1">
      <c r="B524" s="19"/>
      <c r="C524" s="19"/>
      <c r="D524" s="19"/>
      <c r="F524" s="55"/>
      <c r="G524" s="55"/>
      <c r="H524" s="12"/>
    </row>
    <row r="525" ht="14.25" customHeight="1">
      <c r="B525" s="19"/>
      <c r="C525" s="19"/>
      <c r="D525" s="19"/>
      <c r="F525" s="55"/>
      <c r="G525" s="55"/>
      <c r="H525" s="12"/>
    </row>
    <row r="526" ht="14.25" customHeight="1">
      <c r="B526" s="19"/>
      <c r="C526" s="19"/>
      <c r="D526" s="19"/>
      <c r="F526" s="55"/>
      <c r="G526" s="55"/>
      <c r="H526" s="12"/>
    </row>
    <row r="527" ht="14.25" customHeight="1">
      <c r="B527" s="19"/>
      <c r="C527" s="19"/>
      <c r="D527" s="19"/>
      <c r="F527" s="55"/>
      <c r="G527" s="55"/>
      <c r="H527" s="12"/>
    </row>
    <row r="528" ht="14.25" customHeight="1">
      <c r="B528" s="19"/>
      <c r="C528" s="19"/>
      <c r="D528" s="19"/>
      <c r="F528" s="55"/>
      <c r="G528" s="55"/>
      <c r="H528" s="12"/>
    </row>
    <row r="529" ht="14.25" customHeight="1">
      <c r="B529" s="19"/>
      <c r="C529" s="19"/>
      <c r="D529" s="19"/>
      <c r="F529" s="55"/>
      <c r="G529" s="55"/>
      <c r="H529" s="12"/>
    </row>
    <row r="530" ht="14.25" customHeight="1">
      <c r="B530" s="19"/>
      <c r="C530" s="19"/>
      <c r="D530" s="19"/>
      <c r="F530" s="55"/>
      <c r="G530" s="55"/>
      <c r="H530" s="12"/>
    </row>
    <row r="531" ht="14.25" customHeight="1">
      <c r="B531" s="19"/>
      <c r="C531" s="19"/>
      <c r="D531" s="19"/>
      <c r="F531" s="55"/>
      <c r="G531" s="55"/>
      <c r="H531" s="12"/>
    </row>
    <row r="532" ht="14.25" customHeight="1">
      <c r="B532" s="19"/>
      <c r="C532" s="19"/>
      <c r="D532" s="19"/>
      <c r="F532" s="55"/>
      <c r="G532" s="55"/>
      <c r="H532" s="12"/>
    </row>
    <row r="533" ht="14.25" customHeight="1">
      <c r="B533" s="19"/>
      <c r="C533" s="19"/>
      <c r="D533" s="19"/>
      <c r="F533" s="55"/>
      <c r="G533" s="55"/>
      <c r="H533" s="12"/>
    </row>
    <row r="534" ht="14.25" customHeight="1">
      <c r="B534" s="19"/>
      <c r="C534" s="19"/>
      <c r="D534" s="19"/>
      <c r="F534" s="55"/>
      <c r="G534" s="55"/>
      <c r="H534" s="12"/>
    </row>
    <row r="535" ht="14.25" customHeight="1">
      <c r="B535" s="19"/>
      <c r="C535" s="19"/>
      <c r="D535" s="19"/>
      <c r="F535" s="55"/>
      <c r="G535" s="55"/>
      <c r="H535" s="12"/>
    </row>
    <row r="536" ht="14.25" customHeight="1">
      <c r="B536" s="19"/>
      <c r="C536" s="19"/>
      <c r="D536" s="19"/>
      <c r="F536" s="55"/>
      <c r="G536" s="55"/>
      <c r="H536" s="12"/>
    </row>
    <row r="537" ht="14.25" customHeight="1">
      <c r="B537" s="19"/>
      <c r="C537" s="19"/>
      <c r="D537" s="19"/>
      <c r="F537" s="55"/>
      <c r="G537" s="55"/>
      <c r="H537" s="12"/>
    </row>
    <row r="538" ht="14.25" customHeight="1">
      <c r="B538" s="19"/>
      <c r="C538" s="19"/>
      <c r="D538" s="19"/>
      <c r="F538" s="55"/>
      <c r="G538" s="55"/>
      <c r="H538" s="12"/>
    </row>
    <row r="539" ht="14.25" customHeight="1">
      <c r="B539" s="19"/>
      <c r="C539" s="19"/>
      <c r="D539" s="19"/>
      <c r="F539" s="55"/>
      <c r="G539" s="55"/>
      <c r="H539" s="12"/>
    </row>
    <row r="540" ht="14.25" customHeight="1">
      <c r="B540" s="19"/>
      <c r="C540" s="19"/>
      <c r="D540" s="19"/>
      <c r="F540" s="55"/>
      <c r="G540" s="55"/>
      <c r="H540" s="12"/>
    </row>
    <row r="541" ht="14.25" customHeight="1">
      <c r="B541" s="19"/>
      <c r="C541" s="19"/>
      <c r="D541" s="19"/>
      <c r="F541" s="55"/>
      <c r="G541" s="55"/>
      <c r="H541" s="12"/>
    </row>
    <row r="542" ht="14.25" customHeight="1">
      <c r="B542" s="19"/>
      <c r="C542" s="19"/>
      <c r="D542" s="19"/>
      <c r="F542" s="55"/>
      <c r="G542" s="55"/>
      <c r="H542" s="12"/>
    </row>
    <row r="543" ht="14.25" customHeight="1">
      <c r="B543" s="19"/>
      <c r="C543" s="19"/>
      <c r="D543" s="19"/>
      <c r="F543" s="55"/>
      <c r="G543" s="55"/>
      <c r="H543" s="12"/>
    </row>
    <row r="544" ht="14.25" customHeight="1">
      <c r="B544" s="19"/>
      <c r="C544" s="19"/>
      <c r="D544" s="19"/>
      <c r="F544" s="55"/>
      <c r="G544" s="55"/>
      <c r="H544" s="12"/>
    </row>
    <row r="545" ht="14.25" customHeight="1">
      <c r="B545" s="19"/>
      <c r="C545" s="19"/>
      <c r="D545" s="19"/>
      <c r="F545" s="55"/>
      <c r="G545" s="55"/>
      <c r="H545" s="12"/>
    </row>
    <row r="546" ht="14.25" customHeight="1">
      <c r="B546" s="19"/>
      <c r="C546" s="19"/>
      <c r="D546" s="19"/>
      <c r="F546" s="55"/>
      <c r="G546" s="55"/>
      <c r="H546" s="12"/>
    </row>
    <row r="547" ht="14.25" customHeight="1">
      <c r="B547" s="19"/>
      <c r="C547" s="19"/>
      <c r="D547" s="19"/>
      <c r="F547" s="55"/>
      <c r="G547" s="55"/>
      <c r="H547" s="12"/>
    </row>
    <row r="548" ht="14.25" customHeight="1">
      <c r="B548" s="19"/>
      <c r="C548" s="19"/>
      <c r="D548" s="19"/>
      <c r="F548" s="55"/>
      <c r="G548" s="55"/>
      <c r="H548" s="12"/>
    </row>
    <row r="549" ht="14.25" customHeight="1">
      <c r="B549" s="19"/>
      <c r="C549" s="19"/>
      <c r="D549" s="19"/>
      <c r="F549" s="55"/>
      <c r="G549" s="55"/>
      <c r="H549" s="12"/>
    </row>
    <row r="550" ht="14.25" customHeight="1">
      <c r="B550" s="19"/>
      <c r="C550" s="19"/>
      <c r="D550" s="19"/>
      <c r="F550" s="55"/>
      <c r="G550" s="55"/>
      <c r="H550" s="12"/>
    </row>
    <row r="551" ht="14.25" customHeight="1">
      <c r="B551" s="19"/>
      <c r="C551" s="19"/>
      <c r="D551" s="19"/>
      <c r="F551" s="55"/>
      <c r="G551" s="55"/>
      <c r="H551" s="12"/>
    </row>
    <row r="552" ht="14.25" customHeight="1">
      <c r="B552" s="19"/>
      <c r="C552" s="19"/>
      <c r="D552" s="19"/>
      <c r="F552" s="55"/>
      <c r="G552" s="55"/>
      <c r="H552" s="12"/>
    </row>
    <row r="553" ht="14.25" customHeight="1">
      <c r="B553" s="19"/>
      <c r="C553" s="19"/>
      <c r="D553" s="19"/>
      <c r="F553" s="55"/>
      <c r="G553" s="55"/>
      <c r="H553" s="12"/>
    </row>
    <row r="554" ht="14.25" customHeight="1">
      <c r="B554" s="19"/>
      <c r="C554" s="19"/>
      <c r="D554" s="19"/>
      <c r="F554" s="55"/>
      <c r="G554" s="55"/>
      <c r="H554" s="12"/>
    </row>
    <row r="555" ht="14.25" customHeight="1">
      <c r="B555" s="19"/>
      <c r="C555" s="19"/>
      <c r="D555" s="19"/>
      <c r="F555" s="55"/>
      <c r="G555" s="55"/>
      <c r="H555" s="12"/>
    </row>
    <row r="556" ht="14.25" customHeight="1">
      <c r="B556" s="19"/>
      <c r="C556" s="19"/>
      <c r="D556" s="19"/>
      <c r="F556" s="55"/>
      <c r="G556" s="55"/>
      <c r="H556" s="12"/>
    </row>
    <row r="557" ht="14.25" customHeight="1">
      <c r="B557" s="19"/>
      <c r="C557" s="19"/>
      <c r="D557" s="19"/>
      <c r="F557" s="55"/>
      <c r="G557" s="55"/>
      <c r="H557" s="12"/>
    </row>
    <row r="558" ht="14.25" customHeight="1">
      <c r="B558" s="19"/>
      <c r="C558" s="19"/>
      <c r="D558" s="19"/>
      <c r="F558" s="55"/>
      <c r="G558" s="55"/>
      <c r="H558" s="12"/>
    </row>
    <row r="559" ht="14.25" customHeight="1">
      <c r="B559" s="19"/>
      <c r="C559" s="19"/>
      <c r="D559" s="19"/>
      <c r="F559" s="55"/>
      <c r="G559" s="55"/>
      <c r="H559" s="12"/>
    </row>
    <row r="560" ht="14.25" customHeight="1">
      <c r="B560" s="19"/>
      <c r="C560" s="19"/>
      <c r="D560" s="19"/>
      <c r="F560" s="55"/>
      <c r="G560" s="55"/>
      <c r="H560" s="12"/>
    </row>
    <row r="561" ht="14.25" customHeight="1">
      <c r="B561" s="19"/>
      <c r="C561" s="19"/>
      <c r="D561" s="19"/>
      <c r="F561" s="55"/>
      <c r="G561" s="55"/>
      <c r="H561" s="12"/>
    </row>
    <row r="562" ht="14.25" customHeight="1">
      <c r="B562" s="19"/>
      <c r="C562" s="19"/>
      <c r="D562" s="19"/>
      <c r="F562" s="55"/>
      <c r="G562" s="55"/>
      <c r="H562" s="12"/>
    </row>
    <row r="563" ht="14.25" customHeight="1">
      <c r="B563" s="19"/>
      <c r="C563" s="19"/>
      <c r="D563" s="19"/>
      <c r="F563" s="55"/>
      <c r="G563" s="55"/>
      <c r="H563" s="12"/>
    </row>
    <row r="564" ht="14.25" customHeight="1">
      <c r="B564" s="19"/>
      <c r="C564" s="19"/>
      <c r="D564" s="19"/>
      <c r="F564" s="55"/>
      <c r="G564" s="55"/>
      <c r="H564" s="12"/>
    </row>
    <row r="565" ht="14.25" customHeight="1">
      <c r="B565" s="19"/>
      <c r="C565" s="19"/>
      <c r="D565" s="19"/>
      <c r="F565" s="55"/>
      <c r="G565" s="55"/>
      <c r="H565" s="12"/>
    </row>
    <row r="566" ht="14.25" customHeight="1">
      <c r="B566" s="19"/>
      <c r="C566" s="19"/>
      <c r="D566" s="19"/>
      <c r="F566" s="55"/>
      <c r="G566" s="55"/>
      <c r="H566" s="12"/>
    </row>
    <row r="567" ht="14.25" customHeight="1">
      <c r="B567" s="19"/>
      <c r="C567" s="19"/>
      <c r="D567" s="19"/>
      <c r="F567" s="55"/>
      <c r="G567" s="55"/>
      <c r="H567" s="12"/>
    </row>
    <row r="568" ht="14.25" customHeight="1">
      <c r="B568" s="19"/>
      <c r="C568" s="19"/>
      <c r="D568" s="19"/>
      <c r="F568" s="55"/>
      <c r="G568" s="55"/>
      <c r="H568" s="12"/>
    </row>
    <row r="569" ht="14.25" customHeight="1">
      <c r="B569" s="19"/>
      <c r="C569" s="19"/>
      <c r="D569" s="19"/>
      <c r="F569" s="55"/>
      <c r="G569" s="55"/>
      <c r="H569" s="12"/>
    </row>
    <row r="570" ht="14.25" customHeight="1">
      <c r="B570" s="19"/>
      <c r="C570" s="19"/>
      <c r="D570" s="19"/>
      <c r="F570" s="55"/>
      <c r="G570" s="55"/>
      <c r="H570" s="12"/>
    </row>
    <row r="571" ht="14.25" customHeight="1">
      <c r="B571" s="19"/>
      <c r="C571" s="19"/>
      <c r="D571" s="19"/>
      <c r="F571" s="55"/>
      <c r="G571" s="55"/>
      <c r="H571" s="12"/>
    </row>
    <row r="572" ht="14.25" customHeight="1">
      <c r="B572" s="19"/>
      <c r="C572" s="19"/>
      <c r="D572" s="19"/>
      <c r="F572" s="55"/>
      <c r="G572" s="55"/>
      <c r="H572" s="12"/>
    </row>
    <row r="573" ht="14.25" customHeight="1">
      <c r="B573" s="19"/>
      <c r="C573" s="19"/>
      <c r="D573" s="19"/>
      <c r="F573" s="55"/>
      <c r="G573" s="55"/>
      <c r="H573" s="12"/>
    </row>
    <row r="574" ht="14.25" customHeight="1">
      <c r="B574" s="19"/>
      <c r="C574" s="19"/>
      <c r="D574" s="19"/>
      <c r="F574" s="55"/>
      <c r="G574" s="55"/>
      <c r="H574" s="12"/>
    </row>
    <row r="575" ht="14.25" customHeight="1">
      <c r="B575" s="19"/>
      <c r="C575" s="19"/>
      <c r="D575" s="19"/>
      <c r="F575" s="55"/>
      <c r="G575" s="55"/>
      <c r="H575" s="12"/>
    </row>
    <row r="576" ht="14.25" customHeight="1">
      <c r="B576" s="19"/>
      <c r="C576" s="19"/>
      <c r="D576" s="19"/>
      <c r="F576" s="55"/>
      <c r="G576" s="55"/>
      <c r="H576" s="12"/>
    </row>
    <row r="577" ht="14.25" customHeight="1">
      <c r="B577" s="19"/>
      <c r="C577" s="19"/>
      <c r="D577" s="19"/>
      <c r="F577" s="55"/>
      <c r="G577" s="55"/>
      <c r="H577" s="12"/>
    </row>
    <row r="578" ht="14.25" customHeight="1">
      <c r="B578" s="19"/>
      <c r="C578" s="19"/>
      <c r="D578" s="19"/>
      <c r="F578" s="55"/>
      <c r="G578" s="55"/>
      <c r="H578" s="12"/>
    </row>
    <row r="579" ht="14.25" customHeight="1">
      <c r="B579" s="19"/>
      <c r="C579" s="19"/>
      <c r="D579" s="19"/>
      <c r="F579" s="55"/>
      <c r="G579" s="55"/>
      <c r="H579" s="12"/>
    </row>
    <row r="580" ht="14.25" customHeight="1">
      <c r="B580" s="19"/>
      <c r="C580" s="19"/>
      <c r="D580" s="19"/>
      <c r="F580" s="55"/>
      <c r="G580" s="55"/>
      <c r="H580" s="12"/>
    </row>
    <row r="581" ht="14.25" customHeight="1">
      <c r="B581" s="19"/>
      <c r="C581" s="19"/>
      <c r="D581" s="19"/>
      <c r="F581" s="55"/>
      <c r="G581" s="55"/>
      <c r="H581" s="12"/>
    </row>
    <row r="582" ht="14.25" customHeight="1">
      <c r="B582" s="19"/>
      <c r="C582" s="19"/>
      <c r="D582" s="19"/>
      <c r="F582" s="55"/>
      <c r="G582" s="55"/>
      <c r="H582" s="12"/>
    </row>
    <row r="583" ht="14.25" customHeight="1">
      <c r="B583" s="19"/>
      <c r="C583" s="19"/>
      <c r="D583" s="19"/>
      <c r="F583" s="55"/>
      <c r="G583" s="55"/>
      <c r="H583" s="12"/>
    </row>
    <row r="584" ht="14.25" customHeight="1">
      <c r="B584" s="19"/>
      <c r="C584" s="19"/>
      <c r="D584" s="19"/>
      <c r="F584" s="55"/>
      <c r="G584" s="55"/>
      <c r="H584" s="12"/>
    </row>
    <row r="585" ht="14.25" customHeight="1">
      <c r="B585" s="19"/>
      <c r="C585" s="19"/>
      <c r="D585" s="19"/>
      <c r="F585" s="55"/>
      <c r="G585" s="55"/>
      <c r="H585" s="12"/>
    </row>
    <row r="586" ht="14.25" customHeight="1">
      <c r="B586" s="19"/>
      <c r="C586" s="19"/>
      <c r="D586" s="19"/>
      <c r="F586" s="55"/>
      <c r="G586" s="55"/>
      <c r="H586" s="12"/>
    </row>
    <row r="587" ht="14.25" customHeight="1">
      <c r="B587" s="19"/>
      <c r="C587" s="19"/>
      <c r="D587" s="19"/>
      <c r="F587" s="55"/>
      <c r="G587" s="55"/>
      <c r="H587" s="12"/>
    </row>
    <row r="588" ht="14.25" customHeight="1">
      <c r="B588" s="19"/>
      <c r="C588" s="19"/>
      <c r="D588" s="19"/>
      <c r="F588" s="55"/>
      <c r="G588" s="55"/>
      <c r="H588" s="12"/>
    </row>
    <row r="589" ht="14.25" customHeight="1">
      <c r="B589" s="19"/>
      <c r="C589" s="19"/>
      <c r="D589" s="19"/>
      <c r="F589" s="55"/>
      <c r="G589" s="55"/>
      <c r="H589" s="12"/>
    </row>
    <row r="590" ht="14.25" customHeight="1">
      <c r="B590" s="19"/>
      <c r="C590" s="19"/>
      <c r="D590" s="19"/>
      <c r="F590" s="55"/>
      <c r="G590" s="55"/>
      <c r="H590" s="12"/>
    </row>
    <row r="591" ht="14.25" customHeight="1">
      <c r="B591" s="19"/>
      <c r="C591" s="19"/>
      <c r="D591" s="19"/>
      <c r="F591" s="55"/>
      <c r="G591" s="55"/>
      <c r="H591" s="12"/>
    </row>
    <row r="592" ht="14.25" customHeight="1">
      <c r="B592" s="19"/>
      <c r="C592" s="19"/>
      <c r="D592" s="19"/>
      <c r="F592" s="55"/>
      <c r="G592" s="55"/>
      <c r="H592" s="12"/>
    </row>
    <row r="593" ht="14.25" customHeight="1">
      <c r="B593" s="19"/>
      <c r="C593" s="19"/>
      <c r="D593" s="19"/>
      <c r="F593" s="55"/>
      <c r="G593" s="55"/>
      <c r="H593" s="12"/>
    </row>
    <row r="594" ht="14.25" customHeight="1">
      <c r="B594" s="19"/>
      <c r="C594" s="19"/>
      <c r="D594" s="19"/>
      <c r="F594" s="55"/>
      <c r="G594" s="55"/>
      <c r="H594" s="12"/>
    </row>
    <row r="595" ht="14.25" customHeight="1">
      <c r="B595" s="19"/>
      <c r="C595" s="19"/>
      <c r="D595" s="19"/>
      <c r="F595" s="55"/>
      <c r="G595" s="55"/>
      <c r="H595" s="12"/>
    </row>
    <row r="596" ht="14.25" customHeight="1">
      <c r="B596" s="19"/>
      <c r="C596" s="19"/>
      <c r="D596" s="19"/>
      <c r="F596" s="55"/>
      <c r="G596" s="55"/>
      <c r="H596" s="12"/>
    </row>
    <row r="597" ht="14.25" customHeight="1">
      <c r="B597" s="19"/>
      <c r="C597" s="19"/>
      <c r="D597" s="19"/>
      <c r="F597" s="55"/>
      <c r="G597" s="55"/>
      <c r="H597" s="12"/>
    </row>
    <row r="598" ht="14.25" customHeight="1">
      <c r="B598" s="19"/>
      <c r="C598" s="19"/>
      <c r="D598" s="19"/>
      <c r="F598" s="55"/>
      <c r="G598" s="55"/>
      <c r="H598" s="12"/>
    </row>
    <row r="599" ht="14.25" customHeight="1">
      <c r="B599" s="19"/>
      <c r="C599" s="19"/>
      <c r="D599" s="19"/>
      <c r="F599" s="55"/>
      <c r="G599" s="55"/>
      <c r="H599" s="12"/>
    </row>
    <row r="600" ht="14.25" customHeight="1">
      <c r="B600" s="19"/>
      <c r="C600" s="19"/>
      <c r="D600" s="19"/>
      <c r="F600" s="55"/>
      <c r="G600" s="55"/>
      <c r="H600" s="12"/>
    </row>
    <row r="601" ht="14.25" customHeight="1">
      <c r="B601" s="19"/>
      <c r="C601" s="19"/>
      <c r="D601" s="19"/>
      <c r="F601" s="55"/>
      <c r="G601" s="55"/>
      <c r="H601" s="12"/>
    </row>
    <row r="602" ht="14.25" customHeight="1">
      <c r="B602" s="19"/>
      <c r="C602" s="19"/>
      <c r="D602" s="19"/>
      <c r="F602" s="55"/>
      <c r="G602" s="55"/>
      <c r="H602" s="12"/>
    </row>
    <row r="603" ht="14.25" customHeight="1">
      <c r="B603" s="19"/>
      <c r="C603" s="19"/>
      <c r="D603" s="19"/>
      <c r="F603" s="55"/>
      <c r="G603" s="55"/>
      <c r="H603" s="12"/>
    </row>
    <row r="604" ht="14.25" customHeight="1">
      <c r="B604" s="19"/>
      <c r="C604" s="19"/>
      <c r="D604" s="19"/>
      <c r="F604" s="55"/>
      <c r="G604" s="55"/>
      <c r="H604" s="12"/>
    </row>
    <row r="605" ht="14.25" customHeight="1">
      <c r="B605" s="19"/>
      <c r="C605" s="19"/>
      <c r="D605" s="19"/>
      <c r="F605" s="55"/>
      <c r="G605" s="55"/>
      <c r="H605" s="12"/>
    </row>
    <row r="606" ht="14.25" customHeight="1">
      <c r="B606" s="19"/>
      <c r="C606" s="19"/>
      <c r="D606" s="19"/>
      <c r="F606" s="55"/>
      <c r="G606" s="55"/>
      <c r="H606" s="12"/>
    </row>
    <row r="607" ht="14.25" customHeight="1">
      <c r="B607" s="19"/>
      <c r="C607" s="19"/>
      <c r="D607" s="19"/>
      <c r="F607" s="55"/>
      <c r="G607" s="55"/>
      <c r="H607" s="12"/>
    </row>
    <row r="608" ht="14.25" customHeight="1">
      <c r="B608" s="19"/>
      <c r="C608" s="19"/>
      <c r="D608" s="19"/>
      <c r="F608" s="55"/>
      <c r="G608" s="55"/>
      <c r="H608" s="12"/>
    </row>
    <row r="609" ht="14.25" customHeight="1">
      <c r="B609" s="19"/>
      <c r="C609" s="19"/>
      <c r="D609" s="19"/>
      <c r="F609" s="55"/>
      <c r="G609" s="55"/>
      <c r="H609" s="12"/>
    </row>
    <row r="610" ht="14.25" customHeight="1">
      <c r="B610" s="19"/>
      <c r="C610" s="19"/>
      <c r="D610" s="19"/>
      <c r="F610" s="55"/>
      <c r="G610" s="55"/>
      <c r="H610" s="12"/>
    </row>
    <row r="611" ht="14.25" customHeight="1">
      <c r="B611" s="19"/>
      <c r="C611" s="19"/>
      <c r="D611" s="19"/>
      <c r="F611" s="55"/>
      <c r="G611" s="55"/>
      <c r="H611" s="12"/>
    </row>
    <row r="612" ht="14.25" customHeight="1">
      <c r="B612" s="19"/>
      <c r="C612" s="19"/>
      <c r="D612" s="19"/>
      <c r="F612" s="55"/>
      <c r="G612" s="55"/>
      <c r="H612" s="12"/>
    </row>
    <row r="613" ht="14.25" customHeight="1">
      <c r="B613" s="19"/>
      <c r="C613" s="19"/>
      <c r="D613" s="19"/>
      <c r="F613" s="55"/>
      <c r="G613" s="55"/>
      <c r="H613" s="12"/>
    </row>
    <row r="614" ht="14.25" customHeight="1">
      <c r="B614" s="19"/>
      <c r="C614" s="19"/>
      <c r="D614" s="19"/>
      <c r="F614" s="55"/>
      <c r="G614" s="55"/>
      <c r="H614" s="12"/>
    </row>
    <row r="615" ht="14.25" customHeight="1">
      <c r="B615" s="19"/>
      <c r="C615" s="19"/>
      <c r="D615" s="19"/>
      <c r="F615" s="55"/>
      <c r="G615" s="55"/>
      <c r="H615" s="12"/>
    </row>
    <row r="616" ht="14.25" customHeight="1">
      <c r="B616" s="19"/>
      <c r="C616" s="19"/>
      <c r="D616" s="19"/>
      <c r="F616" s="55"/>
      <c r="G616" s="55"/>
      <c r="H616" s="12"/>
    </row>
    <row r="617" ht="14.25" customHeight="1">
      <c r="B617" s="19"/>
      <c r="C617" s="19"/>
      <c r="D617" s="19"/>
      <c r="F617" s="55"/>
      <c r="G617" s="55"/>
      <c r="H617" s="12"/>
    </row>
    <row r="618" ht="14.25" customHeight="1">
      <c r="B618" s="19"/>
      <c r="C618" s="19"/>
      <c r="D618" s="19"/>
      <c r="F618" s="55"/>
      <c r="G618" s="55"/>
      <c r="H618" s="12"/>
    </row>
    <row r="619" ht="14.25" customHeight="1">
      <c r="B619" s="19"/>
      <c r="C619" s="19"/>
      <c r="D619" s="19"/>
      <c r="F619" s="55"/>
      <c r="G619" s="55"/>
      <c r="H619" s="12"/>
    </row>
    <row r="620" ht="14.25" customHeight="1">
      <c r="B620" s="19"/>
      <c r="C620" s="19"/>
      <c r="D620" s="19"/>
      <c r="F620" s="55"/>
      <c r="G620" s="55"/>
      <c r="H620" s="12"/>
    </row>
    <row r="621" ht="14.25" customHeight="1">
      <c r="B621" s="19"/>
      <c r="C621" s="19"/>
      <c r="D621" s="19"/>
      <c r="F621" s="55"/>
      <c r="G621" s="55"/>
      <c r="H621" s="12"/>
    </row>
    <row r="622" ht="14.25" customHeight="1">
      <c r="B622" s="19"/>
      <c r="C622" s="19"/>
      <c r="D622" s="19"/>
      <c r="F622" s="55"/>
      <c r="G622" s="55"/>
      <c r="H622" s="12"/>
    </row>
    <row r="623" ht="14.25" customHeight="1">
      <c r="B623" s="19"/>
      <c r="C623" s="19"/>
      <c r="D623" s="19"/>
      <c r="F623" s="55"/>
      <c r="G623" s="55"/>
      <c r="H623" s="12"/>
    </row>
    <row r="624" ht="14.25" customHeight="1">
      <c r="B624" s="19"/>
      <c r="C624" s="19"/>
      <c r="D624" s="19"/>
      <c r="F624" s="55"/>
      <c r="G624" s="55"/>
      <c r="H624" s="12"/>
    </row>
    <row r="625" ht="14.25" customHeight="1">
      <c r="B625" s="19"/>
      <c r="C625" s="19"/>
      <c r="D625" s="19"/>
      <c r="F625" s="55"/>
      <c r="G625" s="55"/>
      <c r="H625" s="12"/>
    </row>
    <row r="626" ht="14.25" customHeight="1">
      <c r="B626" s="19"/>
      <c r="C626" s="19"/>
      <c r="D626" s="19"/>
      <c r="F626" s="55"/>
      <c r="G626" s="55"/>
      <c r="H626" s="12"/>
    </row>
    <row r="627" ht="14.25" customHeight="1">
      <c r="B627" s="19"/>
      <c r="C627" s="19"/>
      <c r="D627" s="19"/>
      <c r="F627" s="55"/>
      <c r="G627" s="55"/>
      <c r="H627" s="12"/>
    </row>
    <row r="628" ht="14.25" customHeight="1">
      <c r="B628" s="19"/>
      <c r="C628" s="19"/>
      <c r="D628" s="19"/>
      <c r="F628" s="55"/>
      <c r="G628" s="55"/>
      <c r="H628" s="12"/>
    </row>
    <row r="629" ht="14.25" customHeight="1">
      <c r="B629" s="19"/>
      <c r="C629" s="19"/>
      <c r="D629" s="19"/>
      <c r="F629" s="55"/>
      <c r="G629" s="55"/>
      <c r="H629" s="12"/>
    </row>
    <row r="630" ht="14.25" customHeight="1">
      <c r="B630" s="19"/>
      <c r="C630" s="19"/>
      <c r="D630" s="19"/>
      <c r="F630" s="55"/>
      <c r="G630" s="55"/>
      <c r="H630" s="12"/>
    </row>
    <row r="631" ht="14.25" customHeight="1">
      <c r="B631" s="19"/>
      <c r="C631" s="19"/>
      <c r="D631" s="19"/>
      <c r="F631" s="55"/>
      <c r="G631" s="55"/>
      <c r="H631" s="12"/>
    </row>
    <row r="632" ht="14.25" customHeight="1">
      <c r="B632" s="19"/>
      <c r="C632" s="19"/>
      <c r="D632" s="19"/>
      <c r="F632" s="55"/>
      <c r="G632" s="55"/>
      <c r="H632" s="12"/>
    </row>
    <row r="633" ht="14.25" customHeight="1">
      <c r="B633" s="19"/>
      <c r="C633" s="19"/>
      <c r="D633" s="19"/>
      <c r="F633" s="55"/>
      <c r="G633" s="55"/>
      <c r="H633" s="12"/>
    </row>
    <row r="634" ht="14.25" customHeight="1">
      <c r="B634" s="19"/>
      <c r="C634" s="19"/>
      <c r="D634" s="19"/>
      <c r="F634" s="55"/>
      <c r="G634" s="55"/>
      <c r="H634" s="12"/>
    </row>
    <row r="635" ht="14.25" customHeight="1">
      <c r="B635" s="19"/>
      <c r="C635" s="19"/>
      <c r="D635" s="19"/>
      <c r="F635" s="55"/>
      <c r="G635" s="55"/>
      <c r="H635" s="12"/>
    </row>
    <row r="636" ht="14.25" customHeight="1">
      <c r="B636" s="19"/>
      <c r="C636" s="19"/>
      <c r="D636" s="19"/>
      <c r="F636" s="55"/>
      <c r="G636" s="55"/>
      <c r="H636" s="12"/>
    </row>
    <row r="637" ht="14.25" customHeight="1">
      <c r="B637" s="19"/>
      <c r="C637" s="19"/>
      <c r="D637" s="19"/>
      <c r="F637" s="55"/>
      <c r="G637" s="55"/>
      <c r="H637" s="12"/>
    </row>
    <row r="638" ht="14.25" customHeight="1">
      <c r="B638" s="19"/>
      <c r="C638" s="19"/>
      <c r="D638" s="19"/>
      <c r="F638" s="55"/>
      <c r="G638" s="55"/>
      <c r="H638" s="12"/>
    </row>
    <row r="639" ht="14.25" customHeight="1">
      <c r="B639" s="19"/>
      <c r="C639" s="19"/>
      <c r="D639" s="19"/>
      <c r="F639" s="55"/>
      <c r="G639" s="55"/>
      <c r="H639" s="12"/>
    </row>
    <row r="640" ht="14.25" customHeight="1">
      <c r="B640" s="19"/>
      <c r="C640" s="19"/>
      <c r="D640" s="19"/>
      <c r="F640" s="55"/>
      <c r="G640" s="55"/>
      <c r="H640" s="12"/>
    </row>
    <row r="641" ht="14.25" customHeight="1">
      <c r="B641" s="19"/>
      <c r="C641" s="19"/>
      <c r="D641" s="19"/>
      <c r="F641" s="55"/>
      <c r="G641" s="55"/>
      <c r="H641" s="12"/>
    </row>
    <row r="642" ht="14.25" customHeight="1">
      <c r="B642" s="19"/>
      <c r="C642" s="19"/>
      <c r="D642" s="19"/>
      <c r="F642" s="55"/>
      <c r="G642" s="55"/>
      <c r="H642" s="12"/>
    </row>
    <row r="643" ht="14.25" customHeight="1">
      <c r="B643" s="19"/>
      <c r="C643" s="19"/>
      <c r="D643" s="19"/>
      <c r="F643" s="55"/>
      <c r="G643" s="55"/>
      <c r="H643" s="12"/>
    </row>
    <row r="644" ht="14.25" customHeight="1">
      <c r="B644" s="19"/>
      <c r="C644" s="19"/>
      <c r="D644" s="19"/>
      <c r="F644" s="55"/>
      <c r="G644" s="55"/>
      <c r="H644" s="12"/>
    </row>
    <row r="645" ht="14.25" customHeight="1">
      <c r="B645" s="19"/>
      <c r="C645" s="19"/>
      <c r="D645" s="19"/>
      <c r="F645" s="55"/>
      <c r="G645" s="55"/>
      <c r="H645" s="12"/>
    </row>
    <row r="646" ht="14.25" customHeight="1">
      <c r="B646" s="19"/>
      <c r="C646" s="19"/>
      <c r="D646" s="19"/>
      <c r="F646" s="55"/>
      <c r="G646" s="55"/>
      <c r="H646" s="12"/>
    </row>
    <row r="647" ht="14.25" customHeight="1">
      <c r="B647" s="19"/>
      <c r="C647" s="19"/>
      <c r="D647" s="19"/>
      <c r="F647" s="55"/>
      <c r="G647" s="55"/>
      <c r="H647" s="12"/>
    </row>
    <row r="648" ht="14.25" customHeight="1">
      <c r="B648" s="19"/>
      <c r="C648" s="19"/>
      <c r="D648" s="19"/>
      <c r="F648" s="55"/>
      <c r="G648" s="55"/>
      <c r="H648" s="12"/>
    </row>
    <row r="649" ht="14.25" customHeight="1">
      <c r="B649" s="19"/>
      <c r="C649" s="19"/>
      <c r="D649" s="19"/>
      <c r="F649" s="55"/>
      <c r="G649" s="55"/>
      <c r="H649" s="12"/>
    </row>
    <row r="650" ht="14.25" customHeight="1">
      <c r="B650" s="19"/>
      <c r="C650" s="19"/>
      <c r="D650" s="19"/>
      <c r="F650" s="55"/>
      <c r="G650" s="55"/>
      <c r="H650" s="12"/>
    </row>
    <row r="651" ht="14.25" customHeight="1">
      <c r="B651" s="19"/>
      <c r="C651" s="19"/>
      <c r="D651" s="19"/>
      <c r="F651" s="55"/>
      <c r="G651" s="55"/>
      <c r="H651" s="12"/>
    </row>
    <row r="652" ht="14.25" customHeight="1">
      <c r="B652" s="19"/>
      <c r="C652" s="19"/>
      <c r="D652" s="19"/>
      <c r="F652" s="55"/>
      <c r="G652" s="55"/>
      <c r="H652" s="12"/>
    </row>
    <row r="653" ht="14.25" customHeight="1">
      <c r="B653" s="19"/>
      <c r="C653" s="19"/>
      <c r="D653" s="19"/>
      <c r="F653" s="55"/>
      <c r="G653" s="55"/>
      <c r="H653" s="12"/>
    </row>
    <row r="654" ht="14.25" customHeight="1">
      <c r="B654" s="19"/>
      <c r="C654" s="19"/>
      <c r="D654" s="19"/>
      <c r="F654" s="55"/>
      <c r="G654" s="55"/>
      <c r="H654" s="12"/>
    </row>
    <row r="655" ht="14.25" customHeight="1">
      <c r="B655" s="19"/>
      <c r="C655" s="19"/>
      <c r="D655" s="19"/>
      <c r="F655" s="55"/>
      <c r="G655" s="55"/>
      <c r="H655" s="12"/>
    </row>
    <row r="656" ht="14.25" customHeight="1">
      <c r="B656" s="19"/>
      <c r="C656" s="19"/>
      <c r="D656" s="19"/>
      <c r="F656" s="55"/>
      <c r="G656" s="55"/>
      <c r="H656" s="12"/>
    </row>
    <row r="657" ht="14.25" customHeight="1">
      <c r="B657" s="19"/>
      <c r="C657" s="19"/>
      <c r="D657" s="19"/>
      <c r="F657" s="55"/>
      <c r="G657" s="55"/>
      <c r="H657" s="12"/>
    </row>
    <row r="658" ht="14.25" customHeight="1">
      <c r="B658" s="19"/>
      <c r="C658" s="19"/>
      <c r="D658" s="19"/>
      <c r="F658" s="55"/>
      <c r="G658" s="55"/>
      <c r="H658" s="12"/>
    </row>
    <row r="659" ht="14.25" customHeight="1">
      <c r="B659" s="19"/>
      <c r="C659" s="19"/>
      <c r="D659" s="19"/>
      <c r="F659" s="55"/>
      <c r="G659" s="55"/>
      <c r="H659" s="12"/>
    </row>
    <row r="660" ht="14.25" customHeight="1">
      <c r="B660" s="19"/>
      <c r="C660" s="19"/>
      <c r="D660" s="19"/>
      <c r="F660" s="55"/>
      <c r="G660" s="55"/>
      <c r="H660" s="12"/>
    </row>
    <row r="661" ht="14.25" customHeight="1">
      <c r="B661" s="19"/>
      <c r="C661" s="19"/>
      <c r="D661" s="19"/>
      <c r="F661" s="55"/>
      <c r="G661" s="55"/>
      <c r="H661" s="12"/>
    </row>
    <row r="662" ht="14.25" customHeight="1">
      <c r="B662" s="19"/>
      <c r="C662" s="19"/>
      <c r="D662" s="19"/>
      <c r="F662" s="55"/>
      <c r="G662" s="55"/>
      <c r="H662" s="12"/>
    </row>
    <row r="663" ht="14.25" customHeight="1">
      <c r="B663" s="19"/>
      <c r="C663" s="19"/>
      <c r="D663" s="19"/>
      <c r="F663" s="55"/>
      <c r="G663" s="55"/>
      <c r="H663" s="12"/>
    </row>
    <row r="664" ht="14.25" customHeight="1">
      <c r="B664" s="19"/>
      <c r="C664" s="19"/>
      <c r="D664" s="19"/>
      <c r="F664" s="55"/>
      <c r="G664" s="55"/>
      <c r="H664" s="12"/>
    </row>
    <row r="665" ht="14.25" customHeight="1">
      <c r="B665" s="19"/>
      <c r="C665" s="19"/>
      <c r="D665" s="19"/>
      <c r="F665" s="55"/>
      <c r="G665" s="55"/>
      <c r="H665" s="12"/>
    </row>
    <row r="666" ht="14.25" customHeight="1">
      <c r="B666" s="19"/>
      <c r="C666" s="19"/>
      <c r="D666" s="19"/>
      <c r="F666" s="55"/>
      <c r="G666" s="55"/>
      <c r="H666" s="12"/>
    </row>
    <row r="667" ht="14.25" customHeight="1">
      <c r="B667" s="19"/>
      <c r="C667" s="19"/>
      <c r="D667" s="19"/>
      <c r="F667" s="55"/>
      <c r="G667" s="55"/>
      <c r="H667" s="12"/>
    </row>
    <row r="668" ht="14.25" customHeight="1">
      <c r="B668" s="19"/>
      <c r="C668" s="19"/>
      <c r="D668" s="19"/>
      <c r="F668" s="55"/>
      <c r="G668" s="55"/>
      <c r="H668" s="12"/>
    </row>
    <row r="669" ht="14.25" customHeight="1">
      <c r="B669" s="19"/>
      <c r="C669" s="19"/>
      <c r="D669" s="19"/>
      <c r="F669" s="55"/>
      <c r="G669" s="55"/>
      <c r="H669" s="12"/>
    </row>
    <row r="670" ht="14.25" customHeight="1">
      <c r="B670" s="19"/>
      <c r="C670" s="19"/>
      <c r="D670" s="19"/>
      <c r="F670" s="55"/>
      <c r="G670" s="55"/>
      <c r="H670" s="12"/>
    </row>
    <row r="671" ht="14.25" customHeight="1">
      <c r="B671" s="19"/>
      <c r="C671" s="19"/>
      <c r="D671" s="19"/>
      <c r="F671" s="55"/>
      <c r="G671" s="55"/>
      <c r="H671" s="12"/>
    </row>
    <row r="672" ht="14.25" customHeight="1">
      <c r="B672" s="19"/>
      <c r="C672" s="19"/>
      <c r="D672" s="19"/>
      <c r="F672" s="55"/>
      <c r="G672" s="55"/>
      <c r="H672" s="12"/>
    </row>
    <row r="673" ht="14.25" customHeight="1">
      <c r="B673" s="19"/>
      <c r="C673" s="19"/>
      <c r="D673" s="19"/>
      <c r="F673" s="55"/>
      <c r="G673" s="55"/>
      <c r="H673" s="12"/>
    </row>
    <row r="674" ht="14.25" customHeight="1">
      <c r="B674" s="19"/>
      <c r="C674" s="19"/>
      <c r="D674" s="19"/>
      <c r="F674" s="55"/>
      <c r="G674" s="55"/>
      <c r="H674" s="12"/>
    </row>
    <row r="675" ht="14.25" customHeight="1">
      <c r="B675" s="19"/>
      <c r="C675" s="19"/>
      <c r="D675" s="19"/>
      <c r="F675" s="55"/>
      <c r="G675" s="55"/>
      <c r="H675" s="12"/>
    </row>
    <row r="676" ht="14.25" customHeight="1">
      <c r="B676" s="19"/>
      <c r="C676" s="19"/>
      <c r="D676" s="19"/>
      <c r="F676" s="55"/>
      <c r="G676" s="55"/>
      <c r="H676" s="12"/>
    </row>
    <row r="677" ht="14.25" customHeight="1">
      <c r="B677" s="19"/>
      <c r="C677" s="19"/>
      <c r="D677" s="19"/>
      <c r="F677" s="55"/>
      <c r="G677" s="55"/>
      <c r="H677" s="12"/>
    </row>
    <row r="678" ht="14.25" customHeight="1">
      <c r="B678" s="19"/>
      <c r="C678" s="19"/>
      <c r="D678" s="19"/>
      <c r="F678" s="55"/>
      <c r="G678" s="55"/>
      <c r="H678" s="12"/>
    </row>
    <row r="679" ht="14.25" customHeight="1">
      <c r="B679" s="19"/>
      <c r="C679" s="19"/>
      <c r="D679" s="19"/>
      <c r="F679" s="55"/>
      <c r="G679" s="55"/>
      <c r="H679" s="12"/>
    </row>
    <row r="680" ht="14.25" customHeight="1">
      <c r="B680" s="19"/>
      <c r="C680" s="19"/>
      <c r="D680" s="19"/>
      <c r="F680" s="55"/>
      <c r="G680" s="55"/>
      <c r="H680" s="12"/>
    </row>
    <row r="681" ht="14.25" customHeight="1">
      <c r="B681" s="19"/>
      <c r="C681" s="19"/>
      <c r="D681" s="19"/>
      <c r="F681" s="55"/>
      <c r="G681" s="55"/>
      <c r="H681" s="12"/>
    </row>
    <row r="682" ht="14.25" customHeight="1">
      <c r="B682" s="19"/>
      <c r="C682" s="19"/>
      <c r="D682" s="19"/>
      <c r="F682" s="55"/>
      <c r="G682" s="55"/>
      <c r="H682" s="12"/>
    </row>
    <row r="683" ht="14.25" customHeight="1">
      <c r="B683" s="19"/>
      <c r="C683" s="19"/>
      <c r="D683" s="19"/>
      <c r="F683" s="55"/>
      <c r="G683" s="55"/>
      <c r="H683" s="12"/>
    </row>
    <row r="684" ht="14.25" customHeight="1">
      <c r="B684" s="19"/>
      <c r="C684" s="19"/>
      <c r="D684" s="19"/>
      <c r="F684" s="55"/>
      <c r="G684" s="55"/>
      <c r="H684" s="12"/>
    </row>
    <row r="685" ht="14.25" customHeight="1">
      <c r="B685" s="19"/>
      <c r="C685" s="19"/>
      <c r="D685" s="19"/>
      <c r="F685" s="55"/>
      <c r="G685" s="55"/>
      <c r="H685" s="12"/>
    </row>
    <row r="686" ht="14.25" customHeight="1">
      <c r="B686" s="19"/>
      <c r="C686" s="19"/>
      <c r="D686" s="19"/>
      <c r="F686" s="55"/>
      <c r="G686" s="55"/>
      <c r="H686" s="12"/>
    </row>
    <row r="687" ht="14.25" customHeight="1">
      <c r="B687" s="19"/>
      <c r="C687" s="19"/>
      <c r="D687" s="19"/>
      <c r="F687" s="55"/>
      <c r="G687" s="55"/>
      <c r="H687" s="12"/>
    </row>
    <row r="688" ht="14.25" customHeight="1">
      <c r="B688" s="19"/>
      <c r="C688" s="19"/>
      <c r="D688" s="19"/>
      <c r="F688" s="55"/>
      <c r="G688" s="55"/>
      <c r="H688" s="12"/>
    </row>
    <row r="689" ht="14.25" customHeight="1">
      <c r="B689" s="19"/>
      <c r="C689" s="19"/>
      <c r="D689" s="19"/>
      <c r="F689" s="55"/>
      <c r="G689" s="55"/>
      <c r="H689" s="12"/>
    </row>
    <row r="690" ht="14.25" customHeight="1">
      <c r="B690" s="19"/>
      <c r="C690" s="19"/>
      <c r="D690" s="19"/>
      <c r="F690" s="55"/>
      <c r="G690" s="55"/>
      <c r="H690" s="12"/>
    </row>
    <row r="691" ht="14.25" customHeight="1">
      <c r="B691" s="19"/>
      <c r="C691" s="19"/>
      <c r="D691" s="19"/>
      <c r="F691" s="55"/>
      <c r="G691" s="55"/>
      <c r="H691" s="12"/>
    </row>
    <row r="692" ht="14.25" customHeight="1">
      <c r="B692" s="19"/>
      <c r="C692" s="19"/>
      <c r="D692" s="19"/>
      <c r="F692" s="55"/>
      <c r="G692" s="55"/>
      <c r="H692" s="12"/>
    </row>
    <row r="693" ht="14.25" customHeight="1">
      <c r="B693" s="19"/>
      <c r="C693" s="19"/>
      <c r="D693" s="19"/>
      <c r="F693" s="55"/>
      <c r="G693" s="55"/>
      <c r="H693" s="12"/>
    </row>
    <row r="694" ht="14.25" customHeight="1">
      <c r="B694" s="19"/>
      <c r="C694" s="19"/>
      <c r="D694" s="19"/>
      <c r="F694" s="55"/>
      <c r="G694" s="55"/>
      <c r="H694" s="12"/>
    </row>
    <row r="695" ht="14.25" customHeight="1">
      <c r="B695" s="19"/>
      <c r="C695" s="19"/>
      <c r="D695" s="19"/>
      <c r="F695" s="55"/>
      <c r="G695" s="55"/>
      <c r="H695" s="12"/>
    </row>
    <row r="696" ht="14.25" customHeight="1">
      <c r="B696" s="19"/>
      <c r="C696" s="19"/>
      <c r="D696" s="19"/>
      <c r="F696" s="55"/>
      <c r="G696" s="55"/>
      <c r="H696" s="12"/>
    </row>
    <row r="697" ht="14.25" customHeight="1">
      <c r="B697" s="19"/>
      <c r="C697" s="19"/>
      <c r="D697" s="19"/>
      <c r="F697" s="55"/>
      <c r="G697" s="55"/>
      <c r="H697" s="12"/>
    </row>
    <row r="698" ht="14.25" customHeight="1">
      <c r="B698" s="19"/>
      <c r="C698" s="19"/>
      <c r="D698" s="19"/>
      <c r="F698" s="55"/>
      <c r="G698" s="55"/>
      <c r="H698" s="12"/>
    </row>
    <row r="699" ht="14.25" customHeight="1">
      <c r="B699" s="19"/>
      <c r="C699" s="19"/>
      <c r="D699" s="19"/>
      <c r="F699" s="55"/>
      <c r="G699" s="55"/>
      <c r="H699" s="12"/>
    </row>
    <row r="700" ht="14.25" customHeight="1">
      <c r="B700" s="19"/>
      <c r="C700" s="19"/>
      <c r="D700" s="19"/>
      <c r="F700" s="55"/>
      <c r="G700" s="55"/>
      <c r="H700" s="12"/>
    </row>
    <row r="701" ht="14.25" customHeight="1">
      <c r="B701" s="19"/>
      <c r="C701" s="19"/>
      <c r="D701" s="19"/>
      <c r="F701" s="55"/>
      <c r="G701" s="55"/>
      <c r="H701" s="12"/>
    </row>
    <row r="702" ht="14.25" customHeight="1">
      <c r="B702" s="19"/>
      <c r="C702" s="19"/>
      <c r="D702" s="19"/>
      <c r="F702" s="55"/>
      <c r="G702" s="55"/>
      <c r="H702" s="12"/>
    </row>
    <row r="703" ht="14.25" customHeight="1">
      <c r="B703" s="19"/>
      <c r="C703" s="19"/>
      <c r="D703" s="19"/>
      <c r="F703" s="55"/>
      <c r="G703" s="55"/>
      <c r="H703" s="12"/>
    </row>
    <row r="704" ht="14.25" customHeight="1">
      <c r="B704" s="19"/>
      <c r="C704" s="19"/>
      <c r="D704" s="19"/>
      <c r="F704" s="55"/>
      <c r="G704" s="55"/>
      <c r="H704" s="12"/>
    </row>
    <row r="705" ht="14.25" customHeight="1">
      <c r="B705" s="19"/>
      <c r="C705" s="19"/>
      <c r="D705" s="19"/>
      <c r="F705" s="55"/>
      <c r="G705" s="55"/>
      <c r="H705" s="12"/>
    </row>
    <row r="706" ht="14.25" customHeight="1">
      <c r="B706" s="19"/>
      <c r="C706" s="19"/>
      <c r="D706" s="19"/>
      <c r="F706" s="55"/>
      <c r="G706" s="55"/>
      <c r="H706" s="12"/>
    </row>
    <row r="707" ht="14.25" customHeight="1">
      <c r="B707" s="19"/>
      <c r="C707" s="19"/>
      <c r="D707" s="19"/>
      <c r="F707" s="55"/>
      <c r="G707" s="55"/>
      <c r="H707" s="12"/>
    </row>
    <row r="708" ht="14.25" customHeight="1">
      <c r="B708" s="19"/>
      <c r="C708" s="19"/>
      <c r="D708" s="19"/>
      <c r="F708" s="55"/>
      <c r="G708" s="55"/>
      <c r="H708" s="12"/>
    </row>
    <row r="709" ht="14.25" customHeight="1">
      <c r="B709" s="19"/>
      <c r="C709" s="19"/>
      <c r="D709" s="19"/>
      <c r="F709" s="55"/>
      <c r="G709" s="55"/>
      <c r="H709" s="12"/>
    </row>
    <row r="710" ht="14.25" customHeight="1">
      <c r="B710" s="19"/>
      <c r="C710" s="19"/>
      <c r="D710" s="19"/>
      <c r="F710" s="55"/>
      <c r="G710" s="55"/>
      <c r="H710" s="12"/>
    </row>
    <row r="711" ht="14.25" customHeight="1">
      <c r="B711" s="19"/>
      <c r="C711" s="19"/>
      <c r="D711" s="19"/>
      <c r="F711" s="55"/>
      <c r="G711" s="55"/>
      <c r="H711" s="12"/>
    </row>
    <row r="712" ht="14.25" customHeight="1">
      <c r="B712" s="19"/>
      <c r="C712" s="19"/>
      <c r="D712" s="19"/>
      <c r="F712" s="55"/>
      <c r="G712" s="55"/>
      <c r="H712" s="12"/>
    </row>
    <row r="713" ht="14.25" customHeight="1">
      <c r="B713" s="19"/>
      <c r="C713" s="19"/>
      <c r="D713" s="19"/>
      <c r="F713" s="55"/>
      <c r="G713" s="55"/>
      <c r="H713" s="12"/>
    </row>
    <row r="714" ht="14.25" customHeight="1">
      <c r="B714" s="19"/>
      <c r="C714" s="19"/>
      <c r="D714" s="19"/>
      <c r="F714" s="55"/>
      <c r="G714" s="55"/>
      <c r="H714" s="12"/>
    </row>
    <row r="715" ht="14.25" customHeight="1">
      <c r="B715" s="19"/>
      <c r="C715" s="19"/>
      <c r="D715" s="19"/>
      <c r="F715" s="55"/>
      <c r="G715" s="55"/>
      <c r="H715" s="12"/>
    </row>
    <row r="716" ht="14.25" customHeight="1">
      <c r="B716" s="19"/>
      <c r="C716" s="19"/>
      <c r="D716" s="19"/>
      <c r="F716" s="55"/>
      <c r="G716" s="55"/>
      <c r="H716" s="12"/>
    </row>
    <row r="717" ht="14.25" customHeight="1">
      <c r="B717" s="19"/>
      <c r="C717" s="19"/>
      <c r="D717" s="19"/>
      <c r="F717" s="55"/>
      <c r="G717" s="55"/>
      <c r="H717" s="12"/>
    </row>
    <row r="718" ht="14.25" customHeight="1">
      <c r="B718" s="19"/>
      <c r="C718" s="19"/>
      <c r="D718" s="19"/>
      <c r="F718" s="55"/>
      <c r="G718" s="55"/>
      <c r="H718" s="12"/>
    </row>
    <row r="719" ht="14.25" customHeight="1">
      <c r="B719" s="19"/>
      <c r="C719" s="19"/>
      <c r="D719" s="19"/>
      <c r="F719" s="55"/>
      <c r="G719" s="55"/>
      <c r="H719" s="12"/>
    </row>
    <row r="720" ht="14.25" customHeight="1">
      <c r="B720" s="19"/>
      <c r="C720" s="19"/>
      <c r="D720" s="19"/>
      <c r="F720" s="55"/>
      <c r="G720" s="55"/>
      <c r="H720" s="12"/>
    </row>
    <row r="721" ht="14.25" customHeight="1">
      <c r="B721" s="19"/>
      <c r="C721" s="19"/>
      <c r="D721" s="19"/>
      <c r="F721" s="55"/>
      <c r="G721" s="55"/>
      <c r="H721" s="12"/>
    </row>
    <row r="722" ht="14.25" customHeight="1">
      <c r="B722" s="19"/>
      <c r="C722" s="19"/>
      <c r="D722" s="19"/>
      <c r="F722" s="55"/>
      <c r="G722" s="55"/>
      <c r="H722" s="12"/>
    </row>
    <row r="723" ht="14.25" customHeight="1">
      <c r="B723" s="19"/>
      <c r="C723" s="19"/>
      <c r="D723" s="19"/>
      <c r="F723" s="55"/>
      <c r="G723" s="55"/>
      <c r="H723" s="12"/>
    </row>
    <row r="724" ht="14.25" customHeight="1">
      <c r="B724" s="19"/>
      <c r="C724" s="19"/>
      <c r="D724" s="19"/>
      <c r="F724" s="55"/>
      <c r="G724" s="55"/>
      <c r="H724" s="12"/>
    </row>
    <row r="725" ht="14.25" customHeight="1">
      <c r="B725" s="19"/>
      <c r="C725" s="19"/>
      <c r="D725" s="19"/>
      <c r="F725" s="55"/>
      <c r="G725" s="55"/>
      <c r="H725" s="12"/>
    </row>
    <row r="726" ht="14.25" customHeight="1">
      <c r="B726" s="19"/>
      <c r="C726" s="19"/>
      <c r="D726" s="19"/>
      <c r="F726" s="55"/>
      <c r="G726" s="55"/>
      <c r="H726" s="12"/>
    </row>
    <row r="727" ht="14.25" customHeight="1">
      <c r="B727" s="19"/>
      <c r="C727" s="19"/>
      <c r="D727" s="19"/>
      <c r="F727" s="55"/>
      <c r="G727" s="55"/>
      <c r="H727" s="12"/>
    </row>
    <row r="728" ht="14.25" customHeight="1">
      <c r="B728" s="19"/>
      <c r="C728" s="19"/>
      <c r="D728" s="19"/>
      <c r="F728" s="55"/>
      <c r="G728" s="55"/>
      <c r="H728" s="12"/>
    </row>
    <row r="729" ht="14.25" customHeight="1">
      <c r="B729" s="19"/>
      <c r="C729" s="19"/>
      <c r="D729" s="19"/>
      <c r="F729" s="55"/>
      <c r="G729" s="55"/>
      <c r="H729" s="12"/>
    </row>
    <row r="730" ht="14.25" customHeight="1">
      <c r="B730" s="19"/>
      <c r="C730" s="19"/>
      <c r="D730" s="19"/>
      <c r="F730" s="55"/>
      <c r="G730" s="55"/>
      <c r="H730" s="12"/>
    </row>
    <row r="731" ht="14.25" customHeight="1">
      <c r="B731" s="19"/>
      <c r="C731" s="19"/>
      <c r="D731" s="19"/>
      <c r="F731" s="55"/>
      <c r="G731" s="55"/>
      <c r="H731" s="12"/>
    </row>
    <row r="732" ht="14.25" customHeight="1">
      <c r="B732" s="19"/>
      <c r="C732" s="19"/>
      <c r="D732" s="19"/>
      <c r="F732" s="55"/>
      <c r="G732" s="55"/>
      <c r="H732" s="12"/>
    </row>
    <row r="733" ht="14.25" customHeight="1">
      <c r="B733" s="19"/>
      <c r="C733" s="19"/>
      <c r="D733" s="19"/>
      <c r="F733" s="55"/>
      <c r="G733" s="55"/>
      <c r="H733" s="12"/>
    </row>
    <row r="734" ht="14.25" customHeight="1">
      <c r="B734" s="19"/>
      <c r="C734" s="19"/>
      <c r="D734" s="19"/>
      <c r="F734" s="55"/>
      <c r="G734" s="55"/>
      <c r="H734" s="12"/>
    </row>
    <row r="735" ht="14.25" customHeight="1">
      <c r="B735" s="19"/>
      <c r="C735" s="19"/>
      <c r="D735" s="19"/>
      <c r="F735" s="55"/>
      <c r="G735" s="55"/>
      <c r="H735" s="12"/>
    </row>
    <row r="736" ht="14.25" customHeight="1">
      <c r="B736" s="19"/>
      <c r="C736" s="19"/>
      <c r="D736" s="19"/>
      <c r="F736" s="55"/>
      <c r="G736" s="55"/>
      <c r="H736" s="12"/>
    </row>
    <row r="737" ht="14.25" customHeight="1">
      <c r="B737" s="19"/>
      <c r="C737" s="19"/>
      <c r="D737" s="19"/>
      <c r="F737" s="55"/>
      <c r="G737" s="55"/>
      <c r="H737" s="12"/>
    </row>
    <row r="738" ht="14.25" customHeight="1">
      <c r="B738" s="19"/>
      <c r="C738" s="19"/>
      <c r="D738" s="19"/>
      <c r="F738" s="55"/>
      <c r="G738" s="55"/>
      <c r="H738" s="12"/>
    </row>
    <row r="739" ht="14.25" customHeight="1">
      <c r="B739" s="19"/>
      <c r="C739" s="19"/>
      <c r="D739" s="19"/>
      <c r="F739" s="55"/>
      <c r="G739" s="55"/>
      <c r="H739" s="12"/>
    </row>
    <row r="740" ht="14.25" customHeight="1">
      <c r="B740" s="19"/>
      <c r="C740" s="19"/>
      <c r="D740" s="19"/>
      <c r="F740" s="55"/>
      <c r="G740" s="55"/>
      <c r="H740" s="12"/>
    </row>
    <row r="741" ht="14.25" customHeight="1">
      <c r="B741" s="19"/>
      <c r="C741" s="19"/>
      <c r="D741" s="19"/>
      <c r="F741" s="55"/>
      <c r="G741" s="55"/>
      <c r="H741" s="12"/>
    </row>
    <row r="742" ht="14.25" customHeight="1">
      <c r="B742" s="19"/>
      <c r="C742" s="19"/>
      <c r="D742" s="19"/>
      <c r="F742" s="55"/>
      <c r="G742" s="55"/>
      <c r="H742" s="12"/>
    </row>
    <row r="743" ht="14.25" customHeight="1">
      <c r="B743" s="19"/>
      <c r="C743" s="19"/>
      <c r="D743" s="19"/>
      <c r="F743" s="55"/>
      <c r="G743" s="55"/>
      <c r="H743" s="12"/>
    </row>
    <row r="744" ht="14.25" customHeight="1">
      <c r="B744" s="19"/>
      <c r="C744" s="19"/>
      <c r="D744" s="19"/>
      <c r="F744" s="55"/>
      <c r="G744" s="55"/>
      <c r="H744" s="12"/>
    </row>
    <row r="745" ht="14.25" customHeight="1">
      <c r="B745" s="19"/>
      <c r="C745" s="19"/>
      <c r="D745" s="19"/>
      <c r="F745" s="55"/>
      <c r="G745" s="55"/>
      <c r="H745" s="12"/>
    </row>
    <row r="746" ht="14.25" customHeight="1">
      <c r="B746" s="19"/>
      <c r="C746" s="19"/>
      <c r="D746" s="19"/>
      <c r="F746" s="55"/>
      <c r="G746" s="55"/>
      <c r="H746" s="12"/>
    </row>
    <row r="747" ht="14.25" customHeight="1">
      <c r="B747" s="19"/>
      <c r="C747" s="19"/>
      <c r="D747" s="19"/>
      <c r="F747" s="55"/>
      <c r="G747" s="55"/>
      <c r="H747" s="12"/>
    </row>
    <row r="748" ht="14.25" customHeight="1">
      <c r="B748" s="19"/>
      <c r="C748" s="19"/>
      <c r="D748" s="19"/>
      <c r="F748" s="55"/>
      <c r="G748" s="55"/>
      <c r="H748" s="12"/>
    </row>
    <row r="749" ht="14.25" customHeight="1">
      <c r="B749" s="19"/>
      <c r="C749" s="19"/>
      <c r="D749" s="19"/>
      <c r="F749" s="55"/>
      <c r="G749" s="55"/>
      <c r="H749" s="12"/>
    </row>
    <row r="750" ht="14.25" customHeight="1">
      <c r="B750" s="19"/>
      <c r="C750" s="19"/>
      <c r="D750" s="19"/>
      <c r="F750" s="55"/>
      <c r="G750" s="55"/>
      <c r="H750" s="12"/>
    </row>
    <row r="751" ht="14.25" customHeight="1">
      <c r="B751" s="19"/>
      <c r="C751" s="19"/>
      <c r="D751" s="19"/>
      <c r="F751" s="55"/>
      <c r="G751" s="55"/>
      <c r="H751" s="12"/>
    </row>
    <row r="752" ht="14.25" customHeight="1">
      <c r="B752" s="19"/>
      <c r="C752" s="19"/>
      <c r="D752" s="19"/>
      <c r="F752" s="55"/>
      <c r="G752" s="55"/>
      <c r="H752" s="12"/>
    </row>
    <row r="753" ht="14.25" customHeight="1">
      <c r="B753" s="19"/>
      <c r="C753" s="19"/>
      <c r="D753" s="19"/>
      <c r="F753" s="55"/>
      <c r="G753" s="55"/>
      <c r="H753" s="12"/>
    </row>
    <row r="754" ht="14.25" customHeight="1">
      <c r="B754" s="19"/>
      <c r="C754" s="19"/>
      <c r="D754" s="19"/>
      <c r="F754" s="55"/>
      <c r="G754" s="55"/>
      <c r="H754" s="12"/>
    </row>
    <row r="755" ht="14.25" customHeight="1">
      <c r="B755" s="19"/>
      <c r="C755" s="19"/>
      <c r="D755" s="19"/>
      <c r="F755" s="55"/>
      <c r="G755" s="55"/>
      <c r="H755" s="12"/>
    </row>
    <row r="756" ht="14.25" customHeight="1">
      <c r="B756" s="19"/>
      <c r="C756" s="19"/>
      <c r="D756" s="19"/>
      <c r="F756" s="55"/>
      <c r="G756" s="55"/>
      <c r="H756" s="12"/>
    </row>
    <row r="757" ht="14.25" customHeight="1">
      <c r="B757" s="19"/>
      <c r="C757" s="19"/>
      <c r="D757" s="19"/>
      <c r="F757" s="55"/>
      <c r="G757" s="55"/>
      <c r="H757" s="12"/>
    </row>
    <row r="758" ht="14.25" customHeight="1">
      <c r="B758" s="19"/>
      <c r="C758" s="19"/>
      <c r="D758" s="19"/>
      <c r="F758" s="55"/>
      <c r="G758" s="55"/>
      <c r="H758" s="12"/>
    </row>
    <row r="759" ht="14.25" customHeight="1">
      <c r="B759" s="19"/>
      <c r="C759" s="19"/>
      <c r="D759" s="19"/>
      <c r="F759" s="55"/>
      <c r="G759" s="55"/>
      <c r="H759" s="12"/>
    </row>
    <row r="760" ht="14.25" customHeight="1">
      <c r="B760" s="19"/>
      <c r="C760" s="19"/>
      <c r="D760" s="19"/>
      <c r="F760" s="55"/>
      <c r="G760" s="55"/>
      <c r="H760" s="12"/>
    </row>
    <row r="761" ht="14.25" customHeight="1">
      <c r="B761" s="19"/>
      <c r="C761" s="19"/>
      <c r="D761" s="19"/>
      <c r="F761" s="55"/>
      <c r="G761" s="55"/>
      <c r="H761" s="12"/>
    </row>
    <row r="762" ht="14.25" customHeight="1">
      <c r="B762" s="19"/>
      <c r="C762" s="19"/>
      <c r="D762" s="19"/>
      <c r="F762" s="55"/>
      <c r="G762" s="55"/>
      <c r="H762" s="12"/>
    </row>
    <row r="763" ht="14.25" customHeight="1">
      <c r="B763" s="19"/>
      <c r="C763" s="19"/>
      <c r="D763" s="19"/>
      <c r="F763" s="55"/>
      <c r="G763" s="55"/>
      <c r="H763" s="12"/>
    </row>
    <row r="764" ht="14.25" customHeight="1">
      <c r="B764" s="19"/>
      <c r="C764" s="19"/>
      <c r="D764" s="19"/>
      <c r="F764" s="55"/>
      <c r="G764" s="55"/>
      <c r="H764" s="12"/>
    </row>
    <row r="765" ht="14.25" customHeight="1">
      <c r="B765" s="19"/>
      <c r="C765" s="19"/>
      <c r="D765" s="19"/>
      <c r="F765" s="55"/>
      <c r="G765" s="55"/>
      <c r="H765" s="12"/>
    </row>
    <row r="766" ht="14.25" customHeight="1">
      <c r="B766" s="19"/>
      <c r="C766" s="19"/>
      <c r="D766" s="19"/>
      <c r="F766" s="55"/>
      <c r="G766" s="55"/>
      <c r="H766" s="12"/>
    </row>
    <row r="767" ht="14.25" customHeight="1">
      <c r="B767" s="19"/>
      <c r="C767" s="19"/>
      <c r="D767" s="19"/>
      <c r="F767" s="55"/>
      <c r="G767" s="55"/>
      <c r="H767" s="12"/>
    </row>
    <row r="768" ht="14.25" customHeight="1">
      <c r="B768" s="19"/>
      <c r="C768" s="19"/>
      <c r="D768" s="19"/>
      <c r="F768" s="55"/>
      <c r="G768" s="55"/>
      <c r="H768" s="12"/>
    </row>
    <row r="769" ht="14.25" customHeight="1">
      <c r="B769" s="19"/>
      <c r="C769" s="19"/>
      <c r="D769" s="19"/>
      <c r="F769" s="55"/>
      <c r="G769" s="55"/>
      <c r="H769" s="12"/>
    </row>
    <row r="770" ht="14.25" customHeight="1">
      <c r="B770" s="19"/>
      <c r="C770" s="19"/>
      <c r="D770" s="19"/>
      <c r="F770" s="55"/>
      <c r="G770" s="55"/>
      <c r="H770" s="12"/>
    </row>
    <row r="771" ht="14.25" customHeight="1">
      <c r="B771" s="19"/>
      <c r="C771" s="19"/>
      <c r="D771" s="19"/>
      <c r="F771" s="55"/>
      <c r="G771" s="55"/>
      <c r="H771" s="12"/>
    </row>
    <row r="772" ht="14.25" customHeight="1">
      <c r="B772" s="19"/>
      <c r="C772" s="19"/>
      <c r="D772" s="19"/>
      <c r="F772" s="55"/>
      <c r="G772" s="55"/>
      <c r="H772" s="12"/>
    </row>
    <row r="773" ht="14.25" customHeight="1">
      <c r="B773" s="19"/>
      <c r="C773" s="19"/>
      <c r="D773" s="19"/>
      <c r="F773" s="55"/>
      <c r="G773" s="55"/>
      <c r="H773" s="12"/>
    </row>
    <row r="774" ht="14.25" customHeight="1">
      <c r="B774" s="19"/>
      <c r="C774" s="19"/>
      <c r="D774" s="19"/>
      <c r="F774" s="55"/>
      <c r="G774" s="55"/>
      <c r="H774" s="12"/>
    </row>
    <row r="775" ht="14.25" customHeight="1">
      <c r="B775" s="19"/>
      <c r="C775" s="19"/>
      <c r="D775" s="19"/>
      <c r="F775" s="55"/>
      <c r="G775" s="55"/>
      <c r="H775" s="12"/>
    </row>
    <row r="776" ht="14.25" customHeight="1">
      <c r="B776" s="19"/>
      <c r="C776" s="19"/>
      <c r="D776" s="19"/>
      <c r="F776" s="55"/>
      <c r="G776" s="55"/>
      <c r="H776" s="12"/>
    </row>
    <row r="777" ht="14.25" customHeight="1">
      <c r="B777" s="19"/>
      <c r="C777" s="19"/>
      <c r="D777" s="19"/>
      <c r="F777" s="55"/>
      <c r="G777" s="55"/>
      <c r="H777" s="12"/>
    </row>
    <row r="778" ht="14.25" customHeight="1">
      <c r="B778" s="19"/>
      <c r="C778" s="19"/>
      <c r="D778" s="19"/>
      <c r="F778" s="55"/>
      <c r="G778" s="55"/>
      <c r="H778" s="12"/>
    </row>
    <row r="779" ht="14.25" customHeight="1">
      <c r="B779" s="19"/>
      <c r="C779" s="19"/>
      <c r="D779" s="19"/>
      <c r="F779" s="55"/>
      <c r="G779" s="55"/>
      <c r="H779" s="12"/>
    </row>
    <row r="780" ht="14.25" customHeight="1">
      <c r="B780" s="19"/>
      <c r="C780" s="19"/>
      <c r="D780" s="19"/>
      <c r="F780" s="55"/>
      <c r="G780" s="55"/>
      <c r="H780" s="12"/>
    </row>
    <row r="781" ht="14.25" customHeight="1">
      <c r="B781" s="19"/>
      <c r="C781" s="19"/>
      <c r="D781" s="19"/>
      <c r="F781" s="55"/>
      <c r="G781" s="55"/>
      <c r="H781" s="12"/>
    </row>
    <row r="782" ht="14.25" customHeight="1">
      <c r="B782" s="19"/>
      <c r="C782" s="19"/>
      <c r="D782" s="19"/>
      <c r="F782" s="55"/>
      <c r="G782" s="55"/>
      <c r="H782" s="12"/>
    </row>
    <row r="783" ht="14.25" customHeight="1">
      <c r="B783" s="19"/>
      <c r="C783" s="19"/>
      <c r="D783" s="19"/>
      <c r="F783" s="55"/>
      <c r="G783" s="55"/>
      <c r="H783" s="12"/>
    </row>
    <row r="784" ht="14.25" customHeight="1">
      <c r="B784" s="19"/>
      <c r="C784" s="19"/>
      <c r="D784" s="19"/>
      <c r="F784" s="55"/>
      <c r="G784" s="55"/>
      <c r="H784" s="12"/>
    </row>
    <row r="785" ht="14.25" customHeight="1">
      <c r="B785" s="19"/>
      <c r="C785" s="19"/>
      <c r="D785" s="19"/>
      <c r="F785" s="55"/>
      <c r="G785" s="55"/>
      <c r="H785" s="12"/>
    </row>
    <row r="786" ht="14.25" customHeight="1">
      <c r="B786" s="19"/>
      <c r="C786" s="19"/>
      <c r="D786" s="19"/>
      <c r="F786" s="55"/>
      <c r="G786" s="55"/>
      <c r="H786" s="12"/>
    </row>
    <row r="787" ht="14.25" customHeight="1">
      <c r="B787" s="19"/>
      <c r="C787" s="19"/>
      <c r="D787" s="19"/>
      <c r="F787" s="55"/>
      <c r="G787" s="55"/>
      <c r="H787" s="12"/>
    </row>
    <row r="788" ht="14.25" customHeight="1">
      <c r="B788" s="19"/>
      <c r="C788" s="19"/>
      <c r="D788" s="19"/>
      <c r="F788" s="55"/>
      <c r="G788" s="55"/>
      <c r="H788" s="12"/>
    </row>
    <row r="789" ht="14.25" customHeight="1">
      <c r="B789" s="19"/>
      <c r="C789" s="19"/>
      <c r="D789" s="19"/>
      <c r="F789" s="55"/>
      <c r="G789" s="55"/>
      <c r="H789" s="12"/>
    </row>
    <row r="790" ht="14.25" customHeight="1">
      <c r="B790" s="19"/>
      <c r="C790" s="19"/>
      <c r="D790" s="19"/>
      <c r="F790" s="55"/>
      <c r="G790" s="55"/>
      <c r="H790" s="12"/>
    </row>
    <row r="791" ht="14.25" customHeight="1">
      <c r="B791" s="19"/>
      <c r="C791" s="19"/>
      <c r="D791" s="19"/>
      <c r="F791" s="55"/>
      <c r="G791" s="55"/>
      <c r="H791" s="12"/>
    </row>
    <row r="792" ht="14.25" customHeight="1">
      <c r="B792" s="19"/>
      <c r="C792" s="19"/>
      <c r="D792" s="19"/>
      <c r="F792" s="55"/>
      <c r="G792" s="55"/>
      <c r="H792" s="12"/>
    </row>
    <row r="793" ht="14.25" customHeight="1">
      <c r="B793" s="19"/>
      <c r="C793" s="19"/>
      <c r="D793" s="19"/>
      <c r="F793" s="55"/>
      <c r="G793" s="55"/>
      <c r="H793" s="12"/>
    </row>
    <row r="794" ht="14.25" customHeight="1">
      <c r="B794" s="19"/>
      <c r="C794" s="19"/>
      <c r="D794" s="19"/>
      <c r="F794" s="55"/>
      <c r="G794" s="55"/>
      <c r="H794" s="12"/>
    </row>
    <row r="795" ht="14.25" customHeight="1">
      <c r="B795" s="19"/>
      <c r="C795" s="19"/>
      <c r="D795" s="19"/>
      <c r="F795" s="55"/>
      <c r="G795" s="55"/>
      <c r="H795" s="12"/>
    </row>
    <row r="796" ht="14.25" customHeight="1">
      <c r="B796" s="19"/>
      <c r="C796" s="19"/>
      <c r="D796" s="19"/>
      <c r="F796" s="55"/>
      <c r="G796" s="55"/>
      <c r="H796" s="12"/>
    </row>
    <row r="797" ht="14.25" customHeight="1">
      <c r="B797" s="19"/>
      <c r="C797" s="19"/>
      <c r="D797" s="19"/>
      <c r="F797" s="55"/>
      <c r="G797" s="55"/>
      <c r="H797" s="12"/>
    </row>
    <row r="798" ht="14.25" customHeight="1">
      <c r="B798" s="19"/>
      <c r="C798" s="19"/>
      <c r="D798" s="19"/>
      <c r="F798" s="55"/>
      <c r="G798" s="55"/>
      <c r="H798" s="12"/>
    </row>
    <row r="799" ht="14.25" customHeight="1">
      <c r="B799" s="19"/>
      <c r="C799" s="19"/>
      <c r="D799" s="19"/>
      <c r="F799" s="55"/>
      <c r="G799" s="55"/>
      <c r="H799" s="12"/>
    </row>
    <row r="800" ht="14.25" customHeight="1">
      <c r="B800" s="19"/>
      <c r="C800" s="19"/>
      <c r="D800" s="19"/>
      <c r="F800" s="55"/>
      <c r="G800" s="55"/>
      <c r="H800" s="12"/>
    </row>
    <row r="801" ht="14.25" customHeight="1">
      <c r="B801" s="19"/>
      <c r="C801" s="19"/>
      <c r="D801" s="19"/>
      <c r="F801" s="55"/>
      <c r="G801" s="55"/>
      <c r="H801" s="12"/>
    </row>
    <row r="802" ht="14.25" customHeight="1">
      <c r="B802" s="19"/>
      <c r="C802" s="19"/>
      <c r="D802" s="19"/>
      <c r="F802" s="55"/>
      <c r="G802" s="55"/>
      <c r="H802" s="12"/>
    </row>
    <row r="803" ht="14.25" customHeight="1">
      <c r="B803" s="19"/>
      <c r="C803" s="19"/>
      <c r="D803" s="19"/>
      <c r="F803" s="55"/>
      <c r="G803" s="55"/>
      <c r="H803" s="12"/>
    </row>
    <row r="804" ht="14.25" customHeight="1">
      <c r="B804" s="19"/>
      <c r="C804" s="19"/>
      <c r="D804" s="19"/>
      <c r="F804" s="55"/>
      <c r="G804" s="55"/>
      <c r="H804" s="12"/>
    </row>
    <row r="805" ht="14.25" customHeight="1">
      <c r="B805" s="19"/>
      <c r="C805" s="19"/>
      <c r="D805" s="19"/>
      <c r="F805" s="55"/>
      <c r="G805" s="55"/>
      <c r="H805" s="12"/>
    </row>
    <row r="806" ht="14.25" customHeight="1">
      <c r="B806" s="19"/>
      <c r="C806" s="19"/>
      <c r="D806" s="19"/>
      <c r="F806" s="55"/>
      <c r="G806" s="55"/>
      <c r="H806" s="12"/>
    </row>
    <row r="807" ht="14.25" customHeight="1">
      <c r="B807" s="19"/>
      <c r="C807" s="19"/>
      <c r="D807" s="19"/>
      <c r="F807" s="55"/>
      <c r="G807" s="55"/>
      <c r="H807" s="12"/>
    </row>
    <row r="808" ht="14.25" customHeight="1">
      <c r="B808" s="19"/>
      <c r="C808" s="19"/>
      <c r="D808" s="19"/>
      <c r="F808" s="55"/>
      <c r="G808" s="55"/>
      <c r="H808" s="12"/>
    </row>
    <row r="809" ht="14.25" customHeight="1">
      <c r="B809" s="19"/>
      <c r="C809" s="19"/>
      <c r="D809" s="19"/>
      <c r="F809" s="55"/>
      <c r="G809" s="55"/>
      <c r="H809" s="12"/>
    </row>
    <row r="810" ht="14.25" customHeight="1">
      <c r="B810" s="19"/>
      <c r="C810" s="19"/>
      <c r="D810" s="19"/>
      <c r="F810" s="55"/>
      <c r="G810" s="55"/>
      <c r="H810" s="12"/>
    </row>
    <row r="811" ht="14.25" customHeight="1">
      <c r="B811" s="19"/>
      <c r="C811" s="19"/>
      <c r="D811" s="19"/>
      <c r="F811" s="55"/>
      <c r="G811" s="55"/>
      <c r="H811" s="12"/>
    </row>
    <row r="812" ht="14.25" customHeight="1">
      <c r="B812" s="19"/>
      <c r="C812" s="19"/>
      <c r="D812" s="19"/>
      <c r="F812" s="55"/>
      <c r="G812" s="55"/>
      <c r="H812" s="12"/>
    </row>
    <row r="813" ht="14.25" customHeight="1">
      <c r="B813" s="19"/>
      <c r="C813" s="19"/>
      <c r="D813" s="19"/>
      <c r="F813" s="55"/>
      <c r="G813" s="55"/>
      <c r="H813" s="12"/>
    </row>
    <row r="814" ht="14.25" customHeight="1">
      <c r="B814" s="19"/>
      <c r="C814" s="19"/>
      <c r="D814" s="19"/>
      <c r="F814" s="55"/>
      <c r="G814" s="55"/>
      <c r="H814" s="12"/>
    </row>
    <row r="815" ht="14.25" customHeight="1">
      <c r="B815" s="19"/>
      <c r="C815" s="19"/>
      <c r="D815" s="19"/>
      <c r="F815" s="55"/>
      <c r="G815" s="55"/>
      <c r="H815" s="12"/>
    </row>
    <row r="816" ht="14.25" customHeight="1">
      <c r="B816" s="19"/>
      <c r="C816" s="19"/>
      <c r="D816" s="19"/>
      <c r="F816" s="55"/>
      <c r="G816" s="55"/>
      <c r="H816" s="12"/>
    </row>
    <row r="817" ht="14.25" customHeight="1">
      <c r="B817" s="19"/>
      <c r="C817" s="19"/>
      <c r="D817" s="19"/>
      <c r="F817" s="55"/>
      <c r="G817" s="55"/>
      <c r="H817" s="12"/>
    </row>
    <row r="818" ht="14.25" customHeight="1">
      <c r="B818" s="19"/>
      <c r="C818" s="19"/>
      <c r="D818" s="19"/>
      <c r="F818" s="55"/>
      <c r="G818" s="55"/>
      <c r="H818" s="12"/>
    </row>
    <row r="819" ht="14.25" customHeight="1">
      <c r="B819" s="19"/>
      <c r="C819" s="19"/>
      <c r="D819" s="19"/>
      <c r="F819" s="55"/>
      <c r="G819" s="55"/>
      <c r="H819" s="12"/>
    </row>
    <row r="820" ht="14.25" customHeight="1">
      <c r="B820" s="19"/>
      <c r="C820" s="19"/>
      <c r="D820" s="19"/>
      <c r="F820" s="55"/>
      <c r="G820" s="55"/>
      <c r="H820" s="12"/>
    </row>
    <row r="821" ht="14.25" customHeight="1">
      <c r="B821" s="19"/>
      <c r="C821" s="19"/>
      <c r="D821" s="19"/>
      <c r="F821" s="55"/>
      <c r="G821" s="55"/>
      <c r="H821" s="12"/>
    </row>
    <row r="822" ht="14.25" customHeight="1">
      <c r="B822" s="19"/>
      <c r="C822" s="19"/>
      <c r="D822" s="19"/>
      <c r="F822" s="55"/>
      <c r="G822" s="55"/>
      <c r="H822" s="12"/>
    </row>
    <row r="823" ht="14.25" customHeight="1">
      <c r="B823" s="19"/>
      <c r="C823" s="19"/>
      <c r="D823" s="19"/>
      <c r="F823" s="55"/>
      <c r="G823" s="55"/>
      <c r="H823" s="12"/>
    </row>
    <row r="824" ht="14.25" customHeight="1">
      <c r="B824" s="19"/>
      <c r="C824" s="19"/>
      <c r="D824" s="19"/>
      <c r="F824" s="55"/>
      <c r="G824" s="55"/>
      <c r="H824" s="12"/>
    </row>
    <row r="825" ht="14.25" customHeight="1">
      <c r="B825" s="19"/>
      <c r="C825" s="19"/>
      <c r="D825" s="19"/>
      <c r="F825" s="55"/>
      <c r="G825" s="55"/>
      <c r="H825" s="12"/>
    </row>
    <row r="826" ht="14.25" customHeight="1">
      <c r="B826" s="19"/>
      <c r="C826" s="19"/>
      <c r="D826" s="19"/>
      <c r="F826" s="55"/>
      <c r="G826" s="55"/>
      <c r="H826" s="12"/>
    </row>
    <row r="827" ht="14.25" customHeight="1">
      <c r="B827" s="19"/>
      <c r="C827" s="19"/>
      <c r="D827" s="19"/>
      <c r="F827" s="55"/>
      <c r="G827" s="55"/>
      <c r="H827" s="12"/>
    </row>
    <row r="828" ht="14.25" customHeight="1">
      <c r="B828" s="19"/>
      <c r="C828" s="19"/>
      <c r="D828" s="19"/>
      <c r="F828" s="55"/>
      <c r="G828" s="55"/>
      <c r="H828" s="12"/>
    </row>
    <row r="829" ht="14.25" customHeight="1">
      <c r="B829" s="19"/>
      <c r="C829" s="19"/>
      <c r="D829" s="19"/>
      <c r="F829" s="55"/>
      <c r="G829" s="55"/>
      <c r="H829" s="12"/>
    </row>
    <row r="830" ht="14.25" customHeight="1">
      <c r="B830" s="19"/>
      <c r="C830" s="19"/>
      <c r="D830" s="19"/>
      <c r="F830" s="55"/>
      <c r="G830" s="55"/>
      <c r="H830" s="12"/>
    </row>
    <row r="831" ht="14.25" customHeight="1">
      <c r="B831" s="19"/>
      <c r="C831" s="19"/>
      <c r="D831" s="19"/>
      <c r="F831" s="55"/>
      <c r="G831" s="55"/>
      <c r="H831" s="12"/>
    </row>
    <row r="832" ht="14.25" customHeight="1">
      <c r="B832" s="19"/>
      <c r="C832" s="19"/>
      <c r="D832" s="19"/>
      <c r="F832" s="55"/>
      <c r="G832" s="55"/>
      <c r="H832" s="12"/>
    </row>
    <row r="833" ht="14.25" customHeight="1">
      <c r="B833" s="19"/>
      <c r="C833" s="19"/>
      <c r="D833" s="19"/>
      <c r="F833" s="55"/>
      <c r="G833" s="55"/>
      <c r="H833" s="12"/>
    </row>
    <row r="834" ht="14.25" customHeight="1">
      <c r="B834" s="19"/>
      <c r="C834" s="19"/>
      <c r="D834" s="19"/>
      <c r="F834" s="55"/>
      <c r="G834" s="55"/>
      <c r="H834" s="12"/>
    </row>
    <row r="835" ht="14.25" customHeight="1">
      <c r="B835" s="19"/>
      <c r="C835" s="19"/>
      <c r="D835" s="19"/>
      <c r="F835" s="55"/>
      <c r="G835" s="55"/>
      <c r="H835" s="12"/>
    </row>
    <row r="836" ht="14.25" customHeight="1">
      <c r="B836" s="19"/>
      <c r="C836" s="19"/>
      <c r="D836" s="19"/>
      <c r="F836" s="55"/>
      <c r="G836" s="55"/>
      <c r="H836" s="12"/>
    </row>
    <row r="837" ht="14.25" customHeight="1">
      <c r="B837" s="19"/>
      <c r="C837" s="19"/>
      <c r="D837" s="19"/>
      <c r="F837" s="55"/>
      <c r="G837" s="55"/>
      <c r="H837" s="12"/>
    </row>
    <row r="838" ht="14.25" customHeight="1">
      <c r="B838" s="19"/>
      <c r="C838" s="19"/>
      <c r="D838" s="19"/>
      <c r="F838" s="55"/>
      <c r="G838" s="55"/>
      <c r="H838" s="12"/>
    </row>
    <row r="839" ht="14.25" customHeight="1">
      <c r="B839" s="19"/>
      <c r="C839" s="19"/>
      <c r="D839" s="19"/>
      <c r="F839" s="55"/>
      <c r="G839" s="55"/>
      <c r="H839" s="12"/>
    </row>
    <row r="840" ht="14.25" customHeight="1">
      <c r="B840" s="19"/>
      <c r="C840" s="19"/>
      <c r="D840" s="19"/>
      <c r="F840" s="55"/>
      <c r="G840" s="55"/>
      <c r="H840" s="12"/>
    </row>
    <row r="841" ht="14.25" customHeight="1">
      <c r="B841" s="19"/>
      <c r="C841" s="19"/>
      <c r="D841" s="19"/>
      <c r="F841" s="55"/>
      <c r="G841" s="55"/>
      <c r="H841" s="12"/>
    </row>
    <row r="842" ht="14.25" customHeight="1">
      <c r="B842" s="19"/>
      <c r="C842" s="19"/>
      <c r="D842" s="19"/>
      <c r="F842" s="55"/>
      <c r="G842" s="55"/>
      <c r="H842" s="12"/>
    </row>
    <row r="843" ht="14.25" customHeight="1">
      <c r="B843" s="19"/>
      <c r="C843" s="19"/>
      <c r="D843" s="19"/>
      <c r="F843" s="55"/>
      <c r="G843" s="55"/>
      <c r="H843" s="12"/>
    </row>
    <row r="844" ht="14.25" customHeight="1">
      <c r="B844" s="19"/>
      <c r="C844" s="19"/>
      <c r="D844" s="19"/>
      <c r="F844" s="55"/>
      <c r="G844" s="55"/>
      <c r="H844" s="12"/>
    </row>
    <row r="845" ht="14.25" customHeight="1">
      <c r="B845" s="19"/>
      <c r="C845" s="19"/>
      <c r="D845" s="19"/>
      <c r="F845" s="55"/>
      <c r="G845" s="55"/>
      <c r="H845" s="12"/>
    </row>
    <row r="846" ht="14.25" customHeight="1">
      <c r="B846" s="19"/>
      <c r="C846" s="19"/>
      <c r="D846" s="19"/>
      <c r="F846" s="55"/>
      <c r="G846" s="55"/>
      <c r="H846" s="12"/>
    </row>
    <row r="847" ht="14.25" customHeight="1">
      <c r="B847" s="19"/>
      <c r="C847" s="19"/>
      <c r="D847" s="19"/>
      <c r="F847" s="55"/>
      <c r="G847" s="55"/>
      <c r="H847" s="12"/>
    </row>
    <row r="848" ht="14.25" customHeight="1">
      <c r="B848" s="19"/>
      <c r="C848" s="19"/>
      <c r="D848" s="19"/>
      <c r="F848" s="55"/>
      <c r="G848" s="55"/>
      <c r="H848" s="12"/>
    </row>
    <row r="849" ht="14.25" customHeight="1">
      <c r="B849" s="19"/>
      <c r="C849" s="19"/>
      <c r="D849" s="19"/>
      <c r="F849" s="55"/>
      <c r="G849" s="55"/>
      <c r="H849" s="12"/>
    </row>
    <row r="850" ht="14.25" customHeight="1">
      <c r="B850" s="19"/>
      <c r="C850" s="19"/>
      <c r="D850" s="19"/>
      <c r="F850" s="55"/>
      <c r="G850" s="55"/>
      <c r="H850" s="12"/>
    </row>
    <row r="851" ht="14.25" customHeight="1">
      <c r="B851" s="19"/>
      <c r="C851" s="19"/>
      <c r="D851" s="19"/>
      <c r="F851" s="55"/>
      <c r="G851" s="55"/>
      <c r="H851" s="12"/>
    </row>
    <row r="852" ht="14.25" customHeight="1">
      <c r="B852" s="19"/>
      <c r="C852" s="19"/>
      <c r="D852" s="19"/>
      <c r="F852" s="55"/>
      <c r="G852" s="55"/>
      <c r="H852" s="12"/>
    </row>
    <row r="853" ht="14.25" customHeight="1">
      <c r="B853" s="19"/>
      <c r="C853" s="19"/>
      <c r="D853" s="19"/>
      <c r="F853" s="55"/>
      <c r="G853" s="55"/>
      <c r="H853" s="12"/>
    </row>
    <row r="854" ht="14.25" customHeight="1">
      <c r="B854" s="19"/>
      <c r="C854" s="19"/>
      <c r="D854" s="19"/>
      <c r="F854" s="55"/>
      <c r="G854" s="55"/>
      <c r="H854" s="12"/>
    </row>
    <row r="855" ht="14.25" customHeight="1">
      <c r="B855" s="19"/>
      <c r="C855" s="19"/>
      <c r="D855" s="19"/>
      <c r="F855" s="55"/>
      <c r="G855" s="55"/>
      <c r="H855" s="12"/>
    </row>
    <row r="856" ht="14.25" customHeight="1">
      <c r="B856" s="19"/>
      <c r="C856" s="19"/>
      <c r="D856" s="19"/>
      <c r="F856" s="55"/>
      <c r="G856" s="55"/>
      <c r="H856" s="12"/>
    </row>
    <row r="857" ht="14.25" customHeight="1">
      <c r="B857" s="19"/>
      <c r="C857" s="19"/>
      <c r="D857" s="19"/>
      <c r="F857" s="55"/>
      <c r="G857" s="55"/>
      <c r="H857" s="12"/>
    </row>
    <row r="858" ht="14.25" customHeight="1">
      <c r="B858" s="19"/>
      <c r="C858" s="19"/>
      <c r="D858" s="19"/>
      <c r="F858" s="55"/>
      <c r="G858" s="55"/>
      <c r="H858" s="12"/>
    </row>
    <row r="859" ht="14.25" customHeight="1">
      <c r="B859" s="19"/>
      <c r="C859" s="19"/>
      <c r="D859" s="19"/>
      <c r="F859" s="55"/>
      <c r="G859" s="55"/>
      <c r="H859" s="12"/>
    </row>
    <row r="860" ht="14.25" customHeight="1">
      <c r="B860" s="19"/>
      <c r="C860" s="19"/>
      <c r="D860" s="19"/>
      <c r="F860" s="55"/>
      <c r="G860" s="55"/>
      <c r="H860" s="12"/>
    </row>
    <row r="861" ht="14.25" customHeight="1">
      <c r="B861" s="19"/>
      <c r="C861" s="19"/>
      <c r="D861" s="19"/>
      <c r="F861" s="55"/>
      <c r="G861" s="55"/>
      <c r="H861" s="12"/>
    </row>
    <row r="862" ht="14.25" customHeight="1">
      <c r="B862" s="19"/>
      <c r="C862" s="19"/>
      <c r="D862" s="19"/>
      <c r="F862" s="55"/>
      <c r="G862" s="55"/>
      <c r="H862" s="12"/>
    </row>
    <row r="863" ht="14.25" customHeight="1">
      <c r="B863" s="19"/>
      <c r="C863" s="19"/>
      <c r="D863" s="19"/>
      <c r="F863" s="55"/>
      <c r="G863" s="55"/>
      <c r="H863" s="12"/>
    </row>
    <row r="864" ht="14.25" customHeight="1">
      <c r="B864" s="19"/>
      <c r="C864" s="19"/>
      <c r="D864" s="19"/>
      <c r="F864" s="55"/>
      <c r="G864" s="55"/>
      <c r="H864" s="12"/>
    </row>
    <row r="865" ht="14.25" customHeight="1">
      <c r="B865" s="19"/>
      <c r="C865" s="19"/>
      <c r="D865" s="19"/>
      <c r="F865" s="55"/>
      <c r="G865" s="55"/>
      <c r="H865" s="12"/>
    </row>
    <row r="866" ht="14.25" customHeight="1">
      <c r="B866" s="19"/>
      <c r="C866" s="19"/>
      <c r="D866" s="19"/>
      <c r="F866" s="55"/>
      <c r="G866" s="55"/>
      <c r="H866" s="12"/>
    </row>
    <row r="867" ht="14.25" customHeight="1">
      <c r="B867" s="19"/>
      <c r="C867" s="19"/>
      <c r="D867" s="19"/>
      <c r="F867" s="55"/>
      <c r="G867" s="55"/>
      <c r="H867" s="12"/>
    </row>
    <row r="868" ht="14.25" customHeight="1">
      <c r="B868" s="19"/>
      <c r="C868" s="19"/>
      <c r="D868" s="19"/>
      <c r="F868" s="55"/>
      <c r="G868" s="55"/>
      <c r="H868" s="12"/>
    </row>
    <row r="869" ht="14.25" customHeight="1">
      <c r="B869" s="19"/>
      <c r="C869" s="19"/>
      <c r="D869" s="19"/>
      <c r="F869" s="55"/>
      <c r="G869" s="55"/>
      <c r="H869" s="12"/>
    </row>
    <row r="870" ht="14.25" customHeight="1">
      <c r="B870" s="19"/>
      <c r="C870" s="19"/>
      <c r="D870" s="19"/>
      <c r="F870" s="55"/>
      <c r="G870" s="55"/>
      <c r="H870" s="12"/>
    </row>
    <row r="871" ht="14.25" customHeight="1">
      <c r="B871" s="19"/>
      <c r="C871" s="19"/>
      <c r="D871" s="19"/>
      <c r="F871" s="55"/>
      <c r="G871" s="55"/>
      <c r="H871" s="12"/>
    </row>
    <row r="872" ht="14.25" customHeight="1">
      <c r="B872" s="19"/>
      <c r="C872" s="19"/>
      <c r="D872" s="19"/>
      <c r="F872" s="55"/>
      <c r="G872" s="55"/>
      <c r="H872" s="12"/>
    </row>
    <row r="873" ht="14.25" customHeight="1">
      <c r="B873" s="19"/>
      <c r="C873" s="19"/>
      <c r="D873" s="19"/>
      <c r="F873" s="55"/>
      <c r="G873" s="55"/>
      <c r="H873" s="12"/>
    </row>
    <row r="874" ht="14.25" customHeight="1">
      <c r="B874" s="19"/>
      <c r="C874" s="19"/>
      <c r="D874" s="19"/>
      <c r="F874" s="55"/>
      <c r="G874" s="55"/>
      <c r="H874" s="12"/>
    </row>
    <row r="875" ht="14.25" customHeight="1">
      <c r="B875" s="19"/>
      <c r="C875" s="19"/>
      <c r="D875" s="19"/>
      <c r="F875" s="55"/>
      <c r="G875" s="55"/>
      <c r="H875" s="12"/>
    </row>
    <row r="876" ht="14.25" customHeight="1">
      <c r="B876" s="19"/>
      <c r="C876" s="19"/>
      <c r="D876" s="19"/>
      <c r="F876" s="55"/>
      <c r="G876" s="55"/>
      <c r="H876" s="12"/>
    </row>
    <row r="877" ht="14.25" customHeight="1">
      <c r="B877" s="19"/>
      <c r="C877" s="19"/>
      <c r="D877" s="19"/>
      <c r="F877" s="55"/>
      <c r="G877" s="55"/>
      <c r="H877" s="12"/>
    </row>
    <row r="878" ht="14.25" customHeight="1">
      <c r="B878" s="19"/>
      <c r="C878" s="19"/>
      <c r="D878" s="19"/>
      <c r="F878" s="55"/>
      <c r="G878" s="55"/>
      <c r="H878" s="12"/>
    </row>
    <row r="879" ht="14.25" customHeight="1">
      <c r="B879" s="19"/>
      <c r="C879" s="19"/>
      <c r="D879" s="19"/>
      <c r="F879" s="55"/>
      <c r="G879" s="55"/>
      <c r="H879" s="12"/>
    </row>
    <row r="880" ht="14.25" customHeight="1">
      <c r="B880" s="19"/>
      <c r="C880" s="19"/>
      <c r="D880" s="19"/>
      <c r="F880" s="55"/>
      <c r="G880" s="55"/>
      <c r="H880" s="12"/>
    </row>
    <row r="881" ht="14.25" customHeight="1">
      <c r="B881" s="19"/>
      <c r="C881" s="19"/>
      <c r="D881" s="19"/>
      <c r="F881" s="55"/>
      <c r="G881" s="55"/>
      <c r="H881" s="12"/>
    </row>
    <row r="882" ht="14.25" customHeight="1">
      <c r="B882" s="19"/>
      <c r="C882" s="19"/>
      <c r="D882" s="19"/>
      <c r="F882" s="55"/>
      <c r="G882" s="55"/>
      <c r="H882" s="12"/>
    </row>
    <row r="883" ht="14.25" customHeight="1">
      <c r="B883" s="19"/>
      <c r="C883" s="19"/>
      <c r="D883" s="19"/>
      <c r="F883" s="55"/>
      <c r="G883" s="55"/>
      <c r="H883" s="12"/>
    </row>
    <row r="884" ht="14.25" customHeight="1">
      <c r="B884" s="19"/>
      <c r="C884" s="19"/>
      <c r="D884" s="19"/>
      <c r="F884" s="55"/>
      <c r="G884" s="55"/>
      <c r="H884" s="12"/>
    </row>
    <row r="885" ht="14.25" customHeight="1">
      <c r="B885" s="19"/>
      <c r="C885" s="19"/>
      <c r="D885" s="19"/>
      <c r="F885" s="55"/>
      <c r="G885" s="55"/>
      <c r="H885" s="12"/>
    </row>
    <row r="886" ht="14.25" customHeight="1">
      <c r="B886" s="19"/>
      <c r="C886" s="19"/>
      <c r="D886" s="19"/>
      <c r="F886" s="55"/>
      <c r="G886" s="55"/>
      <c r="H886" s="12"/>
    </row>
    <row r="887" ht="14.25" customHeight="1">
      <c r="B887" s="19"/>
      <c r="C887" s="19"/>
      <c r="D887" s="19"/>
      <c r="F887" s="55"/>
      <c r="G887" s="55"/>
      <c r="H887" s="12"/>
    </row>
    <row r="888" ht="14.25" customHeight="1">
      <c r="B888" s="19"/>
      <c r="C888" s="19"/>
      <c r="D888" s="19"/>
      <c r="F888" s="55"/>
      <c r="G888" s="55"/>
      <c r="H888" s="12"/>
    </row>
    <row r="889" ht="14.25" customHeight="1">
      <c r="B889" s="19"/>
      <c r="C889" s="19"/>
      <c r="D889" s="19"/>
      <c r="F889" s="55"/>
      <c r="G889" s="55"/>
      <c r="H889" s="12"/>
    </row>
    <row r="890" ht="14.25" customHeight="1">
      <c r="B890" s="19"/>
      <c r="C890" s="19"/>
      <c r="D890" s="19"/>
      <c r="F890" s="55"/>
      <c r="G890" s="55"/>
      <c r="H890" s="12"/>
    </row>
    <row r="891" ht="14.25" customHeight="1">
      <c r="B891" s="19"/>
      <c r="C891" s="19"/>
      <c r="D891" s="19"/>
      <c r="F891" s="55"/>
      <c r="G891" s="55"/>
      <c r="H891" s="12"/>
    </row>
    <row r="892" ht="14.25" customHeight="1">
      <c r="B892" s="19"/>
      <c r="C892" s="19"/>
      <c r="D892" s="19"/>
      <c r="F892" s="55"/>
      <c r="G892" s="55"/>
      <c r="H892" s="12"/>
    </row>
    <row r="893" ht="14.25" customHeight="1">
      <c r="B893" s="19"/>
      <c r="C893" s="19"/>
      <c r="D893" s="19"/>
      <c r="F893" s="55"/>
      <c r="G893" s="55"/>
      <c r="H893" s="12"/>
    </row>
    <row r="894" ht="14.25" customHeight="1">
      <c r="B894" s="19"/>
      <c r="C894" s="19"/>
      <c r="D894" s="19"/>
      <c r="F894" s="55"/>
      <c r="G894" s="55"/>
      <c r="H894" s="12"/>
    </row>
    <row r="895" ht="14.25" customHeight="1">
      <c r="B895" s="19"/>
      <c r="C895" s="19"/>
      <c r="D895" s="19"/>
      <c r="F895" s="55"/>
      <c r="G895" s="55"/>
      <c r="H895" s="12"/>
    </row>
    <row r="896" ht="14.25" customHeight="1">
      <c r="B896" s="19"/>
      <c r="C896" s="19"/>
      <c r="D896" s="19"/>
      <c r="F896" s="55"/>
      <c r="G896" s="55"/>
      <c r="H896" s="12"/>
    </row>
    <row r="897" ht="14.25" customHeight="1">
      <c r="B897" s="19"/>
      <c r="C897" s="19"/>
      <c r="D897" s="19"/>
      <c r="F897" s="55"/>
      <c r="G897" s="55"/>
      <c r="H897" s="12"/>
    </row>
    <row r="898" ht="14.25" customHeight="1">
      <c r="B898" s="19"/>
      <c r="C898" s="19"/>
      <c r="D898" s="19"/>
      <c r="F898" s="55"/>
      <c r="G898" s="55"/>
      <c r="H898" s="12"/>
    </row>
    <row r="899" ht="14.25" customHeight="1">
      <c r="B899" s="19"/>
      <c r="C899" s="19"/>
      <c r="D899" s="19"/>
      <c r="F899" s="55"/>
      <c r="G899" s="55"/>
      <c r="H899" s="12"/>
    </row>
    <row r="900" ht="14.25" customHeight="1">
      <c r="B900" s="19"/>
      <c r="C900" s="19"/>
      <c r="D900" s="19"/>
      <c r="F900" s="55"/>
      <c r="G900" s="55"/>
      <c r="H900" s="12"/>
    </row>
    <row r="901" ht="14.25" customHeight="1">
      <c r="B901" s="19"/>
      <c r="C901" s="19"/>
      <c r="D901" s="19"/>
      <c r="F901" s="55"/>
      <c r="G901" s="55"/>
      <c r="H901" s="12"/>
    </row>
    <row r="902" ht="14.25" customHeight="1">
      <c r="B902" s="19"/>
      <c r="C902" s="19"/>
      <c r="D902" s="19"/>
      <c r="F902" s="55"/>
      <c r="G902" s="55"/>
      <c r="H902" s="12"/>
    </row>
    <row r="903" ht="14.25" customHeight="1">
      <c r="B903" s="19"/>
      <c r="C903" s="19"/>
      <c r="D903" s="19"/>
      <c r="F903" s="55"/>
      <c r="G903" s="55"/>
      <c r="H903" s="12"/>
    </row>
    <row r="904" ht="14.25" customHeight="1">
      <c r="B904" s="19"/>
      <c r="C904" s="19"/>
      <c r="D904" s="19"/>
      <c r="F904" s="55"/>
      <c r="G904" s="55"/>
      <c r="H904" s="12"/>
    </row>
    <row r="905" ht="14.25" customHeight="1">
      <c r="B905" s="19"/>
      <c r="C905" s="19"/>
      <c r="D905" s="19"/>
      <c r="F905" s="55"/>
      <c r="G905" s="55"/>
      <c r="H905" s="12"/>
    </row>
    <row r="906" ht="14.25" customHeight="1">
      <c r="B906" s="19"/>
      <c r="C906" s="19"/>
      <c r="D906" s="19"/>
      <c r="F906" s="55"/>
      <c r="G906" s="55"/>
      <c r="H906" s="12"/>
    </row>
    <row r="907" ht="14.25" customHeight="1">
      <c r="B907" s="19"/>
      <c r="C907" s="19"/>
      <c r="D907" s="19"/>
      <c r="F907" s="55"/>
      <c r="G907" s="55"/>
      <c r="H907" s="12"/>
    </row>
    <row r="908" ht="14.25" customHeight="1">
      <c r="B908" s="19"/>
      <c r="C908" s="19"/>
      <c r="D908" s="19"/>
      <c r="F908" s="55"/>
      <c r="G908" s="55"/>
      <c r="H908" s="12"/>
    </row>
    <row r="909" ht="14.25" customHeight="1">
      <c r="B909" s="19"/>
      <c r="C909" s="19"/>
      <c r="D909" s="19"/>
      <c r="F909" s="55"/>
      <c r="G909" s="55"/>
      <c r="H909" s="12"/>
    </row>
    <row r="910" ht="14.25" customHeight="1">
      <c r="B910" s="19"/>
      <c r="C910" s="19"/>
      <c r="D910" s="19"/>
      <c r="F910" s="55"/>
      <c r="G910" s="55"/>
      <c r="H910" s="12"/>
    </row>
    <row r="911" ht="14.25" customHeight="1">
      <c r="B911" s="19"/>
      <c r="C911" s="19"/>
      <c r="D911" s="19"/>
      <c r="F911" s="55"/>
      <c r="G911" s="55"/>
      <c r="H911" s="12"/>
    </row>
    <row r="912" ht="14.25" customHeight="1">
      <c r="B912" s="19"/>
      <c r="C912" s="19"/>
      <c r="D912" s="19"/>
      <c r="F912" s="55"/>
      <c r="G912" s="55"/>
      <c r="H912" s="12"/>
    </row>
    <row r="913" ht="14.25" customHeight="1">
      <c r="B913" s="19"/>
      <c r="C913" s="19"/>
      <c r="D913" s="19"/>
      <c r="F913" s="55"/>
      <c r="G913" s="55"/>
      <c r="H913" s="12"/>
    </row>
    <row r="914" ht="14.25" customHeight="1">
      <c r="B914" s="19"/>
      <c r="C914" s="19"/>
      <c r="D914" s="19"/>
      <c r="F914" s="55"/>
      <c r="G914" s="55"/>
      <c r="H914" s="12"/>
    </row>
    <row r="915" ht="14.25" customHeight="1">
      <c r="B915" s="19"/>
      <c r="C915" s="19"/>
      <c r="D915" s="19"/>
      <c r="F915" s="55"/>
      <c r="G915" s="55"/>
      <c r="H915" s="12"/>
    </row>
    <row r="916" ht="14.25" customHeight="1">
      <c r="B916" s="19"/>
      <c r="C916" s="19"/>
      <c r="D916" s="19"/>
      <c r="F916" s="55"/>
      <c r="G916" s="55"/>
      <c r="H916" s="12"/>
    </row>
    <row r="917" ht="14.25" customHeight="1">
      <c r="B917" s="19"/>
      <c r="C917" s="19"/>
      <c r="D917" s="19"/>
      <c r="F917" s="55"/>
      <c r="G917" s="55"/>
      <c r="H917" s="12"/>
    </row>
    <row r="918" ht="14.25" customHeight="1">
      <c r="B918" s="19"/>
      <c r="C918" s="19"/>
      <c r="D918" s="19"/>
      <c r="F918" s="55"/>
      <c r="G918" s="55"/>
      <c r="H918" s="12"/>
    </row>
    <row r="919" ht="14.25" customHeight="1">
      <c r="B919" s="19"/>
      <c r="C919" s="19"/>
      <c r="D919" s="19"/>
      <c r="F919" s="55"/>
      <c r="G919" s="55"/>
      <c r="H919" s="12"/>
    </row>
    <row r="920" ht="14.25" customHeight="1">
      <c r="B920" s="19"/>
      <c r="C920" s="19"/>
      <c r="D920" s="19"/>
      <c r="F920" s="55"/>
      <c r="G920" s="55"/>
      <c r="H920" s="12"/>
    </row>
    <row r="921" ht="14.25" customHeight="1">
      <c r="B921" s="19"/>
      <c r="C921" s="19"/>
      <c r="D921" s="19"/>
      <c r="F921" s="55"/>
      <c r="G921" s="55"/>
      <c r="H921" s="12"/>
    </row>
    <row r="922" ht="14.25" customHeight="1">
      <c r="B922" s="19"/>
      <c r="C922" s="19"/>
      <c r="D922" s="19"/>
      <c r="F922" s="55"/>
      <c r="G922" s="55"/>
      <c r="H922" s="12"/>
    </row>
    <row r="923" ht="14.25" customHeight="1">
      <c r="B923" s="19"/>
      <c r="C923" s="19"/>
      <c r="D923" s="19"/>
      <c r="F923" s="55"/>
      <c r="G923" s="55"/>
      <c r="H923" s="12"/>
    </row>
    <row r="924" ht="14.25" customHeight="1">
      <c r="B924" s="19"/>
      <c r="C924" s="19"/>
      <c r="D924" s="19"/>
      <c r="F924" s="55"/>
      <c r="G924" s="55"/>
      <c r="H924" s="12"/>
    </row>
    <row r="925" ht="14.25" customHeight="1">
      <c r="B925" s="19"/>
      <c r="C925" s="19"/>
      <c r="D925" s="19"/>
      <c r="F925" s="55"/>
      <c r="G925" s="55"/>
      <c r="H925" s="12"/>
    </row>
    <row r="926" ht="14.25" customHeight="1">
      <c r="B926" s="19"/>
      <c r="C926" s="19"/>
      <c r="D926" s="19"/>
      <c r="F926" s="55"/>
      <c r="G926" s="55"/>
      <c r="H926" s="12"/>
    </row>
    <row r="927" ht="14.25" customHeight="1">
      <c r="B927" s="19"/>
      <c r="C927" s="19"/>
      <c r="D927" s="19"/>
      <c r="F927" s="55"/>
      <c r="G927" s="55"/>
      <c r="H927" s="12"/>
    </row>
    <row r="928" ht="14.25" customHeight="1">
      <c r="B928" s="19"/>
      <c r="C928" s="19"/>
      <c r="D928" s="19"/>
      <c r="F928" s="55"/>
      <c r="G928" s="55"/>
      <c r="H928" s="12"/>
    </row>
    <row r="929" ht="14.25" customHeight="1">
      <c r="B929" s="19"/>
      <c r="C929" s="19"/>
      <c r="D929" s="19"/>
      <c r="F929" s="55"/>
      <c r="G929" s="55"/>
      <c r="H929" s="12"/>
    </row>
    <row r="930" ht="14.25" customHeight="1">
      <c r="B930" s="19"/>
      <c r="C930" s="19"/>
      <c r="D930" s="19"/>
      <c r="F930" s="55"/>
      <c r="G930" s="55"/>
      <c r="H930" s="12"/>
    </row>
    <row r="931" ht="14.25" customHeight="1">
      <c r="B931" s="19"/>
      <c r="C931" s="19"/>
      <c r="D931" s="19"/>
      <c r="F931" s="55"/>
      <c r="G931" s="55"/>
      <c r="H931" s="12"/>
    </row>
    <row r="932" ht="14.25" customHeight="1">
      <c r="B932" s="19"/>
      <c r="C932" s="19"/>
      <c r="D932" s="19"/>
      <c r="F932" s="55"/>
      <c r="G932" s="55"/>
      <c r="H932" s="12"/>
    </row>
    <row r="933" ht="14.25" customHeight="1">
      <c r="B933" s="19"/>
      <c r="C933" s="19"/>
      <c r="D933" s="19"/>
      <c r="F933" s="55"/>
      <c r="G933" s="55"/>
      <c r="H933" s="12"/>
    </row>
    <row r="934" ht="14.25" customHeight="1">
      <c r="B934" s="19"/>
      <c r="C934" s="19"/>
      <c r="D934" s="19"/>
      <c r="F934" s="55"/>
      <c r="G934" s="55"/>
      <c r="H934" s="12"/>
    </row>
    <row r="935" ht="14.25" customHeight="1">
      <c r="B935" s="19"/>
      <c r="C935" s="19"/>
      <c r="D935" s="19"/>
      <c r="F935" s="55"/>
      <c r="G935" s="55"/>
      <c r="H935" s="12"/>
    </row>
    <row r="936" ht="14.25" customHeight="1">
      <c r="B936" s="19"/>
      <c r="C936" s="19"/>
      <c r="D936" s="19"/>
      <c r="F936" s="55"/>
      <c r="G936" s="55"/>
      <c r="H936" s="12"/>
    </row>
    <row r="937" ht="14.25" customHeight="1">
      <c r="B937" s="19"/>
      <c r="C937" s="19"/>
      <c r="D937" s="19"/>
      <c r="F937" s="55"/>
      <c r="G937" s="55"/>
      <c r="H937" s="12"/>
    </row>
    <row r="938" ht="14.25" customHeight="1">
      <c r="B938" s="19"/>
      <c r="C938" s="19"/>
      <c r="D938" s="19"/>
      <c r="F938" s="55"/>
      <c r="G938" s="55"/>
      <c r="H938" s="12"/>
    </row>
    <row r="939" ht="14.25" customHeight="1">
      <c r="B939" s="19"/>
      <c r="C939" s="19"/>
      <c r="D939" s="19"/>
      <c r="F939" s="55"/>
      <c r="G939" s="55"/>
      <c r="H939" s="12"/>
    </row>
    <row r="940" ht="14.25" customHeight="1">
      <c r="B940" s="19"/>
      <c r="C940" s="19"/>
      <c r="D940" s="19"/>
      <c r="F940" s="55"/>
      <c r="G940" s="55"/>
      <c r="H940" s="12"/>
    </row>
    <row r="941" ht="14.25" customHeight="1">
      <c r="B941" s="19"/>
      <c r="C941" s="19"/>
      <c r="D941" s="19"/>
      <c r="F941" s="55"/>
      <c r="G941" s="55"/>
      <c r="H941" s="12"/>
    </row>
    <row r="942" ht="14.25" customHeight="1">
      <c r="B942" s="19"/>
      <c r="C942" s="19"/>
      <c r="D942" s="19"/>
      <c r="F942" s="55"/>
      <c r="G942" s="55"/>
      <c r="H942" s="12"/>
    </row>
    <row r="943" ht="14.25" customHeight="1">
      <c r="B943" s="19"/>
      <c r="C943" s="19"/>
      <c r="D943" s="19"/>
      <c r="F943" s="55"/>
      <c r="G943" s="55"/>
      <c r="H943" s="12"/>
    </row>
    <row r="944" ht="14.25" customHeight="1">
      <c r="B944" s="19"/>
      <c r="C944" s="19"/>
      <c r="D944" s="19"/>
      <c r="F944" s="55"/>
      <c r="G944" s="55"/>
      <c r="H944" s="12"/>
    </row>
    <row r="945" ht="14.25" customHeight="1">
      <c r="B945" s="19"/>
      <c r="C945" s="19"/>
      <c r="D945" s="19"/>
      <c r="F945" s="55"/>
      <c r="G945" s="55"/>
      <c r="H945" s="12"/>
    </row>
    <row r="946" ht="14.25" customHeight="1">
      <c r="B946" s="19"/>
      <c r="C946" s="19"/>
      <c r="D946" s="19"/>
      <c r="F946" s="55"/>
      <c r="G946" s="55"/>
      <c r="H946" s="12"/>
    </row>
    <row r="947" ht="14.25" customHeight="1">
      <c r="B947" s="19"/>
      <c r="C947" s="19"/>
      <c r="D947" s="19"/>
      <c r="F947" s="55"/>
      <c r="G947" s="55"/>
      <c r="H947" s="12"/>
    </row>
    <row r="948" ht="14.25" customHeight="1">
      <c r="B948" s="19"/>
      <c r="C948" s="19"/>
      <c r="D948" s="19"/>
      <c r="F948" s="55"/>
      <c r="G948" s="55"/>
      <c r="H948" s="12"/>
    </row>
    <row r="949" ht="14.25" customHeight="1">
      <c r="B949" s="19"/>
      <c r="C949" s="19"/>
      <c r="D949" s="19"/>
      <c r="F949" s="55"/>
      <c r="G949" s="55"/>
      <c r="H949" s="12"/>
    </row>
    <row r="950" ht="14.25" customHeight="1">
      <c r="B950" s="19"/>
      <c r="C950" s="19"/>
      <c r="D950" s="19"/>
      <c r="F950" s="55"/>
      <c r="G950" s="55"/>
      <c r="H950" s="12"/>
    </row>
    <row r="951" ht="14.25" customHeight="1">
      <c r="B951" s="19"/>
      <c r="C951" s="19"/>
      <c r="D951" s="19"/>
      <c r="F951" s="55"/>
      <c r="G951" s="55"/>
      <c r="H951" s="12"/>
    </row>
    <row r="952" ht="14.25" customHeight="1">
      <c r="B952" s="19"/>
      <c r="C952" s="19"/>
      <c r="D952" s="19"/>
      <c r="F952" s="55"/>
      <c r="G952" s="55"/>
      <c r="H952" s="12"/>
    </row>
    <row r="953" ht="14.25" customHeight="1">
      <c r="B953" s="19"/>
      <c r="C953" s="19"/>
      <c r="D953" s="19"/>
      <c r="F953" s="55"/>
      <c r="G953" s="55"/>
      <c r="H953" s="12"/>
    </row>
    <row r="954" ht="14.25" customHeight="1">
      <c r="B954" s="19"/>
      <c r="C954" s="19"/>
      <c r="D954" s="19"/>
      <c r="F954" s="55"/>
      <c r="G954" s="55"/>
      <c r="H954" s="12"/>
    </row>
    <row r="955" ht="14.25" customHeight="1">
      <c r="B955" s="19"/>
      <c r="C955" s="19"/>
      <c r="D955" s="19"/>
      <c r="F955" s="55"/>
      <c r="G955" s="55"/>
      <c r="H955" s="12"/>
    </row>
    <row r="956" ht="14.25" customHeight="1">
      <c r="B956" s="19"/>
      <c r="C956" s="19"/>
      <c r="D956" s="19"/>
      <c r="F956" s="55"/>
      <c r="G956" s="55"/>
      <c r="H956" s="12"/>
    </row>
    <row r="957" ht="14.25" customHeight="1">
      <c r="B957" s="19"/>
      <c r="C957" s="19"/>
      <c r="D957" s="19"/>
      <c r="F957" s="55"/>
      <c r="G957" s="55"/>
      <c r="H957" s="12"/>
    </row>
    <row r="958" ht="14.25" customHeight="1">
      <c r="B958" s="19"/>
      <c r="C958" s="19"/>
      <c r="D958" s="19"/>
      <c r="F958" s="55"/>
      <c r="G958" s="55"/>
      <c r="H958" s="12"/>
    </row>
    <row r="959" ht="14.25" customHeight="1">
      <c r="B959" s="19"/>
      <c r="C959" s="19"/>
      <c r="D959" s="19"/>
      <c r="F959" s="55"/>
      <c r="G959" s="55"/>
      <c r="H959" s="12"/>
    </row>
    <row r="960" ht="14.25" customHeight="1">
      <c r="B960" s="19"/>
      <c r="C960" s="19"/>
      <c r="D960" s="19"/>
      <c r="F960" s="55"/>
      <c r="G960" s="55"/>
      <c r="H960" s="12"/>
    </row>
    <row r="961" ht="14.25" customHeight="1">
      <c r="B961" s="19"/>
      <c r="C961" s="19"/>
      <c r="D961" s="19"/>
      <c r="F961" s="55"/>
      <c r="G961" s="55"/>
      <c r="H961" s="12"/>
    </row>
    <row r="962" ht="14.25" customHeight="1">
      <c r="B962" s="19"/>
      <c r="C962" s="19"/>
      <c r="D962" s="19"/>
      <c r="F962" s="55"/>
      <c r="G962" s="55"/>
      <c r="H962" s="12"/>
    </row>
    <row r="963" ht="14.25" customHeight="1">
      <c r="B963" s="19"/>
      <c r="C963" s="19"/>
      <c r="D963" s="19"/>
      <c r="F963" s="55"/>
      <c r="G963" s="55"/>
      <c r="H963" s="12"/>
    </row>
    <row r="964" ht="14.25" customHeight="1">
      <c r="B964" s="19"/>
      <c r="C964" s="19"/>
      <c r="D964" s="19"/>
      <c r="F964" s="55"/>
      <c r="G964" s="55"/>
      <c r="H964" s="12"/>
    </row>
    <row r="965" ht="14.25" customHeight="1">
      <c r="B965" s="19"/>
      <c r="C965" s="19"/>
      <c r="D965" s="19"/>
      <c r="F965" s="55"/>
      <c r="G965" s="55"/>
      <c r="H965" s="12"/>
    </row>
    <row r="966" ht="14.25" customHeight="1">
      <c r="B966" s="19"/>
      <c r="C966" s="19"/>
      <c r="D966" s="19"/>
      <c r="F966" s="55"/>
      <c r="G966" s="55"/>
      <c r="H966" s="12"/>
    </row>
    <row r="967" ht="14.25" customHeight="1">
      <c r="B967" s="19"/>
      <c r="C967" s="19"/>
      <c r="D967" s="19"/>
      <c r="F967" s="55"/>
      <c r="G967" s="55"/>
      <c r="H967" s="12"/>
    </row>
    <row r="968" ht="14.25" customHeight="1">
      <c r="B968" s="19"/>
      <c r="C968" s="19"/>
      <c r="D968" s="19"/>
      <c r="F968" s="55"/>
      <c r="G968" s="55"/>
      <c r="H968" s="12"/>
    </row>
    <row r="969" ht="14.25" customHeight="1">
      <c r="B969" s="19"/>
      <c r="C969" s="19"/>
      <c r="D969" s="19"/>
      <c r="F969" s="55"/>
      <c r="G969" s="55"/>
      <c r="H969" s="12"/>
    </row>
    <row r="970" ht="14.25" customHeight="1">
      <c r="B970" s="19"/>
      <c r="C970" s="19"/>
      <c r="D970" s="19"/>
      <c r="F970" s="55"/>
      <c r="G970" s="55"/>
      <c r="H970" s="12"/>
    </row>
    <row r="971" ht="14.25" customHeight="1">
      <c r="B971" s="19"/>
      <c r="C971" s="19"/>
      <c r="D971" s="19"/>
      <c r="F971" s="55"/>
      <c r="G971" s="55"/>
      <c r="H971" s="12"/>
    </row>
    <row r="972" ht="14.25" customHeight="1">
      <c r="B972" s="19"/>
      <c r="C972" s="19"/>
      <c r="D972" s="19"/>
      <c r="F972" s="55"/>
      <c r="G972" s="55"/>
      <c r="H972" s="12"/>
    </row>
    <row r="973" ht="14.25" customHeight="1">
      <c r="B973" s="19"/>
      <c r="C973" s="19"/>
      <c r="D973" s="19"/>
      <c r="F973" s="55"/>
      <c r="G973" s="55"/>
      <c r="H973" s="12"/>
    </row>
    <row r="974" ht="14.25" customHeight="1">
      <c r="B974" s="19"/>
      <c r="C974" s="19"/>
      <c r="D974" s="19"/>
      <c r="F974" s="55"/>
      <c r="G974" s="55"/>
      <c r="H974" s="12"/>
    </row>
    <row r="975" ht="14.25" customHeight="1">
      <c r="B975" s="19"/>
      <c r="C975" s="19"/>
      <c r="D975" s="19"/>
      <c r="F975" s="55"/>
      <c r="G975" s="55"/>
      <c r="H975" s="12"/>
    </row>
    <row r="976" ht="14.25" customHeight="1">
      <c r="B976" s="19"/>
      <c r="C976" s="19"/>
      <c r="D976" s="19"/>
      <c r="F976" s="55"/>
      <c r="G976" s="55"/>
      <c r="H976" s="12"/>
    </row>
    <row r="977" ht="14.25" customHeight="1">
      <c r="B977" s="19"/>
      <c r="C977" s="19"/>
      <c r="D977" s="19"/>
      <c r="F977" s="55"/>
      <c r="G977" s="55"/>
      <c r="H977" s="12"/>
    </row>
    <row r="978" ht="14.25" customHeight="1">
      <c r="B978" s="19"/>
      <c r="C978" s="19"/>
      <c r="D978" s="19"/>
      <c r="F978" s="55"/>
      <c r="G978" s="55"/>
      <c r="H978" s="12"/>
    </row>
    <row r="979" ht="14.25" customHeight="1">
      <c r="B979" s="19"/>
      <c r="C979" s="19"/>
      <c r="D979" s="19"/>
      <c r="F979" s="55"/>
      <c r="G979" s="55"/>
      <c r="H979" s="12"/>
    </row>
    <row r="980" ht="14.25" customHeight="1">
      <c r="B980" s="19"/>
      <c r="C980" s="19"/>
      <c r="D980" s="19"/>
      <c r="F980" s="55"/>
      <c r="G980" s="55"/>
      <c r="H980" s="12"/>
    </row>
    <row r="981" ht="14.25" customHeight="1">
      <c r="B981" s="19"/>
      <c r="C981" s="19"/>
      <c r="D981" s="19"/>
      <c r="F981" s="55"/>
      <c r="G981" s="55"/>
      <c r="H981" s="12"/>
    </row>
    <row r="982" ht="14.25" customHeight="1">
      <c r="B982" s="19"/>
      <c r="C982" s="19"/>
      <c r="D982" s="19"/>
      <c r="F982" s="55"/>
      <c r="G982" s="55"/>
      <c r="H982" s="12"/>
    </row>
    <row r="983" ht="14.25" customHeight="1">
      <c r="B983" s="19"/>
      <c r="C983" s="19"/>
      <c r="D983" s="19"/>
      <c r="F983" s="55"/>
      <c r="G983" s="55"/>
      <c r="H983" s="12"/>
    </row>
    <row r="984" ht="14.25" customHeight="1">
      <c r="B984" s="19"/>
      <c r="C984" s="19"/>
      <c r="D984" s="19"/>
      <c r="F984" s="55"/>
      <c r="G984" s="55"/>
      <c r="H984" s="12"/>
    </row>
    <row r="985" ht="14.25" customHeight="1">
      <c r="B985" s="19"/>
      <c r="C985" s="19"/>
      <c r="D985" s="19"/>
      <c r="F985" s="55"/>
      <c r="G985" s="55"/>
      <c r="H985" s="12"/>
    </row>
    <row r="986" ht="14.25" customHeight="1">
      <c r="B986" s="19"/>
      <c r="C986" s="19"/>
      <c r="D986" s="19"/>
      <c r="F986" s="55"/>
      <c r="G986" s="55"/>
      <c r="H986" s="12"/>
    </row>
    <row r="987" ht="14.25" customHeight="1">
      <c r="B987" s="19"/>
      <c r="C987" s="19"/>
      <c r="D987" s="19"/>
      <c r="F987" s="55"/>
      <c r="G987" s="55"/>
      <c r="H987" s="12"/>
    </row>
    <row r="988" ht="14.25" customHeight="1">
      <c r="B988" s="19"/>
      <c r="C988" s="19"/>
      <c r="D988" s="19"/>
      <c r="F988" s="55"/>
      <c r="G988" s="55"/>
      <c r="H988" s="12"/>
    </row>
    <row r="989" ht="14.25" customHeight="1">
      <c r="B989" s="19"/>
      <c r="C989" s="19"/>
      <c r="D989" s="19"/>
      <c r="F989" s="55"/>
      <c r="G989" s="55"/>
      <c r="H989" s="12"/>
    </row>
    <row r="990" ht="14.25" customHeight="1">
      <c r="B990" s="19"/>
      <c r="C990" s="19"/>
      <c r="D990" s="19"/>
      <c r="F990" s="55"/>
      <c r="G990" s="55"/>
      <c r="H990" s="12"/>
    </row>
    <row r="991" ht="14.25" customHeight="1">
      <c r="B991" s="19"/>
      <c r="C991" s="19"/>
      <c r="D991" s="19"/>
      <c r="F991" s="55"/>
      <c r="G991" s="55"/>
      <c r="H991" s="12"/>
    </row>
    <row r="992" ht="14.25" customHeight="1">
      <c r="B992" s="19"/>
      <c r="C992" s="19"/>
      <c r="D992" s="19"/>
      <c r="F992" s="55"/>
      <c r="G992" s="55"/>
      <c r="H992" s="12"/>
    </row>
    <row r="993" ht="14.25" customHeight="1">
      <c r="B993" s="19"/>
      <c r="C993" s="19"/>
      <c r="D993" s="19"/>
      <c r="F993" s="55"/>
      <c r="G993" s="55"/>
      <c r="H993" s="12"/>
    </row>
    <row r="994" ht="14.25" customHeight="1">
      <c r="B994" s="19"/>
      <c r="C994" s="19"/>
      <c r="D994" s="19"/>
      <c r="F994" s="55"/>
      <c r="G994" s="55"/>
      <c r="H994" s="12"/>
    </row>
    <row r="995" ht="14.25" customHeight="1">
      <c r="B995" s="19"/>
      <c r="C995" s="19"/>
      <c r="D995" s="19"/>
      <c r="F995" s="55"/>
      <c r="G995" s="55"/>
      <c r="H995" s="12"/>
    </row>
    <row r="996" ht="14.25" customHeight="1">
      <c r="B996" s="19"/>
      <c r="C996" s="19"/>
      <c r="D996" s="19"/>
      <c r="F996" s="55"/>
      <c r="G996" s="55"/>
      <c r="H996" s="12"/>
    </row>
    <row r="997" ht="14.25" customHeight="1">
      <c r="B997" s="19"/>
      <c r="C997" s="19"/>
      <c r="D997" s="19"/>
      <c r="F997" s="55"/>
      <c r="G997" s="55"/>
      <c r="H997" s="12"/>
    </row>
    <row r="998" ht="14.25" customHeight="1">
      <c r="B998" s="19"/>
      <c r="C998" s="19"/>
      <c r="D998" s="19"/>
      <c r="F998" s="55"/>
      <c r="G998" s="55"/>
      <c r="H998" s="12"/>
    </row>
    <row r="999" ht="14.25" customHeight="1">
      <c r="B999" s="19"/>
      <c r="C999" s="19"/>
      <c r="D999" s="19"/>
      <c r="F999" s="55"/>
      <c r="G999" s="55"/>
      <c r="H999" s="12"/>
    </row>
    <row r="1000" ht="14.25" customHeight="1">
      <c r="B1000" s="19"/>
      <c r="C1000" s="19"/>
      <c r="D1000" s="19"/>
      <c r="F1000" s="55"/>
      <c r="G1000" s="55"/>
      <c r="H1000" s="12"/>
    </row>
    <row r="1001" ht="14.25" customHeight="1">
      <c r="B1001" s="19"/>
      <c r="C1001" s="19"/>
      <c r="D1001" s="19"/>
      <c r="F1001" s="55"/>
      <c r="G1001" s="55"/>
      <c r="H1001" s="12"/>
    </row>
    <row r="1002" ht="14.25" customHeight="1">
      <c r="B1002" s="19"/>
      <c r="C1002" s="19"/>
      <c r="D1002" s="19"/>
      <c r="F1002" s="55"/>
      <c r="G1002" s="55"/>
      <c r="H1002" s="12"/>
    </row>
    <row r="1003" ht="14.25" customHeight="1">
      <c r="B1003" s="19"/>
      <c r="C1003" s="19"/>
      <c r="D1003" s="19"/>
      <c r="F1003" s="55"/>
      <c r="G1003" s="55"/>
      <c r="H1003" s="12"/>
    </row>
    <row r="1004" ht="14.25" customHeight="1">
      <c r="B1004" s="19"/>
      <c r="C1004" s="19"/>
      <c r="D1004" s="19"/>
      <c r="F1004" s="55"/>
      <c r="G1004" s="55"/>
      <c r="H1004" s="12"/>
    </row>
    <row r="1005" ht="14.25" customHeight="1">
      <c r="B1005" s="19"/>
      <c r="C1005" s="19"/>
      <c r="D1005" s="19"/>
      <c r="F1005" s="55"/>
      <c r="G1005" s="55"/>
      <c r="H1005" s="12"/>
    </row>
    <row r="1006" ht="14.25" customHeight="1">
      <c r="B1006" s="19"/>
      <c r="C1006" s="19"/>
      <c r="D1006" s="19"/>
      <c r="F1006" s="55"/>
      <c r="G1006" s="55"/>
      <c r="H1006" s="12"/>
    </row>
    <row r="1007" ht="14.25" customHeight="1">
      <c r="B1007" s="19"/>
      <c r="C1007" s="19"/>
      <c r="D1007" s="19"/>
      <c r="F1007" s="55"/>
      <c r="G1007" s="55"/>
      <c r="H1007" s="12"/>
    </row>
    <row r="1008" ht="14.25" customHeight="1">
      <c r="B1008" s="19"/>
      <c r="C1008" s="19"/>
      <c r="D1008" s="19"/>
      <c r="F1008" s="55"/>
      <c r="G1008" s="55"/>
      <c r="H1008" s="12"/>
    </row>
    <row r="1009" ht="14.25" customHeight="1">
      <c r="B1009" s="19"/>
      <c r="C1009" s="19"/>
      <c r="D1009" s="19"/>
      <c r="F1009" s="55"/>
      <c r="G1009" s="55"/>
      <c r="H1009" s="12"/>
    </row>
  </sheetData>
  <mergeCells count="11">
    <mergeCell ref="B5:D5"/>
    <mergeCell ref="B6:D6"/>
    <mergeCell ref="F6:G6"/>
    <mergeCell ref="F49:I49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5" width="28.86"/>
    <col customWidth="1" min="6" max="6" width="40.29"/>
    <col customWidth="1" min="7" max="7" width="25.71"/>
    <col customWidth="1" min="8" max="8" width="24.0"/>
    <col customWidth="1" min="9" max="9" width="12.57"/>
    <col customWidth="1" min="10" max="10" width="26.43"/>
    <col customWidth="1" min="11" max="29" width="8.71"/>
  </cols>
  <sheetData>
    <row r="1" ht="28.5" customHeight="1">
      <c r="A1" s="11" t="s">
        <v>42</v>
      </c>
      <c r="I1" s="12"/>
    </row>
    <row r="2" ht="28.5" customHeight="1">
      <c r="D2" s="54" t="s">
        <v>43</v>
      </c>
      <c r="I2" s="12"/>
    </row>
    <row r="3" ht="14.25" customHeight="1">
      <c r="A3" s="14" t="s">
        <v>44</v>
      </c>
      <c r="B3" s="17" t="s">
        <v>373</v>
      </c>
      <c r="F3" s="14" t="s">
        <v>46</v>
      </c>
      <c r="G3" s="56" t="s">
        <v>374</v>
      </c>
      <c r="I3" s="12"/>
    </row>
    <row r="4" ht="14.25" customHeight="1">
      <c r="A4" s="14" t="s">
        <v>48</v>
      </c>
      <c r="B4" s="17" t="s">
        <v>19</v>
      </c>
      <c r="F4" s="14" t="s">
        <v>105</v>
      </c>
      <c r="G4" s="18"/>
      <c r="I4" s="12"/>
    </row>
    <row r="5" ht="14.25" customHeight="1">
      <c r="A5" s="14" t="s">
        <v>51</v>
      </c>
      <c r="B5" s="17" t="s">
        <v>375</v>
      </c>
      <c r="F5" s="14" t="s">
        <v>53</v>
      </c>
      <c r="G5" s="56" t="s">
        <v>19</v>
      </c>
      <c r="I5" s="12"/>
    </row>
    <row r="6" ht="14.25" customHeight="1">
      <c r="A6" s="14" t="s">
        <v>54</v>
      </c>
      <c r="B6" s="15"/>
      <c r="F6" s="14" t="s">
        <v>55</v>
      </c>
      <c r="G6" s="56" t="s">
        <v>376</v>
      </c>
      <c r="I6" s="12"/>
    </row>
    <row r="7" ht="14.25" customHeight="1">
      <c r="C7" s="19"/>
      <c r="D7" s="19"/>
      <c r="I7" s="12"/>
    </row>
    <row r="8" ht="14.25" customHeight="1">
      <c r="C8" s="19"/>
      <c r="D8" s="19"/>
      <c r="I8" s="12"/>
    </row>
    <row r="9" ht="14.25" customHeight="1">
      <c r="A9" s="20" t="s">
        <v>56</v>
      </c>
      <c r="B9" s="20" t="s">
        <v>107</v>
      </c>
      <c r="C9" s="57" t="s">
        <v>377</v>
      </c>
      <c r="D9" s="57" t="s">
        <v>58</v>
      </c>
      <c r="E9" s="20" t="s">
        <v>59</v>
      </c>
      <c r="F9" s="20" t="s">
        <v>60</v>
      </c>
      <c r="G9" s="20" t="s">
        <v>61</v>
      </c>
      <c r="H9" s="20" t="s">
        <v>62</v>
      </c>
      <c r="I9" s="22" t="s">
        <v>63</v>
      </c>
      <c r="J9" s="20" t="s">
        <v>64</v>
      </c>
    </row>
    <row r="10" ht="14.25" customHeight="1">
      <c r="A10" s="28" t="s">
        <v>378</v>
      </c>
      <c r="B10" s="28">
        <v>7.6680416E7</v>
      </c>
      <c r="C10" s="29"/>
      <c r="D10" s="33">
        <v>45295.0</v>
      </c>
      <c r="E10" s="62"/>
      <c r="F10" s="62"/>
      <c r="G10" s="28">
        <v>1.0</v>
      </c>
      <c r="H10" s="28">
        <v>1.0</v>
      </c>
      <c r="I10" s="27">
        <f t="shared" ref="I10:I30" si="1">H10*200</f>
        <v>200</v>
      </c>
      <c r="J10" s="154"/>
    </row>
    <row r="11" ht="14.25" customHeight="1">
      <c r="A11" s="28" t="s">
        <v>379</v>
      </c>
      <c r="B11" s="28">
        <v>7.6841177E7</v>
      </c>
      <c r="C11" s="29"/>
      <c r="D11" s="33">
        <v>45296.0</v>
      </c>
      <c r="E11" s="62"/>
      <c r="F11" s="62"/>
      <c r="G11" s="28">
        <v>1.0</v>
      </c>
      <c r="H11" s="28">
        <v>1.0</v>
      </c>
      <c r="I11" s="27">
        <f t="shared" si="1"/>
        <v>200</v>
      </c>
      <c r="J11" s="154"/>
    </row>
    <row r="12" ht="14.25" customHeight="1">
      <c r="A12" s="28" t="s">
        <v>380</v>
      </c>
      <c r="B12" s="28">
        <v>7.6554905E7</v>
      </c>
      <c r="C12" s="29"/>
      <c r="D12" s="33">
        <v>45297.0</v>
      </c>
      <c r="E12" s="62"/>
      <c r="F12" s="62"/>
      <c r="G12" s="28">
        <v>1.0</v>
      </c>
      <c r="H12" s="28">
        <v>1.0</v>
      </c>
      <c r="I12" s="27">
        <f t="shared" si="1"/>
        <v>200</v>
      </c>
      <c r="J12" s="154"/>
    </row>
    <row r="13" ht="14.25" customHeight="1">
      <c r="A13" s="28"/>
      <c r="B13" s="23"/>
      <c r="C13" s="29"/>
      <c r="D13" s="33"/>
      <c r="E13" s="62"/>
      <c r="F13" s="62"/>
      <c r="G13" s="23"/>
      <c r="H13" s="28"/>
      <c r="I13" s="27">
        <f t="shared" si="1"/>
        <v>0</v>
      </c>
      <c r="J13" s="154"/>
    </row>
    <row r="14" ht="14.25" customHeight="1">
      <c r="A14" s="28"/>
      <c r="B14" s="28"/>
      <c r="C14" s="29"/>
      <c r="D14" s="33"/>
      <c r="E14" s="62"/>
      <c r="F14" s="62"/>
      <c r="G14" s="23"/>
      <c r="H14" s="28"/>
      <c r="I14" s="27">
        <f t="shared" si="1"/>
        <v>0</v>
      </c>
      <c r="J14" s="154"/>
    </row>
    <row r="15" ht="14.25" customHeight="1">
      <c r="A15" s="28"/>
      <c r="B15" s="23"/>
      <c r="C15" s="155"/>
      <c r="D15" s="33"/>
      <c r="E15" s="62"/>
      <c r="F15" s="62"/>
      <c r="G15" s="23"/>
      <c r="H15" s="28"/>
      <c r="I15" s="27">
        <f t="shared" si="1"/>
        <v>0</v>
      </c>
      <c r="J15" s="154"/>
    </row>
    <row r="16" ht="14.25" customHeight="1">
      <c r="A16" s="28"/>
      <c r="B16" s="28"/>
      <c r="C16" s="29"/>
      <c r="D16" s="33"/>
      <c r="E16" s="62"/>
      <c r="F16" s="62"/>
      <c r="G16" s="23"/>
      <c r="H16" s="28"/>
      <c r="I16" s="27">
        <f t="shared" si="1"/>
        <v>0</v>
      </c>
      <c r="J16" s="154"/>
    </row>
    <row r="17">
      <c r="A17" s="43"/>
      <c r="B17" s="43"/>
      <c r="C17" s="43"/>
      <c r="D17" s="43"/>
      <c r="E17" s="43"/>
      <c r="F17" s="43"/>
      <c r="G17" s="43"/>
      <c r="H17" s="43"/>
      <c r="I17" s="27">
        <f t="shared" si="1"/>
        <v>0</v>
      </c>
      <c r="J17" s="154"/>
    </row>
    <row r="18" ht="14.25" customHeight="1">
      <c r="A18" s="23"/>
      <c r="B18" s="62"/>
      <c r="C18" s="25"/>
      <c r="D18" s="25"/>
      <c r="E18" s="62"/>
      <c r="F18" s="62"/>
      <c r="G18" s="23"/>
      <c r="H18" s="23"/>
      <c r="I18" s="27">
        <f t="shared" si="1"/>
        <v>0</v>
      </c>
      <c r="J18" s="23"/>
    </row>
    <row r="19" ht="14.25" customHeight="1">
      <c r="A19" s="23"/>
      <c r="B19" s="62"/>
      <c r="C19" s="25"/>
      <c r="D19" s="25"/>
      <c r="E19" s="62"/>
      <c r="F19" s="62"/>
      <c r="G19" s="23"/>
      <c r="H19" s="23"/>
      <c r="I19" s="27">
        <f t="shared" si="1"/>
        <v>0</v>
      </c>
      <c r="J19" s="23"/>
    </row>
    <row r="20" ht="14.25" customHeight="1">
      <c r="A20" s="23"/>
      <c r="B20" s="62"/>
      <c r="C20" s="25"/>
      <c r="D20" s="25"/>
      <c r="E20" s="62"/>
      <c r="F20" s="62"/>
      <c r="G20" s="23"/>
      <c r="H20" s="23"/>
      <c r="I20" s="27">
        <f t="shared" si="1"/>
        <v>0</v>
      </c>
      <c r="J20" s="23"/>
    </row>
    <row r="21" ht="14.25" customHeight="1">
      <c r="A21" s="23"/>
      <c r="B21" s="62"/>
      <c r="C21" s="25"/>
      <c r="D21" s="25"/>
      <c r="E21" s="62"/>
      <c r="F21" s="62"/>
      <c r="G21" s="23"/>
      <c r="H21" s="23"/>
      <c r="I21" s="27">
        <f t="shared" si="1"/>
        <v>0</v>
      </c>
      <c r="J21" s="23"/>
    </row>
    <row r="22" ht="14.25" customHeight="1">
      <c r="A22" s="23"/>
      <c r="B22" s="62"/>
      <c r="C22" s="25"/>
      <c r="D22" s="25"/>
      <c r="E22" s="62"/>
      <c r="F22" s="62"/>
      <c r="G22" s="23"/>
      <c r="H22" s="23"/>
      <c r="I22" s="27">
        <f t="shared" si="1"/>
        <v>0</v>
      </c>
      <c r="J22" s="23"/>
    </row>
    <row r="23" ht="14.25" customHeight="1">
      <c r="A23" s="23"/>
      <c r="B23" s="62"/>
      <c r="C23" s="25"/>
      <c r="D23" s="25"/>
      <c r="E23" s="62"/>
      <c r="F23" s="62"/>
      <c r="G23" s="23"/>
      <c r="H23" s="23"/>
      <c r="I23" s="27">
        <f t="shared" si="1"/>
        <v>0</v>
      </c>
      <c r="J23" s="23"/>
    </row>
    <row r="24" ht="14.25" customHeight="1">
      <c r="A24" s="23"/>
      <c r="B24" s="62"/>
      <c r="C24" s="25"/>
      <c r="D24" s="25"/>
      <c r="E24" s="62"/>
      <c r="F24" s="62"/>
      <c r="G24" s="23"/>
      <c r="H24" s="23"/>
      <c r="I24" s="27">
        <f t="shared" si="1"/>
        <v>0</v>
      </c>
      <c r="J24" s="23"/>
    </row>
    <row r="25" ht="14.25" customHeight="1">
      <c r="A25" s="23"/>
      <c r="B25" s="62"/>
      <c r="C25" s="25"/>
      <c r="D25" s="25"/>
      <c r="E25" s="62"/>
      <c r="F25" s="62"/>
      <c r="G25" s="23"/>
      <c r="H25" s="23"/>
      <c r="I25" s="27">
        <f t="shared" si="1"/>
        <v>0</v>
      </c>
      <c r="J25" s="23"/>
    </row>
    <row r="26" ht="14.25" customHeight="1">
      <c r="A26" s="23"/>
      <c r="B26" s="62"/>
      <c r="C26" s="25"/>
      <c r="D26" s="25"/>
      <c r="E26" s="62"/>
      <c r="F26" s="62"/>
      <c r="G26" s="23"/>
      <c r="H26" s="23"/>
      <c r="I26" s="27">
        <f t="shared" si="1"/>
        <v>0</v>
      </c>
      <c r="J26" s="23"/>
    </row>
    <row r="27" ht="14.25" customHeight="1">
      <c r="A27" s="23"/>
      <c r="B27" s="62"/>
      <c r="C27" s="25"/>
      <c r="D27" s="25"/>
      <c r="E27" s="62"/>
      <c r="F27" s="62"/>
      <c r="G27" s="23"/>
      <c r="H27" s="23"/>
      <c r="I27" s="27">
        <f t="shared" si="1"/>
        <v>0</v>
      </c>
      <c r="J27" s="23"/>
    </row>
    <row r="28" ht="14.25" customHeight="1">
      <c r="A28" s="23"/>
      <c r="B28" s="62"/>
      <c r="C28" s="25"/>
      <c r="D28" s="25"/>
      <c r="E28" s="62"/>
      <c r="F28" s="62"/>
      <c r="G28" s="23"/>
      <c r="H28" s="23"/>
      <c r="I28" s="27">
        <f t="shared" si="1"/>
        <v>0</v>
      </c>
      <c r="J28" s="23"/>
    </row>
    <row r="29" ht="14.25" customHeight="1">
      <c r="A29" s="23"/>
      <c r="B29" s="62"/>
      <c r="C29" s="25"/>
      <c r="D29" s="25"/>
      <c r="E29" s="62"/>
      <c r="F29" s="62"/>
      <c r="G29" s="23"/>
      <c r="H29" s="23"/>
      <c r="I29" s="27">
        <f t="shared" si="1"/>
        <v>0</v>
      </c>
      <c r="J29" s="23"/>
    </row>
    <row r="30" ht="14.25" customHeight="1">
      <c r="A30" s="23"/>
      <c r="B30" s="62"/>
      <c r="C30" s="25"/>
      <c r="D30" s="25"/>
      <c r="E30" s="62"/>
      <c r="F30" s="62"/>
      <c r="G30" s="23"/>
      <c r="H30" s="23"/>
      <c r="I30" s="27">
        <f t="shared" si="1"/>
        <v>0</v>
      </c>
      <c r="J30" s="23"/>
    </row>
    <row r="31" ht="18.0" customHeight="1">
      <c r="A31" s="23"/>
      <c r="B31" s="62"/>
      <c r="C31" s="25"/>
      <c r="D31" s="25"/>
      <c r="E31" s="62"/>
      <c r="F31" s="73" t="s">
        <v>41</v>
      </c>
      <c r="G31" s="40">
        <f>sum(G10:G30)</f>
        <v>3</v>
      </c>
      <c r="H31" s="40">
        <f>SUM(H1:H30)</f>
        <v>3</v>
      </c>
      <c r="I31" s="74">
        <f>SUM(I10:I30)</f>
        <v>600</v>
      </c>
      <c r="J31" s="42"/>
    </row>
    <row r="32" ht="19.5" customHeight="1">
      <c r="A32" s="23"/>
      <c r="B32" s="62"/>
      <c r="C32" s="25"/>
      <c r="D32" s="25"/>
      <c r="E32" s="62"/>
      <c r="F32" s="76" t="s">
        <v>100</v>
      </c>
      <c r="G32" s="46">
        <f>COUNT(H2:H30)</f>
        <v>3</v>
      </c>
      <c r="H32" s="47"/>
      <c r="I32" s="47"/>
      <c r="J32" s="48"/>
    </row>
    <row r="33" ht="14.25" customHeight="1">
      <c r="C33" s="19"/>
      <c r="D33" s="19"/>
      <c r="I33" s="12"/>
    </row>
    <row r="34" ht="14.25" customHeight="1">
      <c r="C34" s="19"/>
      <c r="D34" s="19"/>
      <c r="E34" s="49" t="s">
        <v>101</v>
      </c>
      <c r="F34" s="50"/>
      <c r="G34" s="156"/>
      <c r="I34" s="12"/>
    </row>
    <row r="35" ht="14.25" customHeight="1">
      <c r="C35" s="19"/>
      <c r="D35" s="19"/>
      <c r="E35" s="51" t="s">
        <v>102</v>
      </c>
      <c r="F35" s="50"/>
      <c r="G35" s="156"/>
      <c r="I35" s="12"/>
    </row>
    <row r="36" ht="14.25" customHeight="1">
      <c r="C36" s="19"/>
      <c r="D36" s="19"/>
      <c r="E36" s="52" t="s">
        <v>58</v>
      </c>
      <c r="F36" s="53"/>
      <c r="I36" s="12"/>
    </row>
    <row r="37" ht="14.25" customHeight="1">
      <c r="C37" s="19"/>
      <c r="D37" s="19"/>
      <c r="I37" s="12"/>
    </row>
    <row r="38" ht="14.25" customHeight="1">
      <c r="C38" s="19"/>
      <c r="D38" s="19"/>
      <c r="I38" s="12"/>
    </row>
    <row r="39" ht="14.25" customHeight="1">
      <c r="C39" s="19"/>
      <c r="D39" s="19"/>
      <c r="I39" s="12"/>
    </row>
    <row r="40" ht="14.25" customHeight="1">
      <c r="C40" s="19"/>
      <c r="D40" s="19"/>
      <c r="I40" s="12"/>
    </row>
    <row r="41" ht="14.25" customHeight="1">
      <c r="C41" s="19"/>
      <c r="D41" s="19"/>
      <c r="I41" s="12"/>
    </row>
    <row r="42" ht="14.25" customHeight="1">
      <c r="C42" s="19"/>
      <c r="D42" s="19"/>
      <c r="I42" s="12"/>
    </row>
    <row r="43" ht="14.25" customHeight="1">
      <c r="C43" s="19"/>
      <c r="D43" s="19"/>
      <c r="I43" s="12"/>
    </row>
    <row r="44" ht="14.25" customHeight="1">
      <c r="C44" s="19"/>
      <c r="D44" s="19"/>
      <c r="I44" s="12"/>
    </row>
    <row r="45" ht="14.25" customHeight="1">
      <c r="C45" s="19"/>
      <c r="D45" s="19"/>
      <c r="I45" s="12"/>
    </row>
    <row r="46" ht="14.25" customHeight="1">
      <c r="C46" s="19"/>
      <c r="D46" s="19"/>
      <c r="I46" s="12"/>
    </row>
    <row r="47" ht="14.25" customHeight="1">
      <c r="C47" s="19"/>
      <c r="D47" s="19"/>
      <c r="I47" s="12"/>
    </row>
    <row r="48" ht="14.25" customHeight="1">
      <c r="C48" s="19"/>
      <c r="D48" s="19"/>
      <c r="I48" s="12"/>
    </row>
    <row r="49" ht="14.25" customHeight="1">
      <c r="C49" s="19"/>
      <c r="D49" s="19"/>
      <c r="I49" s="12"/>
    </row>
    <row r="50" ht="14.25" customHeight="1">
      <c r="C50" s="19"/>
      <c r="D50" s="19"/>
      <c r="I50" s="12"/>
    </row>
    <row r="51" ht="14.25" customHeight="1">
      <c r="C51" s="19"/>
      <c r="D51" s="19"/>
      <c r="I51" s="12"/>
    </row>
    <row r="52" ht="14.25" customHeight="1">
      <c r="C52" s="19"/>
      <c r="D52" s="19"/>
      <c r="I52" s="12"/>
    </row>
    <row r="53" ht="14.25" customHeight="1">
      <c r="C53" s="19"/>
      <c r="D53" s="19"/>
      <c r="I53" s="12"/>
    </row>
    <row r="54" ht="14.25" customHeight="1">
      <c r="C54" s="19"/>
      <c r="D54" s="19"/>
      <c r="I54" s="12"/>
    </row>
    <row r="55" ht="14.25" customHeight="1">
      <c r="C55" s="19"/>
      <c r="D55" s="19"/>
      <c r="I55" s="12"/>
    </row>
    <row r="56" ht="14.25" customHeight="1">
      <c r="C56" s="19"/>
      <c r="D56" s="19"/>
      <c r="I56" s="12"/>
    </row>
    <row r="57" ht="14.25" customHeight="1">
      <c r="C57" s="19"/>
      <c r="D57" s="19"/>
      <c r="I57" s="12"/>
    </row>
    <row r="58" ht="14.25" customHeight="1">
      <c r="C58" s="19"/>
      <c r="D58" s="19"/>
      <c r="I58" s="12"/>
    </row>
    <row r="59" ht="14.25" customHeight="1">
      <c r="C59" s="19"/>
      <c r="D59" s="19"/>
      <c r="I59" s="12"/>
    </row>
    <row r="60" ht="14.25" customHeight="1">
      <c r="C60" s="19"/>
      <c r="D60" s="19"/>
      <c r="I60" s="12"/>
    </row>
    <row r="61" ht="14.25" customHeight="1">
      <c r="C61" s="19"/>
      <c r="D61" s="19"/>
      <c r="I61" s="12"/>
    </row>
    <row r="62" ht="14.25" customHeight="1">
      <c r="C62" s="19"/>
      <c r="D62" s="19"/>
      <c r="I62" s="12"/>
    </row>
    <row r="63" ht="14.25" customHeight="1">
      <c r="C63" s="19"/>
      <c r="D63" s="19"/>
      <c r="I63" s="12"/>
    </row>
    <row r="64" ht="14.25" customHeight="1">
      <c r="C64" s="19"/>
      <c r="D64" s="19"/>
      <c r="I64" s="12"/>
    </row>
    <row r="65" ht="14.25" customHeight="1">
      <c r="C65" s="19"/>
      <c r="D65" s="19"/>
      <c r="I65" s="12"/>
    </row>
    <row r="66" ht="14.25" customHeight="1">
      <c r="C66" s="19"/>
      <c r="D66" s="19"/>
      <c r="I66" s="12"/>
    </row>
    <row r="67" ht="14.25" customHeight="1">
      <c r="C67" s="19"/>
      <c r="D67" s="19"/>
      <c r="I67" s="12"/>
    </row>
    <row r="68" ht="14.25" customHeight="1">
      <c r="C68" s="19"/>
      <c r="D68" s="19"/>
      <c r="I68" s="12"/>
    </row>
    <row r="69" ht="14.25" customHeight="1">
      <c r="C69" s="19"/>
      <c r="D69" s="19"/>
      <c r="I69" s="12"/>
    </row>
    <row r="70" ht="14.25" customHeight="1">
      <c r="C70" s="19"/>
      <c r="D70" s="19"/>
      <c r="I70" s="12"/>
    </row>
    <row r="71" ht="14.25" customHeight="1">
      <c r="C71" s="19"/>
      <c r="D71" s="19"/>
      <c r="I71" s="12"/>
    </row>
    <row r="72" ht="14.25" customHeight="1">
      <c r="C72" s="19"/>
      <c r="D72" s="19"/>
      <c r="I72" s="12"/>
    </row>
    <row r="73" ht="14.25" customHeight="1">
      <c r="C73" s="19"/>
      <c r="D73" s="19"/>
      <c r="I73" s="12"/>
    </row>
    <row r="74" ht="14.25" customHeight="1">
      <c r="C74" s="19"/>
      <c r="D74" s="19"/>
      <c r="I74" s="12"/>
    </row>
    <row r="75" ht="14.25" customHeight="1">
      <c r="C75" s="19"/>
      <c r="D75" s="19"/>
      <c r="I75" s="12"/>
    </row>
    <row r="76" ht="14.25" customHeight="1">
      <c r="C76" s="19"/>
      <c r="D76" s="19"/>
      <c r="I76" s="12"/>
    </row>
    <row r="77" ht="14.25" customHeight="1">
      <c r="C77" s="19"/>
      <c r="D77" s="19"/>
      <c r="I77" s="12"/>
    </row>
    <row r="78" ht="14.25" customHeight="1">
      <c r="C78" s="19"/>
      <c r="D78" s="19"/>
      <c r="I78" s="12"/>
    </row>
    <row r="79" ht="14.25" customHeight="1">
      <c r="C79" s="19"/>
      <c r="D79" s="19"/>
      <c r="I79" s="12"/>
    </row>
    <row r="80" ht="14.25" customHeight="1">
      <c r="C80" s="19"/>
      <c r="D80" s="19"/>
      <c r="I80" s="12"/>
    </row>
    <row r="81" ht="14.25" customHeight="1">
      <c r="C81" s="19"/>
      <c r="D81" s="19"/>
      <c r="I81" s="12"/>
    </row>
    <row r="82" ht="14.25" customHeight="1">
      <c r="C82" s="19"/>
      <c r="D82" s="19"/>
      <c r="I82" s="12"/>
    </row>
    <row r="83" ht="14.25" customHeight="1">
      <c r="C83" s="19"/>
      <c r="D83" s="19"/>
      <c r="I83" s="12"/>
    </row>
    <row r="84" ht="14.25" customHeight="1">
      <c r="C84" s="19"/>
      <c r="D84" s="19"/>
      <c r="I84" s="12"/>
    </row>
    <row r="85" ht="14.25" customHeight="1">
      <c r="C85" s="19"/>
      <c r="D85" s="19"/>
      <c r="I85" s="12"/>
    </row>
    <row r="86" ht="14.25" customHeight="1">
      <c r="C86" s="19"/>
      <c r="D86" s="19"/>
      <c r="I86" s="12"/>
    </row>
    <row r="87" ht="14.25" customHeight="1">
      <c r="C87" s="19"/>
      <c r="D87" s="19"/>
      <c r="I87" s="12"/>
    </row>
    <row r="88" ht="14.25" customHeight="1">
      <c r="C88" s="19"/>
      <c r="D88" s="19"/>
      <c r="I88" s="12"/>
    </row>
    <row r="89" ht="14.25" customHeight="1">
      <c r="C89" s="19"/>
      <c r="D89" s="19"/>
      <c r="I89" s="12"/>
    </row>
    <row r="90" ht="14.25" customHeight="1">
      <c r="C90" s="19"/>
      <c r="D90" s="19"/>
      <c r="I90" s="12"/>
    </row>
    <row r="91" ht="14.25" customHeight="1">
      <c r="C91" s="19"/>
      <c r="D91" s="19"/>
      <c r="I91" s="12"/>
    </row>
    <row r="92" ht="14.25" customHeight="1">
      <c r="C92" s="19"/>
      <c r="D92" s="19"/>
      <c r="I92" s="12"/>
    </row>
    <row r="93" ht="14.25" customHeight="1">
      <c r="C93" s="19"/>
      <c r="D93" s="19"/>
      <c r="I93" s="12"/>
    </row>
    <row r="94" ht="14.25" customHeight="1">
      <c r="C94" s="19"/>
      <c r="D94" s="19"/>
      <c r="I94" s="12"/>
    </row>
    <row r="95" ht="14.25" customHeight="1">
      <c r="C95" s="19"/>
      <c r="D95" s="19"/>
      <c r="I95" s="12"/>
    </row>
    <row r="96" ht="14.25" customHeight="1">
      <c r="C96" s="19"/>
      <c r="D96" s="19"/>
      <c r="I96" s="12"/>
    </row>
    <row r="97" ht="14.25" customHeight="1">
      <c r="C97" s="19"/>
      <c r="D97" s="19"/>
      <c r="I97" s="12"/>
    </row>
    <row r="98" ht="14.25" customHeight="1">
      <c r="C98" s="19"/>
      <c r="D98" s="19"/>
      <c r="I98" s="12"/>
    </row>
    <row r="99" ht="14.25" customHeight="1">
      <c r="C99" s="19"/>
      <c r="D99" s="19"/>
      <c r="I99" s="12"/>
    </row>
    <row r="100" ht="14.25" customHeight="1">
      <c r="C100" s="19"/>
      <c r="D100" s="19"/>
      <c r="I100" s="12"/>
    </row>
    <row r="101" ht="14.25" customHeight="1">
      <c r="C101" s="19"/>
      <c r="D101" s="19"/>
      <c r="I101" s="12"/>
    </row>
    <row r="102" ht="14.25" customHeight="1">
      <c r="C102" s="19"/>
      <c r="D102" s="19"/>
      <c r="I102" s="12"/>
    </row>
    <row r="103" ht="14.25" customHeight="1">
      <c r="C103" s="19"/>
      <c r="D103" s="19"/>
      <c r="I103" s="12"/>
    </row>
    <row r="104" ht="14.25" customHeight="1">
      <c r="C104" s="19"/>
      <c r="D104" s="19"/>
      <c r="I104" s="12"/>
    </row>
    <row r="105" ht="14.25" customHeight="1">
      <c r="C105" s="19"/>
      <c r="D105" s="19"/>
      <c r="I105" s="12"/>
    </row>
    <row r="106" ht="14.25" customHeight="1">
      <c r="C106" s="19"/>
      <c r="D106" s="19"/>
      <c r="I106" s="12"/>
    </row>
    <row r="107" ht="14.25" customHeight="1">
      <c r="C107" s="19"/>
      <c r="D107" s="19"/>
      <c r="I107" s="12"/>
    </row>
    <row r="108" ht="14.25" customHeight="1">
      <c r="C108" s="19"/>
      <c r="D108" s="19"/>
      <c r="I108" s="12"/>
    </row>
    <row r="109" ht="14.25" customHeight="1">
      <c r="C109" s="19"/>
      <c r="D109" s="19"/>
      <c r="I109" s="12"/>
    </row>
    <row r="110" ht="14.25" customHeight="1">
      <c r="C110" s="19"/>
      <c r="D110" s="19"/>
      <c r="I110" s="12"/>
    </row>
    <row r="111" ht="14.25" customHeight="1">
      <c r="C111" s="19"/>
      <c r="D111" s="19"/>
      <c r="I111" s="12"/>
    </row>
    <row r="112" ht="14.25" customHeight="1">
      <c r="C112" s="19"/>
      <c r="D112" s="19"/>
      <c r="I112" s="12"/>
    </row>
    <row r="113" ht="14.25" customHeight="1">
      <c r="C113" s="19"/>
      <c r="D113" s="19"/>
      <c r="I113" s="12"/>
    </row>
    <row r="114" ht="14.25" customHeight="1">
      <c r="C114" s="19"/>
      <c r="D114" s="19"/>
      <c r="I114" s="12"/>
    </row>
    <row r="115" ht="14.25" customHeight="1">
      <c r="C115" s="19"/>
      <c r="D115" s="19"/>
      <c r="I115" s="12"/>
    </row>
    <row r="116" ht="14.25" customHeight="1">
      <c r="C116" s="19"/>
      <c r="D116" s="19"/>
      <c r="I116" s="12"/>
    </row>
    <row r="117" ht="14.25" customHeight="1">
      <c r="C117" s="19"/>
      <c r="D117" s="19"/>
      <c r="I117" s="12"/>
    </row>
    <row r="118" ht="14.25" customHeight="1">
      <c r="C118" s="19"/>
      <c r="D118" s="19"/>
      <c r="I118" s="12"/>
    </row>
    <row r="119" ht="14.25" customHeight="1">
      <c r="C119" s="19"/>
      <c r="D119" s="19"/>
      <c r="I119" s="12"/>
    </row>
    <row r="120" ht="14.25" customHeight="1">
      <c r="C120" s="19"/>
      <c r="D120" s="19"/>
      <c r="I120" s="12"/>
    </row>
    <row r="121" ht="14.25" customHeight="1">
      <c r="C121" s="19"/>
      <c r="D121" s="19"/>
      <c r="I121" s="12"/>
    </row>
    <row r="122" ht="14.25" customHeight="1">
      <c r="C122" s="19"/>
      <c r="D122" s="19"/>
      <c r="I122" s="12"/>
    </row>
    <row r="123" ht="14.25" customHeight="1">
      <c r="C123" s="19"/>
      <c r="D123" s="19"/>
      <c r="I123" s="12"/>
    </row>
    <row r="124" ht="14.25" customHeight="1">
      <c r="C124" s="19"/>
      <c r="D124" s="19"/>
      <c r="I124" s="12"/>
    </row>
    <row r="125" ht="14.25" customHeight="1">
      <c r="C125" s="19"/>
      <c r="D125" s="19"/>
      <c r="I125" s="12"/>
    </row>
    <row r="126" ht="14.25" customHeight="1">
      <c r="C126" s="19"/>
      <c r="D126" s="19"/>
      <c r="I126" s="12"/>
    </row>
    <row r="127" ht="14.25" customHeight="1">
      <c r="C127" s="19"/>
      <c r="D127" s="19"/>
      <c r="I127" s="12"/>
    </row>
    <row r="128" ht="14.25" customHeight="1">
      <c r="C128" s="19"/>
      <c r="D128" s="19"/>
      <c r="I128" s="12"/>
    </row>
    <row r="129" ht="14.25" customHeight="1">
      <c r="C129" s="19"/>
      <c r="D129" s="19"/>
      <c r="I129" s="12"/>
    </row>
    <row r="130" ht="14.25" customHeight="1">
      <c r="C130" s="19"/>
      <c r="D130" s="19"/>
      <c r="I130" s="12"/>
    </row>
    <row r="131" ht="14.25" customHeight="1">
      <c r="C131" s="19"/>
      <c r="D131" s="19"/>
      <c r="I131" s="12"/>
    </row>
    <row r="132" ht="14.25" customHeight="1">
      <c r="C132" s="19"/>
      <c r="D132" s="19"/>
      <c r="I132" s="12"/>
    </row>
    <row r="133" ht="14.25" customHeight="1">
      <c r="C133" s="19"/>
      <c r="D133" s="19"/>
      <c r="I133" s="12"/>
    </row>
    <row r="134" ht="14.25" customHeight="1">
      <c r="C134" s="19"/>
      <c r="D134" s="19"/>
      <c r="I134" s="12"/>
    </row>
    <row r="135" ht="14.25" customHeight="1">
      <c r="C135" s="19"/>
      <c r="D135" s="19"/>
      <c r="I135" s="12"/>
    </row>
    <row r="136" ht="14.25" customHeight="1">
      <c r="C136" s="19"/>
      <c r="D136" s="19"/>
      <c r="I136" s="12"/>
    </row>
    <row r="137" ht="14.25" customHeight="1">
      <c r="C137" s="19"/>
      <c r="D137" s="19"/>
      <c r="I137" s="12"/>
    </row>
    <row r="138" ht="14.25" customHeight="1">
      <c r="C138" s="19"/>
      <c r="D138" s="19"/>
      <c r="I138" s="12"/>
    </row>
    <row r="139" ht="14.25" customHeight="1">
      <c r="C139" s="19"/>
      <c r="D139" s="19"/>
      <c r="I139" s="12"/>
    </row>
    <row r="140" ht="14.25" customHeight="1">
      <c r="C140" s="19"/>
      <c r="D140" s="19"/>
      <c r="I140" s="12"/>
    </row>
    <row r="141" ht="14.25" customHeight="1">
      <c r="C141" s="19"/>
      <c r="D141" s="19"/>
      <c r="I141" s="12"/>
    </row>
    <row r="142" ht="14.25" customHeight="1">
      <c r="C142" s="19"/>
      <c r="D142" s="19"/>
      <c r="I142" s="12"/>
    </row>
    <row r="143" ht="14.25" customHeight="1">
      <c r="C143" s="19"/>
      <c r="D143" s="19"/>
      <c r="I143" s="12"/>
    </row>
    <row r="144" ht="14.25" customHeight="1">
      <c r="C144" s="19"/>
      <c r="D144" s="19"/>
      <c r="I144" s="12"/>
    </row>
    <row r="145" ht="14.25" customHeight="1">
      <c r="C145" s="19"/>
      <c r="D145" s="19"/>
      <c r="I145" s="12"/>
    </row>
    <row r="146" ht="14.25" customHeight="1">
      <c r="C146" s="19"/>
      <c r="D146" s="19"/>
      <c r="I146" s="12"/>
    </row>
    <row r="147" ht="14.25" customHeight="1">
      <c r="C147" s="19"/>
      <c r="D147" s="19"/>
      <c r="I147" s="12"/>
    </row>
    <row r="148" ht="14.25" customHeight="1">
      <c r="C148" s="19"/>
      <c r="D148" s="19"/>
      <c r="I148" s="12"/>
    </row>
    <row r="149" ht="14.25" customHeight="1">
      <c r="C149" s="19"/>
      <c r="D149" s="19"/>
      <c r="I149" s="12"/>
    </row>
    <row r="150" ht="14.25" customHeight="1">
      <c r="C150" s="19"/>
      <c r="D150" s="19"/>
      <c r="I150" s="12"/>
    </row>
    <row r="151" ht="14.25" customHeight="1">
      <c r="C151" s="19"/>
      <c r="D151" s="19"/>
      <c r="I151" s="12"/>
    </row>
    <row r="152" ht="14.25" customHeight="1">
      <c r="C152" s="19"/>
      <c r="D152" s="19"/>
      <c r="I152" s="12"/>
    </row>
    <row r="153" ht="14.25" customHeight="1">
      <c r="C153" s="19"/>
      <c r="D153" s="19"/>
      <c r="I153" s="12"/>
    </row>
    <row r="154" ht="14.25" customHeight="1">
      <c r="C154" s="19"/>
      <c r="D154" s="19"/>
      <c r="I154" s="12"/>
    </row>
    <row r="155" ht="14.25" customHeight="1">
      <c r="C155" s="19"/>
      <c r="D155" s="19"/>
      <c r="I155" s="12"/>
    </row>
    <row r="156" ht="14.25" customHeight="1">
      <c r="C156" s="19"/>
      <c r="D156" s="19"/>
      <c r="I156" s="12"/>
    </row>
    <row r="157" ht="14.25" customHeight="1">
      <c r="C157" s="19"/>
      <c r="D157" s="19"/>
      <c r="I157" s="12"/>
    </row>
    <row r="158" ht="14.25" customHeight="1">
      <c r="C158" s="19"/>
      <c r="D158" s="19"/>
      <c r="I158" s="12"/>
    </row>
    <row r="159" ht="14.25" customHeight="1">
      <c r="C159" s="19"/>
      <c r="D159" s="19"/>
      <c r="I159" s="12"/>
    </row>
    <row r="160" ht="14.25" customHeight="1">
      <c r="C160" s="19"/>
      <c r="D160" s="19"/>
      <c r="I160" s="12"/>
    </row>
    <row r="161" ht="14.25" customHeight="1">
      <c r="C161" s="19"/>
      <c r="D161" s="19"/>
      <c r="I161" s="12"/>
    </row>
    <row r="162" ht="14.25" customHeight="1">
      <c r="C162" s="19"/>
      <c r="D162" s="19"/>
      <c r="I162" s="12"/>
    </row>
    <row r="163" ht="14.25" customHeight="1">
      <c r="C163" s="19"/>
      <c r="D163" s="19"/>
      <c r="I163" s="12"/>
    </row>
    <row r="164" ht="14.25" customHeight="1">
      <c r="C164" s="19"/>
      <c r="D164" s="19"/>
      <c r="I164" s="12"/>
    </row>
    <row r="165" ht="14.25" customHeight="1">
      <c r="C165" s="19"/>
      <c r="D165" s="19"/>
      <c r="I165" s="12"/>
    </row>
    <row r="166" ht="14.25" customHeight="1">
      <c r="C166" s="19"/>
      <c r="D166" s="19"/>
      <c r="I166" s="12"/>
    </row>
    <row r="167" ht="14.25" customHeight="1">
      <c r="C167" s="19"/>
      <c r="D167" s="19"/>
      <c r="I167" s="12"/>
    </row>
    <row r="168" ht="14.25" customHeight="1">
      <c r="C168" s="19"/>
      <c r="D168" s="19"/>
      <c r="I168" s="12"/>
    </row>
    <row r="169" ht="14.25" customHeight="1">
      <c r="C169" s="19"/>
      <c r="D169" s="19"/>
      <c r="I169" s="12"/>
    </row>
    <row r="170" ht="14.25" customHeight="1">
      <c r="C170" s="19"/>
      <c r="D170" s="19"/>
      <c r="I170" s="12"/>
    </row>
    <row r="171" ht="14.25" customHeight="1">
      <c r="C171" s="19"/>
      <c r="D171" s="19"/>
      <c r="I171" s="12"/>
    </row>
    <row r="172" ht="14.25" customHeight="1">
      <c r="C172" s="19"/>
      <c r="D172" s="19"/>
      <c r="I172" s="12"/>
    </row>
    <row r="173" ht="14.25" customHeight="1">
      <c r="C173" s="19"/>
      <c r="D173" s="19"/>
      <c r="I173" s="12"/>
    </row>
    <row r="174" ht="14.25" customHeight="1">
      <c r="C174" s="19"/>
      <c r="D174" s="19"/>
      <c r="I174" s="12"/>
    </row>
    <row r="175" ht="14.25" customHeight="1">
      <c r="C175" s="19"/>
      <c r="D175" s="19"/>
      <c r="I175" s="12"/>
    </row>
    <row r="176" ht="14.25" customHeight="1">
      <c r="C176" s="19"/>
      <c r="D176" s="19"/>
      <c r="I176" s="12"/>
    </row>
    <row r="177" ht="14.25" customHeight="1">
      <c r="C177" s="19"/>
      <c r="D177" s="19"/>
      <c r="I177" s="12"/>
    </row>
    <row r="178" ht="14.25" customHeight="1">
      <c r="C178" s="19"/>
      <c r="D178" s="19"/>
      <c r="I178" s="12"/>
    </row>
    <row r="179" ht="14.25" customHeight="1">
      <c r="C179" s="19"/>
      <c r="D179" s="19"/>
      <c r="I179" s="12"/>
    </row>
    <row r="180" ht="14.25" customHeight="1">
      <c r="C180" s="19"/>
      <c r="D180" s="19"/>
      <c r="I180" s="12"/>
    </row>
    <row r="181" ht="14.25" customHeight="1">
      <c r="C181" s="19"/>
      <c r="D181" s="19"/>
      <c r="I181" s="12"/>
    </row>
    <row r="182" ht="14.25" customHeight="1">
      <c r="C182" s="19"/>
      <c r="D182" s="19"/>
      <c r="I182" s="12"/>
    </row>
    <row r="183" ht="14.25" customHeight="1">
      <c r="C183" s="19"/>
      <c r="D183" s="19"/>
      <c r="I183" s="12"/>
    </row>
    <row r="184" ht="14.25" customHeight="1">
      <c r="C184" s="19"/>
      <c r="D184" s="19"/>
      <c r="I184" s="12"/>
    </row>
    <row r="185" ht="14.25" customHeight="1">
      <c r="C185" s="19"/>
      <c r="D185" s="19"/>
      <c r="I185" s="12"/>
    </row>
    <row r="186" ht="14.25" customHeight="1">
      <c r="C186" s="19"/>
      <c r="D186" s="19"/>
      <c r="I186" s="12"/>
    </row>
    <row r="187" ht="14.25" customHeight="1">
      <c r="C187" s="19"/>
      <c r="D187" s="19"/>
      <c r="I187" s="12"/>
    </row>
    <row r="188" ht="14.25" customHeight="1">
      <c r="C188" s="19"/>
      <c r="D188" s="19"/>
      <c r="I188" s="12"/>
    </row>
    <row r="189" ht="14.25" customHeight="1">
      <c r="C189" s="19"/>
      <c r="D189" s="19"/>
      <c r="I189" s="12"/>
    </row>
    <row r="190" ht="14.25" customHeight="1">
      <c r="C190" s="19"/>
      <c r="D190" s="19"/>
      <c r="I190" s="12"/>
    </row>
    <row r="191" ht="14.25" customHeight="1">
      <c r="C191" s="19"/>
      <c r="D191" s="19"/>
      <c r="I191" s="12"/>
    </row>
    <row r="192" ht="14.25" customHeight="1">
      <c r="C192" s="19"/>
      <c r="D192" s="19"/>
      <c r="I192" s="12"/>
    </row>
    <row r="193" ht="14.25" customHeight="1">
      <c r="C193" s="19"/>
      <c r="D193" s="19"/>
      <c r="I193" s="12"/>
    </row>
    <row r="194" ht="14.25" customHeight="1">
      <c r="C194" s="19"/>
      <c r="D194" s="19"/>
      <c r="I194" s="12"/>
    </row>
    <row r="195" ht="14.25" customHeight="1">
      <c r="C195" s="19"/>
      <c r="D195" s="19"/>
      <c r="I195" s="12"/>
    </row>
    <row r="196" ht="14.25" customHeight="1">
      <c r="C196" s="19"/>
      <c r="D196" s="19"/>
      <c r="I196" s="12"/>
    </row>
    <row r="197" ht="14.25" customHeight="1">
      <c r="C197" s="19"/>
      <c r="D197" s="19"/>
      <c r="I197" s="12"/>
    </row>
    <row r="198" ht="14.25" customHeight="1">
      <c r="C198" s="19"/>
      <c r="D198" s="19"/>
      <c r="I198" s="12"/>
    </row>
    <row r="199" ht="14.25" customHeight="1">
      <c r="C199" s="19"/>
      <c r="D199" s="19"/>
      <c r="I199" s="12"/>
    </row>
    <row r="200" ht="14.25" customHeight="1">
      <c r="C200" s="19"/>
      <c r="D200" s="19"/>
      <c r="I200" s="12"/>
    </row>
    <row r="201" ht="14.25" customHeight="1">
      <c r="C201" s="19"/>
      <c r="D201" s="19"/>
      <c r="I201" s="12"/>
    </row>
    <row r="202" ht="14.25" customHeight="1">
      <c r="C202" s="19"/>
      <c r="D202" s="19"/>
      <c r="I202" s="12"/>
    </row>
    <row r="203" ht="14.25" customHeight="1">
      <c r="C203" s="19"/>
      <c r="D203" s="19"/>
      <c r="I203" s="12"/>
    </row>
    <row r="204" ht="14.25" customHeight="1">
      <c r="C204" s="19"/>
      <c r="D204" s="19"/>
      <c r="I204" s="12"/>
    </row>
    <row r="205" ht="14.25" customHeight="1">
      <c r="C205" s="19"/>
      <c r="D205" s="19"/>
      <c r="I205" s="12"/>
    </row>
    <row r="206" ht="14.25" customHeight="1">
      <c r="C206" s="19"/>
      <c r="D206" s="19"/>
      <c r="I206" s="12"/>
    </row>
    <row r="207" ht="14.25" customHeight="1">
      <c r="C207" s="19"/>
      <c r="D207" s="19"/>
      <c r="I207" s="12"/>
    </row>
    <row r="208" ht="14.25" customHeight="1">
      <c r="C208" s="19"/>
      <c r="D208" s="19"/>
      <c r="I208" s="12"/>
    </row>
    <row r="209" ht="14.25" customHeight="1">
      <c r="C209" s="19"/>
      <c r="D209" s="19"/>
      <c r="I209" s="12"/>
    </row>
    <row r="210" ht="14.25" customHeight="1">
      <c r="C210" s="19"/>
      <c r="D210" s="19"/>
      <c r="I210" s="12"/>
    </row>
    <row r="211" ht="14.25" customHeight="1">
      <c r="C211" s="19"/>
      <c r="D211" s="19"/>
      <c r="I211" s="12"/>
    </row>
    <row r="212" ht="14.25" customHeight="1">
      <c r="C212" s="19"/>
      <c r="D212" s="19"/>
      <c r="I212" s="12"/>
    </row>
    <row r="213" ht="14.25" customHeight="1">
      <c r="C213" s="19"/>
      <c r="D213" s="19"/>
      <c r="I213" s="12"/>
    </row>
    <row r="214" ht="14.25" customHeight="1">
      <c r="C214" s="19"/>
      <c r="D214" s="19"/>
      <c r="I214" s="12"/>
    </row>
    <row r="215" ht="14.25" customHeight="1">
      <c r="C215" s="19"/>
      <c r="D215" s="19"/>
      <c r="I215" s="12"/>
    </row>
    <row r="216" ht="14.25" customHeight="1">
      <c r="C216" s="19"/>
      <c r="D216" s="19"/>
      <c r="I216" s="12"/>
    </row>
    <row r="217" ht="14.25" customHeight="1">
      <c r="C217" s="19"/>
      <c r="D217" s="19"/>
      <c r="I217" s="12"/>
    </row>
    <row r="218" ht="14.25" customHeight="1">
      <c r="C218" s="19"/>
      <c r="D218" s="19"/>
      <c r="I218" s="12"/>
    </row>
    <row r="219" ht="14.25" customHeight="1">
      <c r="C219" s="19"/>
      <c r="D219" s="19"/>
      <c r="I219" s="12"/>
    </row>
    <row r="220" ht="14.25" customHeight="1">
      <c r="C220" s="19"/>
      <c r="D220" s="19"/>
      <c r="I220" s="12"/>
    </row>
    <row r="221" ht="14.25" customHeight="1">
      <c r="C221" s="19"/>
      <c r="D221" s="19"/>
      <c r="I221" s="12"/>
    </row>
    <row r="222" ht="14.25" customHeight="1">
      <c r="C222" s="19"/>
      <c r="D222" s="19"/>
      <c r="I222" s="12"/>
    </row>
    <row r="223" ht="14.25" customHeight="1">
      <c r="C223" s="19"/>
      <c r="D223" s="19"/>
      <c r="I223" s="12"/>
    </row>
    <row r="224" ht="14.25" customHeight="1">
      <c r="C224" s="19"/>
      <c r="D224" s="19"/>
      <c r="I224" s="12"/>
    </row>
    <row r="225" ht="14.25" customHeight="1">
      <c r="C225" s="19"/>
      <c r="D225" s="19"/>
      <c r="I225" s="12"/>
    </row>
    <row r="226" ht="14.25" customHeight="1">
      <c r="C226" s="19"/>
      <c r="D226" s="19"/>
      <c r="I226" s="12"/>
    </row>
    <row r="227" ht="14.25" customHeight="1">
      <c r="C227" s="19"/>
      <c r="D227" s="19"/>
      <c r="I227" s="12"/>
    </row>
    <row r="228" ht="14.25" customHeight="1">
      <c r="C228" s="19"/>
      <c r="D228" s="19"/>
      <c r="I228" s="12"/>
    </row>
    <row r="229" ht="14.25" customHeight="1">
      <c r="C229" s="19"/>
      <c r="D229" s="19"/>
      <c r="I229" s="12"/>
    </row>
    <row r="230" ht="14.25" customHeight="1">
      <c r="C230" s="19"/>
      <c r="D230" s="19"/>
      <c r="I230" s="12"/>
    </row>
    <row r="231" ht="14.25" customHeight="1">
      <c r="C231" s="19"/>
      <c r="D231" s="19"/>
      <c r="I231" s="12"/>
    </row>
    <row r="232" ht="14.25" customHeight="1">
      <c r="C232" s="19"/>
      <c r="D232" s="19"/>
      <c r="I232" s="12"/>
    </row>
    <row r="233" ht="14.25" customHeight="1">
      <c r="C233" s="19"/>
      <c r="D233" s="19"/>
      <c r="I233" s="12"/>
    </row>
    <row r="234" ht="14.25" customHeight="1">
      <c r="C234" s="19"/>
      <c r="D234" s="19"/>
      <c r="I234" s="12"/>
    </row>
    <row r="235" ht="14.25" customHeight="1">
      <c r="C235" s="19"/>
      <c r="D235" s="19"/>
      <c r="I235" s="12"/>
    </row>
    <row r="236" ht="14.25" customHeight="1">
      <c r="C236" s="19"/>
      <c r="D236" s="19"/>
      <c r="I236" s="12"/>
    </row>
    <row r="237" ht="14.25" customHeight="1">
      <c r="C237" s="19"/>
      <c r="D237" s="19"/>
      <c r="I237" s="12"/>
    </row>
    <row r="238" ht="14.25" customHeight="1">
      <c r="C238" s="19"/>
      <c r="D238" s="19"/>
      <c r="I238" s="12"/>
    </row>
    <row r="239" ht="14.25" customHeight="1">
      <c r="C239" s="19"/>
      <c r="D239" s="19"/>
      <c r="I239" s="12"/>
    </row>
    <row r="240" ht="14.25" customHeight="1">
      <c r="C240" s="19"/>
      <c r="D240" s="19"/>
      <c r="I240" s="12"/>
    </row>
    <row r="241" ht="14.25" customHeight="1">
      <c r="C241" s="19"/>
      <c r="D241" s="19"/>
      <c r="I241" s="12"/>
    </row>
    <row r="242" ht="14.25" customHeight="1">
      <c r="C242" s="19"/>
      <c r="D242" s="19"/>
      <c r="I242" s="12"/>
    </row>
    <row r="243" ht="14.25" customHeight="1">
      <c r="C243" s="19"/>
      <c r="D243" s="19"/>
      <c r="I243" s="12"/>
    </row>
    <row r="244" ht="14.25" customHeight="1">
      <c r="C244" s="19"/>
      <c r="D244" s="19"/>
      <c r="I244" s="12"/>
    </row>
    <row r="245" ht="14.25" customHeight="1">
      <c r="C245" s="19"/>
      <c r="D245" s="19"/>
      <c r="I245" s="12"/>
    </row>
    <row r="246" ht="14.25" customHeight="1">
      <c r="C246" s="19"/>
      <c r="D246" s="19"/>
      <c r="I246" s="12"/>
    </row>
    <row r="247" ht="14.25" customHeight="1">
      <c r="C247" s="19"/>
      <c r="D247" s="19"/>
      <c r="I247" s="12"/>
    </row>
    <row r="248" ht="14.25" customHeight="1">
      <c r="C248" s="19"/>
      <c r="D248" s="19"/>
      <c r="I248" s="12"/>
    </row>
    <row r="249" ht="14.25" customHeight="1">
      <c r="C249" s="19"/>
      <c r="D249" s="19"/>
      <c r="I249" s="12"/>
    </row>
    <row r="250" ht="14.25" customHeight="1">
      <c r="C250" s="19"/>
      <c r="D250" s="19"/>
      <c r="I250" s="12"/>
    </row>
    <row r="251" ht="14.25" customHeight="1">
      <c r="C251" s="19"/>
      <c r="D251" s="19"/>
      <c r="I251" s="12"/>
    </row>
    <row r="252" ht="14.25" customHeight="1">
      <c r="C252" s="19"/>
      <c r="D252" s="19"/>
      <c r="I252" s="12"/>
    </row>
    <row r="253" ht="14.25" customHeight="1">
      <c r="C253" s="19"/>
      <c r="D253" s="19"/>
      <c r="I253" s="12"/>
    </row>
    <row r="254" ht="14.25" customHeight="1">
      <c r="C254" s="19"/>
      <c r="D254" s="19"/>
      <c r="I254" s="12"/>
    </row>
    <row r="255" ht="14.25" customHeight="1">
      <c r="C255" s="19"/>
      <c r="D255" s="19"/>
      <c r="I255" s="12"/>
    </row>
    <row r="256" ht="14.25" customHeight="1">
      <c r="C256" s="19"/>
      <c r="D256" s="19"/>
      <c r="I256" s="12"/>
    </row>
    <row r="257" ht="14.25" customHeight="1">
      <c r="C257" s="19"/>
      <c r="D257" s="19"/>
      <c r="I257" s="12"/>
    </row>
    <row r="258" ht="14.25" customHeight="1">
      <c r="C258" s="19"/>
      <c r="D258" s="19"/>
      <c r="I258" s="12"/>
    </row>
    <row r="259" ht="14.25" customHeight="1">
      <c r="C259" s="19"/>
      <c r="D259" s="19"/>
      <c r="I259" s="12"/>
    </row>
    <row r="260" ht="14.25" customHeight="1">
      <c r="C260" s="19"/>
      <c r="D260" s="19"/>
      <c r="I260" s="12"/>
    </row>
    <row r="261" ht="14.25" customHeight="1">
      <c r="C261" s="19"/>
      <c r="D261" s="19"/>
      <c r="I261" s="12"/>
    </row>
    <row r="262" ht="14.25" customHeight="1">
      <c r="C262" s="19"/>
      <c r="D262" s="19"/>
      <c r="I262" s="12"/>
    </row>
    <row r="263" ht="14.25" customHeight="1">
      <c r="C263" s="19"/>
      <c r="D263" s="19"/>
      <c r="I263" s="12"/>
    </row>
    <row r="264" ht="14.25" customHeight="1">
      <c r="C264" s="19"/>
      <c r="D264" s="19"/>
      <c r="I264" s="12"/>
    </row>
    <row r="265" ht="14.25" customHeight="1">
      <c r="C265" s="19"/>
      <c r="D265" s="19"/>
      <c r="I265" s="12"/>
    </row>
    <row r="266" ht="14.25" customHeight="1">
      <c r="C266" s="19"/>
      <c r="D266" s="19"/>
      <c r="I266" s="12"/>
    </row>
    <row r="267" ht="14.25" customHeight="1">
      <c r="C267" s="19"/>
      <c r="D267" s="19"/>
      <c r="I267" s="12"/>
    </row>
    <row r="268" ht="14.25" customHeight="1">
      <c r="C268" s="19"/>
      <c r="D268" s="19"/>
      <c r="I268" s="12"/>
    </row>
    <row r="269" ht="14.25" customHeight="1">
      <c r="C269" s="19"/>
      <c r="D269" s="19"/>
      <c r="I269" s="12"/>
    </row>
    <row r="270" ht="14.25" customHeight="1">
      <c r="C270" s="19"/>
      <c r="D270" s="19"/>
      <c r="I270" s="12"/>
    </row>
    <row r="271" ht="14.25" customHeight="1">
      <c r="C271" s="19"/>
      <c r="D271" s="19"/>
      <c r="I271" s="12"/>
    </row>
    <row r="272" ht="14.25" customHeight="1">
      <c r="C272" s="19"/>
      <c r="D272" s="19"/>
      <c r="I272" s="12"/>
    </row>
    <row r="273" ht="14.25" customHeight="1">
      <c r="C273" s="19"/>
      <c r="D273" s="19"/>
      <c r="I273" s="12"/>
    </row>
    <row r="274" ht="14.25" customHeight="1">
      <c r="C274" s="19"/>
      <c r="D274" s="19"/>
      <c r="I274" s="12"/>
    </row>
    <row r="275" ht="14.25" customHeight="1">
      <c r="C275" s="19"/>
      <c r="D275" s="19"/>
      <c r="I275" s="12"/>
    </row>
    <row r="276" ht="14.25" customHeight="1">
      <c r="C276" s="19"/>
      <c r="D276" s="19"/>
      <c r="I276" s="12"/>
    </row>
    <row r="277" ht="14.25" customHeight="1">
      <c r="C277" s="19"/>
      <c r="D277" s="19"/>
      <c r="I277" s="12"/>
    </row>
    <row r="278" ht="14.25" customHeight="1">
      <c r="C278" s="19"/>
      <c r="D278" s="19"/>
      <c r="I278" s="12"/>
    </row>
    <row r="279" ht="14.25" customHeight="1">
      <c r="C279" s="19"/>
      <c r="D279" s="19"/>
      <c r="I279" s="12"/>
    </row>
    <row r="280" ht="14.25" customHeight="1">
      <c r="C280" s="19"/>
      <c r="D280" s="19"/>
      <c r="I280" s="12"/>
    </row>
    <row r="281" ht="14.25" customHeight="1">
      <c r="C281" s="19"/>
      <c r="D281" s="19"/>
      <c r="I281" s="12"/>
    </row>
    <row r="282" ht="14.25" customHeight="1">
      <c r="C282" s="19"/>
      <c r="D282" s="19"/>
      <c r="I282" s="12"/>
    </row>
    <row r="283" ht="14.25" customHeight="1">
      <c r="C283" s="19"/>
      <c r="D283" s="19"/>
      <c r="I283" s="12"/>
    </row>
    <row r="284" ht="14.25" customHeight="1">
      <c r="C284" s="19"/>
      <c r="D284" s="19"/>
      <c r="I284" s="12"/>
    </row>
    <row r="285" ht="14.25" customHeight="1">
      <c r="C285" s="19"/>
      <c r="D285" s="19"/>
      <c r="I285" s="12"/>
    </row>
    <row r="286" ht="14.25" customHeight="1">
      <c r="C286" s="19"/>
      <c r="D286" s="19"/>
      <c r="I286" s="12"/>
    </row>
    <row r="287" ht="14.25" customHeight="1">
      <c r="C287" s="19"/>
      <c r="D287" s="19"/>
      <c r="I287" s="12"/>
    </row>
    <row r="288" ht="14.25" customHeight="1">
      <c r="C288" s="19"/>
      <c r="D288" s="19"/>
      <c r="I288" s="12"/>
    </row>
    <row r="289" ht="14.25" customHeight="1">
      <c r="C289" s="19"/>
      <c r="D289" s="19"/>
      <c r="I289" s="12"/>
    </row>
    <row r="290" ht="14.25" customHeight="1">
      <c r="C290" s="19"/>
      <c r="D290" s="19"/>
      <c r="I290" s="12"/>
    </row>
    <row r="291" ht="14.25" customHeight="1">
      <c r="C291" s="19"/>
      <c r="D291" s="19"/>
      <c r="I291" s="12"/>
    </row>
    <row r="292" ht="14.25" customHeight="1">
      <c r="C292" s="19"/>
      <c r="D292" s="19"/>
      <c r="I292" s="12"/>
    </row>
    <row r="293" ht="14.25" customHeight="1">
      <c r="C293" s="19"/>
      <c r="D293" s="19"/>
      <c r="I293" s="12"/>
    </row>
    <row r="294" ht="14.25" customHeight="1">
      <c r="C294" s="19"/>
      <c r="D294" s="19"/>
      <c r="I294" s="12"/>
    </row>
    <row r="295" ht="14.25" customHeight="1">
      <c r="C295" s="19"/>
      <c r="D295" s="19"/>
      <c r="I295" s="12"/>
    </row>
    <row r="296" ht="14.25" customHeight="1">
      <c r="C296" s="19"/>
      <c r="D296" s="19"/>
      <c r="I296" s="12"/>
    </row>
    <row r="297" ht="14.25" customHeight="1">
      <c r="C297" s="19"/>
      <c r="D297" s="19"/>
      <c r="I297" s="12"/>
    </row>
    <row r="298" ht="14.25" customHeight="1">
      <c r="C298" s="19"/>
      <c r="D298" s="19"/>
      <c r="I298" s="12"/>
    </row>
    <row r="299" ht="14.25" customHeight="1">
      <c r="C299" s="19"/>
      <c r="D299" s="19"/>
      <c r="I299" s="12"/>
    </row>
    <row r="300" ht="14.25" customHeight="1">
      <c r="C300" s="19"/>
      <c r="D300" s="19"/>
      <c r="I300" s="12"/>
    </row>
    <row r="301" ht="14.25" customHeight="1">
      <c r="C301" s="19"/>
      <c r="D301" s="19"/>
      <c r="I301" s="12"/>
    </row>
    <row r="302" ht="14.25" customHeight="1">
      <c r="C302" s="19"/>
      <c r="D302" s="19"/>
      <c r="I302" s="12"/>
    </row>
    <row r="303" ht="14.25" customHeight="1">
      <c r="C303" s="19"/>
      <c r="D303" s="19"/>
      <c r="I303" s="12"/>
    </row>
    <row r="304" ht="14.25" customHeight="1">
      <c r="C304" s="19"/>
      <c r="D304" s="19"/>
      <c r="I304" s="12"/>
    </row>
    <row r="305" ht="14.25" customHeight="1">
      <c r="C305" s="19"/>
      <c r="D305" s="19"/>
      <c r="I305" s="12"/>
    </row>
    <row r="306" ht="14.25" customHeight="1">
      <c r="C306" s="19"/>
      <c r="D306" s="19"/>
      <c r="I306" s="12"/>
    </row>
    <row r="307" ht="14.25" customHeight="1">
      <c r="C307" s="19"/>
      <c r="D307" s="19"/>
      <c r="I307" s="12"/>
    </row>
    <row r="308" ht="14.25" customHeight="1">
      <c r="C308" s="19"/>
      <c r="D308" s="19"/>
      <c r="I308" s="12"/>
    </row>
    <row r="309" ht="14.25" customHeight="1">
      <c r="C309" s="19"/>
      <c r="D309" s="19"/>
      <c r="I309" s="12"/>
    </row>
    <row r="310" ht="14.25" customHeight="1">
      <c r="C310" s="19"/>
      <c r="D310" s="19"/>
      <c r="I310" s="12"/>
    </row>
    <row r="311" ht="14.25" customHeight="1">
      <c r="C311" s="19"/>
      <c r="D311" s="19"/>
      <c r="I311" s="12"/>
    </row>
    <row r="312" ht="14.25" customHeight="1">
      <c r="C312" s="19"/>
      <c r="D312" s="19"/>
      <c r="I312" s="12"/>
    </row>
    <row r="313" ht="14.25" customHeight="1">
      <c r="C313" s="19"/>
      <c r="D313" s="19"/>
      <c r="I313" s="12"/>
    </row>
    <row r="314" ht="14.25" customHeight="1">
      <c r="C314" s="19"/>
      <c r="D314" s="19"/>
      <c r="I314" s="12"/>
    </row>
    <row r="315" ht="14.25" customHeight="1">
      <c r="C315" s="19"/>
      <c r="D315" s="19"/>
      <c r="I315" s="12"/>
    </row>
    <row r="316" ht="14.25" customHeight="1">
      <c r="C316" s="19"/>
      <c r="D316" s="19"/>
      <c r="I316" s="12"/>
    </row>
    <row r="317" ht="14.25" customHeight="1">
      <c r="C317" s="19"/>
      <c r="D317" s="19"/>
      <c r="I317" s="12"/>
    </row>
    <row r="318" ht="14.25" customHeight="1">
      <c r="C318" s="19"/>
      <c r="D318" s="19"/>
      <c r="I318" s="12"/>
    </row>
    <row r="319" ht="14.25" customHeight="1">
      <c r="C319" s="19"/>
      <c r="D319" s="19"/>
      <c r="I319" s="12"/>
    </row>
    <row r="320" ht="14.25" customHeight="1">
      <c r="C320" s="19"/>
      <c r="D320" s="19"/>
      <c r="I320" s="12"/>
    </row>
    <row r="321" ht="14.25" customHeight="1">
      <c r="C321" s="19"/>
      <c r="D321" s="19"/>
      <c r="I321" s="12"/>
    </row>
    <row r="322" ht="14.25" customHeight="1">
      <c r="C322" s="19"/>
      <c r="D322" s="19"/>
      <c r="I322" s="12"/>
    </row>
    <row r="323" ht="14.25" customHeight="1">
      <c r="C323" s="19"/>
      <c r="D323" s="19"/>
      <c r="I323" s="12"/>
    </row>
    <row r="324" ht="14.25" customHeight="1">
      <c r="C324" s="19"/>
      <c r="D324" s="19"/>
      <c r="I324" s="12"/>
    </row>
    <row r="325" ht="14.25" customHeight="1">
      <c r="C325" s="19"/>
      <c r="D325" s="19"/>
      <c r="I325" s="12"/>
    </row>
    <row r="326" ht="14.25" customHeight="1">
      <c r="C326" s="19"/>
      <c r="D326" s="19"/>
      <c r="I326" s="12"/>
    </row>
    <row r="327" ht="14.25" customHeight="1">
      <c r="C327" s="19"/>
      <c r="D327" s="19"/>
      <c r="I327" s="12"/>
    </row>
    <row r="328" ht="14.25" customHeight="1">
      <c r="C328" s="19"/>
      <c r="D328" s="19"/>
      <c r="I328" s="12"/>
    </row>
    <row r="329" ht="14.25" customHeight="1">
      <c r="C329" s="19"/>
      <c r="D329" s="19"/>
      <c r="I329" s="12"/>
    </row>
    <row r="330" ht="14.25" customHeight="1">
      <c r="C330" s="19"/>
      <c r="D330" s="19"/>
      <c r="I330" s="12"/>
    </row>
    <row r="331" ht="14.25" customHeight="1">
      <c r="C331" s="19"/>
      <c r="D331" s="19"/>
      <c r="I331" s="12"/>
    </row>
    <row r="332" ht="14.25" customHeight="1">
      <c r="C332" s="19"/>
      <c r="D332" s="19"/>
      <c r="I332" s="12"/>
    </row>
    <row r="333" ht="14.25" customHeight="1">
      <c r="C333" s="19"/>
      <c r="D333" s="19"/>
      <c r="I333" s="12"/>
    </row>
    <row r="334" ht="14.25" customHeight="1">
      <c r="C334" s="19"/>
      <c r="D334" s="19"/>
      <c r="I334" s="12"/>
    </row>
    <row r="335" ht="14.25" customHeight="1">
      <c r="C335" s="19"/>
      <c r="D335" s="19"/>
      <c r="I335" s="12"/>
    </row>
    <row r="336" ht="14.25" customHeight="1">
      <c r="C336" s="19"/>
      <c r="D336" s="19"/>
      <c r="I336" s="12"/>
    </row>
    <row r="337" ht="14.25" customHeight="1">
      <c r="C337" s="19"/>
      <c r="D337" s="19"/>
      <c r="I337" s="12"/>
    </row>
    <row r="338" ht="14.25" customHeight="1">
      <c r="C338" s="19"/>
      <c r="D338" s="19"/>
      <c r="I338" s="12"/>
    </row>
    <row r="339" ht="14.25" customHeight="1">
      <c r="C339" s="19"/>
      <c r="D339" s="19"/>
      <c r="I339" s="12"/>
    </row>
    <row r="340" ht="14.25" customHeight="1">
      <c r="C340" s="19"/>
      <c r="D340" s="19"/>
      <c r="I340" s="12"/>
    </row>
    <row r="341" ht="14.25" customHeight="1">
      <c r="C341" s="19"/>
      <c r="D341" s="19"/>
      <c r="I341" s="12"/>
    </row>
    <row r="342" ht="14.25" customHeight="1">
      <c r="C342" s="19"/>
      <c r="D342" s="19"/>
      <c r="I342" s="12"/>
    </row>
    <row r="343" ht="14.25" customHeight="1">
      <c r="C343" s="19"/>
      <c r="D343" s="19"/>
      <c r="I343" s="12"/>
    </row>
    <row r="344" ht="14.25" customHeight="1">
      <c r="C344" s="19"/>
      <c r="D344" s="19"/>
      <c r="I344" s="12"/>
    </row>
    <row r="345" ht="14.25" customHeight="1">
      <c r="C345" s="19"/>
      <c r="D345" s="19"/>
      <c r="I345" s="12"/>
    </row>
    <row r="346" ht="14.25" customHeight="1">
      <c r="C346" s="19"/>
      <c r="D346" s="19"/>
      <c r="I346" s="12"/>
    </row>
    <row r="347" ht="14.25" customHeight="1">
      <c r="C347" s="19"/>
      <c r="D347" s="19"/>
      <c r="I347" s="12"/>
    </row>
    <row r="348" ht="14.25" customHeight="1">
      <c r="C348" s="19"/>
      <c r="D348" s="19"/>
      <c r="I348" s="12"/>
    </row>
    <row r="349" ht="14.25" customHeight="1">
      <c r="C349" s="19"/>
      <c r="D349" s="19"/>
      <c r="I349" s="12"/>
    </row>
    <row r="350" ht="14.25" customHeight="1">
      <c r="C350" s="19"/>
      <c r="D350" s="19"/>
      <c r="I350" s="12"/>
    </row>
    <row r="351" ht="14.25" customHeight="1">
      <c r="C351" s="19"/>
      <c r="D351" s="19"/>
      <c r="I351" s="12"/>
    </row>
    <row r="352" ht="14.25" customHeight="1">
      <c r="C352" s="19"/>
      <c r="D352" s="19"/>
      <c r="I352" s="12"/>
    </row>
    <row r="353" ht="14.25" customHeight="1">
      <c r="C353" s="19"/>
      <c r="D353" s="19"/>
      <c r="I353" s="12"/>
    </row>
    <row r="354" ht="14.25" customHeight="1">
      <c r="C354" s="19"/>
      <c r="D354" s="19"/>
      <c r="I354" s="12"/>
    </row>
    <row r="355" ht="14.25" customHeight="1">
      <c r="C355" s="19"/>
      <c r="D355" s="19"/>
      <c r="I355" s="12"/>
    </row>
    <row r="356" ht="14.25" customHeight="1">
      <c r="C356" s="19"/>
      <c r="D356" s="19"/>
      <c r="I356" s="12"/>
    </row>
    <row r="357" ht="14.25" customHeight="1">
      <c r="C357" s="19"/>
      <c r="D357" s="19"/>
      <c r="I357" s="12"/>
    </row>
    <row r="358" ht="14.25" customHeight="1">
      <c r="C358" s="19"/>
      <c r="D358" s="19"/>
      <c r="I358" s="12"/>
    </row>
    <row r="359" ht="14.25" customHeight="1">
      <c r="C359" s="19"/>
      <c r="D359" s="19"/>
      <c r="I359" s="12"/>
    </row>
    <row r="360" ht="14.25" customHeight="1">
      <c r="C360" s="19"/>
      <c r="D360" s="19"/>
      <c r="I360" s="12"/>
    </row>
    <row r="361" ht="14.25" customHeight="1">
      <c r="C361" s="19"/>
      <c r="D361" s="19"/>
      <c r="I361" s="12"/>
    </row>
    <row r="362" ht="14.25" customHeight="1">
      <c r="C362" s="19"/>
      <c r="D362" s="19"/>
      <c r="I362" s="12"/>
    </row>
    <row r="363" ht="14.25" customHeight="1">
      <c r="C363" s="19"/>
      <c r="D363" s="19"/>
      <c r="I363" s="12"/>
    </row>
    <row r="364" ht="14.25" customHeight="1">
      <c r="C364" s="19"/>
      <c r="D364" s="19"/>
      <c r="I364" s="12"/>
    </row>
    <row r="365" ht="14.25" customHeight="1">
      <c r="C365" s="19"/>
      <c r="D365" s="19"/>
      <c r="I365" s="12"/>
    </row>
    <row r="366" ht="14.25" customHeight="1">
      <c r="C366" s="19"/>
      <c r="D366" s="19"/>
      <c r="I366" s="12"/>
    </row>
    <row r="367" ht="14.25" customHeight="1">
      <c r="C367" s="19"/>
      <c r="D367" s="19"/>
      <c r="I367" s="12"/>
    </row>
    <row r="368" ht="14.25" customHeight="1">
      <c r="C368" s="19"/>
      <c r="D368" s="19"/>
      <c r="I368" s="12"/>
    </row>
    <row r="369" ht="14.25" customHeight="1">
      <c r="C369" s="19"/>
      <c r="D369" s="19"/>
      <c r="I369" s="12"/>
    </row>
    <row r="370" ht="14.25" customHeight="1">
      <c r="C370" s="19"/>
      <c r="D370" s="19"/>
      <c r="I370" s="12"/>
    </row>
    <row r="371" ht="14.25" customHeight="1">
      <c r="C371" s="19"/>
      <c r="D371" s="19"/>
      <c r="I371" s="12"/>
    </row>
    <row r="372" ht="14.25" customHeight="1">
      <c r="C372" s="19"/>
      <c r="D372" s="19"/>
      <c r="I372" s="12"/>
    </row>
    <row r="373" ht="14.25" customHeight="1">
      <c r="C373" s="19"/>
      <c r="D373" s="19"/>
      <c r="I373" s="12"/>
    </row>
    <row r="374" ht="14.25" customHeight="1">
      <c r="C374" s="19"/>
      <c r="D374" s="19"/>
      <c r="I374" s="12"/>
    </row>
    <row r="375" ht="14.25" customHeight="1">
      <c r="C375" s="19"/>
      <c r="D375" s="19"/>
      <c r="I375" s="12"/>
    </row>
    <row r="376" ht="14.25" customHeight="1">
      <c r="C376" s="19"/>
      <c r="D376" s="19"/>
      <c r="I376" s="12"/>
    </row>
    <row r="377" ht="14.25" customHeight="1">
      <c r="C377" s="19"/>
      <c r="D377" s="19"/>
      <c r="I377" s="12"/>
    </row>
    <row r="378" ht="14.25" customHeight="1">
      <c r="C378" s="19"/>
      <c r="D378" s="19"/>
      <c r="I378" s="12"/>
    </row>
    <row r="379" ht="14.25" customHeight="1">
      <c r="C379" s="19"/>
      <c r="D379" s="19"/>
      <c r="I379" s="12"/>
    </row>
    <row r="380" ht="14.25" customHeight="1">
      <c r="C380" s="19"/>
      <c r="D380" s="19"/>
      <c r="I380" s="12"/>
    </row>
    <row r="381" ht="14.25" customHeight="1">
      <c r="C381" s="19"/>
      <c r="D381" s="19"/>
      <c r="I381" s="12"/>
    </row>
    <row r="382" ht="14.25" customHeight="1">
      <c r="C382" s="19"/>
      <c r="D382" s="19"/>
      <c r="I382" s="12"/>
    </row>
    <row r="383" ht="14.25" customHeight="1">
      <c r="C383" s="19"/>
      <c r="D383" s="19"/>
      <c r="I383" s="12"/>
    </row>
    <row r="384" ht="14.25" customHeight="1">
      <c r="C384" s="19"/>
      <c r="D384" s="19"/>
      <c r="I384" s="12"/>
    </row>
    <row r="385" ht="14.25" customHeight="1">
      <c r="C385" s="19"/>
      <c r="D385" s="19"/>
      <c r="I385" s="12"/>
    </row>
    <row r="386" ht="14.25" customHeight="1">
      <c r="C386" s="19"/>
      <c r="D386" s="19"/>
      <c r="I386" s="12"/>
    </row>
    <row r="387" ht="14.25" customHeight="1">
      <c r="C387" s="19"/>
      <c r="D387" s="19"/>
      <c r="I387" s="12"/>
    </row>
    <row r="388" ht="14.25" customHeight="1">
      <c r="C388" s="19"/>
      <c r="D388" s="19"/>
      <c r="I388" s="12"/>
    </row>
    <row r="389" ht="14.25" customHeight="1">
      <c r="C389" s="19"/>
      <c r="D389" s="19"/>
      <c r="I389" s="12"/>
    </row>
    <row r="390" ht="14.25" customHeight="1">
      <c r="C390" s="19"/>
      <c r="D390" s="19"/>
      <c r="I390" s="12"/>
    </row>
    <row r="391" ht="14.25" customHeight="1">
      <c r="C391" s="19"/>
      <c r="D391" s="19"/>
      <c r="I391" s="12"/>
    </row>
    <row r="392" ht="14.25" customHeight="1">
      <c r="C392" s="19"/>
      <c r="D392" s="19"/>
      <c r="I392" s="12"/>
    </row>
    <row r="393" ht="14.25" customHeight="1">
      <c r="C393" s="19"/>
      <c r="D393" s="19"/>
      <c r="I393" s="12"/>
    </row>
    <row r="394" ht="14.25" customHeight="1">
      <c r="C394" s="19"/>
      <c r="D394" s="19"/>
      <c r="I394" s="12"/>
    </row>
    <row r="395" ht="14.25" customHeight="1">
      <c r="C395" s="19"/>
      <c r="D395" s="19"/>
      <c r="I395" s="12"/>
    </row>
    <row r="396" ht="14.25" customHeight="1">
      <c r="C396" s="19"/>
      <c r="D396" s="19"/>
      <c r="I396" s="12"/>
    </row>
    <row r="397" ht="14.25" customHeight="1">
      <c r="C397" s="19"/>
      <c r="D397" s="19"/>
      <c r="I397" s="12"/>
    </row>
    <row r="398" ht="14.25" customHeight="1">
      <c r="C398" s="19"/>
      <c r="D398" s="19"/>
      <c r="I398" s="12"/>
    </row>
    <row r="399" ht="14.25" customHeight="1">
      <c r="C399" s="19"/>
      <c r="D399" s="19"/>
      <c r="I399" s="12"/>
    </row>
    <row r="400" ht="14.25" customHeight="1">
      <c r="C400" s="19"/>
      <c r="D400" s="19"/>
      <c r="I400" s="12"/>
    </row>
    <row r="401" ht="14.25" customHeight="1">
      <c r="C401" s="19"/>
      <c r="D401" s="19"/>
      <c r="I401" s="12"/>
    </row>
    <row r="402" ht="14.25" customHeight="1">
      <c r="C402" s="19"/>
      <c r="D402" s="19"/>
      <c r="I402" s="12"/>
    </row>
    <row r="403" ht="14.25" customHeight="1">
      <c r="C403" s="19"/>
      <c r="D403" s="19"/>
      <c r="I403" s="12"/>
    </row>
    <row r="404" ht="14.25" customHeight="1">
      <c r="C404" s="19"/>
      <c r="D404" s="19"/>
      <c r="I404" s="12"/>
    </row>
    <row r="405" ht="14.25" customHeight="1">
      <c r="C405" s="19"/>
      <c r="D405" s="19"/>
      <c r="I405" s="12"/>
    </row>
    <row r="406" ht="14.25" customHeight="1">
      <c r="C406" s="19"/>
      <c r="D406" s="19"/>
      <c r="I406" s="12"/>
    </row>
    <row r="407" ht="14.25" customHeight="1">
      <c r="C407" s="19"/>
      <c r="D407" s="19"/>
      <c r="I407" s="12"/>
    </row>
    <row r="408" ht="14.25" customHeight="1">
      <c r="C408" s="19"/>
      <c r="D408" s="19"/>
      <c r="I408" s="12"/>
    </row>
    <row r="409" ht="14.25" customHeight="1">
      <c r="C409" s="19"/>
      <c r="D409" s="19"/>
      <c r="I409" s="12"/>
    </row>
    <row r="410" ht="14.25" customHeight="1">
      <c r="C410" s="19"/>
      <c r="D410" s="19"/>
      <c r="I410" s="12"/>
    </row>
    <row r="411" ht="14.25" customHeight="1">
      <c r="C411" s="19"/>
      <c r="D411" s="19"/>
      <c r="I411" s="12"/>
    </row>
    <row r="412" ht="14.25" customHeight="1">
      <c r="C412" s="19"/>
      <c r="D412" s="19"/>
      <c r="I412" s="12"/>
    </row>
    <row r="413" ht="14.25" customHeight="1">
      <c r="C413" s="19"/>
      <c r="D413" s="19"/>
      <c r="I413" s="12"/>
    </row>
    <row r="414" ht="14.25" customHeight="1">
      <c r="C414" s="19"/>
      <c r="D414" s="19"/>
      <c r="I414" s="12"/>
    </row>
    <row r="415" ht="14.25" customHeight="1">
      <c r="C415" s="19"/>
      <c r="D415" s="19"/>
      <c r="I415" s="12"/>
    </row>
    <row r="416" ht="14.25" customHeight="1">
      <c r="C416" s="19"/>
      <c r="D416" s="19"/>
      <c r="I416" s="12"/>
    </row>
    <row r="417" ht="14.25" customHeight="1">
      <c r="C417" s="19"/>
      <c r="D417" s="19"/>
      <c r="I417" s="12"/>
    </row>
    <row r="418" ht="14.25" customHeight="1">
      <c r="C418" s="19"/>
      <c r="D418" s="19"/>
      <c r="I418" s="12"/>
    </row>
    <row r="419" ht="14.25" customHeight="1">
      <c r="C419" s="19"/>
      <c r="D419" s="19"/>
      <c r="I419" s="12"/>
    </row>
    <row r="420" ht="14.25" customHeight="1">
      <c r="C420" s="19"/>
      <c r="D420" s="19"/>
      <c r="I420" s="12"/>
    </row>
    <row r="421" ht="14.25" customHeight="1">
      <c r="C421" s="19"/>
      <c r="D421" s="19"/>
      <c r="I421" s="12"/>
    </row>
    <row r="422" ht="14.25" customHeight="1">
      <c r="C422" s="19"/>
      <c r="D422" s="19"/>
      <c r="I422" s="12"/>
    </row>
    <row r="423" ht="14.25" customHeight="1">
      <c r="C423" s="19"/>
      <c r="D423" s="19"/>
      <c r="I423" s="12"/>
    </row>
    <row r="424" ht="14.25" customHeight="1">
      <c r="C424" s="19"/>
      <c r="D424" s="19"/>
      <c r="I424" s="12"/>
    </row>
    <row r="425" ht="14.25" customHeight="1">
      <c r="C425" s="19"/>
      <c r="D425" s="19"/>
      <c r="I425" s="12"/>
    </row>
    <row r="426" ht="14.25" customHeight="1">
      <c r="C426" s="19"/>
      <c r="D426" s="19"/>
      <c r="I426" s="12"/>
    </row>
    <row r="427" ht="14.25" customHeight="1">
      <c r="C427" s="19"/>
      <c r="D427" s="19"/>
      <c r="I427" s="12"/>
    </row>
    <row r="428" ht="14.25" customHeight="1">
      <c r="C428" s="19"/>
      <c r="D428" s="19"/>
      <c r="I428" s="12"/>
    </row>
    <row r="429" ht="14.25" customHeight="1">
      <c r="C429" s="19"/>
      <c r="D429" s="19"/>
      <c r="I429" s="12"/>
    </row>
    <row r="430" ht="14.25" customHeight="1">
      <c r="C430" s="19"/>
      <c r="D430" s="19"/>
      <c r="I430" s="12"/>
    </row>
    <row r="431" ht="14.25" customHeight="1">
      <c r="C431" s="19"/>
      <c r="D431" s="19"/>
      <c r="I431" s="12"/>
    </row>
    <row r="432" ht="14.25" customHeight="1">
      <c r="C432" s="19"/>
      <c r="D432" s="19"/>
      <c r="I432" s="12"/>
    </row>
    <row r="433" ht="14.25" customHeight="1">
      <c r="C433" s="19"/>
      <c r="D433" s="19"/>
      <c r="I433" s="12"/>
    </row>
    <row r="434" ht="14.25" customHeight="1">
      <c r="C434" s="19"/>
      <c r="D434" s="19"/>
      <c r="I434" s="12"/>
    </row>
    <row r="435" ht="14.25" customHeight="1">
      <c r="C435" s="19"/>
      <c r="D435" s="19"/>
      <c r="I435" s="12"/>
    </row>
    <row r="436" ht="14.25" customHeight="1">
      <c r="C436" s="19"/>
      <c r="D436" s="19"/>
      <c r="I436" s="12"/>
    </row>
    <row r="437" ht="14.25" customHeight="1">
      <c r="C437" s="19"/>
      <c r="D437" s="19"/>
      <c r="I437" s="12"/>
    </row>
    <row r="438" ht="14.25" customHeight="1">
      <c r="C438" s="19"/>
      <c r="D438" s="19"/>
      <c r="I438" s="12"/>
    </row>
    <row r="439" ht="14.25" customHeight="1">
      <c r="C439" s="19"/>
      <c r="D439" s="19"/>
      <c r="I439" s="12"/>
    </row>
    <row r="440" ht="14.25" customHeight="1">
      <c r="C440" s="19"/>
      <c r="D440" s="19"/>
      <c r="I440" s="12"/>
    </row>
    <row r="441" ht="14.25" customHeight="1">
      <c r="C441" s="19"/>
      <c r="D441" s="19"/>
      <c r="I441" s="12"/>
    </row>
    <row r="442" ht="14.25" customHeight="1">
      <c r="C442" s="19"/>
      <c r="D442" s="19"/>
      <c r="I442" s="12"/>
    </row>
    <row r="443" ht="14.25" customHeight="1">
      <c r="C443" s="19"/>
      <c r="D443" s="19"/>
      <c r="I443" s="12"/>
    </row>
    <row r="444" ht="14.25" customHeight="1">
      <c r="C444" s="19"/>
      <c r="D444" s="19"/>
      <c r="I444" s="12"/>
    </row>
    <row r="445" ht="14.25" customHeight="1">
      <c r="C445" s="19"/>
      <c r="D445" s="19"/>
      <c r="I445" s="12"/>
    </row>
    <row r="446" ht="14.25" customHeight="1">
      <c r="C446" s="19"/>
      <c r="D446" s="19"/>
      <c r="I446" s="12"/>
    </row>
    <row r="447" ht="14.25" customHeight="1">
      <c r="C447" s="19"/>
      <c r="D447" s="19"/>
      <c r="I447" s="12"/>
    </row>
    <row r="448" ht="14.25" customHeight="1">
      <c r="C448" s="19"/>
      <c r="D448" s="19"/>
      <c r="I448" s="12"/>
    </row>
    <row r="449" ht="14.25" customHeight="1">
      <c r="C449" s="19"/>
      <c r="D449" s="19"/>
      <c r="I449" s="12"/>
    </row>
    <row r="450" ht="14.25" customHeight="1">
      <c r="C450" s="19"/>
      <c r="D450" s="19"/>
      <c r="I450" s="12"/>
    </row>
    <row r="451" ht="14.25" customHeight="1">
      <c r="C451" s="19"/>
      <c r="D451" s="19"/>
      <c r="I451" s="12"/>
    </row>
    <row r="452" ht="14.25" customHeight="1">
      <c r="C452" s="19"/>
      <c r="D452" s="19"/>
      <c r="I452" s="12"/>
    </row>
    <row r="453" ht="14.25" customHeight="1">
      <c r="C453" s="19"/>
      <c r="D453" s="19"/>
      <c r="I453" s="12"/>
    </row>
    <row r="454" ht="14.25" customHeight="1">
      <c r="C454" s="19"/>
      <c r="D454" s="19"/>
      <c r="I454" s="12"/>
    </row>
    <row r="455" ht="14.25" customHeight="1">
      <c r="C455" s="19"/>
      <c r="D455" s="19"/>
      <c r="I455" s="12"/>
    </row>
    <row r="456" ht="14.25" customHeight="1">
      <c r="C456" s="19"/>
      <c r="D456" s="19"/>
      <c r="I456" s="12"/>
    </row>
    <row r="457" ht="14.25" customHeight="1">
      <c r="C457" s="19"/>
      <c r="D457" s="19"/>
      <c r="I457" s="12"/>
    </row>
    <row r="458" ht="14.25" customHeight="1">
      <c r="C458" s="19"/>
      <c r="D458" s="19"/>
      <c r="I458" s="12"/>
    </row>
    <row r="459" ht="14.25" customHeight="1">
      <c r="C459" s="19"/>
      <c r="D459" s="19"/>
      <c r="I459" s="12"/>
    </row>
    <row r="460" ht="14.25" customHeight="1">
      <c r="C460" s="19"/>
      <c r="D460" s="19"/>
      <c r="I460" s="12"/>
    </row>
    <row r="461" ht="14.25" customHeight="1">
      <c r="C461" s="19"/>
      <c r="D461" s="19"/>
      <c r="I461" s="12"/>
    </row>
    <row r="462" ht="14.25" customHeight="1">
      <c r="C462" s="19"/>
      <c r="D462" s="19"/>
      <c r="I462" s="12"/>
    </row>
    <row r="463" ht="14.25" customHeight="1">
      <c r="C463" s="19"/>
      <c r="D463" s="19"/>
      <c r="I463" s="12"/>
    </row>
    <row r="464" ht="14.25" customHeight="1">
      <c r="C464" s="19"/>
      <c r="D464" s="19"/>
      <c r="I464" s="12"/>
    </row>
    <row r="465" ht="14.25" customHeight="1">
      <c r="C465" s="19"/>
      <c r="D465" s="19"/>
      <c r="I465" s="12"/>
    </row>
    <row r="466" ht="14.25" customHeight="1">
      <c r="C466" s="19"/>
      <c r="D466" s="19"/>
      <c r="I466" s="12"/>
    </row>
    <row r="467" ht="14.25" customHeight="1">
      <c r="C467" s="19"/>
      <c r="D467" s="19"/>
      <c r="I467" s="12"/>
    </row>
    <row r="468" ht="14.25" customHeight="1">
      <c r="C468" s="19"/>
      <c r="D468" s="19"/>
      <c r="I468" s="12"/>
    </row>
    <row r="469" ht="14.25" customHeight="1">
      <c r="C469" s="19"/>
      <c r="D469" s="19"/>
      <c r="I469" s="12"/>
    </row>
    <row r="470" ht="14.25" customHeight="1">
      <c r="C470" s="19"/>
      <c r="D470" s="19"/>
      <c r="I470" s="12"/>
    </row>
    <row r="471" ht="14.25" customHeight="1">
      <c r="C471" s="19"/>
      <c r="D471" s="19"/>
      <c r="I471" s="12"/>
    </row>
    <row r="472" ht="14.25" customHeight="1">
      <c r="C472" s="19"/>
      <c r="D472" s="19"/>
      <c r="I472" s="12"/>
    </row>
    <row r="473" ht="14.25" customHeight="1">
      <c r="C473" s="19"/>
      <c r="D473" s="19"/>
      <c r="I473" s="12"/>
    </row>
    <row r="474" ht="14.25" customHeight="1">
      <c r="C474" s="19"/>
      <c r="D474" s="19"/>
      <c r="I474" s="12"/>
    </row>
    <row r="475" ht="14.25" customHeight="1">
      <c r="C475" s="19"/>
      <c r="D475" s="19"/>
      <c r="I475" s="12"/>
    </row>
    <row r="476" ht="14.25" customHeight="1">
      <c r="C476" s="19"/>
      <c r="D476" s="19"/>
      <c r="I476" s="12"/>
    </row>
    <row r="477" ht="14.25" customHeight="1">
      <c r="C477" s="19"/>
      <c r="D477" s="19"/>
      <c r="I477" s="12"/>
    </row>
    <row r="478" ht="14.25" customHeight="1">
      <c r="C478" s="19"/>
      <c r="D478" s="19"/>
      <c r="I478" s="12"/>
    </row>
    <row r="479" ht="14.25" customHeight="1">
      <c r="C479" s="19"/>
      <c r="D479" s="19"/>
      <c r="I479" s="12"/>
    </row>
    <row r="480" ht="14.25" customHeight="1">
      <c r="C480" s="19"/>
      <c r="D480" s="19"/>
      <c r="I480" s="12"/>
    </row>
    <row r="481" ht="14.25" customHeight="1">
      <c r="C481" s="19"/>
      <c r="D481" s="19"/>
      <c r="I481" s="12"/>
    </row>
    <row r="482" ht="14.25" customHeight="1">
      <c r="C482" s="19"/>
      <c r="D482" s="19"/>
      <c r="I482" s="12"/>
    </row>
    <row r="483" ht="14.25" customHeight="1">
      <c r="C483" s="19"/>
      <c r="D483" s="19"/>
      <c r="I483" s="12"/>
    </row>
    <row r="484" ht="14.25" customHeight="1">
      <c r="C484" s="19"/>
      <c r="D484" s="19"/>
      <c r="I484" s="12"/>
    </row>
    <row r="485" ht="14.25" customHeight="1">
      <c r="C485" s="19"/>
      <c r="D485" s="19"/>
      <c r="I485" s="12"/>
    </row>
    <row r="486" ht="14.25" customHeight="1">
      <c r="C486" s="19"/>
      <c r="D486" s="19"/>
      <c r="I486" s="12"/>
    </row>
    <row r="487" ht="14.25" customHeight="1">
      <c r="C487" s="19"/>
      <c r="D487" s="19"/>
      <c r="I487" s="12"/>
    </row>
    <row r="488" ht="14.25" customHeight="1">
      <c r="C488" s="19"/>
      <c r="D488" s="19"/>
      <c r="I488" s="12"/>
    </row>
    <row r="489" ht="14.25" customHeight="1">
      <c r="C489" s="19"/>
      <c r="D489" s="19"/>
      <c r="I489" s="12"/>
    </row>
    <row r="490" ht="14.25" customHeight="1">
      <c r="C490" s="19"/>
      <c r="D490" s="19"/>
      <c r="I490" s="12"/>
    </row>
    <row r="491" ht="14.25" customHeight="1">
      <c r="C491" s="19"/>
      <c r="D491" s="19"/>
      <c r="I491" s="12"/>
    </row>
    <row r="492" ht="14.25" customHeight="1">
      <c r="C492" s="19"/>
      <c r="D492" s="19"/>
      <c r="I492" s="12"/>
    </row>
    <row r="493" ht="14.25" customHeight="1">
      <c r="C493" s="19"/>
      <c r="D493" s="19"/>
      <c r="I493" s="12"/>
    </row>
    <row r="494" ht="14.25" customHeight="1">
      <c r="C494" s="19"/>
      <c r="D494" s="19"/>
      <c r="I494" s="12"/>
    </row>
    <row r="495" ht="14.25" customHeight="1">
      <c r="C495" s="19"/>
      <c r="D495" s="19"/>
      <c r="I495" s="12"/>
    </row>
    <row r="496" ht="14.25" customHeight="1">
      <c r="C496" s="19"/>
      <c r="D496" s="19"/>
      <c r="I496" s="12"/>
    </row>
    <row r="497" ht="14.25" customHeight="1">
      <c r="C497" s="19"/>
      <c r="D497" s="19"/>
      <c r="I497" s="12"/>
    </row>
    <row r="498" ht="14.25" customHeight="1">
      <c r="C498" s="19"/>
      <c r="D498" s="19"/>
      <c r="I498" s="12"/>
    </row>
    <row r="499" ht="14.25" customHeight="1">
      <c r="C499" s="19"/>
      <c r="D499" s="19"/>
      <c r="I499" s="12"/>
    </row>
    <row r="500" ht="14.25" customHeight="1">
      <c r="C500" s="19"/>
      <c r="D500" s="19"/>
      <c r="I500" s="12"/>
    </row>
    <row r="501" ht="14.25" customHeight="1">
      <c r="C501" s="19"/>
      <c r="D501" s="19"/>
      <c r="I501" s="12"/>
    </row>
    <row r="502" ht="14.25" customHeight="1">
      <c r="C502" s="19"/>
      <c r="D502" s="19"/>
      <c r="I502" s="12"/>
    </row>
    <row r="503" ht="14.25" customHeight="1">
      <c r="C503" s="19"/>
      <c r="D503" s="19"/>
      <c r="I503" s="12"/>
    </row>
    <row r="504" ht="14.25" customHeight="1">
      <c r="C504" s="19"/>
      <c r="D504" s="19"/>
      <c r="I504" s="12"/>
    </row>
    <row r="505" ht="14.25" customHeight="1">
      <c r="C505" s="19"/>
      <c r="D505" s="19"/>
      <c r="I505" s="12"/>
    </row>
    <row r="506" ht="14.25" customHeight="1">
      <c r="C506" s="19"/>
      <c r="D506" s="19"/>
      <c r="I506" s="12"/>
    </row>
    <row r="507" ht="14.25" customHeight="1">
      <c r="C507" s="19"/>
      <c r="D507" s="19"/>
      <c r="I507" s="12"/>
    </row>
    <row r="508" ht="14.25" customHeight="1">
      <c r="C508" s="19"/>
      <c r="D508" s="19"/>
      <c r="I508" s="12"/>
    </row>
    <row r="509" ht="14.25" customHeight="1">
      <c r="C509" s="19"/>
      <c r="D509" s="19"/>
      <c r="I509" s="12"/>
    </row>
    <row r="510" ht="14.25" customHeight="1">
      <c r="C510" s="19"/>
      <c r="D510" s="19"/>
      <c r="I510" s="12"/>
    </row>
    <row r="511" ht="14.25" customHeight="1">
      <c r="C511" s="19"/>
      <c r="D511" s="19"/>
      <c r="I511" s="12"/>
    </row>
    <row r="512" ht="14.25" customHeight="1">
      <c r="C512" s="19"/>
      <c r="D512" s="19"/>
      <c r="I512" s="12"/>
    </row>
    <row r="513" ht="14.25" customHeight="1">
      <c r="C513" s="19"/>
      <c r="D513" s="19"/>
      <c r="I513" s="12"/>
    </row>
    <row r="514" ht="14.25" customHeight="1">
      <c r="C514" s="19"/>
      <c r="D514" s="19"/>
      <c r="I514" s="12"/>
    </row>
    <row r="515" ht="14.25" customHeight="1">
      <c r="C515" s="19"/>
      <c r="D515" s="19"/>
      <c r="I515" s="12"/>
    </row>
    <row r="516" ht="14.25" customHeight="1">
      <c r="C516" s="19"/>
      <c r="D516" s="19"/>
      <c r="I516" s="12"/>
    </row>
    <row r="517" ht="14.25" customHeight="1">
      <c r="C517" s="19"/>
      <c r="D517" s="19"/>
      <c r="I517" s="12"/>
    </row>
    <row r="518" ht="14.25" customHeight="1">
      <c r="C518" s="19"/>
      <c r="D518" s="19"/>
      <c r="I518" s="12"/>
    </row>
    <row r="519" ht="14.25" customHeight="1">
      <c r="C519" s="19"/>
      <c r="D519" s="19"/>
      <c r="I519" s="12"/>
    </row>
    <row r="520" ht="14.25" customHeight="1">
      <c r="C520" s="19"/>
      <c r="D520" s="19"/>
      <c r="I520" s="12"/>
    </row>
    <row r="521" ht="14.25" customHeight="1">
      <c r="C521" s="19"/>
      <c r="D521" s="19"/>
      <c r="I521" s="12"/>
    </row>
    <row r="522" ht="14.25" customHeight="1">
      <c r="C522" s="19"/>
      <c r="D522" s="19"/>
      <c r="I522" s="12"/>
    </row>
    <row r="523" ht="14.25" customHeight="1">
      <c r="C523" s="19"/>
      <c r="D523" s="19"/>
      <c r="I523" s="12"/>
    </row>
    <row r="524" ht="14.25" customHeight="1">
      <c r="C524" s="19"/>
      <c r="D524" s="19"/>
      <c r="I524" s="12"/>
    </row>
    <row r="525" ht="14.25" customHeight="1">
      <c r="C525" s="19"/>
      <c r="D525" s="19"/>
      <c r="I525" s="12"/>
    </row>
    <row r="526" ht="14.25" customHeight="1">
      <c r="C526" s="19"/>
      <c r="D526" s="19"/>
      <c r="I526" s="12"/>
    </row>
    <row r="527" ht="14.25" customHeight="1">
      <c r="C527" s="19"/>
      <c r="D527" s="19"/>
      <c r="I527" s="12"/>
    </row>
    <row r="528" ht="14.25" customHeight="1">
      <c r="C528" s="19"/>
      <c r="D528" s="19"/>
      <c r="I528" s="12"/>
    </row>
    <row r="529" ht="14.25" customHeight="1">
      <c r="C529" s="19"/>
      <c r="D529" s="19"/>
      <c r="I529" s="12"/>
    </row>
    <row r="530" ht="14.25" customHeight="1">
      <c r="C530" s="19"/>
      <c r="D530" s="19"/>
      <c r="I530" s="12"/>
    </row>
    <row r="531" ht="14.25" customHeight="1">
      <c r="C531" s="19"/>
      <c r="D531" s="19"/>
      <c r="I531" s="12"/>
    </row>
    <row r="532" ht="14.25" customHeight="1">
      <c r="C532" s="19"/>
      <c r="D532" s="19"/>
      <c r="I532" s="12"/>
    </row>
    <row r="533" ht="14.25" customHeight="1">
      <c r="C533" s="19"/>
      <c r="D533" s="19"/>
      <c r="I533" s="12"/>
    </row>
    <row r="534" ht="14.25" customHeight="1">
      <c r="C534" s="19"/>
      <c r="D534" s="19"/>
      <c r="I534" s="12"/>
    </row>
    <row r="535" ht="14.25" customHeight="1">
      <c r="C535" s="19"/>
      <c r="D535" s="19"/>
      <c r="I535" s="12"/>
    </row>
    <row r="536" ht="14.25" customHeight="1">
      <c r="C536" s="19"/>
      <c r="D536" s="19"/>
      <c r="I536" s="12"/>
    </row>
    <row r="537" ht="14.25" customHeight="1">
      <c r="C537" s="19"/>
      <c r="D537" s="19"/>
      <c r="I537" s="12"/>
    </row>
    <row r="538" ht="14.25" customHeight="1">
      <c r="C538" s="19"/>
      <c r="D538" s="19"/>
      <c r="I538" s="12"/>
    </row>
    <row r="539" ht="14.25" customHeight="1">
      <c r="C539" s="19"/>
      <c r="D539" s="19"/>
      <c r="I539" s="12"/>
    </row>
    <row r="540" ht="14.25" customHeight="1">
      <c r="C540" s="19"/>
      <c r="D540" s="19"/>
      <c r="I540" s="12"/>
    </row>
    <row r="541" ht="14.25" customHeight="1">
      <c r="C541" s="19"/>
      <c r="D541" s="19"/>
      <c r="I541" s="12"/>
    </row>
    <row r="542" ht="14.25" customHeight="1">
      <c r="C542" s="19"/>
      <c r="D542" s="19"/>
      <c r="I542" s="12"/>
    </row>
    <row r="543" ht="14.25" customHeight="1">
      <c r="C543" s="19"/>
      <c r="D543" s="19"/>
      <c r="I543" s="12"/>
    </row>
    <row r="544" ht="14.25" customHeight="1">
      <c r="C544" s="19"/>
      <c r="D544" s="19"/>
      <c r="I544" s="12"/>
    </row>
    <row r="545" ht="14.25" customHeight="1">
      <c r="C545" s="19"/>
      <c r="D545" s="19"/>
      <c r="I545" s="12"/>
    </row>
    <row r="546" ht="14.25" customHeight="1">
      <c r="C546" s="19"/>
      <c r="D546" s="19"/>
      <c r="I546" s="12"/>
    </row>
    <row r="547" ht="14.25" customHeight="1">
      <c r="C547" s="19"/>
      <c r="D547" s="19"/>
      <c r="I547" s="12"/>
    </row>
    <row r="548" ht="14.25" customHeight="1">
      <c r="C548" s="19"/>
      <c r="D548" s="19"/>
      <c r="I548" s="12"/>
    </row>
    <row r="549" ht="14.25" customHeight="1">
      <c r="C549" s="19"/>
      <c r="D549" s="19"/>
      <c r="I549" s="12"/>
    </row>
    <row r="550" ht="14.25" customHeight="1">
      <c r="C550" s="19"/>
      <c r="D550" s="19"/>
      <c r="I550" s="12"/>
    </row>
    <row r="551" ht="14.25" customHeight="1">
      <c r="C551" s="19"/>
      <c r="D551" s="19"/>
      <c r="I551" s="12"/>
    </row>
    <row r="552" ht="14.25" customHeight="1">
      <c r="C552" s="19"/>
      <c r="D552" s="19"/>
      <c r="I552" s="12"/>
    </row>
    <row r="553" ht="14.25" customHeight="1">
      <c r="C553" s="19"/>
      <c r="D553" s="19"/>
      <c r="I553" s="12"/>
    </row>
    <row r="554" ht="14.25" customHeight="1">
      <c r="C554" s="19"/>
      <c r="D554" s="19"/>
      <c r="I554" s="12"/>
    </row>
    <row r="555" ht="14.25" customHeight="1">
      <c r="C555" s="19"/>
      <c r="D555" s="19"/>
      <c r="I555" s="12"/>
    </row>
    <row r="556" ht="14.25" customHeight="1">
      <c r="C556" s="19"/>
      <c r="D556" s="19"/>
      <c r="I556" s="12"/>
    </row>
    <row r="557" ht="14.25" customHeight="1">
      <c r="C557" s="19"/>
      <c r="D557" s="19"/>
      <c r="I557" s="12"/>
    </row>
    <row r="558" ht="14.25" customHeight="1">
      <c r="C558" s="19"/>
      <c r="D558" s="19"/>
      <c r="I558" s="12"/>
    </row>
    <row r="559" ht="14.25" customHeight="1">
      <c r="C559" s="19"/>
      <c r="D559" s="19"/>
      <c r="I559" s="12"/>
    </row>
    <row r="560" ht="14.25" customHeight="1">
      <c r="C560" s="19"/>
      <c r="D560" s="19"/>
      <c r="I560" s="12"/>
    </row>
    <row r="561" ht="14.25" customHeight="1">
      <c r="C561" s="19"/>
      <c r="D561" s="19"/>
      <c r="I561" s="12"/>
    </row>
    <row r="562" ht="14.25" customHeight="1">
      <c r="C562" s="19"/>
      <c r="D562" s="19"/>
      <c r="I562" s="12"/>
    </row>
    <row r="563" ht="14.25" customHeight="1">
      <c r="C563" s="19"/>
      <c r="D563" s="19"/>
      <c r="I563" s="12"/>
    </row>
    <row r="564" ht="14.25" customHeight="1">
      <c r="C564" s="19"/>
      <c r="D564" s="19"/>
      <c r="I564" s="12"/>
    </row>
    <row r="565" ht="14.25" customHeight="1">
      <c r="C565" s="19"/>
      <c r="D565" s="19"/>
      <c r="I565" s="12"/>
    </row>
    <row r="566" ht="14.25" customHeight="1">
      <c r="C566" s="19"/>
      <c r="D566" s="19"/>
      <c r="I566" s="12"/>
    </row>
    <row r="567" ht="14.25" customHeight="1">
      <c r="C567" s="19"/>
      <c r="D567" s="19"/>
      <c r="I567" s="12"/>
    </row>
    <row r="568" ht="14.25" customHeight="1">
      <c r="C568" s="19"/>
      <c r="D568" s="19"/>
      <c r="I568" s="12"/>
    </row>
    <row r="569" ht="14.25" customHeight="1">
      <c r="C569" s="19"/>
      <c r="D569" s="19"/>
      <c r="I569" s="12"/>
    </row>
    <row r="570" ht="14.25" customHeight="1">
      <c r="C570" s="19"/>
      <c r="D570" s="19"/>
      <c r="I570" s="12"/>
    </row>
    <row r="571" ht="14.25" customHeight="1">
      <c r="C571" s="19"/>
      <c r="D571" s="19"/>
      <c r="I571" s="12"/>
    </row>
    <row r="572" ht="14.25" customHeight="1">
      <c r="C572" s="19"/>
      <c r="D572" s="19"/>
      <c r="I572" s="12"/>
    </row>
    <row r="573" ht="14.25" customHeight="1">
      <c r="C573" s="19"/>
      <c r="D573" s="19"/>
      <c r="I573" s="12"/>
    </row>
    <row r="574" ht="14.25" customHeight="1">
      <c r="C574" s="19"/>
      <c r="D574" s="19"/>
      <c r="I574" s="12"/>
    </row>
    <row r="575" ht="14.25" customHeight="1">
      <c r="C575" s="19"/>
      <c r="D575" s="19"/>
      <c r="I575" s="12"/>
    </row>
    <row r="576" ht="14.25" customHeight="1">
      <c r="C576" s="19"/>
      <c r="D576" s="19"/>
      <c r="I576" s="12"/>
    </row>
    <row r="577" ht="14.25" customHeight="1">
      <c r="C577" s="19"/>
      <c r="D577" s="19"/>
      <c r="I577" s="12"/>
    </row>
    <row r="578" ht="14.25" customHeight="1">
      <c r="C578" s="19"/>
      <c r="D578" s="19"/>
      <c r="I578" s="12"/>
    </row>
    <row r="579" ht="14.25" customHeight="1">
      <c r="C579" s="19"/>
      <c r="D579" s="19"/>
      <c r="I579" s="12"/>
    </row>
    <row r="580" ht="14.25" customHeight="1">
      <c r="C580" s="19"/>
      <c r="D580" s="19"/>
      <c r="I580" s="12"/>
    </row>
    <row r="581" ht="14.25" customHeight="1">
      <c r="C581" s="19"/>
      <c r="D581" s="19"/>
      <c r="I581" s="12"/>
    </row>
    <row r="582" ht="14.25" customHeight="1">
      <c r="C582" s="19"/>
      <c r="D582" s="19"/>
      <c r="I582" s="12"/>
    </row>
    <row r="583" ht="14.25" customHeight="1">
      <c r="C583" s="19"/>
      <c r="D583" s="19"/>
      <c r="I583" s="12"/>
    </row>
    <row r="584" ht="14.25" customHeight="1">
      <c r="C584" s="19"/>
      <c r="D584" s="19"/>
      <c r="I584" s="12"/>
    </row>
    <row r="585" ht="14.25" customHeight="1">
      <c r="C585" s="19"/>
      <c r="D585" s="19"/>
      <c r="I585" s="12"/>
    </row>
    <row r="586" ht="14.25" customHeight="1">
      <c r="C586" s="19"/>
      <c r="D586" s="19"/>
      <c r="I586" s="12"/>
    </row>
    <row r="587" ht="14.25" customHeight="1">
      <c r="C587" s="19"/>
      <c r="D587" s="19"/>
      <c r="I587" s="12"/>
    </row>
    <row r="588" ht="14.25" customHeight="1">
      <c r="C588" s="19"/>
      <c r="D588" s="19"/>
      <c r="I588" s="12"/>
    </row>
    <row r="589" ht="14.25" customHeight="1">
      <c r="C589" s="19"/>
      <c r="D589" s="19"/>
      <c r="I589" s="12"/>
    </row>
    <row r="590" ht="14.25" customHeight="1">
      <c r="C590" s="19"/>
      <c r="D590" s="19"/>
      <c r="I590" s="12"/>
    </row>
    <row r="591" ht="14.25" customHeight="1">
      <c r="C591" s="19"/>
      <c r="D591" s="19"/>
      <c r="I591" s="12"/>
    </row>
    <row r="592" ht="14.25" customHeight="1">
      <c r="C592" s="19"/>
      <c r="D592" s="19"/>
      <c r="I592" s="12"/>
    </row>
    <row r="593" ht="14.25" customHeight="1">
      <c r="C593" s="19"/>
      <c r="D593" s="19"/>
      <c r="I593" s="12"/>
    </row>
    <row r="594" ht="14.25" customHeight="1">
      <c r="C594" s="19"/>
      <c r="D594" s="19"/>
      <c r="I594" s="12"/>
    </row>
    <row r="595" ht="14.25" customHeight="1">
      <c r="C595" s="19"/>
      <c r="D595" s="19"/>
      <c r="I595" s="12"/>
    </row>
    <row r="596" ht="14.25" customHeight="1">
      <c r="C596" s="19"/>
      <c r="D596" s="19"/>
      <c r="I596" s="12"/>
    </row>
    <row r="597" ht="14.25" customHeight="1">
      <c r="C597" s="19"/>
      <c r="D597" s="19"/>
      <c r="I597" s="12"/>
    </row>
    <row r="598" ht="14.25" customHeight="1">
      <c r="C598" s="19"/>
      <c r="D598" s="19"/>
      <c r="I598" s="12"/>
    </row>
    <row r="599" ht="14.25" customHeight="1">
      <c r="C599" s="19"/>
      <c r="D599" s="19"/>
      <c r="I599" s="12"/>
    </row>
    <row r="600" ht="14.25" customHeight="1">
      <c r="C600" s="19"/>
      <c r="D600" s="19"/>
      <c r="I600" s="12"/>
    </row>
    <row r="601" ht="14.25" customHeight="1">
      <c r="C601" s="19"/>
      <c r="D601" s="19"/>
      <c r="I601" s="12"/>
    </row>
    <row r="602" ht="14.25" customHeight="1">
      <c r="C602" s="19"/>
      <c r="D602" s="19"/>
      <c r="I602" s="12"/>
    </row>
    <row r="603" ht="14.25" customHeight="1">
      <c r="C603" s="19"/>
      <c r="D603" s="19"/>
      <c r="I603" s="12"/>
    </row>
    <row r="604" ht="14.25" customHeight="1">
      <c r="C604" s="19"/>
      <c r="D604" s="19"/>
      <c r="I604" s="12"/>
    </row>
    <row r="605" ht="14.25" customHeight="1">
      <c r="C605" s="19"/>
      <c r="D605" s="19"/>
      <c r="I605" s="12"/>
    </row>
    <row r="606" ht="14.25" customHeight="1">
      <c r="C606" s="19"/>
      <c r="D606" s="19"/>
      <c r="I606" s="12"/>
    </row>
    <row r="607" ht="14.25" customHeight="1">
      <c r="C607" s="19"/>
      <c r="D607" s="19"/>
      <c r="I607" s="12"/>
    </row>
    <row r="608" ht="14.25" customHeight="1">
      <c r="C608" s="19"/>
      <c r="D608" s="19"/>
      <c r="I608" s="12"/>
    </row>
    <row r="609" ht="14.25" customHeight="1">
      <c r="C609" s="19"/>
      <c r="D609" s="19"/>
      <c r="I609" s="12"/>
    </row>
    <row r="610" ht="14.25" customHeight="1">
      <c r="C610" s="19"/>
      <c r="D610" s="19"/>
      <c r="I610" s="12"/>
    </row>
    <row r="611" ht="14.25" customHeight="1">
      <c r="C611" s="19"/>
      <c r="D611" s="19"/>
      <c r="I611" s="12"/>
    </row>
    <row r="612" ht="14.25" customHeight="1">
      <c r="C612" s="19"/>
      <c r="D612" s="19"/>
      <c r="I612" s="12"/>
    </row>
    <row r="613" ht="14.25" customHeight="1">
      <c r="C613" s="19"/>
      <c r="D613" s="19"/>
      <c r="I613" s="12"/>
    </row>
    <row r="614" ht="14.25" customHeight="1">
      <c r="C614" s="19"/>
      <c r="D614" s="19"/>
      <c r="I614" s="12"/>
    </row>
    <row r="615" ht="14.25" customHeight="1">
      <c r="C615" s="19"/>
      <c r="D615" s="19"/>
      <c r="I615" s="12"/>
    </row>
    <row r="616" ht="14.25" customHeight="1">
      <c r="C616" s="19"/>
      <c r="D616" s="19"/>
      <c r="I616" s="12"/>
    </row>
    <row r="617" ht="14.25" customHeight="1">
      <c r="C617" s="19"/>
      <c r="D617" s="19"/>
      <c r="I617" s="12"/>
    </row>
    <row r="618" ht="14.25" customHeight="1">
      <c r="C618" s="19"/>
      <c r="D618" s="19"/>
      <c r="I618" s="12"/>
    </row>
    <row r="619" ht="14.25" customHeight="1">
      <c r="C619" s="19"/>
      <c r="D619" s="19"/>
      <c r="I619" s="12"/>
    </row>
    <row r="620" ht="14.25" customHeight="1">
      <c r="C620" s="19"/>
      <c r="D620" s="19"/>
      <c r="I620" s="12"/>
    </row>
    <row r="621" ht="14.25" customHeight="1">
      <c r="C621" s="19"/>
      <c r="D621" s="19"/>
      <c r="I621" s="12"/>
    </row>
    <row r="622" ht="14.25" customHeight="1">
      <c r="C622" s="19"/>
      <c r="D622" s="19"/>
      <c r="I622" s="12"/>
    </row>
    <row r="623" ht="14.25" customHeight="1">
      <c r="C623" s="19"/>
      <c r="D623" s="19"/>
      <c r="I623" s="12"/>
    </row>
    <row r="624" ht="14.25" customHeight="1">
      <c r="C624" s="19"/>
      <c r="D624" s="19"/>
      <c r="I624" s="12"/>
    </row>
    <row r="625" ht="14.25" customHeight="1">
      <c r="C625" s="19"/>
      <c r="D625" s="19"/>
      <c r="I625" s="12"/>
    </row>
    <row r="626" ht="14.25" customHeight="1">
      <c r="C626" s="19"/>
      <c r="D626" s="19"/>
      <c r="I626" s="12"/>
    </row>
    <row r="627" ht="14.25" customHeight="1">
      <c r="C627" s="19"/>
      <c r="D627" s="19"/>
      <c r="I627" s="12"/>
    </row>
    <row r="628" ht="14.25" customHeight="1">
      <c r="C628" s="19"/>
      <c r="D628" s="19"/>
      <c r="I628" s="12"/>
    </row>
    <row r="629" ht="14.25" customHeight="1">
      <c r="C629" s="19"/>
      <c r="D629" s="19"/>
      <c r="I629" s="12"/>
    </row>
    <row r="630" ht="14.25" customHeight="1">
      <c r="C630" s="19"/>
      <c r="D630" s="19"/>
      <c r="I630" s="12"/>
    </row>
    <row r="631" ht="14.25" customHeight="1">
      <c r="C631" s="19"/>
      <c r="D631" s="19"/>
      <c r="I631" s="12"/>
    </row>
    <row r="632" ht="14.25" customHeight="1">
      <c r="C632" s="19"/>
      <c r="D632" s="19"/>
      <c r="I632" s="12"/>
    </row>
    <row r="633" ht="14.25" customHeight="1">
      <c r="C633" s="19"/>
      <c r="D633" s="19"/>
      <c r="I633" s="12"/>
    </row>
    <row r="634" ht="14.25" customHeight="1">
      <c r="C634" s="19"/>
      <c r="D634" s="19"/>
      <c r="I634" s="12"/>
    </row>
    <row r="635" ht="14.25" customHeight="1">
      <c r="C635" s="19"/>
      <c r="D635" s="19"/>
      <c r="I635" s="12"/>
    </row>
    <row r="636" ht="14.25" customHeight="1">
      <c r="C636" s="19"/>
      <c r="D636" s="19"/>
      <c r="I636" s="12"/>
    </row>
    <row r="637" ht="14.25" customHeight="1">
      <c r="C637" s="19"/>
      <c r="D637" s="19"/>
      <c r="I637" s="12"/>
    </row>
    <row r="638" ht="14.25" customHeight="1">
      <c r="C638" s="19"/>
      <c r="D638" s="19"/>
      <c r="I638" s="12"/>
    </row>
    <row r="639" ht="14.25" customHeight="1">
      <c r="C639" s="19"/>
      <c r="D639" s="19"/>
      <c r="I639" s="12"/>
    </row>
    <row r="640" ht="14.25" customHeight="1">
      <c r="C640" s="19"/>
      <c r="D640" s="19"/>
      <c r="I640" s="12"/>
    </row>
    <row r="641" ht="14.25" customHeight="1">
      <c r="C641" s="19"/>
      <c r="D641" s="19"/>
      <c r="I641" s="12"/>
    </row>
    <row r="642" ht="14.25" customHeight="1">
      <c r="C642" s="19"/>
      <c r="D642" s="19"/>
      <c r="I642" s="12"/>
    </row>
    <row r="643" ht="14.25" customHeight="1">
      <c r="C643" s="19"/>
      <c r="D643" s="19"/>
      <c r="I643" s="12"/>
    </row>
    <row r="644" ht="14.25" customHeight="1">
      <c r="C644" s="19"/>
      <c r="D644" s="19"/>
      <c r="I644" s="12"/>
    </row>
    <row r="645" ht="14.25" customHeight="1">
      <c r="C645" s="19"/>
      <c r="D645" s="19"/>
      <c r="I645" s="12"/>
    </row>
    <row r="646" ht="14.25" customHeight="1">
      <c r="C646" s="19"/>
      <c r="D646" s="19"/>
      <c r="I646" s="12"/>
    </row>
    <row r="647" ht="14.25" customHeight="1">
      <c r="C647" s="19"/>
      <c r="D647" s="19"/>
      <c r="I647" s="12"/>
    </row>
    <row r="648" ht="14.25" customHeight="1">
      <c r="C648" s="19"/>
      <c r="D648" s="19"/>
      <c r="I648" s="12"/>
    </row>
    <row r="649" ht="14.25" customHeight="1">
      <c r="C649" s="19"/>
      <c r="D649" s="19"/>
      <c r="I649" s="12"/>
    </row>
    <row r="650" ht="14.25" customHeight="1">
      <c r="C650" s="19"/>
      <c r="D650" s="19"/>
      <c r="I650" s="12"/>
    </row>
    <row r="651" ht="14.25" customHeight="1">
      <c r="C651" s="19"/>
      <c r="D651" s="19"/>
      <c r="I651" s="12"/>
    </row>
    <row r="652" ht="14.25" customHeight="1">
      <c r="C652" s="19"/>
      <c r="D652" s="19"/>
      <c r="I652" s="12"/>
    </row>
    <row r="653" ht="14.25" customHeight="1">
      <c r="C653" s="19"/>
      <c r="D653" s="19"/>
      <c r="I653" s="12"/>
    </row>
    <row r="654" ht="14.25" customHeight="1">
      <c r="C654" s="19"/>
      <c r="D654" s="19"/>
      <c r="I654" s="12"/>
    </row>
    <row r="655" ht="14.25" customHeight="1">
      <c r="C655" s="19"/>
      <c r="D655" s="19"/>
      <c r="I655" s="12"/>
    </row>
    <row r="656" ht="14.25" customHeight="1">
      <c r="C656" s="19"/>
      <c r="D656" s="19"/>
      <c r="I656" s="12"/>
    </row>
    <row r="657" ht="14.25" customHeight="1">
      <c r="C657" s="19"/>
      <c r="D657" s="19"/>
      <c r="I657" s="12"/>
    </row>
    <row r="658" ht="14.25" customHeight="1">
      <c r="C658" s="19"/>
      <c r="D658" s="19"/>
      <c r="I658" s="12"/>
    </row>
    <row r="659" ht="14.25" customHeight="1">
      <c r="C659" s="19"/>
      <c r="D659" s="19"/>
      <c r="I659" s="12"/>
    </row>
    <row r="660" ht="14.25" customHeight="1">
      <c r="C660" s="19"/>
      <c r="D660" s="19"/>
      <c r="I660" s="12"/>
    </row>
    <row r="661" ht="14.25" customHeight="1">
      <c r="C661" s="19"/>
      <c r="D661" s="19"/>
      <c r="I661" s="12"/>
    </row>
    <row r="662" ht="14.25" customHeight="1">
      <c r="C662" s="19"/>
      <c r="D662" s="19"/>
      <c r="I662" s="12"/>
    </row>
    <row r="663" ht="14.25" customHeight="1">
      <c r="C663" s="19"/>
      <c r="D663" s="19"/>
      <c r="I663" s="12"/>
    </row>
    <row r="664" ht="14.25" customHeight="1">
      <c r="C664" s="19"/>
      <c r="D664" s="19"/>
      <c r="I664" s="12"/>
    </row>
    <row r="665" ht="14.25" customHeight="1">
      <c r="C665" s="19"/>
      <c r="D665" s="19"/>
      <c r="I665" s="12"/>
    </row>
    <row r="666" ht="14.25" customHeight="1">
      <c r="C666" s="19"/>
      <c r="D666" s="19"/>
      <c r="I666" s="12"/>
    </row>
    <row r="667" ht="14.25" customHeight="1">
      <c r="C667" s="19"/>
      <c r="D667" s="19"/>
      <c r="I667" s="12"/>
    </row>
    <row r="668" ht="14.25" customHeight="1">
      <c r="C668" s="19"/>
      <c r="D668" s="19"/>
      <c r="I668" s="12"/>
    </row>
    <row r="669" ht="14.25" customHeight="1">
      <c r="C669" s="19"/>
      <c r="D669" s="19"/>
      <c r="I669" s="12"/>
    </row>
    <row r="670" ht="14.25" customHeight="1">
      <c r="C670" s="19"/>
      <c r="D670" s="19"/>
      <c r="I670" s="12"/>
    </row>
    <row r="671" ht="14.25" customHeight="1">
      <c r="C671" s="19"/>
      <c r="D671" s="19"/>
      <c r="I671" s="12"/>
    </row>
    <row r="672" ht="14.25" customHeight="1">
      <c r="C672" s="19"/>
      <c r="D672" s="19"/>
      <c r="I672" s="12"/>
    </row>
    <row r="673" ht="14.25" customHeight="1">
      <c r="C673" s="19"/>
      <c r="D673" s="19"/>
      <c r="I673" s="12"/>
    </row>
    <row r="674" ht="14.25" customHeight="1">
      <c r="C674" s="19"/>
      <c r="D674" s="19"/>
      <c r="I674" s="12"/>
    </row>
    <row r="675" ht="14.25" customHeight="1">
      <c r="C675" s="19"/>
      <c r="D675" s="19"/>
      <c r="I675" s="12"/>
    </row>
    <row r="676" ht="14.25" customHeight="1">
      <c r="C676" s="19"/>
      <c r="D676" s="19"/>
      <c r="I676" s="12"/>
    </row>
    <row r="677" ht="14.25" customHeight="1">
      <c r="C677" s="19"/>
      <c r="D677" s="19"/>
      <c r="I677" s="12"/>
    </row>
    <row r="678" ht="14.25" customHeight="1">
      <c r="C678" s="19"/>
      <c r="D678" s="19"/>
      <c r="I678" s="12"/>
    </row>
    <row r="679" ht="14.25" customHeight="1">
      <c r="C679" s="19"/>
      <c r="D679" s="19"/>
      <c r="I679" s="12"/>
    </row>
    <row r="680" ht="14.25" customHeight="1">
      <c r="C680" s="19"/>
      <c r="D680" s="19"/>
      <c r="I680" s="12"/>
    </row>
    <row r="681" ht="14.25" customHeight="1">
      <c r="C681" s="19"/>
      <c r="D681" s="19"/>
      <c r="I681" s="12"/>
    </row>
    <row r="682" ht="14.25" customHeight="1">
      <c r="C682" s="19"/>
      <c r="D682" s="19"/>
      <c r="I682" s="12"/>
    </row>
    <row r="683" ht="14.25" customHeight="1">
      <c r="C683" s="19"/>
      <c r="D683" s="19"/>
      <c r="I683" s="12"/>
    </row>
    <row r="684" ht="14.25" customHeight="1">
      <c r="C684" s="19"/>
      <c r="D684" s="19"/>
      <c r="I684" s="12"/>
    </row>
    <row r="685" ht="14.25" customHeight="1">
      <c r="C685" s="19"/>
      <c r="D685" s="19"/>
      <c r="I685" s="12"/>
    </row>
    <row r="686" ht="14.25" customHeight="1">
      <c r="C686" s="19"/>
      <c r="D686" s="19"/>
      <c r="I686" s="12"/>
    </row>
    <row r="687" ht="14.25" customHeight="1">
      <c r="C687" s="19"/>
      <c r="D687" s="19"/>
      <c r="I687" s="12"/>
    </row>
    <row r="688" ht="14.25" customHeight="1">
      <c r="C688" s="19"/>
      <c r="D688" s="19"/>
      <c r="I688" s="12"/>
    </row>
    <row r="689" ht="14.25" customHeight="1">
      <c r="C689" s="19"/>
      <c r="D689" s="19"/>
      <c r="I689" s="12"/>
    </row>
    <row r="690" ht="14.25" customHeight="1">
      <c r="C690" s="19"/>
      <c r="D690" s="19"/>
      <c r="I690" s="12"/>
    </row>
    <row r="691" ht="14.25" customHeight="1">
      <c r="C691" s="19"/>
      <c r="D691" s="19"/>
      <c r="I691" s="12"/>
    </row>
    <row r="692" ht="14.25" customHeight="1">
      <c r="C692" s="19"/>
      <c r="D692" s="19"/>
      <c r="I692" s="12"/>
    </row>
    <row r="693" ht="14.25" customHeight="1">
      <c r="C693" s="19"/>
      <c r="D693" s="19"/>
      <c r="I693" s="12"/>
    </row>
    <row r="694" ht="14.25" customHeight="1">
      <c r="C694" s="19"/>
      <c r="D694" s="19"/>
      <c r="I694" s="12"/>
    </row>
    <row r="695" ht="14.25" customHeight="1">
      <c r="C695" s="19"/>
      <c r="D695" s="19"/>
      <c r="I695" s="12"/>
    </row>
    <row r="696" ht="14.25" customHeight="1">
      <c r="C696" s="19"/>
      <c r="D696" s="19"/>
      <c r="I696" s="12"/>
    </row>
    <row r="697" ht="14.25" customHeight="1">
      <c r="C697" s="19"/>
      <c r="D697" s="19"/>
      <c r="I697" s="12"/>
    </row>
    <row r="698" ht="14.25" customHeight="1">
      <c r="C698" s="19"/>
      <c r="D698" s="19"/>
      <c r="I698" s="12"/>
    </row>
    <row r="699" ht="14.25" customHeight="1">
      <c r="C699" s="19"/>
      <c r="D699" s="19"/>
      <c r="I699" s="12"/>
    </row>
    <row r="700" ht="14.25" customHeight="1">
      <c r="C700" s="19"/>
      <c r="D700" s="19"/>
      <c r="I700" s="12"/>
    </row>
    <row r="701" ht="14.25" customHeight="1">
      <c r="C701" s="19"/>
      <c r="D701" s="19"/>
      <c r="I701" s="12"/>
    </row>
    <row r="702" ht="14.25" customHeight="1">
      <c r="C702" s="19"/>
      <c r="D702" s="19"/>
      <c r="I702" s="12"/>
    </row>
    <row r="703" ht="14.25" customHeight="1">
      <c r="C703" s="19"/>
      <c r="D703" s="19"/>
      <c r="I703" s="12"/>
    </row>
    <row r="704" ht="14.25" customHeight="1">
      <c r="C704" s="19"/>
      <c r="D704" s="19"/>
      <c r="I704" s="12"/>
    </row>
    <row r="705" ht="14.25" customHeight="1">
      <c r="C705" s="19"/>
      <c r="D705" s="19"/>
      <c r="I705" s="12"/>
    </row>
    <row r="706" ht="14.25" customHeight="1">
      <c r="C706" s="19"/>
      <c r="D706" s="19"/>
      <c r="I706" s="12"/>
    </row>
    <row r="707" ht="14.25" customHeight="1">
      <c r="C707" s="19"/>
      <c r="D707" s="19"/>
      <c r="I707" s="12"/>
    </row>
    <row r="708" ht="14.25" customHeight="1">
      <c r="C708" s="19"/>
      <c r="D708" s="19"/>
      <c r="I708" s="12"/>
    </row>
    <row r="709" ht="14.25" customHeight="1">
      <c r="C709" s="19"/>
      <c r="D709" s="19"/>
      <c r="I709" s="12"/>
    </row>
    <row r="710" ht="14.25" customHeight="1">
      <c r="C710" s="19"/>
      <c r="D710" s="19"/>
      <c r="I710" s="12"/>
    </row>
    <row r="711" ht="14.25" customHeight="1">
      <c r="C711" s="19"/>
      <c r="D711" s="19"/>
      <c r="I711" s="12"/>
    </row>
    <row r="712" ht="14.25" customHeight="1">
      <c r="C712" s="19"/>
      <c r="D712" s="19"/>
      <c r="I712" s="12"/>
    </row>
    <row r="713" ht="14.25" customHeight="1">
      <c r="C713" s="19"/>
      <c r="D713" s="19"/>
      <c r="I713" s="12"/>
    </row>
    <row r="714" ht="14.25" customHeight="1">
      <c r="C714" s="19"/>
      <c r="D714" s="19"/>
      <c r="I714" s="12"/>
    </row>
    <row r="715" ht="14.25" customHeight="1">
      <c r="C715" s="19"/>
      <c r="D715" s="19"/>
      <c r="I715" s="12"/>
    </row>
    <row r="716" ht="14.25" customHeight="1">
      <c r="C716" s="19"/>
      <c r="D716" s="19"/>
      <c r="I716" s="12"/>
    </row>
    <row r="717" ht="14.25" customHeight="1">
      <c r="C717" s="19"/>
      <c r="D717" s="19"/>
      <c r="I717" s="12"/>
    </row>
    <row r="718" ht="14.25" customHeight="1">
      <c r="C718" s="19"/>
      <c r="D718" s="19"/>
      <c r="I718" s="12"/>
    </row>
    <row r="719" ht="14.25" customHeight="1">
      <c r="C719" s="19"/>
      <c r="D719" s="19"/>
      <c r="I719" s="12"/>
    </row>
    <row r="720" ht="14.25" customHeight="1">
      <c r="C720" s="19"/>
      <c r="D720" s="19"/>
      <c r="I720" s="12"/>
    </row>
    <row r="721" ht="14.25" customHeight="1">
      <c r="C721" s="19"/>
      <c r="D721" s="19"/>
      <c r="I721" s="12"/>
    </row>
    <row r="722" ht="14.25" customHeight="1">
      <c r="C722" s="19"/>
      <c r="D722" s="19"/>
      <c r="I722" s="12"/>
    </row>
    <row r="723" ht="14.25" customHeight="1">
      <c r="C723" s="19"/>
      <c r="D723" s="19"/>
      <c r="I723" s="12"/>
    </row>
    <row r="724" ht="14.25" customHeight="1">
      <c r="C724" s="19"/>
      <c r="D724" s="19"/>
      <c r="I724" s="12"/>
    </row>
    <row r="725" ht="14.25" customHeight="1">
      <c r="C725" s="19"/>
      <c r="D725" s="19"/>
      <c r="I725" s="12"/>
    </row>
    <row r="726" ht="14.25" customHeight="1">
      <c r="C726" s="19"/>
      <c r="D726" s="19"/>
      <c r="I726" s="12"/>
    </row>
    <row r="727" ht="14.25" customHeight="1">
      <c r="C727" s="19"/>
      <c r="D727" s="19"/>
      <c r="I727" s="12"/>
    </row>
    <row r="728" ht="14.25" customHeight="1">
      <c r="C728" s="19"/>
      <c r="D728" s="19"/>
      <c r="I728" s="12"/>
    </row>
    <row r="729" ht="14.25" customHeight="1">
      <c r="C729" s="19"/>
      <c r="D729" s="19"/>
      <c r="I729" s="12"/>
    </row>
    <row r="730" ht="14.25" customHeight="1">
      <c r="C730" s="19"/>
      <c r="D730" s="19"/>
      <c r="I730" s="12"/>
    </row>
    <row r="731" ht="14.25" customHeight="1">
      <c r="C731" s="19"/>
      <c r="D731" s="19"/>
      <c r="I731" s="12"/>
    </row>
    <row r="732" ht="14.25" customHeight="1">
      <c r="C732" s="19"/>
      <c r="D732" s="19"/>
      <c r="I732" s="12"/>
    </row>
    <row r="733" ht="14.25" customHeight="1">
      <c r="C733" s="19"/>
      <c r="D733" s="19"/>
      <c r="I733" s="12"/>
    </row>
    <row r="734" ht="14.25" customHeight="1">
      <c r="C734" s="19"/>
      <c r="D734" s="19"/>
      <c r="I734" s="12"/>
    </row>
    <row r="735" ht="14.25" customHeight="1">
      <c r="C735" s="19"/>
      <c r="D735" s="19"/>
      <c r="I735" s="12"/>
    </row>
    <row r="736" ht="14.25" customHeight="1">
      <c r="C736" s="19"/>
      <c r="D736" s="19"/>
      <c r="I736" s="12"/>
    </row>
    <row r="737" ht="14.25" customHeight="1">
      <c r="C737" s="19"/>
      <c r="D737" s="19"/>
      <c r="I737" s="12"/>
    </row>
    <row r="738" ht="14.25" customHeight="1">
      <c r="C738" s="19"/>
      <c r="D738" s="19"/>
      <c r="I738" s="12"/>
    </row>
    <row r="739" ht="14.25" customHeight="1">
      <c r="C739" s="19"/>
      <c r="D739" s="19"/>
      <c r="I739" s="12"/>
    </row>
    <row r="740" ht="14.25" customHeight="1">
      <c r="C740" s="19"/>
      <c r="D740" s="19"/>
      <c r="I740" s="12"/>
    </row>
    <row r="741" ht="14.25" customHeight="1">
      <c r="C741" s="19"/>
      <c r="D741" s="19"/>
      <c r="I741" s="12"/>
    </row>
    <row r="742" ht="14.25" customHeight="1">
      <c r="C742" s="19"/>
      <c r="D742" s="19"/>
      <c r="I742" s="12"/>
    </row>
    <row r="743" ht="14.25" customHeight="1">
      <c r="C743" s="19"/>
      <c r="D743" s="19"/>
      <c r="I743" s="12"/>
    </row>
    <row r="744" ht="14.25" customHeight="1">
      <c r="C744" s="19"/>
      <c r="D744" s="19"/>
      <c r="I744" s="12"/>
    </row>
    <row r="745" ht="14.25" customHeight="1">
      <c r="C745" s="19"/>
      <c r="D745" s="19"/>
      <c r="I745" s="12"/>
    </row>
    <row r="746" ht="14.25" customHeight="1">
      <c r="C746" s="19"/>
      <c r="D746" s="19"/>
      <c r="I746" s="12"/>
    </row>
    <row r="747" ht="14.25" customHeight="1">
      <c r="C747" s="19"/>
      <c r="D747" s="19"/>
      <c r="I747" s="12"/>
    </row>
    <row r="748" ht="14.25" customHeight="1">
      <c r="C748" s="19"/>
      <c r="D748" s="19"/>
      <c r="I748" s="12"/>
    </row>
    <row r="749" ht="14.25" customHeight="1">
      <c r="C749" s="19"/>
      <c r="D749" s="19"/>
      <c r="I749" s="12"/>
    </row>
    <row r="750" ht="14.25" customHeight="1">
      <c r="C750" s="19"/>
      <c r="D750" s="19"/>
      <c r="I750" s="12"/>
    </row>
    <row r="751" ht="14.25" customHeight="1">
      <c r="C751" s="19"/>
      <c r="D751" s="19"/>
      <c r="I751" s="12"/>
    </row>
    <row r="752" ht="14.25" customHeight="1">
      <c r="C752" s="19"/>
      <c r="D752" s="19"/>
      <c r="I752" s="12"/>
    </row>
    <row r="753" ht="14.25" customHeight="1">
      <c r="C753" s="19"/>
      <c r="D753" s="19"/>
      <c r="I753" s="12"/>
    </row>
    <row r="754" ht="14.25" customHeight="1">
      <c r="C754" s="19"/>
      <c r="D754" s="19"/>
      <c r="I754" s="12"/>
    </row>
    <row r="755" ht="14.25" customHeight="1">
      <c r="C755" s="19"/>
      <c r="D755" s="19"/>
      <c r="I755" s="12"/>
    </row>
    <row r="756" ht="14.25" customHeight="1">
      <c r="C756" s="19"/>
      <c r="D756" s="19"/>
      <c r="I756" s="12"/>
    </row>
    <row r="757" ht="14.25" customHeight="1">
      <c r="C757" s="19"/>
      <c r="D757" s="19"/>
      <c r="I757" s="12"/>
    </row>
    <row r="758" ht="14.25" customHeight="1">
      <c r="C758" s="19"/>
      <c r="D758" s="19"/>
      <c r="I758" s="12"/>
    </row>
    <row r="759" ht="14.25" customHeight="1">
      <c r="C759" s="19"/>
      <c r="D759" s="19"/>
      <c r="I759" s="12"/>
    </row>
    <row r="760" ht="14.25" customHeight="1">
      <c r="C760" s="19"/>
      <c r="D760" s="19"/>
      <c r="I760" s="12"/>
    </row>
    <row r="761" ht="14.25" customHeight="1">
      <c r="C761" s="19"/>
      <c r="D761" s="19"/>
      <c r="I761" s="12"/>
    </row>
    <row r="762" ht="14.25" customHeight="1">
      <c r="C762" s="19"/>
      <c r="D762" s="19"/>
      <c r="I762" s="12"/>
    </row>
    <row r="763" ht="14.25" customHeight="1">
      <c r="C763" s="19"/>
      <c r="D763" s="19"/>
      <c r="I763" s="12"/>
    </row>
    <row r="764" ht="14.25" customHeight="1">
      <c r="C764" s="19"/>
      <c r="D764" s="19"/>
      <c r="I764" s="12"/>
    </row>
    <row r="765" ht="14.25" customHeight="1">
      <c r="C765" s="19"/>
      <c r="D765" s="19"/>
      <c r="I765" s="12"/>
    </row>
    <row r="766" ht="14.25" customHeight="1">
      <c r="C766" s="19"/>
      <c r="D766" s="19"/>
      <c r="I766" s="12"/>
    </row>
    <row r="767" ht="14.25" customHeight="1">
      <c r="C767" s="19"/>
      <c r="D767" s="19"/>
      <c r="I767" s="12"/>
    </row>
    <row r="768" ht="14.25" customHeight="1">
      <c r="C768" s="19"/>
      <c r="D768" s="19"/>
      <c r="I768" s="12"/>
    </row>
    <row r="769" ht="14.25" customHeight="1">
      <c r="C769" s="19"/>
      <c r="D769" s="19"/>
      <c r="I769" s="12"/>
    </row>
    <row r="770" ht="14.25" customHeight="1">
      <c r="C770" s="19"/>
      <c r="D770" s="19"/>
      <c r="I770" s="12"/>
    </row>
    <row r="771" ht="14.25" customHeight="1">
      <c r="C771" s="19"/>
      <c r="D771" s="19"/>
      <c r="I771" s="12"/>
    </row>
    <row r="772" ht="14.25" customHeight="1">
      <c r="C772" s="19"/>
      <c r="D772" s="19"/>
      <c r="I772" s="12"/>
    </row>
    <row r="773" ht="14.25" customHeight="1">
      <c r="C773" s="19"/>
      <c r="D773" s="19"/>
      <c r="I773" s="12"/>
    </row>
    <row r="774" ht="14.25" customHeight="1">
      <c r="C774" s="19"/>
      <c r="D774" s="19"/>
      <c r="I774" s="12"/>
    </row>
    <row r="775" ht="14.25" customHeight="1">
      <c r="C775" s="19"/>
      <c r="D775" s="19"/>
      <c r="I775" s="12"/>
    </row>
    <row r="776" ht="14.25" customHeight="1">
      <c r="C776" s="19"/>
      <c r="D776" s="19"/>
      <c r="I776" s="12"/>
    </row>
    <row r="777" ht="14.25" customHeight="1">
      <c r="C777" s="19"/>
      <c r="D777" s="19"/>
      <c r="I777" s="12"/>
    </row>
    <row r="778" ht="14.25" customHeight="1">
      <c r="C778" s="19"/>
      <c r="D778" s="19"/>
      <c r="I778" s="12"/>
    </row>
    <row r="779" ht="14.25" customHeight="1">
      <c r="C779" s="19"/>
      <c r="D779" s="19"/>
      <c r="I779" s="12"/>
    </row>
    <row r="780" ht="14.25" customHeight="1">
      <c r="C780" s="19"/>
      <c r="D780" s="19"/>
      <c r="I780" s="12"/>
    </row>
    <row r="781" ht="14.25" customHeight="1">
      <c r="C781" s="19"/>
      <c r="D781" s="19"/>
      <c r="I781" s="12"/>
    </row>
    <row r="782" ht="14.25" customHeight="1">
      <c r="C782" s="19"/>
      <c r="D782" s="19"/>
      <c r="I782" s="12"/>
    </row>
    <row r="783" ht="14.25" customHeight="1">
      <c r="C783" s="19"/>
      <c r="D783" s="19"/>
      <c r="I783" s="12"/>
    </row>
    <row r="784" ht="14.25" customHeight="1">
      <c r="C784" s="19"/>
      <c r="D784" s="19"/>
      <c r="I784" s="12"/>
    </row>
    <row r="785" ht="14.25" customHeight="1">
      <c r="C785" s="19"/>
      <c r="D785" s="19"/>
      <c r="I785" s="12"/>
    </row>
    <row r="786" ht="14.25" customHeight="1">
      <c r="C786" s="19"/>
      <c r="D786" s="19"/>
      <c r="I786" s="12"/>
    </row>
    <row r="787" ht="14.25" customHeight="1">
      <c r="C787" s="19"/>
      <c r="D787" s="19"/>
      <c r="I787" s="12"/>
    </row>
    <row r="788" ht="14.25" customHeight="1">
      <c r="C788" s="19"/>
      <c r="D788" s="19"/>
      <c r="I788" s="12"/>
    </row>
    <row r="789" ht="14.25" customHeight="1">
      <c r="C789" s="19"/>
      <c r="D789" s="19"/>
      <c r="I789" s="12"/>
    </row>
    <row r="790" ht="14.25" customHeight="1">
      <c r="C790" s="19"/>
      <c r="D790" s="19"/>
      <c r="I790" s="12"/>
    </row>
    <row r="791" ht="14.25" customHeight="1">
      <c r="C791" s="19"/>
      <c r="D791" s="19"/>
      <c r="I791" s="12"/>
    </row>
    <row r="792" ht="14.25" customHeight="1">
      <c r="C792" s="19"/>
      <c r="D792" s="19"/>
      <c r="I792" s="12"/>
    </row>
    <row r="793" ht="14.25" customHeight="1">
      <c r="C793" s="19"/>
      <c r="D793" s="19"/>
      <c r="I793" s="12"/>
    </row>
    <row r="794" ht="14.25" customHeight="1">
      <c r="C794" s="19"/>
      <c r="D794" s="19"/>
      <c r="I794" s="12"/>
    </row>
    <row r="795" ht="14.25" customHeight="1">
      <c r="C795" s="19"/>
      <c r="D795" s="19"/>
      <c r="I795" s="12"/>
    </row>
    <row r="796" ht="14.25" customHeight="1">
      <c r="C796" s="19"/>
      <c r="D796" s="19"/>
      <c r="I796" s="12"/>
    </row>
    <row r="797" ht="14.25" customHeight="1">
      <c r="C797" s="19"/>
      <c r="D797" s="19"/>
      <c r="I797" s="12"/>
    </row>
    <row r="798" ht="14.25" customHeight="1">
      <c r="C798" s="19"/>
      <c r="D798" s="19"/>
      <c r="I798" s="12"/>
    </row>
    <row r="799" ht="14.25" customHeight="1">
      <c r="C799" s="19"/>
      <c r="D799" s="19"/>
      <c r="I799" s="12"/>
    </row>
    <row r="800" ht="14.25" customHeight="1">
      <c r="C800" s="19"/>
      <c r="D800" s="19"/>
      <c r="I800" s="12"/>
    </row>
    <row r="801" ht="14.25" customHeight="1">
      <c r="C801" s="19"/>
      <c r="D801" s="19"/>
      <c r="I801" s="12"/>
    </row>
    <row r="802" ht="14.25" customHeight="1">
      <c r="C802" s="19"/>
      <c r="D802" s="19"/>
      <c r="I802" s="12"/>
    </row>
    <row r="803" ht="14.25" customHeight="1">
      <c r="C803" s="19"/>
      <c r="D803" s="19"/>
      <c r="I803" s="12"/>
    </row>
    <row r="804" ht="14.25" customHeight="1">
      <c r="C804" s="19"/>
      <c r="D804" s="19"/>
      <c r="I804" s="12"/>
    </row>
    <row r="805" ht="14.25" customHeight="1">
      <c r="C805" s="19"/>
      <c r="D805" s="19"/>
      <c r="I805" s="12"/>
    </row>
    <row r="806" ht="14.25" customHeight="1">
      <c r="C806" s="19"/>
      <c r="D806" s="19"/>
      <c r="I806" s="12"/>
    </row>
    <row r="807" ht="14.25" customHeight="1">
      <c r="C807" s="19"/>
      <c r="D807" s="19"/>
      <c r="I807" s="12"/>
    </row>
    <row r="808" ht="14.25" customHeight="1">
      <c r="C808" s="19"/>
      <c r="D808" s="19"/>
      <c r="I808" s="12"/>
    </row>
    <row r="809" ht="14.25" customHeight="1">
      <c r="C809" s="19"/>
      <c r="D809" s="19"/>
      <c r="I809" s="12"/>
    </row>
    <row r="810" ht="14.25" customHeight="1">
      <c r="C810" s="19"/>
      <c r="D810" s="19"/>
      <c r="I810" s="12"/>
    </row>
    <row r="811" ht="14.25" customHeight="1">
      <c r="C811" s="19"/>
      <c r="D811" s="19"/>
      <c r="I811" s="12"/>
    </row>
    <row r="812" ht="14.25" customHeight="1">
      <c r="C812" s="19"/>
      <c r="D812" s="19"/>
      <c r="I812" s="12"/>
    </row>
    <row r="813" ht="14.25" customHeight="1">
      <c r="C813" s="19"/>
      <c r="D813" s="19"/>
      <c r="I813" s="12"/>
    </row>
    <row r="814" ht="14.25" customHeight="1">
      <c r="C814" s="19"/>
      <c r="D814" s="19"/>
      <c r="I814" s="12"/>
    </row>
    <row r="815" ht="14.25" customHeight="1">
      <c r="C815" s="19"/>
      <c r="D815" s="19"/>
      <c r="I815" s="12"/>
    </row>
    <row r="816" ht="14.25" customHeight="1">
      <c r="C816" s="19"/>
      <c r="D816" s="19"/>
      <c r="I816" s="12"/>
    </row>
    <row r="817" ht="14.25" customHeight="1">
      <c r="C817" s="19"/>
      <c r="D817" s="19"/>
      <c r="I817" s="12"/>
    </row>
    <row r="818" ht="14.25" customHeight="1">
      <c r="C818" s="19"/>
      <c r="D818" s="19"/>
      <c r="I818" s="12"/>
    </row>
    <row r="819" ht="14.25" customHeight="1">
      <c r="C819" s="19"/>
      <c r="D819" s="19"/>
      <c r="I819" s="12"/>
    </row>
    <row r="820" ht="14.25" customHeight="1">
      <c r="C820" s="19"/>
      <c r="D820" s="19"/>
      <c r="I820" s="12"/>
    </row>
    <row r="821" ht="14.25" customHeight="1">
      <c r="C821" s="19"/>
      <c r="D821" s="19"/>
      <c r="I821" s="12"/>
    </row>
    <row r="822" ht="14.25" customHeight="1">
      <c r="C822" s="19"/>
      <c r="D822" s="19"/>
      <c r="I822" s="12"/>
    </row>
    <row r="823" ht="14.25" customHeight="1">
      <c r="C823" s="19"/>
      <c r="D823" s="19"/>
      <c r="I823" s="12"/>
    </row>
    <row r="824" ht="14.25" customHeight="1">
      <c r="C824" s="19"/>
      <c r="D824" s="19"/>
      <c r="I824" s="12"/>
    </row>
    <row r="825" ht="14.25" customHeight="1">
      <c r="C825" s="19"/>
      <c r="D825" s="19"/>
      <c r="I825" s="12"/>
    </row>
    <row r="826" ht="14.25" customHeight="1">
      <c r="C826" s="19"/>
      <c r="D826" s="19"/>
      <c r="I826" s="12"/>
    </row>
    <row r="827" ht="14.25" customHeight="1">
      <c r="C827" s="19"/>
      <c r="D827" s="19"/>
      <c r="I827" s="12"/>
    </row>
    <row r="828" ht="14.25" customHeight="1">
      <c r="C828" s="19"/>
      <c r="D828" s="19"/>
      <c r="I828" s="12"/>
    </row>
    <row r="829" ht="14.25" customHeight="1">
      <c r="C829" s="19"/>
      <c r="D829" s="19"/>
      <c r="I829" s="12"/>
    </row>
    <row r="830" ht="14.25" customHeight="1">
      <c r="C830" s="19"/>
      <c r="D830" s="19"/>
      <c r="I830" s="12"/>
    </row>
    <row r="831" ht="14.25" customHeight="1">
      <c r="C831" s="19"/>
      <c r="D831" s="19"/>
      <c r="I831" s="12"/>
    </row>
    <row r="832" ht="14.25" customHeight="1">
      <c r="C832" s="19"/>
      <c r="D832" s="19"/>
      <c r="I832" s="12"/>
    </row>
    <row r="833" ht="14.25" customHeight="1">
      <c r="C833" s="19"/>
      <c r="D833" s="19"/>
      <c r="I833" s="12"/>
    </row>
    <row r="834" ht="14.25" customHeight="1">
      <c r="C834" s="19"/>
      <c r="D834" s="19"/>
      <c r="I834" s="12"/>
    </row>
    <row r="835" ht="14.25" customHeight="1">
      <c r="C835" s="19"/>
      <c r="D835" s="19"/>
      <c r="I835" s="12"/>
    </row>
    <row r="836" ht="14.25" customHeight="1">
      <c r="C836" s="19"/>
      <c r="D836" s="19"/>
      <c r="I836" s="12"/>
    </row>
    <row r="837" ht="14.25" customHeight="1">
      <c r="C837" s="19"/>
      <c r="D837" s="19"/>
      <c r="I837" s="12"/>
    </row>
    <row r="838" ht="14.25" customHeight="1">
      <c r="C838" s="19"/>
      <c r="D838" s="19"/>
      <c r="I838" s="12"/>
    </row>
    <row r="839" ht="14.25" customHeight="1">
      <c r="C839" s="19"/>
      <c r="D839" s="19"/>
      <c r="I839" s="12"/>
    </row>
    <row r="840" ht="14.25" customHeight="1">
      <c r="C840" s="19"/>
      <c r="D840" s="19"/>
      <c r="I840" s="12"/>
    </row>
    <row r="841" ht="14.25" customHeight="1">
      <c r="C841" s="19"/>
      <c r="D841" s="19"/>
      <c r="I841" s="12"/>
    </row>
    <row r="842" ht="14.25" customHeight="1">
      <c r="C842" s="19"/>
      <c r="D842" s="19"/>
      <c r="I842" s="12"/>
    </row>
    <row r="843" ht="14.25" customHeight="1">
      <c r="C843" s="19"/>
      <c r="D843" s="19"/>
      <c r="I843" s="12"/>
    </row>
    <row r="844" ht="14.25" customHeight="1">
      <c r="C844" s="19"/>
      <c r="D844" s="19"/>
      <c r="I844" s="12"/>
    </row>
    <row r="845" ht="14.25" customHeight="1">
      <c r="C845" s="19"/>
      <c r="D845" s="19"/>
      <c r="I845" s="12"/>
    </row>
    <row r="846" ht="14.25" customHeight="1">
      <c r="C846" s="19"/>
      <c r="D846" s="19"/>
      <c r="I846" s="12"/>
    </row>
    <row r="847" ht="14.25" customHeight="1">
      <c r="C847" s="19"/>
      <c r="D847" s="19"/>
      <c r="I847" s="12"/>
    </row>
    <row r="848" ht="14.25" customHeight="1">
      <c r="C848" s="19"/>
      <c r="D848" s="19"/>
      <c r="I848" s="12"/>
    </row>
    <row r="849" ht="14.25" customHeight="1">
      <c r="C849" s="19"/>
      <c r="D849" s="19"/>
      <c r="I849" s="12"/>
    </row>
    <row r="850" ht="14.25" customHeight="1">
      <c r="C850" s="19"/>
      <c r="D850" s="19"/>
      <c r="I850" s="12"/>
    </row>
    <row r="851" ht="14.25" customHeight="1">
      <c r="C851" s="19"/>
      <c r="D851" s="19"/>
      <c r="I851" s="12"/>
    </row>
    <row r="852" ht="14.25" customHeight="1">
      <c r="C852" s="19"/>
      <c r="D852" s="19"/>
      <c r="I852" s="12"/>
    </row>
    <row r="853" ht="14.25" customHeight="1">
      <c r="C853" s="19"/>
      <c r="D853" s="19"/>
      <c r="I853" s="12"/>
    </row>
    <row r="854" ht="14.25" customHeight="1">
      <c r="C854" s="19"/>
      <c r="D854" s="19"/>
      <c r="I854" s="12"/>
    </row>
    <row r="855" ht="14.25" customHeight="1">
      <c r="C855" s="19"/>
      <c r="D855" s="19"/>
      <c r="I855" s="12"/>
    </row>
    <row r="856" ht="14.25" customHeight="1">
      <c r="C856" s="19"/>
      <c r="D856" s="19"/>
      <c r="I856" s="12"/>
    </row>
    <row r="857" ht="14.25" customHeight="1">
      <c r="C857" s="19"/>
      <c r="D857" s="19"/>
      <c r="I857" s="12"/>
    </row>
    <row r="858" ht="14.25" customHeight="1">
      <c r="C858" s="19"/>
      <c r="D858" s="19"/>
      <c r="I858" s="12"/>
    </row>
    <row r="859" ht="14.25" customHeight="1">
      <c r="C859" s="19"/>
      <c r="D859" s="19"/>
      <c r="I859" s="12"/>
    </row>
    <row r="860" ht="14.25" customHeight="1">
      <c r="C860" s="19"/>
      <c r="D860" s="19"/>
      <c r="I860" s="12"/>
    </row>
    <row r="861" ht="14.25" customHeight="1">
      <c r="C861" s="19"/>
      <c r="D861" s="19"/>
      <c r="I861" s="12"/>
    </row>
    <row r="862" ht="14.25" customHeight="1">
      <c r="C862" s="19"/>
      <c r="D862" s="19"/>
      <c r="I862" s="12"/>
    </row>
    <row r="863" ht="14.25" customHeight="1">
      <c r="C863" s="19"/>
      <c r="D863" s="19"/>
      <c r="I863" s="12"/>
    </row>
    <row r="864" ht="14.25" customHeight="1">
      <c r="C864" s="19"/>
      <c r="D864" s="19"/>
      <c r="I864" s="12"/>
    </row>
    <row r="865" ht="14.25" customHeight="1">
      <c r="C865" s="19"/>
      <c r="D865" s="19"/>
      <c r="I865" s="12"/>
    </row>
    <row r="866" ht="14.25" customHeight="1">
      <c r="C866" s="19"/>
      <c r="D866" s="19"/>
      <c r="I866" s="12"/>
    </row>
    <row r="867" ht="14.25" customHeight="1">
      <c r="C867" s="19"/>
      <c r="D867" s="19"/>
      <c r="I867" s="12"/>
    </row>
    <row r="868" ht="14.25" customHeight="1">
      <c r="C868" s="19"/>
      <c r="D868" s="19"/>
      <c r="I868" s="12"/>
    </row>
    <row r="869" ht="14.25" customHeight="1">
      <c r="C869" s="19"/>
      <c r="D869" s="19"/>
      <c r="I869" s="12"/>
    </row>
    <row r="870" ht="14.25" customHeight="1">
      <c r="C870" s="19"/>
      <c r="D870" s="19"/>
      <c r="I870" s="12"/>
    </row>
    <row r="871" ht="14.25" customHeight="1">
      <c r="C871" s="19"/>
      <c r="D871" s="19"/>
      <c r="I871" s="12"/>
    </row>
    <row r="872" ht="14.25" customHeight="1">
      <c r="C872" s="19"/>
      <c r="D872" s="19"/>
      <c r="I872" s="12"/>
    </row>
    <row r="873" ht="14.25" customHeight="1">
      <c r="C873" s="19"/>
      <c r="D873" s="19"/>
      <c r="I873" s="12"/>
    </row>
    <row r="874" ht="14.25" customHeight="1">
      <c r="C874" s="19"/>
      <c r="D874" s="19"/>
      <c r="I874" s="12"/>
    </row>
    <row r="875" ht="14.25" customHeight="1">
      <c r="C875" s="19"/>
      <c r="D875" s="19"/>
      <c r="I875" s="12"/>
    </row>
    <row r="876" ht="14.25" customHeight="1">
      <c r="C876" s="19"/>
      <c r="D876" s="19"/>
      <c r="I876" s="12"/>
    </row>
    <row r="877" ht="14.25" customHeight="1">
      <c r="C877" s="19"/>
      <c r="D877" s="19"/>
      <c r="I877" s="12"/>
    </row>
    <row r="878" ht="14.25" customHeight="1">
      <c r="C878" s="19"/>
      <c r="D878" s="19"/>
      <c r="I878" s="12"/>
    </row>
    <row r="879" ht="14.25" customHeight="1">
      <c r="C879" s="19"/>
      <c r="D879" s="19"/>
      <c r="I879" s="12"/>
    </row>
    <row r="880" ht="14.25" customHeight="1">
      <c r="C880" s="19"/>
      <c r="D880" s="19"/>
      <c r="I880" s="12"/>
    </row>
    <row r="881" ht="14.25" customHeight="1">
      <c r="C881" s="19"/>
      <c r="D881" s="19"/>
      <c r="I881" s="12"/>
    </row>
    <row r="882" ht="14.25" customHeight="1">
      <c r="C882" s="19"/>
      <c r="D882" s="19"/>
      <c r="I882" s="12"/>
    </row>
    <row r="883" ht="14.25" customHeight="1">
      <c r="C883" s="19"/>
      <c r="D883" s="19"/>
      <c r="I883" s="12"/>
    </row>
    <row r="884" ht="14.25" customHeight="1">
      <c r="C884" s="19"/>
      <c r="D884" s="19"/>
      <c r="I884" s="12"/>
    </row>
    <row r="885" ht="14.25" customHeight="1">
      <c r="C885" s="19"/>
      <c r="D885" s="19"/>
      <c r="I885" s="12"/>
    </row>
    <row r="886" ht="14.25" customHeight="1">
      <c r="C886" s="19"/>
      <c r="D886" s="19"/>
      <c r="I886" s="12"/>
    </row>
    <row r="887" ht="14.25" customHeight="1">
      <c r="C887" s="19"/>
      <c r="D887" s="19"/>
      <c r="I887" s="12"/>
    </row>
    <row r="888" ht="14.25" customHeight="1">
      <c r="C888" s="19"/>
      <c r="D888" s="19"/>
      <c r="I888" s="12"/>
    </row>
    <row r="889" ht="14.25" customHeight="1">
      <c r="C889" s="19"/>
      <c r="D889" s="19"/>
      <c r="I889" s="12"/>
    </row>
    <row r="890" ht="14.25" customHeight="1">
      <c r="C890" s="19"/>
      <c r="D890" s="19"/>
      <c r="I890" s="12"/>
    </row>
    <row r="891" ht="14.25" customHeight="1">
      <c r="C891" s="19"/>
      <c r="D891" s="19"/>
      <c r="I891" s="12"/>
    </row>
    <row r="892" ht="14.25" customHeight="1">
      <c r="C892" s="19"/>
      <c r="D892" s="19"/>
      <c r="I892" s="12"/>
    </row>
    <row r="893" ht="14.25" customHeight="1">
      <c r="C893" s="19"/>
      <c r="D893" s="19"/>
      <c r="I893" s="12"/>
    </row>
    <row r="894" ht="14.25" customHeight="1">
      <c r="C894" s="19"/>
      <c r="D894" s="19"/>
      <c r="I894" s="12"/>
    </row>
    <row r="895" ht="14.25" customHeight="1">
      <c r="C895" s="19"/>
      <c r="D895" s="19"/>
      <c r="I895" s="12"/>
    </row>
    <row r="896" ht="14.25" customHeight="1">
      <c r="C896" s="19"/>
      <c r="D896" s="19"/>
      <c r="I896" s="12"/>
    </row>
    <row r="897" ht="14.25" customHeight="1">
      <c r="C897" s="19"/>
      <c r="D897" s="19"/>
      <c r="I897" s="12"/>
    </row>
    <row r="898" ht="14.25" customHeight="1">
      <c r="C898" s="19"/>
      <c r="D898" s="19"/>
      <c r="I898" s="12"/>
    </row>
    <row r="899" ht="14.25" customHeight="1">
      <c r="C899" s="19"/>
      <c r="D899" s="19"/>
      <c r="I899" s="12"/>
    </row>
    <row r="900" ht="14.25" customHeight="1">
      <c r="C900" s="19"/>
      <c r="D900" s="19"/>
      <c r="I900" s="12"/>
    </row>
    <row r="901" ht="14.25" customHeight="1">
      <c r="C901" s="19"/>
      <c r="D901" s="19"/>
      <c r="I901" s="12"/>
    </row>
    <row r="902" ht="14.25" customHeight="1">
      <c r="C902" s="19"/>
      <c r="D902" s="19"/>
      <c r="I902" s="12"/>
    </row>
    <row r="903" ht="14.25" customHeight="1">
      <c r="C903" s="19"/>
      <c r="D903" s="19"/>
      <c r="I903" s="12"/>
    </row>
    <row r="904" ht="14.25" customHeight="1">
      <c r="C904" s="19"/>
      <c r="D904" s="19"/>
      <c r="I904" s="12"/>
    </row>
    <row r="905" ht="14.25" customHeight="1">
      <c r="C905" s="19"/>
      <c r="D905" s="19"/>
      <c r="I905" s="12"/>
    </row>
    <row r="906" ht="14.25" customHeight="1">
      <c r="C906" s="19"/>
      <c r="D906" s="19"/>
      <c r="I906" s="12"/>
    </row>
    <row r="907" ht="14.25" customHeight="1">
      <c r="C907" s="19"/>
      <c r="D907" s="19"/>
      <c r="I907" s="12"/>
    </row>
    <row r="908" ht="14.25" customHeight="1">
      <c r="C908" s="19"/>
      <c r="D908" s="19"/>
      <c r="I908" s="12"/>
    </row>
    <row r="909" ht="14.25" customHeight="1">
      <c r="C909" s="19"/>
      <c r="D909" s="19"/>
      <c r="I909" s="12"/>
    </row>
    <row r="910" ht="14.25" customHeight="1">
      <c r="C910" s="19"/>
      <c r="D910" s="19"/>
      <c r="I910" s="12"/>
    </row>
    <row r="911" ht="14.25" customHeight="1">
      <c r="C911" s="19"/>
      <c r="D911" s="19"/>
      <c r="I911" s="12"/>
    </row>
    <row r="912" ht="14.25" customHeight="1">
      <c r="C912" s="19"/>
      <c r="D912" s="19"/>
      <c r="I912" s="12"/>
    </row>
    <row r="913" ht="14.25" customHeight="1">
      <c r="C913" s="19"/>
      <c r="D913" s="19"/>
      <c r="I913" s="12"/>
    </row>
    <row r="914" ht="14.25" customHeight="1">
      <c r="C914" s="19"/>
      <c r="D914" s="19"/>
      <c r="I914" s="12"/>
    </row>
    <row r="915" ht="14.25" customHeight="1">
      <c r="C915" s="19"/>
      <c r="D915" s="19"/>
      <c r="I915" s="12"/>
    </row>
    <row r="916" ht="14.25" customHeight="1">
      <c r="C916" s="19"/>
      <c r="D916" s="19"/>
      <c r="I916" s="12"/>
    </row>
    <row r="917" ht="14.25" customHeight="1">
      <c r="C917" s="19"/>
      <c r="D917" s="19"/>
      <c r="I917" s="12"/>
    </row>
    <row r="918" ht="14.25" customHeight="1">
      <c r="C918" s="19"/>
      <c r="D918" s="19"/>
      <c r="I918" s="12"/>
    </row>
    <row r="919" ht="14.25" customHeight="1">
      <c r="C919" s="19"/>
      <c r="D919" s="19"/>
      <c r="I919" s="12"/>
    </row>
    <row r="920" ht="14.25" customHeight="1">
      <c r="C920" s="19"/>
      <c r="D920" s="19"/>
      <c r="I920" s="12"/>
    </row>
    <row r="921" ht="14.25" customHeight="1">
      <c r="C921" s="19"/>
      <c r="D921" s="19"/>
      <c r="I921" s="12"/>
    </row>
    <row r="922" ht="14.25" customHeight="1">
      <c r="C922" s="19"/>
      <c r="D922" s="19"/>
      <c r="I922" s="12"/>
    </row>
    <row r="923" ht="14.25" customHeight="1">
      <c r="C923" s="19"/>
      <c r="D923" s="19"/>
      <c r="I923" s="12"/>
    </row>
    <row r="924" ht="14.25" customHeight="1">
      <c r="C924" s="19"/>
      <c r="D924" s="19"/>
      <c r="I924" s="12"/>
    </row>
    <row r="925" ht="14.25" customHeight="1">
      <c r="C925" s="19"/>
      <c r="D925" s="19"/>
      <c r="I925" s="12"/>
    </row>
    <row r="926" ht="14.25" customHeight="1">
      <c r="C926" s="19"/>
      <c r="D926" s="19"/>
      <c r="I926" s="12"/>
    </row>
    <row r="927" ht="14.25" customHeight="1">
      <c r="C927" s="19"/>
      <c r="D927" s="19"/>
      <c r="I927" s="12"/>
    </row>
    <row r="928" ht="14.25" customHeight="1">
      <c r="C928" s="19"/>
      <c r="D928" s="19"/>
      <c r="I928" s="12"/>
    </row>
    <row r="929" ht="14.25" customHeight="1">
      <c r="C929" s="19"/>
      <c r="D929" s="19"/>
      <c r="I929" s="12"/>
    </row>
    <row r="930" ht="14.25" customHeight="1">
      <c r="C930" s="19"/>
      <c r="D930" s="19"/>
      <c r="I930" s="12"/>
    </row>
    <row r="931" ht="14.25" customHeight="1">
      <c r="C931" s="19"/>
      <c r="D931" s="19"/>
      <c r="I931" s="12"/>
    </row>
    <row r="932" ht="14.25" customHeight="1">
      <c r="C932" s="19"/>
      <c r="D932" s="19"/>
      <c r="I932" s="12"/>
    </row>
    <row r="933" ht="14.25" customHeight="1">
      <c r="C933" s="19"/>
      <c r="D933" s="19"/>
      <c r="I933" s="12"/>
    </row>
    <row r="934" ht="14.25" customHeight="1">
      <c r="C934" s="19"/>
      <c r="D934" s="19"/>
      <c r="I934" s="12"/>
    </row>
    <row r="935" ht="14.25" customHeight="1">
      <c r="C935" s="19"/>
      <c r="D935" s="19"/>
      <c r="I935" s="12"/>
    </row>
    <row r="936" ht="14.25" customHeight="1">
      <c r="C936" s="19"/>
      <c r="D936" s="19"/>
      <c r="I936" s="12"/>
    </row>
    <row r="937" ht="14.25" customHeight="1">
      <c r="C937" s="19"/>
      <c r="D937" s="19"/>
      <c r="I937" s="12"/>
    </row>
    <row r="938" ht="14.25" customHeight="1">
      <c r="C938" s="19"/>
      <c r="D938" s="19"/>
      <c r="I938" s="12"/>
    </row>
    <row r="939" ht="14.25" customHeight="1">
      <c r="C939" s="19"/>
      <c r="D939" s="19"/>
      <c r="I939" s="12"/>
    </row>
    <row r="940" ht="14.25" customHeight="1">
      <c r="C940" s="19"/>
      <c r="D940" s="19"/>
      <c r="I940" s="12"/>
    </row>
    <row r="941" ht="14.25" customHeight="1">
      <c r="C941" s="19"/>
      <c r="D941" s="19"/>
      <c r="I941" s="12"/>
    </row>
    <row r="942" ht="14.25" customHeight="1">
      <c r="C942" s="19"/>
      <c r="D942" s="19"/>
      <c r="I942" s="12"/>
    </row>
    <row r="943" ht="14.25" customHeight="1">
      <c r="C943" s="19"/>
      <c r="D943" s="19"/>
      <c r="I943" s="12"/>
    </row>
    <row r="944" ht="14.25" customHeight="1">
      <c r="C944" s="19"/>
      <c r="D944" s="19"/>
      <c r="I944" s="12"/>
    </row>
    <row r="945" ht="14.25" customHeight="1">
      <c r="C945" s="19"/>
      <c r="D945" s="19"/>
      <c r="I945" s="12"/>
    </row>
    <row r="946" ht="14.25" customHeight="1">
      <c r="C946" s="19"/>
      <c r="D946" s="19"/>
      <c r="I946" s="12"/>
    </row>
    <row r="947" ht="14.25" customHeight="1">
      <c r="C947" s="19"/>
      <c r="D947" s="19"/>
      <c r="I947" s="12"/>
    </row>
    <row r="948" ht="14.25" customHeight="1">
      <c r="C948" s="19"/>
      <c r="D948" s="19"/>
      <c r="I948" s="12"/>
    </row>
    <row r="949" ht="14.25" customHeight="1">
      <c r="C949" s="19"/>
      <c r="D949" s="19"/>
      <c r="I949" s="12"/>
    </row>
    <row r="950" ht="14.25" customHeight="1">
      <c r="C950" s="19"/>
      <c r="D950" s="19"/>
      <c r="I950" s="12"/>
    </row>
    <row r="951" ht="14.25" customHeight="1">
      <c r="C951" s="19"/>
      <c r="D951" s="19"/>
      <c r="I951" s="12"/>
    </row>
    <row r="952" ht="14.25" customHeight="1">
      <c r="C952" s="19"/>
      <c r="D952" s="19"/>
      <c r="I952" s="12"/>
    </row>
    <row r="953" ht="14.25" customHeight="1">
      <c r="C953" s="19"/>
      <c r="D953" s="19"/>
      <c r="I953" s="12"/>
    </row>
    <row r="954" ht="14.25" customHeight="1">
      <c r="C954" s="19"/>
      <c r="D954" s="19"/>
      <c r="I954" s="12"/>
    </row>
    <row r="955" ht="14.25" customHeight="1">
      <c r="C955" s="19"/>
      <c r="D955" s="19"/>
      <c r="I955" s="12"/>
    </row>
    <row r="956" ht="14.25" customHeight="1">
      <c r="C956" s="19"/>
      <c r="D956" s="19"/>
      <c r="I956" s="12"/>
    </row>
    <row r="957" ht="14.25" customHeight="1">
      <c r="C957" s="19"/>
      <c r="D957" s="19"/>
      <c r="I957" s="12"/>
    </row>
    <row r="958" ht="14.25" customHeight="1">
      <c r="C958" s="19"/>
      <c r="D958" s="19"/>
      <c r="I958" s="12"/>
    </row>
    <row r="959" ht="14.25" customHeight="1">
      <c r="C959" s="19"/>
      <c r="D959" s="19"/>
      <c r="I959" s="12"/>
    </row>
    <row r="960" ht="14.25" customHeight="1">
      <c r="C960" s="19"/>
      <c r="D960" s="19"/>
      <c r="I960" s="12"/>
    </row>
    <row r="961" ht="14.25" customHeight="1">
      <c r="C961" s="19"/>
      <c r="D961" s="19"/>
      <c r="I961" s="12"/>
    </row>
    <row r="962" ht="14.25" customHeight="1">
      <c r="C962" s="19"/>
      <c r="D962" s="19"/>
      <c r="I962" s="12"/>
    </row>
    <row r="963" ht="14.25" customHeight="1">
      <c r="C963" s="19"/>
      <c r="D963" s="19"/>
      <c r="I963" s="12"/>
    </row>
    <row r="964" ht="14.25" customHeight="1">
      <c r="C964" s="19"/>
      <c r="D964" s="19"/>
      <c r="I964" s="12"/>
    </row>
    <row r="965" ht="14.25" customHeight="1">
      <c r="C965" s="19"/>
      <c r="D965" s="19"/>
      <c r="I965" s="12"/>
    </row>
    <row r="966" ht="14.25" customHeight="1">
      <c r="C966" s="19"/>
      <c r="D966" s="19"/>
      <c r="I966" s="12"/>
    </row>
    <row r="967" ht="14.25" customHeight="1">
      <c r="C967" s="19"/>
      <c r="D967" s="19"/>
      <c r="I967" s="12"/>
    </row>
    <row r="968" ht="14.25" customHeight="1">
      <c r="C968" s="19"/>
      <c r="D968" s="19"/>
      <c r="I968" s="12"/>
    </row>
    <row r="969" ht="14.25" customHeight="1">
      <c r="C969" s="19"/>
      <c r="D969" s="19"/>
      <c r="I969" s="12"/>
    </row>
    <row r="970" ht="14.25" customHeight="1">
      <c r="C970" s="19"/>
      <c r="D970" s="19"/>
      <c r="I970" s="12"/>
    </row>
    <row r="971" ht="14.25" customHeight="1">
      <c r="C971" s="19"/>
      <c r="D971" s="19"/>
      <c r="I971" s="12"/>
    </row>
    <row r="972" ht="14.25" customHeight="1">
      <c r="C972" s="19"/>
      <c r="D972" s="19"/>
      <c r="I972" s="12"/>
    </row>
    <row r="973" ht="14.25" customHeight="1">
      <c r="C973" s="19"/>
      <c r="D973" s="19"/>
      <c r="I973" s="12"/>
    </row>
    <row r="974" ht="14.25" customHeight="1">
      <c r="C974" s="19"/>
      <c r="D974" s="19"/>
      <c r="I974" s="12"/>
    </row>
    <row r="975" ht="14.25" customHeight="1">
      <c r="C975" s="19"/>
      <c r="D975" s="19"/>
      <c r="I975" s="12"/>
    </row>
    <row r="976" ht="14.25" customHeight="1">
      <c r="C976" s="19"/>
      <c r="D976" s="19"/>
      <c r="I976" s="12"/>
    </row>
    <row r="977" ht="14.25" customHeight="1">
      <c r="C977" s="19"/>
      <c r="D977" s="19"/>
      <c r="I977" s="12"/>
    </row>
    <row r="978" ht="14.25" customHeight="1">
      <c r="C978" s="19"/>
      <c r="D978" s="19"/>
      <c r="I978" s="12"/>
    </row>
    <row r="979" ht="14.25" customHeight="1">
      <c r="C979" s="19"/>
      <c r="D979" s="19"/>
      <c r="I979" s="12"/>
    </row>
    <row r="980" ht="14.25" customHeight="1">
      <c r="C980" s="19"/>
      <c r="D980" s="19"/>
      <c r="I980" s="12"/>
    </row>
    <row r="981" ht="14.25" customHeight="1">
      <c r="C981" s="19"/>
      <c r="D981" s="19"/>
      <c r="I981" s="12"/>
    </row>
    <row r="982" ht="14.25" customHeight="1">
      <c r="C982" s="19"/>
      <c r="D982" s="19"/>
      <c r="I982" s="12"/>
    </row>
    <row r="983" ht="14.25" customHeight="1">
      <c r="C983" s="19"/>
      <c r="D983" s="19"/>
      <c r="I983" s="12"/>
    </row>
    <row r="984" ht="14.25" customHeight="1">
      <c r="C984" s="19"/>
      <c r="D984" s="19"/>
      <c r="I984" s="12"/>
    </row>
    <row r="985" ht="14.25" customHeight="1">
      <c r="C985" s="19"/>
      <c r="D985" s="19"/>
      <c r="I985" s="12"/>
    </row>
    <row r="986" ht="14.25" customHeight="1">
      <c r="C986" s="19"/>
      <c r="D986" s="19"/>
      <c r="I986" s="12"/>
    </row>
    <row r="987" ht="14.25" customHeight="1">
      <c r="C987" s="19"/>
      <c r="D987" s="19"/>
      <c r="I987" s="12"/>
    </row>
    <row r="988" ht="14.25" customHeight="1">
      <c r="C988" s="19"/>
      <c r="D988" s="19"/>
      <c r="I988" s="12"/>
    </row>
    <row r="989" ht="14.25" customHeight="1">
      <c r="C989" s="19"/>
      <c r="D989" s="19"/>
      <c r="I989" s="12"/>
    </row>
    <row r="990" ht="14.25" customHeight="1">
      <c r="C990" s="19"/>
      <c r="D990" s="19"/>
      <c r="I990" s="12"/>
    </row>
    <row r="991" ht="14.25" customHeight="1">
      <c r="C991" s="19"/>
      <c r="D991" s="19"/>
      <c r="I991" s="12"/>
    </row>
    <row r="992" ht="14.25" customHeight="1">
      <c r="C992" s="19"/>
      <c r="D992" s="19"/>
      <c r="I992" s="12"/>
    </row>
    <row r="993" ht="14.25" customHeight="1">
      <c r="C993" s="19"/>
      <c r="D993" s="19"/>
      <c r="I993" s="12"/>
    </row>
    <row r="994" ht="14.25" customHeight="1">
      <c r="C994" s="19"/>
      <c r="D994" s="19"/>
      <c r="I994" s="12"/>
    </row>
    <row r="995" ht="14.25" customHeight="1">
      <c r="C995" s="19"/>
      <c r="D995" s="19"/>
      <c r="I995" s="12"/>
    </row>
    <row r="996" ht="14.25" customHeight="1">
      <c r="C996" s="19"/>
      <c r="D996" s="19"/>
      <c r="I996" s="12"/>
    </row>
    <row r="997" ht="14.25" customHeight="1">
      <c r="C997" s="19"/>
      <c r="D997" s="19"/>
      <c r="I997" s="12"/>
    </row>
    <row r="998" ht="14.25" customHeight="1">
      <c r="C998" s="19"/>
      <c r="D998" s="19"/>
      <c r="I998" s="12"/>
    </row>
    <row r="999" ht="14.25" customHeight="1">
      <c r="C999" s="19"/>
      <c r="D999" s="19"/>
      <c r="I999" s="12"/>
    </row>
    <row r="1000" ht="14.25" customHeight="1">
      <c r="C1000" s="19"/>
      <c r="D1000" s="19"/>
      <c r="I1000" s="12"/>
    </row>
  </sheetData>
  <mergeCells count="11">
    <mergeCell ref="B5:E5"/>
    <mergeCell ref="B6:E6"/>
    <mergeCell ref="G6:H6"/>
    <mergeCell ref="G32:J32"/>
    <mergeCell ref="A1:H1"/>
    <mergeCell ref="D2:E2"/>
    <mergeCell ref="B3:E3"/>
    <mergeCell ref="G3:H3"/>
    <mergeCell ref="B4:E4"/>
    <mergeCell ref="G4:H4"/>
    <mergeCell ref="G5:H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5" width="28.86"/>
    <col customWidth="1" min="6" max="6" width="40.29"/>
    <col customWidth="1" min="7" max="7" width="25.71"/>
    <col customWidth="1" min="8" max="8" width="24.0"/>
    <col customWidth="1" min="9" max="9" width="12.57"/>
    <col customWidth="1" min="10" max="10" width="8.86"/>
    <col customWidth="1" min="11" max="29" width="8.71"/>
  </cols>
  <sheetData>
    <row r="1" ht="28.5" customHeight="1">
      <c r="A1" s="11" t="s">
        <v>42</v>
      </c>
      <c r="I1" s="12"/>
    </row>
    <row r="2" ht="28.5" customHeight="1">
      <c r="B2" s="19"/>
      <c r="D2" s="54" t="s">
        <v>43</v>
      </c>
      <c r="G2" s="55"/>
      <c r="H2" s="55"/>
      <c r="I2" s="12"/>
    </row>
    <row r="3" ht="14.25" customHeight="1">
      <c r="A3" s="14" t="s">
        <v>44</v>
      </c>
      <c r="B3" s="56" t="s">
        <v>381</v>
      </c>
      <c r="F3" s="14" t="s">
        <v>46</v>
      </c>
      <c r="G3" s="56" t="s">
        <v>382</v>
      </c>
      <c r="I3" s="12"/>
    </row>
    <row r="4" ht="14.25" customHeight="1">
      <c r="A4" s="14" t="s">
        <v>48</v>
      </c>
      <c r="B4" s="56" t="s">
        <v>383</v>
      </c>
      <c r="F4" s="14" t="s">
        <v>105</v>
      </c>
      <c r="G4" s="18"/>
      <c r="I4" s="12"/>
    </row>
    <row r="5" ht="14.25" customHeight="1">
      <c r="A5" s="14" t="s">
        <v>51</v>
      </c>
      <c r="B5" s="56" t="s">
        <v>384</v>
      </c>
      <c r="F5" s="14" t="s">
        <v>53</v>
      </c>
      <c r="G5" s="56" t="s">
        <v>383</v>
      </c>
      <c r="I5" s="12"/>
    </row>
    <row r="6" ht="14.25" customHeight="1">
      <c r="A6" s="14" t="s">
        <v>54</v>
      </c>
      <c r="B6" s="18"/>
      <c r="F6" s="14" t="s">
        <v>55</v>
      </c>
      <c r="G6" s="56">
        <v>7.7401567278E10</v>
      </c>
      <c r="I6" s="12"/>
    </row>
    <row r="7" ht="14.25" customHeight="1">
      <c r="B7" s="19"/>
      <c r="C7" s="19"/>
      <c r="D7" s="19"/>
      <c r="G7" s="55"/>
      <c r="H7" s="55"/>
      <c r="I7" s="12"/>
    </row>
    <row r="8" ht="14.25" customHeight="1">
      <c r="B8" s="19"/>
      <c r="C8" s="19"/>
      <c r="D8" s="19"/>
      <c r="G8" s="55"/>
      <c r="H8" s="55"/>
      <c r="I8" s="12"/>
    </row>
    <row r="9" ht="14.25" customHeight="1">
      <c r="A9" s="20" t="s">
        <v>56</v>
      </c>
      <c r="B9" s="21" t="s">
        <v>107</v>
      </c>
      <c r="C9" s="57" t="s">
        <v>377</v>
      </c>
      <c r="D9" s="57" t="s">
        <v>58</v>
      </c>
      <c r="E9" s="20" t="s">
        <v>59</v>
      </c>
      <c r="F9" s="20" t="s">
        <v>60</v>
      </c>
      <c r="G9" s="58" t="s">
        <v>61</v>
      </c>
      <c r="H9" s="58" t="s">
        <v>62</v>
      </c>
      <c r="I9" s="22" t="s">
        <v>63</v>
      </c>
      <c r="J9" s="20" t="s">
        <v>64</v>
      </c>
    </row>
    <row r="10" ht="14.25" customHeight="1">
      <c r="A10" s="28" t="s">
        <v>385</v>
      </c>
      <c r="B10" s="36">
        <v>7.635507E7</v>
      </c>
      <c r="C10" s="29"/>
      <c r="D10" s="33"/>
      <c r="E10" s="62"/>
      <c r="F10" s="62"/>
      <c r="G10" s="30">
        <v>3.0</v>
      </c>
      <c r="H10" s="30">
        <v>3.0</v>
      </c>
      <c r="I10" s="27">
        <f t="shared" ref="I10:I29" si="1">H10*200</f>
        <v>600</v>
      </c>
      <c r="J10" s="154"/>
    </row>
    <row r="11" ht="14.25" customHeight="1">
      <c r="A11" s="28" t="s">
        <v>386</v>
      </c>
      <c r="B11" s="36">
        <v>7.68934E7</v>
      </c>
      <c r="C11" s="29"/>
      <c r="D11" s="33"/>
      <c r="E11" s="62"/>
      <c r="F11" s="62"/>
      <c r="G11" s="30">
        <v>2.0</v>
      </c>
      <c r="H11" s="30">
        <v>2.0</v>
      </c>
      <c r="I11" s="27">
        <f t="shared" si="1"/>
        <v>400</v>
      </c>
      <c r="J11" s="154"/>
    </row>
    <row r="12" ht="14.25" customHeight="1">
      <c r="A12" s="28" t="s">
        <v>387</v>
      </c>
      <c r="B12" s="36">
        <v>7.680264E7</v>
      </c>
      <c r="C12" s="29"/>
      <c r="D12" s="33"/>
      <c r="E12" s="62"/>
      <c r="F12" s="62"/>
      <c r="G12" s="30">
        <v>3.0</v>
      </c>
      <c r="H12" s="30">
        <v>3.0</v>
      </c>
      <c r="I12" s="27">
        <f t="shared" si="1"/>
        <v>600</v>
      </c>
      <c r="J12" s="154"/>
    </row>
    <row r="13" ht="14.25" customHeight="1">
      <c r="A13" s="28" t="s">
        <v>388</v>
      </c>
      <c r="B13" s="36">
        <v>7.6298599E7</v>
      </c>
      <c r="C13" s="29"/>
      <c r="D13" s="33"/>
      <c r="E13" s="62"/>
      <c r="F13" s="62"/>
      <c r="G13" s="30">
        <v>4.0</v>
      </c>
      <c r="H13" s="30">
        <v>4.0</v>
      </c>
      <c r="I13" s="27">
        <f t="shared" si="1"/>
        <v>800</v>
      </c>
      <c r="J13" s="154"/>
    </row>
    <row r="14" ht="14.25" customHeight="1">
      <c r="A14" s="28" t="s">
        <v>389</v>
      </c>
      <c r="B14" s="29">
        <v>7.6419953E7</v>
      </c>
      <c r="C14" s="29"/>
      <c r="D14" s="33"/>
      <c r="E14" s="62"/>
      <c r="F14" s="62"/>
      <c r="G14" s="30">
        <v>2.0</v>
      </c>
      <c r="H14" s="30">
        <v>2.0</v>
      </c>
      <c r="I14" s="27">
        <f t="shared" si="1"/>
        <v>400</v>
      </c>
      <c r="J14" s="154"/>
    </row>
    <row r="15" ht="14.25" customHeight="1">
      <c r="A15" s="28" t="s">
        <v>390</v>
      </c>
      <c r="B15" s="36">
        <v>7.652217E7</v>
      </c>
      <c r="C15" s="155"/>
      <c r="D15" s="33"/>
      <c r="E15" s="62"/>
      <c r="F15" s="62"/>
      <c r="G15" s="30">
        <v>1.0</v>
      </c>
      <c r="H15" s="30">
        <v>1.0</v>
      </c>
      <c r="I15" s="27">
        <f t="shared" si="1"/>
        <v>200</v>
      </c>
      <c r="J15" s="154"/>
    </row>
    <row r="16" ht="14.25" customHeight="1">
      <c r="A16" s="28" t="s">
        <v>391</v>
      </c>
      <c r="B16" s="36">
        <v>7.6583349E7</v>
      </c>
      <c r="C16" s="29"/>
      <c r="D16" s="33"/>
      <c r="E16" s="62"/>
      <c r="F16" s="62"/>
      <c r="G16" s="30">
        <v>2.0</v>
      </c>
      <c r="H16" s="30">
        <v>2.0</v>
      </c>
      <c r="I16" s="27">
        <f t="shared" si="1"/>
        <v>400</v>
      </c>
      <c r="J16" s="154"/>
    </row>
    <row r="17">
      <c r="A17" s="88" t="s">
        <v>392</v>
      </c>
      <c r="B17" s="157">
        <v>7.6746429E7</v>
      </c>
      <c r="C17" s="43"/>
      <c r="D17" s="43"/>
      <c r="E17" s="43"/>
      <c r="F17" s="43"/>
      <c r="G17" s="89">
        <v>4.0</v>
      </c>
      <c r="H17" s="89">
        <v>4.0</v>
      </c>
      <c r="I17" s="27">
        <f t="shared" si="1"/>
        <v>800</v>
      </c>
      <c r="J17" s="154"/>
    </row>
    <row r="18" ht="14.25" customHeight="1">
      <c r="A18" s="28" t="s">
        <v>393</v>
      </c>
      <c r="B18" s="36">
        <v>7.6640205E7</v>
      </c>
      <c r="C18" s="25"/>
      <c r="D18" s="25"/>
      <c r="E18" s="62"/>
      <c r="F18" s="62"/>
      <c r="G18" s="30">
        <v>4.0</v>
      </c>
      <c r="H18" s="30">
        <v>4.0</v>
      </c>
      <c r="I18" s="27">
        <f t="shared" si="1"/>
        <v>800</v>
      </c>
      <c r="J18" s="23"/>
    </row>
    <row r="19" ht="14.25" customHeight="1">
      <c r="A19" s="28" t="s">
        <v>394</v>
      </c>
      <c r="B19" s="35">
        <v>7.6670768E7</v>
      </c>
      <c r="C19" s="25"/>
      <c r="D19" s="25"/>
      <c r="E19" s="62"/>
      <c r="F19" s="62"/>
      <c r="G19" s="30">
        <v>2.0</v>
      </c>
      <c r="H19" s="30">
        <v>2.0</v>
      </c>
      <c r="I19" s="27">
        <f t="shared" si="1"/>
        <v>400</v>
      </c>
      <c r="J19" s="23"/>
    </row>
    <row r="20" ht="14.25" customHeight="1">
      <c r="A20" s="28" t="s">
        <v>395</v>
      </c>
      <c r="B20" s="36">
        <v>7.8663303E7</v>
      </c>
      <c r="C20" s="25"/>
      <c r="D20" s="25"/>
      <c r="E20" s="62"/>
      <c r="F20" s="62"/>
      <c r="G20" s="30">
        <v>5.0</v>
      </c>
      <c r="H20" s="30">
        <v>5.0</v>
      </c>
      <c r="I20" s="27">
        <f t="shared" si="1"/>
        <v>1000</v>
      </c>
      <c r="J20" s="23"/>
    </row>
    <row r="21" ht="14.25" customHeight="1">
      <c r="A21" s="28" t="s">
        <v>396</v>
      </c>
      <c r="B21" s="35">
        <v>7.812569E7</v>
      </c>
      <c r="C21" s="25"/>
      <c r="D21" s="25"/>
      <c r="E21" s="62"/>
      <c r="F21" s="62"/>
      <c r="G21" s="30">
        <v>4.0</v>
      </c>
      <c r="H21" s="30">
        <v>4.0</v>
      </c>
      <c r="I21" s="27">
        <f t="shared" si="1"/>
        <v>800</v>
      </c>
      <c r="J21" s="23"/>
    </row>
    <row r="22" ht="14.25" customHeight="1">
      <c r="A22" s="28" t="s">
        <v>397</v>
      </c>
      <c r="B22" s="36">
        <v>7.6417505E7</v>
      </c>
      <c r="C22" s="25"/>
      <c r="D22" s="25"/>
      <c r="E22" s="62"/>
      <c r="F22" s="62"/>
      <c r="G22" s="30">
        <v>2.0</v>
      </c>
      <c r="H22" s="30">
        <v>2.0</v>
      </c>
      <c r="I22" s="27">
        <f t="shared" si="1"/>
        <v>400</v>
      </c>
      <c r="J22" s="23"/>
    </row>
    <row r="23" ht="14.25" customHeight="1">
      <c r="A23" s="28" t="s">
        <v>398</v>
      </c>
      <c r="B23" s="35">
        <v>7.6287146E7</v>
      </c>
      <c r="C23" s="25"/>
      <c r="D23" s="25"/>
      <c r="E23" s="62"/>
      <c r="F23" s="62"/>
      <c r="G23" s="30">
        <v>3.0</v>
      </c>
      <c r="H23" s="30">
        <v>3.0</v>
      </c>
      <c r="I23" s="27">
        <f t="shared" si="1"/>
        <v>600</v>
      </c>
      <c r="J23" s="23"/>
    </row>
    <row r="24" ht="14.25" customHeight="1">
      <c r="A24" s="28" t="s">
        <v>399</v>
      </c>
      <c r="B24" s="36">
        <v>7.6054519E7</v>
      </c>
      <c r="C24" s="25"/>
      <c r="D24" s="25"/>
      <c r="E24" s="62"/>
      <c r="F24" s="62"/>
      <c r="G24" s="30">
        <v>3.0</v>
      </c>
      <c r="H24" s="30">
        <v>3.0</v>
      </c>
      <c r="I24" s="27">
        <f t="shared" si="1"/>
        <v>600</v>
      </c>
      <c r="J24" s="23"/>
    </row>
    <row r="25" ht="14.25" customHeight="1">
      <c r="A25" s="28" t="s">
        <v>400</v>
      </c>
      <c r="B25" s="35">
        <v>7.6114175E7</v>
      </c>
      <c r="C25" s="25"/>
      <c r="D25" s="25"/>
      <c r="E25" s="62"/>
      <c r="F25" s="62"/>
      <c r="G25" s="30">
        <v>4.0</v>
      </c>
      <c r="H25" s="30">
        <v>4.0</v>
      </c>
      <c r="I25" s="27">
        <f t="shared" si="1"/>
        <v>800</v>
      </c>
      <c r="J25" s="23"/>
    </row>
    <row r="26" ht="14.25" customHeight="1">
      <c r="A26" s="28" t="s">
        <v>401</v>
      </c>
      <c r="B26" s="29">
        <v>7.9873412E7</v>
      </c>
      <c r="C26" s="25"/>
      <c r="D26" s="25"/>
      <c r="E26" s="62"/>
      <c r="F26" s="62"/>
      <c r="G26" s="30">
        <v>2.0</v>
      </c>
      <c r="H26" s="30">
        <v>2.0</v>
      </c>
      <c r="I26" s="27">
        <f t="shared" si="1"/>
        <v>400</v>
      </c>
      <c r="J26" s="23"/>
    </row>
    <row r="27" ht="14.25" customHeight="1">
      <c r="A27" s="28" t="s">
        <v>402</v>
      </c>
      <c r="B27" s="36">
        <v>7.6552312E7</v>
      </c>
      <c r="C27" s="25"/>
      <c r="D27" s="25"/>
      <c r="E27" s="62"/>
      <c r="F27" s="62"/>
      <c r="G27" s="30">
        <v>3.0</v>
      </c>
      <c r="H27" s="30">
        <v>3.0</v>
      </c>
      <c r="I27" s="27">
        <f t="shared" si="1"/>
        <v>600</v>
      </c>
      <c r="J27" s="23"/>
    </row>
    <row r="28" ht="14.25" customHeight="1">
      <c r="A28" s="28" t="s">
        <v>403</v>
      </c>
      <c r="B28" s="36">
        <v>7.6789042E7</v>
      </c>
      <c r="C28" s="25"/>
      <c r="D28" s="25"/>
      <c r="E28" s="62"/>
      <c r="F28" s="62"/>
      <c r="G28" s="30">
        <v>2.0</v>
      </c>
      <c r="H28" s="30">
        <v>2.0</v>
      </c>
      <c r="I28" s="27">
        <f t="shared" si="1"/>
        <v>400</v>
      </c>
      <c r="J28" s="23"/>
    </row>
    <row r="29" ht="14.25" customHeight="1">
      <c r="A29" s="28" t="s">
        <v>404</v>
      </c>
      <c r="B29" s="36">
        <v>7.6837261E7</v>
      </c>
      <c r="C29" s="25"/>
      <c r="D29" s="25"/>
      <c r="E29" s="62"/>
      <c r="F29" s="62"/>
      <c r="G29" s="30">
        <v>2.0</v>
      </c>
      <c r="H29" s="30">
        <v>2.0</v>
      </c>
      <c r="I29" s="27">
        <f t="shared" si="1"/>
        <v>400</v>
      </c>
      <c r="J29" s="23"/>
    </row>
    <row r="30" ht="18.0" customHeight="1">
      <c r="A30" s="23"/>
      <c r="B30" s="25"/>
      <c r="C30" s="25"/>
      <c r="D30" s="25"/>
      <c r="E30" s="62"/>
      <c r="F30" s="73" t="s">
        <v>41</v>
      </c>
      <c r="G30" s="40">
        <f>sum(G10:G29)</f>
        <v>57</v>
      </c>
      <c r="H30" s="40">
        <f>SUM(H1:H29)</f>
        <v>57</v>
      </c>
      <c r="I30" s="74">
        <f>SUM(I10:I29)</f>
        <v>11400</v>
      </c>
      <c r="J30" s="42"/>
    </row>
    <row r="31" ht="19.5" customHeight="1">
      <c r="A31" s="23"/>
      <c r="B31" s="25"/>
      <c r="C31" s="25"/>
      <c r="D31" s="25"/>
      <c r="E31" s="62"/>
      <c r="F31" s="76" t="s">
        <v>100</v>
      </c>
      <c r="G31" s="46">
        <f>COUNT(H2:H29)</f>
        <v>20</v>
      </c>
      <c r="H31" s="47"/>
      <c r="I31" s="47"/>
      <c r="J31" s="48"/>
    </row>
    <row r="32" ht="14.25" customHeight="1">
      <c r="B32" s="19"/>
      <c r="C32" s="19"/>
      <c r="D32" s="19"/>
      <c r="G32" s="55"/>
      <c r="H32" s="55"/>
      <c r="I32" s="12"/>
    </row>
    <row r="33" ht="14.25" customHeight="1">
      <c r="B33" s="19"/>
      <c r="C33" s="19"/>
      <c r="D33" s="19"/>
      <c r="E33" s="49" t="s">
        <v>101</v>
      </c>
      <c r="F33" s="50"/>
      <c r="G33" s="158"/>
      <c r="H33" s="55"/>
      <c r="I33" s="12"/>
    </row>
    <row r="34" ht="14.25" customHeight="1">
      <c r="B34" s="19"/>
      <c r="C34" s="19"/>
      <c r="D34" s="19"/>
      <c r="E34" s="51" t="s">
        <v>102</v>
      </c>
      <c r="F34" s="50"/>
      <c r="G34" s="158"/>
      <c r="H34" s="55"/>
      <c r="I34" s="12"/>
    </row>
    <row r="35" ht="14.25" customHeight="1">
      <c r="B35" s="19"/>
      <c r="C35" s="19"/>
      <c r="D35" s="19"/>
      <c r="E35" s="52" t="s">
        <v>58</v>
      </c>
      <c r="F35" s="53"/>
      <c r="G35" s="55"/>
      <c r="H35" s="55"/>
      <c r="I35" s="12"/>
    </row>
    <row r="36" ht="14.25" customHeight="1">
      <c r="B36" s="19"/>
      <c r="C36" s="19"/>
      <c r="D36" s="19"/>
      <c r="G36" s="55"/>
      <c r="H36" s="55"/>
      <c r="I36" s="12"/>
    </row>
    <row r="37" ht="14.25" customHeight="1">
      <c r="B37" s="19"/>
      <c r="C37" s="19"/>
      <c r="D37" s="19"/>
      <c r="G37" s="55"/>
      <c r="H37" s="55"/>
      <c r="I37" s="12"/>
    </row>
    <row r="38" ht="14.25" customHeight="1">
      <c r="B38" s="19"/>
      <c r="C38" s="19"/>
      <c r="D38" s="19"/>
      <c r="G38" s="55"/>
      <c r="H38" s="55"/>
      <c r="I38" s="12"/>
    </row>
    <row r="39" ht="14.25" customHeight="1">
      <c r="B39" s="19"/>
      <c r="C39" s="19"/>
      <c r="D39" s="19"/>
      <c r="G39" s="55"/>
      <c r="H39" s="55"/>
      <c r="I39" s="12"/>
    </row>
    <row r="40" ht="14.25" customHeight="1">
      <c r="B40" s="19"/>
      <c r="C40" s="19"/>
      <c r="D40" s="19"/>
      <c r="G40" s="55"/>
      <c r="H40" s="55"/>
      <c r="I40" s="12"/>
    </row>
    <row r="41" ht="14.25" customHeight="1">
      <c r="B41" s="19"/>
      <c r="C41" s="19"/>
      <c r="D41" s="19"/>
      <c r="G41" s="55"/>
      <c r="H41" s="55"/>
      <c r="I41" s="12"/>
    </row>
    <row r="42" ht="14.25" customHeight="1">
      <c r="B42" s="19"/>
      <c r="C42" s="19"/>
      <c r="D42" s="19"/>
      <c r="G42" s="55"/>
      <c r="H42" s="55"/>
      <c r="I42" s="12"/>
    </row>
    <row r="43" ht="14.25" customHeight="1">
      <c r="B43" s="19"/>
      <c r="C43" s="19"/>
      <c r="D43" s="19"/>
      <c r="G43" s="55"/>
      <c r="H43" s="55"/>
      <c r="I43" s="12"/>
    </row>
    <row r="44" ht="14.25" customHeight="1">
      <c r="B44" s="19"/>
      <c r="C44" s="19"/>
      <c r="D44" s="19"/>
      <c r="G44" s="55"/>
      <c r="H44" s="55"/>
      <c r="I44" s="12"/>
    </row>
    <row r="45" ht="14.25" customHeight="1">
      <c r="B45" s="19"/>
      <c r="C45" s="19"/>
      <c r="D45" s="19"/>
      <c r="G45" s="55"/>
      <c r="H45" s="55"/>
      <c r="I45" s="12"/>
    </row>
    <row r="46" ht="14.25" customHeight="1">
      <c r="B46" s="19"/>
      <c r="C46" s="19"/>
      <c r="D46" s="19"/>
      <c r="G46" s="55"/>
      <c r="H46" s="55"/>
      <c r="I46" s="12"/>
    </row>
    <row r="47" ht="14.25" customHeight="1">
      <c r="B47" s="19"/>
      <c r="C47" s="19"/>
      <c r="D47" s="19"/>
      <c r="G47" s="55"/>
      <c r="H47" s="55"/>
      <c r="I47" s="12"/>
    </row>
    <row r="48" ht="14.25" customHeight="1">
      <c r="B48" s="19"/>
      <c r="C48" s="19"/>
      <c r="D48" s="19"/>
      <c r="G48" s="55"/>
      <c r="H48" s="55"/>
      <c r="I48" s="12"/>
    </row>
    <row r="49" ht="14.25" customHeight="1">
      <c r="B49" s="19"/>
      <c r="C49" s="19"/>
      <c r="D49" s="19"/>
      <c r="G49" s="55"/>
      <c r="H49" s="55"/>
      <c r="I49" s="12"/>
    </row>
    <row r="50" ht="14.25" customHeight="1">
      <c r="B50" s="19"/>
      <c r="C50" s="19"/>
      <c r="D50" s="19"/>
      <c r="G50" s="55"/>
      <c r="H50" s="55"/>
      <c r="I50" s="12"/>
    </row>
    <row r="51" ht="14.25" customHeight="1">
      <c r="B51" s="19"/>
      <c r="C51" s="19"/>
      <c r="D51" s="19"/>
      <c r="G51" s="55"/>
      <c r="H51" s="55"/>
      <c r="I51" s="12"/>
    </row>
    <row r="52" ht="14.25" customHeight="1">
      <c r="B52" s="19"/>
      <c r="C52" s="19"/>
      <c r="D52" s="19"/>
      <c r="G52" s="55"/>
      <c r="H52" s="55"/>
      <c r="I52" s="12"/>
    </row>
    <row r="53" ht="14.25" customHeight="1">
      <c r="B53" s="19"/>
      <c r="C53" s="19"/>
      <c r="D53" s="19"/>
      <c r="G53" s="55"/>
      <c r="H53" s="55"/>
      <c r="I53" s="12"/>
    </row>
    <row r="54" ht="14.25" customHeight="1">
      <c r="B54" s="19"/>
      <c r="C54" s="19"/>
      <c r="D54" s="19"/>
      <c r="G54" s="55"/>
      <c r="H54" s="55"/>
      <c r="I54" s="12"/>
    </row>
    <row r="55" ht="14.25" customHeight="1">
      <c r="B55" s="19"/>
      <c r="C55" s="19"/>
      <c r="D55" s="19"/>
      <c r="G55" s="55"/>
      <c r="H55" s="55"/>
      <c r="I55" s="12"/>
    </row>
    <row r="56" ht="14.25" customHeight="1">
      <c r="B56" s="19"/>
      <c r="C56" s="19"/>
      <c r="D56" s="19"/>
      <c r="G56" s="55"/>
      <c r="H56" s="55"/>
      <c r="I56" s="12"/>
    </row>
    <row r="57" ht="14.25" customHeight="1">
      <c r="B57" s="19"/>
      <c r="C57" s="19"/>
      <c r="D57" s="19"/>
      <c r="G57" s="55"/>
      <c r="H57" s="55"/>
      <c r="I57" s="12"/>
    </row>
    <row r="58" ht="14.25" customHeight="1">
      <c r="B58" s="19"/>
      <c r="C58" s="19"/>
      <c r="D58" s="19"/>
      <c r="G58" s="55"/>
      <c r="H58" s="55"/>
      <c r="I58" s="12"/>
    </row>
    <row r="59" ht="14.25" customHeight="1">
      <c r="B59" s="19"/>
      <c r="C59" s="19"/>
      <c r="D59" s="19"/>
      <c r="G59" s="55"/>
      <c r="H59" s="55"/>
      <c r="I59" s="12"/>
    </row>
    <row r="60" ht="14.25" customHeight="1">
      <c r="B60" s="19"/>
      <c r="C60" s="19"/>
      <c r="D60" s="19"/>
      <c r="G60" s="55"/>
      <c r="H60" s="55"/>
      <c r="I60" s="12"/>
    </row>
    <row r="61" ht="14.25" customHeight="1">
      <c r="B61" s="19"/>
      <c r="C61" s="19"/>
      <c r="D61" s="19"/>
      <c r="G61" s="55"/>
      <c r="H61" s="55"/>
      <c r="I61" s="12"/>
    </row>
    <row r="62" ht="14.25" customHeight="1">
      <c r="B62" s="19"/>
      <c r="C62" s="19"/>
      <c r="D62" s="19"/>
      <c r="G62" s="55"/>
      <c r="H62" s="55"/>
      <c r="I62" s="12"/>
    </row>
    <row r="63" ht="14.25" customHeight="1">
      <c r="B63" s="19"/>
      <c r="C63" s="19"/>
      <c r="D63" s="19"/>
      <c r="G63" s="55"/>
      <c r="H63" s="55"/>
      <c r="I63" s="12"/>
    </row>
    <row r="64" ht="14.25" customHeight="1">
      <c r="B64" s="19"/>
      <c r="C64" s="19"/>
      <c r="D64" s="19"/>
      <c r="G64" s="55"/>
      <c r="H64" s="55"/>
      <c r="I64" s="12"/>
    </row>
    <row r="65" ht="14.25" customHeight="1">
      <c r="B65" s="19"/>
      <c r="C65" s="19"/>
      <c r="D65" s="19"/>
      <c r="G65" s="55"/>
      <c r="H65" s="55"/>
      <c r="I65" s="12"/>
    </row>
    <row r="66" ht="14.25" customHeight="1">
      <c r="B66" s="19"/>
      <c r="C66" s="19"/>
      <c r="D66" s="19"/>
      <c r="G66" s="55"/>
      <c r="H66" s="55"/>
      <c r="I66" s="12"/>
    </row>
    <row r="67" ht="14.25" customHeight="1">
      <c r="B67" s="19"/>
      <c r="C67" s="19"/>
      <c r="D67" s="19"/>
      <c r="G67" s="55"/>
      <c r="H67" s="55"/>
      <c r="I67" s="12"/>
    </row>
    <row r="68" ht="14.25" customHeight="1">
      <c r="B68" s="19"/>
      <c r="C68" s="19"/>
      <c r="D68" s="19"/>
      <c r="G68" s="55"/>
      <c r="H68" s="55"/>
      <c r="I68" s="12"/>
    </row>
    <row r="69" ht="14.25" customHeight="1">
      <c r="B69" s="19"/>
      <c r="C69" s="19"/>
      <c r="D69" s="19"/>
      <c r="G69" s="55"/>
      <c r="H69" s="55"/>
      <c r="I69" s="12"/>
    </row>
    <row r="70" ht="14.25" customHeight="1">
      <c r="B70" s="19"/>
      <c r="C70" s="19"/>
      <c r="D70" s="19"/>
      <c r="G70" s="55"/>
      <c r="H70" s="55"/>
      <c r="I70" s="12"/>
    </row>
    <row r="71" ht="14.25" customHeight="1">
      <c r="B71" s="19"/>
      <c r="C71" s="19"/>
      <c r="D71" s="19"/>
      <c r="G71" s="55"/>
      <c r="H71" s="55"/>
      <c r="I71" s="12"/>
    </row>
    <row r="72" ht="14.25" customHeight="1">
      <c r="B72" s="19"/>
      <c r="C72" s="19"/>
      <c r="D72" s="19"/>
      <c r="G72" s="55"/>
      <c r="H72" s="55"/>
      <c r="I72" s="12"/>
    </row>
    <row r="73" ht="14.25" customHeight="1">
      <c r="B73" s="19"/>
      <c r="C73" s="19"/>
      <c r="D73" s="19"/>
      <c r="G73" s="55"/>
      <c r="H73" s="55"/>
      <c r="I73" s="12"/>
    </row>
    <row r="74" ht="14.25" customHeight="1">
      <c r="B74" s="19"/>
      <c r="C74" s="19"/>
      <c r="D74" s="19"/>
      <c r="G74" s="55"/>
      <c r="H74" s="55"/>
      <c r="I74" s="12"/>
    </row>
    <row r="75" ht="14.25" customHeight="1">
      <c r="B75" s="19"/>
      <c r="C75" s="19"/>
      <c r="D75" s="19"/>
      <c r="G75" s="55"/>
      <c r="H75" s="55"/>
      <c r="I75" s="12"/>
    </row>
    <row r="76" ht="14.25" customHeight="1">
      <c r="B76" s="19"/>
      <c r="C76" s="19"/>
      <c r="D76" s="19"/>
      <c r="G76" s="55"/>
      <c r="H76" s="55"/>
      <c r="I76" s="12"/>
    </row>
    <row r="77" ht="14.25" customHeight="1">
      <c r="B77" s="19"/>
      <c r="C77" s="19"/>
      <c r="D77" s="19"/>
      <c r="G77" s="55"/>
      <c r="H77" s="55"/>
      <c r="I77" s="12"/>
    </row>
    <row r="78" ht="14.25" customHeight="1">
      <c r="B78" s="19"/>
      <c r="C78" s="19"/>
      <c r="D78" s="19"/>
      <c r="G78" s="55"/>
      <c r="H78" s="55"/>
      <c r="I78" s="12"/>
    </row>
    <row r="79" ht="14.25" customHeight="1">
      <c r="B79" s="19"/>
      <c r="C79" s="19"/>
      <c r="D79" s="19"/>
      <c r="G79" s="55"/>
      <c r="H79" s="55"/>
      <c r="I79" s="12"/>
    </row>
    <row r="80" ht="14.25" customHeight="1">
      <c r="B80" s="19"/>
      <c r="C80" s="19"/>
      <c r="D80" s="19"/>
      <c r="G80" s="55"/>
      <c r="H80" s="55"/>
      <c r="I80" s="12"/>
    </row>
    <row r="81" ht="14.25" customHeight="1">
      <c r="B81" s="19"/>
      <c r="C81" s="19"/>
      <c r="D81" s="19"/>
      <c r="G81" s="55"/>
      <c r="H81" s="55"/>
      <c r="I81" s="12"/>
    </row>
    <row r="82" ht="14.25" customHeight="1">
      <c r="B82" s="19"/>
      <c r="C82" s="19"/>
      <c r="D82" s="19"/>
      <c r="G82" s="55"/>
      <c r="H82" s="55"/>
      <c r="I82" s="12"/>
    </row>
    <row r="83" ht="14.25" customHeight="1">
      <c r="B83" s="19"/>
      <c r="C83" s="19"/>
      <c r="D83" s="19"/>
      <c r="G83" s="55"/>
      <c r="H83" s="55"/>
      <c r="I83" s="12"/>
    </row>
    <row r="84" ht="14.25" customHeight="1">
      <c r="B84" s="19"/>
      <c r="C84" s="19"/>
      <c r="D84" s="19"/>
      <c r="G84" s="55"/>
      <c r="H84" s="55"/>
      <c r="I84" s="12"/>
    </row>
    <row r="85" ht="14.25" customHeight="1">
      <c r="B85" s="19"/>
      <c r="C85" s="19"/>
      <c r="D85" s="19"/>
      <c r="G85" s="55"/>
      <c r="H85" s="55"/>
      <c r="I85" s="12"/>
    </row>
    <row r="86" ht="14.25" customHeight="1">
      <c r="B86" s="19"/>
      <c r="C86" s="19"/>
      <c r="D86" s="19"/>
      <c r="G86" s="55"/>
      <c r="H86" s="55"/>
      <c r="I86" s="12"/>
    </row>
    <row r="87" ht="14.25" customHeight="1">
      <c r="B87" s="19"/>
      <c r="C87" s="19"/>
      <c r="D87" s="19"/>
      <c r="G87" s="55"/>
      <c r="H87" s="55"/>
      <c r="I87" s="12"/>
    </row>
    <row r="88" ht="14.25" customHeight="1">
      <c r="B88" s="19"/>
      <c r="C88" s="19"/>
      <c r="D88" s="19"/>
      <c r="G88" s="55"/>
      <c r="H88" s="55"/>
      <c r="I88" s="12"/>
    </row>
    <row r="89" ht="14.25" customHeight="1">
      <c r="B89" s="19"/>
      <c r="C89" s="19"/>
      <c r="D89" s="19"/>
      <c r="G89" s="55"/>
      <c r="H89" s="55"/>
      <c r="I89" s="12"/>
    </row>
    <row r="90" ht="14.25" customHeight="1">
      <c r="B90" s="19"/>
      <c r="C90" s="19"/>
      <c r="D90" s="19"/>
      <c r="G90" s="55"/>
      <c r="H90" s="55"/>
      <c r="I90" s="12"/>
    </row>
    <row r="91" ht="14.25" customHeight="1">
      <c r="B91" s="19"/>
      <c r="C91" s="19"/>
      <c r="D91" s="19"/>
      <c r="G91" s="55"/>
      <c r="H91" s="55"/>
      <c r="I91" s="12"/>
    </row>
    <row r="92" ht="14.25" customHeight="1">
      <c r="B92" s="19"/>
      <c r="C92" s="19"/>
      <c r="D92" s="19"/>
      <c r="G92" s="55"/>
      <c r="H92" s="55"/>
      <c r="I92" s="12"/>
    </row>
    <row r="93" ht="14.25" customHeight="1">
      <c r="B93" s="19"/>
      <c r="C93" s="19"/>
      <c r="D93" s="19"/>
      <c r="G93" s="55"/>
      <c r="H93" s="55"/>
      <c r="I93" s="12"/>
    </row>
    <row r="94" ht="14.25" customHeight="1">
      <c r="B94" s="19"/>
      <c r="C94" s="19"/>
      <c r="D94" s="19"/>
      <c r="G94" s="55"/>
      <c r="H94" s="55"/>
      <c r="I94" s="12"/>
    </row>
    <row r="95" ht="14.25" customHeight="1">
      <c r="B95" s="19"/>
      <c r="C95" s="19"/>
      <c r="D95" s="19"/>
      <c r="G95" s="55"/>
      <c r="H95" s="55"/>
      <c r="I95" s="12"/>
    </row>
    <row r="96" ht="14.25" customHeight="1">
      <c r="B96" s="19"/>
      <c r="C96" s="19"/>
      <c r="D96" s="19"/>
      <c r="G96" s="55"/>
      <c r="H96" s="55"/>
      <c r="I96" s="12"/>
    </row>
    <row r="97" ht="14.25" customHeight="1">
      <c r="B97" s="19"/>
      <c r="C97" s="19"/>
      <c r="D97" s="19"/>
      <c r="G97" s="55"/>
      <c r="H97" s="55"/>
      <c r="I97" s="12"/>
    </row>
    <row r="98" ht="14.25" customHeight="1">
      <c r="B98" s="19"/>
      <c r="C98" s="19"/>
      <c r="D98" s="19"/>
      <c r="G98" s="55"/>
      <c r="H98" s="55"/>
      <c r="I98" s="12"/>
    </row>
    <row r="99" ht="14.25" customHeight="1">
      <c r="B99" s="19"/>
      <c r="C99" s="19"/>
      <c r="D99" s="19"/>
      <c r="G99" s="55"/>
      <c r="H99" s="55"/>
      <c r="I99" s="12"/>
    </row>
    <row r="100" ht="14.25" customHeight="1">
      <c r="B100" s="19"/>
      <c r="C100" s="19"/>
      <c r="D100" s="19"/>
      <c r="G100" s="55"/>
      <c r="H100" s="55"/>
      <c r="I100" s="12"/>
    </row>
    <row r="101" ht="14.25" customHeight="1">
      <c r="B101" s="19"/>
      <c r="C101" s="19"/>
      <c r="D101" s="19"/>
      <c r="G101" s="55"/>
      <c r="H101" s="55"/>
      <c r="I101" s="12"/>
    </row>
    <row r="102" ht="14.25" customHeight="1">
      <c r="B102" s="19"/>
      <c r="C102" s="19"/>
      <c r="D102" s="19"/>
      <c r="G102" s="55"/>
      <c r="H102" s="55"/>
      <c r="I102" s="12"/>
    </row>
    <row r="103" ht="14.25" customHeight="1">
      <c r="B103" s="19"/>
      <c r="C103" s="19"/>
      <c r="D103" s="19"/>
      <c r="G103" s="55"/>
      <c r="H103" s="55"/>
      <c r="I103" s="12"/>
    </row>
    <row r="104" ht="14.25" customHeight="1">
      <c r="B104" s="19"/>
      <c r="C104" s="19"/>
      <c r="D104" s="19"/>
      <c r="G104" s="55"/>
      <c r="H104" s="55"/>
      <c r="I104" s="12"/>
    </row>
    <row r="105" ht="14.25" customHeight="1">
      <c r="B105" s="19"/>
      <c r="C105" s="19"/>
      <c r="D105" s="19"/>
      <c r="G105" s="55"/>
      <c r="H105" s="55"/>
      <c r="I105" s="12"/>
    </row>
    <row r="106" ht="14.25" customHeight="1">
      <c r="B106" s="19"/>
      <c r="C106" s="19"/>
      <c r="D106" s="19"/>
      <c r="G106" s="55"/>
      <c r="H106" s="55"/>
      <c r="I106" s="12"/>
    </row>
    <row r="107" ht="14.25" customHeight="1">
      <c r="B107" s="19"/>
      <c r="C107" s="19"/>
      <c r="D107" s="19"/>
      <c r="G107" s="55"/>
      <c r="H107" s="55"/>
      <c r="I107" s="12"/>
    </row>
    <row r="108" ht="14.25" customHeight="1">
      <c r="B108" s="19"/>
      <c r="C108" s="19"/>
      <c r="D108" s="19"/>
      <c r="G108" s="55"/>
      <c r="H108" s="55"/>
      <c r="I108" s="12"/>
    </row>
    <row r="109" ht="14.25" customHeight="1">
      <c r="B109" s="19"/>
      <c r="C109" s="19"/>
      <c r="D109" s="19"/>
      <c r="G109" s="55"/>
      <c r="H109" s="55"/>
      <c r="I109" s="12"/>
    </row>
    <row r="110" ht="14.25" customHeight="1">
      <c r="B110" s="19"/>
      <c r="C110" s="19"/>
      <c r="D110" s="19"/>
      <c r="G110" s="55"/>
      <c r="H110" s="55"/>
      <c r="I110" s="12"/>
    </row>
    <row r="111" ht="14.25" customHeight="1">
      <c r="B111" s="19"/>
      <c r="C111" s="19"/>
      <c r="D111" s="19"/>
      <c r="G111" s="55"/>
      <c r="H111" s="55"/>
      <c r="I111" s="12"/>
    </row>
    <row r="112" ht="14.25" customHeight="1">
      <c r="B112" s="19"/>
      <c r="C112" s="19"/>
      <c r="D112" s="19"/>
      <c r="G112" s="55"/>
      <c r="H112" s="55"/>
      <c r="I112" s="12"/>
    </row>
    <row r="113" ht="14.25" customHeight="1">
      <c r="B113" s="19"/>
      <c r="C113" s="19"/>
      <c r="D113" s="19"/>
      <c r="G113" s="55"/>
      <c r="H113" s="55"/>
      <c r="I113" s="12"/>
    </row>
    <row r="114" ht="14.25" customHeight="1">
      <c r="B114" s="19"/>
      <c r="C114" s="19"/>
      <c r="D114" s="19"/>
      <c r="G114" s="55"/>
      <c r="H114" s="55"/>
      <c r="I114" s="12"/>
    </row>
    <row r="115" ht="14.25" customHeight="1">
      <c r="B115" s="19"/>
      <c r="C115" s="19"/>
      <c r="D115" s="19"/>
      <c r="G115" s="55"/>
      <c r="H115" s="55"/>
      <c r="I115" s="12"/>
    </row>
    <row r="116" ht="14.25" customHeight="1">
      <c r="B116" s="19"/>
      <c r="C116" s="19"/>
      <c r="D116" s="19"/>
      <c r="G116" s="55"/>
      <c r="H116" s="55"/>
      <c r="I116" s="12"/>
    </row>
    <row r="117" ht="14.25" customHeight="1">
      <c r="B117" s="19"/>
      <c r="C117" s="19"/>
      <c r="D117" s="19"/>
      <c r="G117" s="55"/>
      <c r="H117" s="55"/>
      <c r="I117" s="12"/>
    </row>
    <row r="118" ht="14.25" customHeight="1">
      <c r="B118" s="19"/>
      <c r="C118" s="19"/>
      <c r="D118" s="19"/>
      <c r="G118" s="55"/>
      <c r="H118" s="55"/>
      <c r="I118" s="12"/>
    </row>
    <row r="119" ht="14.25" customHeight="1">
      <c r="B119" s="19"/>
      <c r="C119" s="19"/>
      <c r="D119" s="19"/>
      <c r="G119" s="55"/>
      <c r="H119" s="55"/>
      <c r="I119" s="12"/>
    </row>
    <row r="120" ht="14.25" customHeight="1">
      <c r="B120" s="19"/>
      <c r="C120" s="19"/>
      <c r="D120" s="19"/>
      <c r="G120" s="55"/>
      <c r="H120" s="55"/>
      <c r="I120" s="12"/>
    </row>
    <row r="121" ht="14.25" customHeight="1">
      <c r="B121" s="19"/>
      <c r="C121" s="19"/>
      <c r="D121" s="19"/>
      <c r="G121" s="55"/>
      <c r="H121" s="55"/>
      <c r="I121" s="12"/>
    </row>
    <row r="122" ht="14.25" customHeight="1">
      <c r="B122" s="19"/>
      <c r="C122" s="19"/>
      <c r="D122" s="19"/>
      <c r="G122" s="55"/>
      <c r="H122" s="55"/>
      <c r="I122" s="12"/>
    </row>
    <row r="123" ht="14.25" customHeight="1">
      <c r="B123" s="19"/>
      <c r="C123" s="19"/>
      <c r="D123" s="19"/>
      <c r="G123" s="55"/>
      <c r="H123" s="55"/>
      <c r="I123" s="12"/>
    </row>
    <row r="124" ht="14.25" customHeight="1">
      <c r="B124" s="19"/>
      <c r="C124" s="19"/>
      <c r="D124" s="19"/>
      <c r="G124" s="55"/>
      <c r="H124" s="55"/>
      <c r="I124" s="12"/>
    </row>
    <row r="125" ht="14.25" customHeight="1">
      <c r="B125" s="19"/>
      <c r="C125" s="19"/>
      <c r="D125" s="19"/>
      <c r="G125" s="55"/>
      <c r="H125" s="55"/>
      <c r="I125" s="12"/>
    </row>
    <row r="126" ht="14.25" customHeight="1">
      <c r="B126" s="19"/>
      <c r="C126" s="19"/>
      <c r="D126" s="19"/>
      <c r="G126" s="55"/>
      <c r="H126" s="55"/>
      <c r="I126" s="12"/>
    </row>
    <row r="127" ht="14.25" customHeight="1">
      <c r="B127" s="19"/>
      <c r="C127" s="19"/>
      <c r="D127" s="19"/>
      <c r="G127" s="55"/>
      <c r="H127" s="55"/>
      <c r="I127" s="12"/>
    </row>
    <row r="128" ht="14.25" customHeight="1">
      <c r="B128" s="19"/>
      <c r="C128" s="19"/>
      <c r="D128" s="19"/>
      <c r="G128" s="55"/>
      <c r="H128" s="55"/>
      <c r="I128" s="12"/>
    </row>
    <row r="129" ht="14.25" customHeight="1">
      <c r="B129" s="19"/>
      <c r="C129" s="19"/>
      <c r="D129" s="19"/>
      <c r="G129" s="55"/>
      <c r="H129" s="55"/>
      <c r="I129" s="12"/>
    </row>
    <row r="130" ht="14.25" customHeight="1">
      <c r="B130" s="19"/>
      <c r="C130" s="19"/>
      <c r="D130" s="19"/>
      <c r="G130" s="55"/>
      <c r="H130" s="55"/>
      <c r="I130" s="12"/>
    </row>
    <row r="131" ht="14.25" customHeight="1">
      <c r="B131" s="19"/>
      <c r="C131" s="19"/>
      <c r="D131" s="19"/>
      <c r="G131" s="55"/>
      <c r="H131" s="55"/>
      <c r="I131" s="12"/>
    </row>
    <row r="132" ht="14.25" customHeight="1">
      <c r="B132" s="19"/>
      <c r="C132" s="19"/>
      <c r="D132" s="19"/>
      <c r="G132" s="55"/>
      <c r="H132" s="55"/>
      <c r="I132" s="12"/>
    </row>
    <row r="133" ht="14.25" customHeight="1">
      <c r="B133" s="19"/>
      <c r="C133" s="19"/>
      <c r="D133" s="19"/>
      <c r="G133" s="55"/>
      <c r="H133" s="55"/>
      <c r="I133" s="12"/>
    </row>
    <row r="134" ht="14.25" customHeight="1">
      <c r="B134" s="19"/>
      <c r="C134" s="19"/>
      <c r="D134" s="19"/>
      <c r="G134" s="55"/>
      <c r="H134" s="55"/>
      <c r="I134" s="12"/>
    </row>
    <row r="135" ht="14.25" customHeight="1">
      <c r="B135" s="19"/>
      <c r="C135" s="19"/>
      <c r="D135" s="19"/>
      <c r="G135" s="55"/>
      <c r="H135" s="55"/>
      <c r="I135" s="12"/>
    </row>
    <row r="136" ht="14.25" customHeight="1">
      <c r="B136" s="19"/>
      <c r="C136" s="19"/>
      <c r="D136" s="19"/>
      <c r="G136" s="55"/>
      <c r="H136" s="55"/>
      <c r="I136" s="12"/>
    </row>
    <row r="137" ht="14.25" customHeight="1">
      <c r="B137" s="19"/>
      <c r="C137" s="19"/>
      <c r="D137" s="19"/>
      <c r="G137" s="55"/>
      <c r="H137" s="55"/>
      <c r="I137" s="12"/>
    </row>
    <row r="138" ht="14.25" customHeight="1">
      <c r="B138" s="19"/>
      <c r="C138" s="19"/>
      <c r="D138" s="19"/>
      <c r="G138" s="55"/>
      <c r="H138" s="55"/>
      <c r="I138" s="12"/>
    </row>
    <row r="139" ht="14.25" customHeight="1">
      <c r="B139" s="19"/>
      <c r="C139" s="19"/>
      <c r="D139" s="19"/>
      <c r="G139" s="55"/>
      <c r="H139" s="55"/>
      <c r="I139" s="12"/>
    </row>
    <row r="140" ht="14.25" customHeight="1">
      <c r="B140" s="19"/>
      <c r="C140" s="19"/>
      <c r="D140" s="19"/>
      <c r="G140" s="55"/>
      <c r="H140" s="55"/>
      <c r="I140" s="12"/>
    </row>
    <row r="141" ht="14.25" customHeight="1">
      <c r="B141" s="19"/>
      <c r="C141" s="19"/>
      <c r="D141" s="19"/>
      <c r="G141" s="55"/>
      <c r="H141" s="55"/>
      <c r="I141" s="12"/>
    </row>
    <row r="142" ht="14.25" customHeight="1">
      <c r="B142" s="19"/>
      <c r="C142" s="19"/>
      <c r="D142" s="19"/>
      <c r="G142" s="55"/>
      <c r="H142" s="55"/>
      <c r="I142" s="12"/>
    </row>
    <row r="143" ht="14.25" customHeight="1">
      <c r="B143" s="19"/>
      <c r="C143" s="19"/>
      <c r="D143" s="19"/>
      <c r="G143" s="55"/>
      <c r="H143" s="55"/>
      <c r="I143" s="12"/>
    </row>
    <row r="144" ht="14.25" customHeight="1">
      <c r="B144" s="19"/>
      <c r="C144" s="19"/>
      <c r="D144" s="19"/>
      <c r="G144" s="55"/>
      <c r="H144" s="55"/>
      <c r="I144" s="12"/>
    </row>
    <row r="145" ht="14.25" customHeight="1">
      <c r="B145" s="19"/>
      <c r="C145" s="19"/>
      <c r="D145" s="19"/>
      <c r="G145" s="55"/>
      <c r="H145" s="55"/>
      <c r="I145" s="12"/>
    </row>
    <row r="146" ht="14.25" customHeight="1">
      <c r="B146" s="19"/>
      <c r="C146" s="19"/>
      <c r="D146" s="19"/>
      <c r="G146" s="55"/>
      <c r="H146" s="55"/>
      <c r="I146" s="12"/>
    </row>
    <row r="147" ht="14.25" customHeight="1">
      <c r="B147" s="19"/>
      <c r="C147" s="19"/>
      <c r="D147" s="19"/>
      <c r="G147" s="55"/>
      <c r="H147" s="55"/>
      <c r="I147" s="12"/>
    </row>
    <row r="148" ht="14.25" customHeight="1">
      <c r="B148" s="19"/>
      <c r="C148" s="19"/>
      <c r="D148" s="19"/>
      <c r="G148" s="55"/>
      <c r="H148" s="55"/>
      <c r="I148" s="12"/>
    </row>
    <row r="149" ht="14.25" customHeight="1">
      <c r="B149" s="19"/>
      <c r="C149" s="19"/>
      <c r="D149" s="19"/>
      <c r="G149" s="55"/>
      <c r="H149" s="55"/>
      <c r="I149" s="12"/>
    </row>
    <row r="150" ht="14.25" customHeight="1">
      <c r="B150" s="19"/>
      <c r="C150" s="19"/>
      <c r="D150" s="19"/>
      <c r="G150" s="55"/>
      <c r="H150" s="55"/>
      <c r="I150" s="12"/>
    </row>
    <row r="151" ht="14.25" customHeight="1">
      <c r="B151" s="19"/>
      <c r="C151" s="19"/>
      <c r="D151" s="19"/>
      <c r="G151" s="55"/>
      <c r="H151" s="55"/>
      <c r="I151" s="12"/>
    </row>
    <row r="152" ht="14.25" customHeight="1">
      <c r="B152" s="19"/>
      <c r="C152" s="19"/>
      <c r="D152" s="19"/>
      <c r="G152" s="55"/>
      <c r="H152" s="55"/>
      <c r="I152" s="12"/>
    </row>
    <row r="153" ht="14.25" customHeight="1">
      <c r="B153" s="19"/>
      <c r="C153" s="19"/>
      <c r="D153" s="19"/>
      <c r="G153" s="55"/>
      <c r="H153" s="55"/>
      <c r="I153" s="12"/>
    </row>
    <row r="154" ht="14.25" customHeight="1">
      <c r="B154" s="19"/>
      <c r="C154" s="19"/>
      <c r="D154" s="19"/>
      <c r="G154" s="55"/>
      <c r="H154" s="55"/>
      <c r="I154" s="12"/>
    </row>
    <row r="155" ht="14.25" customHeight="1">
      <c r="B155" s="19"/>
      <c r="C155" s="19"/>
      <c r="D155" s="19"/>
      <c r="G155" s="55"/>
      <c r="H155" s="55"/>
      <c r="I155" s="12"/>
    </row>
    <row r="156" ht="14.25" customHeight="1">
      <c r="B156" s="19"/>
      <c r="C156" s="19"/>
      <c r="D156" s="19"/>
      <c r="G156" s="55"/>
      <c r="H156" s="55"/>
      <c r="I156" s="12"/>
    </row>
    <row r="157" ht="14.25" customHeight="1">
      <c r="B157" s="19"/>
      <c r="C157" s="19"/>
      <c r="D157" s="19"/>
      <c r="G157" s="55"/>
      <c r="H157" s="55"/>
      <c r="I157" s="12"/>
    </row>
    <row r="158" ht="14.25" customHeight="1">
      <c r="B158" s="19"/>
      <c r="C158" s="19"/>
      <c r="D158" s="19"/>
      <c r="G158" s="55"/>
      <c r="H158" s="55"/>
      <c r="I158" s="12"/>
    </row>
    <row r="159" ht="14.25" customHeight="1">
      <c r="B159" s="19"/>
      <c r="C159" s="19"/>
      <c r="D159" s="19"/>
      <c r="G159" s="55"/>
      <c r="H159" s="55"/>
      <c r="I159" s="12"/>
    </row>
    <row r="160" ht="14.25" customHeight="1">
      <c r="B160" s="19"/>
      <c r="C160" s="19"/>
      <c r="D160" s="19"/>
      <c r="G160" s="55"/>
      <c r="H160" s="55"/>
      <c r="I160" s="12"/>
    </row>
    <row r="161" ht="14.25" customHeight="1">
      <c r="B161" s="19"/>
      <c r="C161" s="19"/>
      <c r="D161" s="19"/>
      <c r="G161" s="55"/>
      <c r="H161" s="55"/>
      <c r="I161" s="12"/>
    </row>
    <row r="162" ht="14.25" customHeight="1">
      <c r="B162" s="19"/>
      <c r="C162" s="19"/>
      <c r="D162" s="19"/>
      <c r="G162" s="55"/>
      <c r="H162" s="55"/>
      <c r="I162" s="12"/>
    </row>
    <row r="163" ht="14.25" customHeight="1">
      <c r="B163" s="19"/>
      <c r="C163" s="19"/>
      <c r="D163" s="19"/>
      <c r="G163" s="55"/>
      <c r="H163" s="55"/>
      <c r="I163" s="12"/>
    </row>
    <row r="164" ht="14.25" customHeight="1">
      <c r="B164" s="19"/>
      <c r="C164" s="19"/>
      <c r="D164" s="19"/>
      <c r="G164" s="55"/>
      <c r="H164" s="55"/>
      <c r="I164" s="12"/>
    </row>
    <row r="165" ht="14.25" customHeight="1">
      <c r="B165" s="19"/>
      <c r="C165" s="19"/>
      <c r="D165" s="19"/>
      <c r="G165" s="55"/>
      <c r="H165" s="55"/>
      <c r="I165" s="12"/>
    </row>
    <row r="166" ht="14.25" customHeight="1">
      <c r="B166" s="19"/>
      <c r="C166" s="19"/>
      <c r="D166" s="19"/>
      <c r="G166" s="55"/>
      <c r="H166" s="55"/>
      <c r="I166" s="12"/>
    </row>
    <row r="167" ht="14.25" customHeight="1">
      <c r="B167" s="19"/>
      <c r="C167" s="19"/>
      <c r="D167" s="19"/>
      <c r="G167" s="55"/>
      <c r="H167" s="55"/>
      <c r="I167" s="12"/>
    </row>
    <row r="168" ht="14.25" customHeight="1">
      <c r="B168" s="19"/>
      <c r="C168" s="19"/>
      <c r="D168" s="19"/>
      <c r="G168" s="55"/>
      <c r="H168" s="55"/>
      <c r="I168" s="12"/>
    </row>
    <row r="169" ht="14.25" customHeight="1">
      <c r="B169" s="19"/>
      <c r="C169" s="19"/>
      <c r="D169" s="19"/>
      <c r="G169" s="55"/>
      <c r="H169" s="55"/>
      <c r="I169" s="12"/>
    </row>
    <row r="170" ht="14.25" customHeight="1">
      <c r="B170" s="19"/>
      <c r="C170" s="19"/>
      <c r="D170" s="19"/>
      <c r="G170" s="55"/>
      <c r="H170" s="55"/>
      <c r="I170" s="12"/>
    </row>
    <row r="171" ht="14.25" customHeight="1">
      <c r="B171" s="19"/>
      <c r="C171" s="19"/>
      <c r="D171" s="19"/>
      <c r="G171" s="55"/>
      <c r="H171" s="55"/>
      <c r="I171" s="12"/>
    </row>
    <row r="172" ht="14.25" customHeight="1">
      <c r="B172" s="19"/>
      <c r="C172" s="19"/>
      <c r="D172" s="19"/>
      <c r="G172" s="55"/>
      <c r="H172" s="55"/>
      <c r="I172" s="12"/>
    </row>
    <row r="173" ht="14.25" customHeight="1">
      <c r="B173" s="19"/>
      <c r="C173" s="19"/>
      <c r="D173" s="19"/>
      <c r="G173" s="55"/>
      <c r="H173" s="55"/>
      <c r="I173" s="12"/>
    </row>
    <row r="174" ht="14.25" customHeight="1">
      <c r="B174" s="19"/>
      <c r="C174" s="19"/>
      <c r="D174" s="19"/>
      <c r="G174" s="55"/>
      <c r="H174" s="55"/>
      <c r="I174" s="12"/>
    </row>
    <row r="175" ht="14.25" customHeight="1">
      <c r="B175" s="19"/>
      <c r="C175" s="19"/>
      <c r="D175" s="19"/>
      <c r="G175" s="55"/>
      <c r="H175" s="55"/>
      <c r="I175" s="12"/>
    </row>
    <row r="176" ht="14.25" customHeight="1">
      <c r="B176" s="19"/>
      <c r="C176" s="19"/>
      <c r="D176" s="19"/>
      <c r="G176" s="55"/>
      <c r="H176" s="55"/>
      <c r="I176" s="12"/>
    </row>
    <row r="177" ht="14.25" customHeight="1">
      <c r="B177" s="19"/>
      <c r="C177" s="19"/>
      <c r="D177" s="19"/>
      <c r="G177" s="55"/>
      <c r="H177" s="55"/>
      <c r="I177" s="12"/>
    </row>
    <row r="178" ht="14.25" customHeight="1">
      <c r="B178" s="19"/>
      <c r="C178" s="19"/>
      <c r="D178" s="19"/>
      <c r="G178" s="55"/>
      <c r="H178" s="55"/>
      <c r="I178" s="12"/>
    </row>
    <row r="179" ht="14.25" customHeight="1">
      <c r="B179" s="19"/>
      <c r="C179" s="19"/>
      <c r="D179" s="19"/>
      <c r="G179" s="55"/>
      <c r="H179" s="55"/>
      <c r="I179" s="12"/>
    </row>
    <row r="180" ht="14.25" customHeight="1">
      <c r="B180" s="19"/>
      <c r="C180" s="19"/>
      <c r="D180" s="19"/>
      <c r="G180" s="55"/>
      <c r="H180" s="55"/>
      <c r="I180" s="12"/>
    </row>
    <row r="181" ht="14.25" customHeight="1">
      <c r="B181" s="19"/>
      <c r="C181" s="19"/>
      <c r="D181" s="19"/>
      <c r="G181" s="55"/>
      <c r="H181" s="55"/>
      <c r="I181" s="12"/>
    </row>
    <row r="182" ht="14.25" customHeight="1">
      <c r="B182" s="19"/>
      <c r="C182" s="19"/>
      <c r="D182" s="19"/>
      <c r="G182" s="55"/>
      <c r="H182" s="55"/>
      <c r="I182" s="12"/>
    </row>
    <row r="183" ht="14.25" customHeight="1">
      <c r="B183" s="19"/>
      <c r="C183" s="19"/>
      <c r="D183" s="19"/>
      <c r="G183" s="55"/>
      <c r="H183" s="55"/>
      <c r="I183" s="12"/>
    </row>
    <row r="184" ht="14.25" customHeight="1">
      <c r="B184" s="19"/>
      <c r="C184" s="19"/>
      <c r="D184" s="19"/>
      <c r="G184" s="55"/>
      <c r="H184" s="55"/>
      <c r="I184" s="12"/>
    </row>
    <row r="185" ht="14.25" customHeight="1">
      <c r="B185" s="19"/>
      <c r="C185" s="19"/>
      <c r="D185" s="19"/>
      <c r="G185" s="55"/>
      <c r="H185" s="55"/>
      <c r="I185" s="12"/>
    </row>
    <row r="186" ht="14.25" customHeight="1">
      <c r="B186" s="19"/>
      <c r="C186" s="19"/>
      <c r="D186" s="19"/>
      <c r="G186" s="55"/>
      <c r="H186" s="55"/>
      <c r="I186" s="12"/>
    </row>
    <row r="187" ht="14.25" customHeight="1">
      <c r="B187" s="19"/>
      <c r="C187" s="19"/>
      <c r="D187" s="19"/>
      <c r="G187" s="55"/>
      <c r="H187" s="55"/>
      <c r="I187" s="12"/>
    </row>
    <row r="188" ht="14.25" customHeight="1">
      <c r="B188" s="19"/>
      <c r="C188" s="19"/>
      <c r="D188" s="19"/>
      <c r="G188" s="55"/>
      <c r="H188" s="55"/>
      <c r="I188" s="12"/>
    </row>
    <row r="189" ht="14.25" customHeight="1">
      <c r="B189" s="19"/>
      <c r="C189" s="19"/>
      <c r="D189" s="19"/>
      <c r="G189" s="55"/>
      <c r="H189" s="55"/>
      <c r="I189" s="12"/>
    </row>
    <row r="190" ht="14.25" customHeight="1">
      <c r="B190" s="19"/>
      <c r="C190" s="19"/>
      <c r="D190" s="19"/>
      <c r="G190" s="55"/>
      <c r="H190" s="55"/>
      <c r="I190" s="12"/>
    </row>
    <row r="191" ht="14.25" customHeight="1">
      <c r="B191" s="19"/>
      <c r="C191" s="19"/>
      <c r="D191" s="19"/>
      <c r="G191" s="55"/>
      <c r="H191" s="55"/>
      <c r="I191" s="12"/>
    </row>
    <row r="192" ht="14.25" customHeight="1">
      <c r="B192" s="19"/>
      <c r="C192" s="19"/>
      <c r="D192" s="19"/>
      <c r="G192" s="55"/>
      <c r="H192" s="55"/>
      <c r="I192" s="12"/>
    </row>
    <row r="193" ht="14.25" customHeight="1">
      <c r="B193" s="19"/>
      <c r="C193" s="19"/>
      <c r="D193" s="19"/>
      <c r="G193" s="55"/>
      <c r="H193" s="55"/>
      <c r="I193" s="12"/>
    </row>
    <row r="194" ht="14.25" customHeight="1">
      <c r="B194" s="19"/>
      <c r="C194" s="19"/>
      <c r="D194" s="19"/>
      <c r="G194" s="55"/>
      <c r="H194" s="55"/>
      <c r="I194" s="12"/>
    </row>
    <row r="195" ht="14.25" customHeight="1">
      <c r="B195" s="19"/>
      <c r="C195" s="19"/>
      <c r="D195" s="19"/>
      <c r="G195" s="55"/>
      <c r="H195" s="55"/>
      <c r="I195" s="12"/>
    </row>
    <row r="196" ht="14.25" customHeight="1">
      <c r="B196" s="19"/>
      <c r="C196" s="19"/>
      <c r="D196" s="19"/>
      <c r="G196" s="55"/>
      <c r="H196" s="55"/>
      <c r="I196" s="12"/>
    </row>
    <row r="197" ht="14.25" customHeight="1">
      <c r="B197" s="19"/>
      <c r="C197" s="19"/>
      <c r="D197" s="19"/>
      <c r="G197" s="55"/>
      <c r="H197" s="55"/>
      <c r="I197" s="12"/>
    </row>
    <row r="198" ht="14.25" customHeight="1">
      <c r="B198" s="19"/>
      <c r="C198" s="19"/>
      <c r="D198" s="19"/>
      <c r="G198" s="55"/>
      <c r="H198" s="55"/>
      <c r="I198" s="12"/>
    </row>
    <row r="199" ht="14.25" customHeight="1">
      <c r="B199" s="19"/>
      <c r="C199" s="19"/>
      <c r="D199" s="19"/>
      <c r="G199" s="55"/>
      <c r="H199" s="55"/>
      <c r="I199" s="12"/>
    </row>
    <row r="200" ht="14.25" customHeight="1">
      <c r="B200" s="19"/>
      <c r="C200" s="19"/>
      <c r="D200" s="19"/>
      <c r="G200" s="55"/>
      <c r="H200" s="55"/>
      <c r="I200" s="12"/>
    </row>
    <row r="201" ht="14.25" customHeight="1">
      <c r="B201" s="19"/>
      <c r="C201" s="19"/>
      <c r="D201" s="19"/>
      <c r="G201" s="55"/>
      <c r="H201" s="55"/>
      <c r="I201" s="12"/>
    </row>
    <row r="202" ht="14.25" customHeight="1">
      <c r="B202" s="19"/>
      <c r="C202" s="19"/>
      <c r="D202" s="19"/>
      <c r="G202" s="55"/>
      <c r="H202" s="55"/>
      <c r="I202" s="12"/>
    </row>
    <row r="203" ht="14.25" customHeight="1">
      <c r="B203" s="19"/>
      <c r="C203" s="19"/>
      <c r="D203" s="19"/>
      <c r="G203" s="55"/>
      <c r="H203" s="55"/>
      <c r="I203" s="12"/>
    </row>
    <row r="204" ht="14.25" customHeight="1">
      <c r="B204" s="19"/>
      <c r="C204" s="19"/>
      <c r="D204" s="19"/>
      <c r="G204" s="55"/>
      <c r="H204" s="55"/>
      <c r="I204" s="12"/>
    </row>
    <row r="205" ht="14.25" customHeight="1">
      <c r="B205" s="19"/>
      <c r="C205" s="19"/>
      <c r="D205" s="19"/>
      <c r="G205" s="55"/>
      <c r="H205" s="55"/>
      <c r="I205" s="12"/>
    </row>
    <row r="206" ht="14.25" customHeight="1">
      <c r="B206" s="19"/>
      <c r="C206" s="19"/>
      <c r="D206" s="19"/>
      <c r="G206" s="55"/>
      <c r="H206" s="55"/>
      <c r="I206" s="12"/>
    </row>
    <row r="207" ht="14.25" customHeight="1">
      <c r="B207" s="19"/>
      <c r="C207" s="19"/>
      <c r="D207" s="19"/>
      <c r="G207" s="55"/>
      <c r="H207" s="55"/>
      <c r="I207" s="12"/>
    </row>
    <row r="208" ht="14.25" customHeight="1">
      <c r="B208" s="19"/>
      <c r="C208" s="19"/>
      <c r="D208" s="19"/>
      <c r="G208" s="55"/>
      <c r="H208" s="55"/>
      <c r="I208" s="12"/>
    </row>
    <row r="209" ht="14.25" customHeight="1">
      <c r="B209" s="19"/>
      <c r="C209" s="19"/>
      <c r="D209" s="19"/>
      <c r="G209" s="55"/>
      <c r="H209" s="55"/>
      <c r="I209" s="12"/>
    </row>
    <row r="210" ht="14.25" customHeight="1">
      <c r="B210" s="19"/>
      <c r="C210" s="19"/>
      <c r="D210" s="19"/>
      <c r="G210" s="55"/>
      <c r="H210" s="55"/>
      <c r="I210" s="12"/>
    </row>
    <row r="211" ht="14.25" customHeight="1">
      <c r="B211" s="19"/>
      <c r="C211" s="19"/>
      <c r="D211" s="19"/>
      <c r="G211" s="55"/>
      <c r="H211" s="55"/>
      <c r="I211" s="12"/>
    </row>
    <row r="212" ht="14.25" customHeight="1">
      <c r="B212" s="19"/>
      <c r="C212" s="19"/>
      <c r="D212" s="19"/>
      <c r="G212" s="55"/>
      <c r="H212" s="55"/>
      <c r="I212" s="12"/>
    </row>
    <row r="213" ht="14.25" customHeight="1">
      <c r="B213" s="19"/>
      <c r="C213" s="19"/>
      <c r="D213" s="19"/>
      <c r="G213" s="55"/>
      <c r="H213" s="55"/>
      <c r="I213" s="12"/>
    </row>
    <row r="214" ht="14.25" customHeight="1">
      <c r="B214" s="19"/>
      <c r="C214" s="19"/>
      <c r="D214" s="19"/>
      <c r="G214" s="55"/>
      <c r="H214" s="55"/>
      <c r="I214" s="12"/>
    </row>
    <row r="215" ht="14.25" customHeight="1">
      <c r="B215" s="19"/>
      <c r="C215" s="19"/>
      <c r="D215" s="19"/>
      <c r="G215" s="55"/>
      <c r="H215" s="55"/>
      <c r="I215" s="12"/>
    </row>
    <row r="216" ht="14.25" customHeight="1">
      <c r="B216" s="19"/>
      <c r="C216" s="19"/>
      <c r="D216" s="19"/>
      <c r="G216" s="55"/>
      <c r="H216" s="55"/>
      <c r="I216" s="12"/>
    </row>
    <row r="217" ht="14.25" customHeight="1">
      <c r="B217" s="19"/>
      <c r="C217" s="19"/>
      <c r="D217" s="19"/>
      <c r="G217" s="55"/>
      <c r="H217" s="55"/>
      <c r="I217" s="12"/>
    </row>
    <row r="218" ht="14.25" customHeight="1">
      <c r="B218" s="19"/>
      <c r="C218" s="19"/>
      <c r="D218" s="19"/>
      <c r="G218" s="55"/>
      <c r="H218" s="55"/>
      <c r="I218" s="12"/>
    </row>
    <row r="219" ht="14.25" customHeight="1">
      <c r="B219" s="19"/>
      <c r="C219" s="19"/>
      <c r="D219" s="19"/>
      <c r="G219" s="55"/>
      <c r="H219" s="55"/>
      <c r="I219" s="12"/>
    </row>
    <row r="220" ht="14.25" customHeight="1">
      <c r="B220" s="19"/>
      <c r="C220" s="19"/>
      <c r="D220" s="19"/>
      <c r="G220" s="55"/>
      <c r="H220" s="55"/>
      <c r="I220" s="12"/>
    </row>
    <row r="221" ht="14.25" customHeight="1">
      <c r="B221" s="19"/>
      <c r="C221" s="19"/>
      <c r="D221" s="19"/>
      <c r="G221" s="55"/>
      <c r="H221" s="55"/>
      <c r="I221" s="12"/>
    </row>
    <row r="222" ht="14.25" customHeight="1">
      <c r="B222" s="19"/>
      <c r="C222" s="19"/>
      <c r="D222" s="19"/>
      <c r="G222" s="55"/>
      <c r="H222" s="55"/>
      <c r="I222" s="12"/>
    </row>
    <row r="223" ht="14.25" customHeight="1">
      <c r="B223" s="19"/>
      <c r="C223" s="19"/>
      <c r="D223" s="19"/>
      <c r="G223" s="55"/>
      <c r="H223" s="55"/>
      <c r="I223" s="12"/>
    </row>
    <row r="224" ht="14.25" customHeight="1">
      <c r="B224" s="19"/>
      <c r="C224" s="19"/>
      <c r="D224" s="19"/>
      <c r="G224" s="55"/>
      <c r="H224" s="55"/>
      <c r="I224" s="12"/>
    </row>
    <row r="225" ht="14.25" customHeight="1">
      <c r="B225" s="19"/>
      <c r="C225" s="19"/>
      <c r="D225" s="19"/>
      <c r="G225" s="55"/>
      <c r="H225" s="55"/>
      <c r="I225" s="12"/>
    </row>
    <row r="226" ht="14.25" customHeight="1">
      <c r="B226" s="19"/>
      <c r="C226" s="19"/>
      <c r="D226" s="19"/>
      <c r="G226" s="55"/>
      <c r="H226" s="55"/>
      <c r="I226" s="12"/>
    </row>
    <row r="227" ht="14.25" customHeight="1">
      <c r="B227" s="19"/>
      <c r="C227" s="19"/>
      <c r="D227" s="19"/>
      <c r="G227" s="55"/>
      <c r="H227" s="55"/>
      <c r="I227" s="12"/>
    </row>
    <row r="228" ht="14.25" customHeight="1">
      <c r="B228" s="19"/>
      <c r="C228" s="19"/>
      <c r="D228" s="19"/>
      <c r="G228" s="55"/>
      <c r="H228" s="55"/>
      <c r="I228" s="12"/>
    </row>
    <row r="229" ht="14.25" customHeight="1">
      <c r="B229" s="19"/>
      <c r="C229" s="19"/>
      <c r="D229" s="19"/>
      <c r="G229" s="55"/>
      <c r="H229" s="55"/>
      <c r="I229" s="12"/>
    </row>
    <row r="230" ht="14.25" customHeight="1">
      <c r="B230" s="19"/>
      <c r="C230" s="19"/>
      <c r="D230" s="19"/>
      <c r="G230" s="55"/>
      <c r="H230" s="55"/>
      <c r="I230" s="12"/>
    </row>
    <row r="231" ht="14.25" customHeight="1">
      <c r="B231" s="19"/>
      <c r="C231" s="19"/>
      <c r="D231" s="19"/>
      <c r="G231" s="55"/>
      <c r="H231" s="55"/>
      <c r="I231" s="12"/>
    </row>
    <row r="232" ht="14.25" customHeight="1">
      <c r="B232" s="19"/>
      <c r="C232" s="19"/>
      <c r="D232" s="19"/>
      <c r="G232" s="55"/>
      <c r="H232" s="55"/>
      <c r="I232" s="12"/>
    </row>
    <row r="233" ht="14.25" customHeight="1">
      <c r="B233" s="19"/>
      <c r="C233" s="19"/>
      <c r="D233" s="19"/>
      <c r="G233" s="55"/>
      <c r="H233" s="55"/>
      <c r="I233" s="12"/>
    </row>
    <row r="234" ht="14.25" customHeight="1">
      <c r="B234" s="19"/>
      <c r="C234" s="19"/>
      <c r="D234" s="19"/>
      <c r="G234" s="55"/>
      <c r="H234" s="55"/>
      <c r="I234" s="12"/>
    </row>
    <row r="235" ht="14.25" customHeight="1">
      <c r="B235" s="19"/>
      <c r="C235" s="19"/>
      <c r="D235" s="19"/>
      <c r="G235" s="55"/>
      <c r="H235" s="55"/>
      <c r="I235" s="12"/>
    </row>
    <row r="236" ht="14.25" customHeight="1">
      <c r="B236" s="19"/>
      <c r="C236" s="19"/>
      <c r="D236" s="19"/>
      <c r="G236" s="55"/>
      <c r="H236" s="55"/>
      <c r="I236" s="12"/>
    </row>
    <row r="237" ht="14.25" customHeight="1">
      <c r="B237" s="19"/>
      <c r="C237" s="19"/>
      <c r="D237" s="19"/>
      <c r="G237" s="55"/>
      <c r="H237" s="55"/>
      <c r="I237" s="12"/>
    </row>
    <row r="238" ht="14.25" customHeight="1">
      <c r="B238" s="19"/>
      <c r="C238" s="19"/>
      <c r="D238" s="19"/>
      <c r="G238" s="55"/>
      <c r="H238" s="55"/>
      <c r="I238" s="12"/>
    </row>
    <row r="239" ht="14.25" customHeight="1">
      <c r="B239" s="19"/>
      <c r="C239" s="19"/>
      <c r="D239" s="19"/>
      <c r="G239" s="55"/>
      <c r="H239" s="55"/>
      <c r="I239" s="12"/>
    </row>
    <row r="240" ht="14.25" customHeight="1">
      <c r="B240" s="19"/>
      <c r="C240" s="19"/>
      <c r="D240" s="19"/>
      <c r="G240" s="55"/>
      <c r="H240" s="55"/>
      <c r="I240" s="12"/>
    </row>
    <row r="241" ht="14.25" customHeight="1">
      <c r="B241" s="19"/>
      <c r="C241" s="19"/>
      <c r="D241" s="19"/>
      <c r="G241" s="55"/>
      <c r="H241" s="55"/>
      <c r="I241" s="12"/>
    </row>
    <row r="242" ht="14.25" customHeight="1">
      <c r="B242" s="19"/>
      <c r="C242" s="19"/>
      <c r="D242" s="19"/>
      <c r="G242" s="55"/>
      <c r="H242" s="55"/>
      <c r="I242" s="12"/>
    </row>
    <row r="243" ht="14.25" customHeight="1">
      <c r="B243" s="19"/>
      <c r="C243" s="19"/>
      <c r="D243" s="19"/>
      <c r="G243" s="55"/>
      <c r="H243" s="55"/>
      <c r="I243" s="12"/>
    </row>
    <row r="244" ht="14.25" customHeight="1">
      <c r="B244" s="19"/>
      <c r="C244" s="19"/>
      <c r="D244" s="19"/>
      <c r="G244" s="55"/>
      <c r="H244" s="55"/>
      <c r="I244" s="12"/>
    </row>
    <row r="245" ht="14.25" customHeight="1">
      <c r="B245" s="19"/>
      <c r="C245" s="19"/>
      <c r="D245" s="19"/>
      <c r="G245" s="55"/>
      <c r="H245" s="55"/>
      <c r="I245" s="12"/>
    </row>
    <row r="246" ht="14.25" customHeight="1">
      <c r="B246" s="19"/>
      <c r="C246" s="19"/>
      <c r="D246" s="19"/>
      <c r="G246" s="55"/>
      <c r="H246" s="55"/>
      <c r="I246" s="12"/>
    </row>
    <row r="247" ht="14.25" customHeight="1">
      <c r="B247" s="19"/>
      <c r="C247" s="19"/>
      <c r="D247" s="19"/>
      <c r="G247" s="55"/>
      <c r="H247" s="55"/>
      <c r="I247" s="12"/>
    </row>
    <row r="248" ht="14.25" customHeight="1">
      <c r="B248" s="19"/>
      <c r="C248" s="19"/>
      <c r="D248" s="19"/>
      <c r="G248" s="55"/>
      <c r="H248" s="55"/>
      <c r="I248" s="12"/>
    </row>
    <row r="249" ht="14.25" customHeight="1">
      <c r="B249" s="19"/>
      <c r="C249" s="19"/>
      <c r="D249" s="19"/>
      <c r="G249" s="55"/>
      <c r="H249" s="55"/>
      <c r="I249" s="12"/>
    </row>
    <row r="250" ht="14.25" customHeight="1">
      <c r="B250" s="19"/>
      <c r="C250" s="19"/>
      <c r="D250" s="19"/>
      <c r="G250" s="55"/>
      <c r="H250" s="55"/>
      <c r="I250" s="12"/>
    </row>
    <row r="251" ht="14.25" customHeight="1">
      <c r="B251" s="19"/>
      <c r="C251" s="19"/>
      <c r="D251" s="19"/>
      <c r="G251" s="55"/>
      <c r="H251" s="55"/>
      <c r="I251" s="12"/>
    </row>
    <row r="252" ht="14.25" customHeight="1">
      <c r="B252" s="19"/>
      <c r="C252" s="19"/>
      <c r="D252" s="19"/>
      <c r="G252" s="55"/>
      <c r="H252" s="55"/>
      <c r="I252" s="12"/>
    </row>
    <row r="253" ht="14.25" customHeight="1">
      <c r="B253" s="19"/>
      <c r="C253" s="19"/>
      <c r="D253" s="19"/>
      <c r="G253" s="55"/>
      <c r="H253" s="55"/>
      <c r="I253" s="12"/>
    </row>
    <row r="254" ht="14.25" customHeight="1">
      <c r="B254" s="19"/>
      <c r="C254" s="19"/>
      <c r="D254" s="19"/>
      <c r="G254" s="55"/>
      <c r="H254" s="55"/>
      <c r="I254" s="12"/>
    </row>
    <row r="255" ht="14.25" customHeight="1">
      <c r="B255" s="19"/>
      <c r="C255" s="19"/>
      <c r="D255" s="19"/>
      <c r="G255" s="55"/>
      <c r="H255" s="55"/>
      <c r="I255" s="12"/>
    </row>
    <row r="256" ht="14.25" customHeight="1">
      <c r="B256" s="19"/>
      <c r="C256" s="19"/>
      <c r="D256" s="19"/>
      <c r="G256" s="55"/>
      <c r="H256" s="55"/>
      <c r="I256" s="12"/>
    </row>
    <row r="257" ht="14.25" customHeight="1">
      <c r="B257" s="19"/>
      <c r="C257" s="19"/>
      <c r="D257" s="19"/>
      <c r="G257" s="55"/>
      <c r="H257" s="55"/>
      <c r="I257" s="12"/>
    </row>
    <row r="258" ht="14.25" customHeight="1">
      <c r="B258" s="19"/>
      <c r="C258" s="19"/>
      <c r="D258" s="19"/>
      <c r="G258" s="55"/>
      <c r="H258" s="55"/>
      <c r="I258" s="12"/>
    </row>
    <row r="259" ht="14.25" customHeight="1">
      <c r="B259" s="19"/>
      <c r="C259" s="19"/>
      <c r="D259" s="19"/>
      <c r="G259" s="55"/>
      <c r="H259" s="55"/>
      <c r="I259" s="12"/>
    </row>
    <row r="260" ht="14.25" customHeight="1">
      <c r="B260" s="19"/>
      <c r="C260" s="19"/>
      <c r="D260" s="19"/>
      <c r="G260" s="55"/>
      <c r="H260" s="55"/>
      <c r="I260" s="12"/>
    </row>
    <row r="261" ht="14.25" customHeight="1">
      <c r="B261" s="19"/>
      <c r="C261" s="19"/>
      <c r="D261" s="19"/>
      <c r="G261" s="55"/>
      <c r="H261" s="55"/>
      <c r="I261" s="12"/>
    </row>
    <row r="262" ht="14.25" customHeight="1">
      <c r="B262" s="19"/>
      <c r="C262" s="19"/>
      <c r="D262" s="19"/>
      <c r="G262" s="55"/>
      <c r="H262" s="55"/>
      <c r="I262" s="12"/>
    </row>
    <row r="263" ht="14.25" customHeight="1">
      <c r="B263" s="19"/>
      <c r="C263" s="19"/>
      <c r="D263" s="19"/>
      <c r="G263" s="55"/>
      <c r="H263" s="55"/>
      <c r="I263" s="12"/>
    </row>
    <row r="264" ht="14.25" customHeight="1">
      <c r="B264" s="19"/>
      <c r="C264" s="19"/>
      <c r="D264" s="19"/>
      <c r="G264" s="55"/>
      <c r="H264" s="55"/>
      <c r="I264" s="12"/>
    </row>
    <row r="265" ht="14.25" customHeight="1">
      <c r="B265" s="19"/>
      <c r="C265" s="19"/>
      <c r="D265" s="19"/>
      <c r="G265" s="55"/>
      <c r="H265" s="55"/>
      <c r="I265" s="12"/>
    </row>
    <row r="266" ht="14.25" customHeight="1">
      <c r="B266" s="19"/>
      <c r="C266" s="19"/>
      <c r="D266" s="19"/>
      <c r="G266" s="55"/>
      <c r="H266" s="55"/>
      <c r="I266" s="12"/>
    </row>
    <row r="267" ht="14.25" customHeight="1">
      <c r="B267" s="19"/>
      <c r="C267" s="19"/>
      <c r="D267" s="19"/>
      <c r="G267" s="55"/>
      <c r="H267" s="55"/>
      <c r="I267" s="12"/>
    </row>
    <row r="268" ht="14.25" customHeight="1">
      <c r="B268" s="19"/>
      <c r="C268" s="19"/>
      <c r="D268" s="19"/>
      <c r="G268" s="55"/>
      <c r="H268" s="55"/>
      <c r="I268" s="12"/>
    </row>
    <row r="269" ht="14.25" customHeight="1">
      <c r="B269" s="19"/>
      <c r="C269" s="19"/>
      <c r="D269" s="19"/>
      <c r="G269" s="55"/>
      <c r="H269" s="55"/>
      <c r="I269" s="12"/>
    </row>
    <row r="270" ht="14.25" customHeight="1">
      <c r="B270" s="19"/>
      <c r="C270" s="19"/>
      <c r="D270" s="19"/>
      <c r="G270" s="55"/>
      <c r="H270" s="55"/>
      <c r="I270" s="12"/>
    </row>
    <row r="271" ht="14.25" customHeight="1">
      <c r="B271" s="19"/>
      <c r="C271" s="19"/>
      <c r="D271" s="19"/>
      <c r="G271" s="55"/>
      <c r="H271" s="55"/>
      <c r="I271" s="12"/>
    </row>
    <row r="272" ht="14.25" customHeight="1">
      <c r="B272" s="19"/>
      <c r="C272" s="19"/>
      <c r="D272" s="19"/>
      <c r="G272" s="55"/>
      <c r="H272" s="55"/>
      <c r="I272" s="12"/>
    </row>
    <row r="273" ht="14.25" customHeight="1">
      <c r="B273" s="19"/>
      <c r="C273" s="19"/>
      <c r="D273" s="19"/>
      <c r="G273" s="55"/>
      <c r="H273" s="55"/>
      <c r="I273" s="12"/>
    </row>
    <row r="274" ht="14.25" customHeight="1">
      <c r="B274" s="19"/>
      <c r="C274" s="19"/>
      <c r="D274" s="19"/>
      <c r="G274" s="55"/>
      <c r="H274" s="55"/>
      <c r="I274" s="12"/>
    </row>
    <row r="275" ht="14.25" customHeight="1">
      <c r="B275" s="19"/>
      <c r="C275" s="19"/>
      <c r="D275" s="19"/>
      <c r="G275" s="55"/>
      <c r="H275" s="55"/>
      <c r="I275" s="12"/>
    </row>
    <row r="276" ht="14.25" customHeight="1">
      <c r="B276" s="19"/>
      <c r="C276" s="19"/>
      <c r="D276" s="19"/>
      <c r="G276" s="55"/>
      <c r="H276" s="55"/>
      <c r="I276" s="12"/>
    </row>
    <row r="277" ht="14.25" customHeight="1">
      <c r="B277" s="19"/>
      <c r="C277" s="19"/>
      <c r="D277" s="19"/>
      <c r="G277" s="55"/>
      <c r="H277" s="55"/>
      <c r="I277" s="12"/>
    </row>
    <row r="278" ht="14.25" customHeight="1">
      <c r="B278" s="19"/>
      <c r="C278" s="19"/>
      <c r="D278" s="19"/>
      <c r="G278" s="55"/>
      <c r="H278" s="55"/>
      <c r="I278" s="12"/>
    </row>
    <row r="279" ht="14.25" customHeight="1">
      <c r="B279" s="19"/>
      <c r="C279" s="19"/>
      <c r="D279" s="19"/>
      <c r="G279" s="55"/>
      <c r="H279" s="55"/>
      <c r="I279" s="12"/>
    </row>
    <row r="280" ht="14.25" customHeight="1">
      <c r="B280" s="19"/>
      <c r="C280" s="19"/>
      <c r="D280" s="19"/>
      <c r="G280" s="55"/>
      <c r="H280" s="55"/>
      <c r="I280" s="12"/>
    </row>
    <row r="281" ht="14.25" customHeight="1">
      <c r="B281" s="19"/>
      <c r="C281" s="19"/>
      <c r="D281" s="19"/>
      <c r="G281" s="55"/>
      <c r="H281" s="55"/>
      <c r="I281" s="12"/>
    </row>
    <row r="282" ht="14.25" customHeight="1">
      <c r="B282" s="19"/>
      <c r="C282" s="19"/>
      <c r="D282" s="19"/>
      <c r="G282" s="55"/>
      <c r="H282" s="55"/>
      <c r="I282" s="12"/>
    </row>
    <row r="283" ht="14.25" customHeight="1">
      <c r="B283" s="19"/>
      <c r="C283" s="19"/>
      <c r="D283" s="19"/>
      <c r="G283" s="55"/>
      <c r="H283" s="55"/>
      <c r="I283" s="12"/>
    </row>
    <row r="284" ht="14.25" customHeight="1">
      <c r="B284" s="19"/>
      <c r="C284" s="19"/>
      <c r="D284" s="19"/>
      <c r="G284" s="55"/>
      <c r="H284" s="55"/>
      <c r="I284" s="12"/>
    </row>
    <row r="285" ht="14.25" customHeight="1">
      <c r="B285" s="19"/>
      <c r="C285" s="19"/>
      <c r="D285" s="19"/>
      <c r="G285" s="55"/>
      <c r="H285" s="55"/>
      <c r="I285" s="12"/>
    </row>
    <row r="286" ht="14.25" customHeight="1">
      <c r="B286" s="19"/>
      <c r="C286" s="19"/>
      <c r="D286" s="19"/>
      <c r="G286" s="55"/>
      <c r="H286" s="55"/>
      <c r="I286" s="12"/>
    </row>
    <row r="287" ht="14.25" customHeight="1">
      <c r="B287" s="19"/>
      <c r="C287" s="19"/>
      <c r="D287" s="19"/>
      <c r="G287" s="55"/>
      <c r="H287" s="55"/>
      <c r="I287" s="12"/>
    </row>
    <row r="288" ht="14.25" customHeight="1">
      <c r="B288" s="19"/>
      <c r="C288" s="19"/>
      <c r="D288" s="19"/>
      <c r="G288" s="55"/>
      <c r="H288" s="55"/>
      <c r="I288" s="12"/>
    </row>
    <row r="289" ht="14.25" customHeight="1">
      <c r="B289" s="19"/>
      <c r="C289" s="19"/>
      <c r="D289" s="19"/>
      <c r="G289" s="55"/>
      <c r="H289" s="55"/>
      <c r="I289" s="12"/>
    </row>
    <row r="290" ht="14.25" customHeight="1">
      <c r="B290" s="19"/>
      <c r="C290" s="19"/>
      <c r="D290" s="19"/>
      <c r="G290" s="55"/>
      <c r="H290" s="55"/>
      <c r="I290" s="12"/>
    </row>
    <row r="291" ht="14.25" customHeight="1">
      <c r="B291" s="19"/>
      <c r="C291" s="19"/>
      <c r="D291" s="19"/>
      <c r="G291" s="55"/>
      <c r="H291" s="55"/>
      <c r="I291" s="12"/>
    </row>
    <row r="292" ht="14.25" customHeight="1">
      <c r="B292" s="19"/>
      <c r="C292" s="19"/>
      <c r="D292" s="19"/>
      <c r="G292" s="55"/>
      <c r="H292" s="55"/>
      <c r="I292" s="12"/>
    </row>
    <row r="293" ht="14.25" customHeight="1">
      <c r="B293" s="19"/>
      <c r="C293" s="19"/>
      <c r="D293" s="19"/>
      <c r="G293" s="55"/>
      <c r="H293" s="55"/>
      <c r="I293" s="12"/>
    </row>
    <row r="294" ht="14.25" customHeight="1">
      <c r="B294" s="19"/>
      <c r="C294" s="19"/>
      <c r="D294" s="19"/>
      <c r="G294" s="55"/>
      <c r="H294" s="55"/>
      <c r="I294" s="12"/>
    </row>
    <row r="295" ht="14.25" customHeight="1">
      <c r="B295" s="19"/>
      <c r="C295" s="19"/>
      <c r="D295" s="19"/>
      <c r="G295" s="55"/>
      <c r="H295" s="55"/>
      <c r="I295" s="12"/>
    </row>
    <row r="296" ht="14.25" customHeight="1">
      <c r="B296" s="19"/>
      <c r="C296" s="19"/>
      <c r="D296" s="19"/>
      <c r="G296" s="55"/>
      <c r="H296" s="55"/>
      <c r="I296" s="12"/>
    </row>
    <row r="297" ht="14.25" customHeight="1">
      <c r="B297" s="19"/>
      <c r="C297" s="19"/>
      <c r="D297" s="19"/>
      <c r="G297" s="55"/>
      <c r="H297" s="55"/>
      <c r="I297" s="12"/>
    </row>
    <row r="298" ht="14.25" customHeight="1">
      <c r="B298" s="19"/>
      <c r="C298" s="19"/>
      <c r="D298" s="19"/>
      <c r="G298" s="55"/>
      <c r="H298" s="55"/>
      <c r="I298" s="12"/>
    </row>
    <row r="299" ht="14.25" customHeight="1">
      <c r="B299" s="19"/>
      <c r="C299" s="19"/>
      <c r="D299" s="19"/>
      <c r="G299" s="55"/>
      <c r="H299" s="55"/>
      <c r="I299" s="12"/>
    </row>
    <row r="300" ht="14.25" customHeight="1">
      <c r="B300" s="19"/>
      <c r="C300" s="19"/>
      <c r="D300" s="19"/>
      <c r="G300" s="55"/>
      <c r="H300" s="55"/>
      <c r="I300" s="12"/>
    </row>
    <row r="301" ht="14.25" customHeight="1">
      <c r="B301" s="19"/>
      <c r="C301" s="19"/>
      <c r="D301" s="19"/>
      <c r="G301" s="55"/>
      <c r="H301" s="55"/>
      <c r="I301" s="12"/>
    </row>
    <row r="302" ht="14.25" customHeight="1">
      <c r="B302" s="19"/>
      <c r="C302" s="19"/>
      <c r="D302" s="19"/>
      <c r="G302" s="55"/>
      <c r="H302" s="55"/>
      <c r="I302" s="12"/>
    </row>
    <row r="303" ht="14.25" customHeight="1">
      <c r="B303" s="19"/>
      <c r="C303" s="19"/>
      <c r="D303" s="19"/>
      <c r="G303" s="55"/>
      <c r="H303" s="55"/>
      <c r="I303" s="12"/>
    </row>
    <row r="304" ht="14.25" customHeight="1">
      <c r="B304" s="19"/>
      <c r="C304" s="19"/>
      <c r="D304" s="19"/>
      <c r="G304" s="55"/>
      <c r="H304" s="55"/>
      <c r="I304" s="12"/>
    </row>
    <row r="305" ht="14.25" customHeight="1">
      <c r="B305" s="19"/>
      <c r="C305" s="19"/>
      <c r="D305" s="19"/>
      <c r="G305" s="55"/>
      <c r="H305" s="55"/>
      <c r="I305" s="12"/>
    </row>
    <row r="306" ht="14.25" customHeight="1">
      <c r="B306" s="19"/>
      <c r="C306" s="19"/>
      <c r="D306" s="19"/>
      <c r="G306" s="55"/>
      <c r="H306" s="55"/>
      <c r="I306" s="12"/>
    </row>
    <row r="307" ht="14.25" customHeight="1">
      <c r="B307" s="19"/>
      <c r="C307" s="19"/>
      <c r="D307" s="19"/>
      <c r="G307" s="55"/>
      <c r="H307" s="55"/>
      <c r="I307" s="12"/>
    </row>
    <row r="308" ht="14.25" customHeight="1">
      <c r="B308" s="19"/>
      <c r="C308" s="19"/>
      <c r="D308" s="19"/>
      <c r="G308" s="55"/>
      <c r="H308" s="55"/>
      <c r="I308" s="12"/>
    </row>
    <row r="309" ht="14.25" customHeight="1">
      <c r="B309" s="19"/>
      <c r="C309" s="19"/>
      <c r="D309" s="19"/>
      <c r="G309" s="55"/>
      <c r="H309" s="55"/>
      <c r="I309" s="12"/>
    </row>
    <row r="310" ht="14.25" customHeight="1">
      <c r="B310" s="19"/>
      <c r="C310" s="19"/>
      <c r="D310" s="19"/>
      <c r="G310" s="55"/>
      <c r="H310" s="55"/>
      <c r="I310" s="12"/>
    </row>
    <row r="311" ht="14.25" customHeight="1">
      <c r="B311" s="19"/>
      <c r="C311" s="19"/>
      <c r="D311" s="19"/>
      <c r="G311" s="55"/>
      <c r="H311" s="55"/>
      <c r="I311" s="12"/>
    </row>
    <row r="312" ht="14.25" customHeight="1">
      <c r="B312" s="19"/>
      <c r="C312" s="19"/>
      <c r="D312" s="19"/>
      <c r="G312" s="55"/>
      <c r="H312" s="55"/>
      <c r="I312" s="12"/>
    </row>
    <row r="313" ht="14.25" customHeight="1">
      <c r="B313" s="19"/>
      <c r="C313" s="19"/>
      <c r="D313" s="19"/>
      <c r="G313" s="55"/>
      <c r="H313" s="55"/>
      <c r="I313" s="12"/>
    </row>
    <row r="314" ht="14.25" customHeight="1">
      <c r="B314" s="19"/>
      <c r="C314" s="19"/>
      <c r="D314" s="19"/>
      <c r="G314" s="55"/>
      <c r="H314" s="55"/>
      <c r="I314" s="12"/>
    </row>
    <row r="315" ht="14.25" customHeight="1">
      <c r="B315" s="19"/>
      <c r="C315" s="19"/>
      <c r="D315" s="19"/>
      <c r="G315" s="55"/>
      <c r="H315" s="55"/>
      <c r="I315" s="12"/>
    </row>
    <row r="316" ht="14.25" customHeight="1">
      <c r="B316" s="19"/>
      <c r="C316" s="19"/>
      <c r="D316" s="19"/>
      <c r="G316" s="55"/>
      <c r="H316" s="55"/>
      <c r="I316" s="12"/>
    </row>
    <row r="317" ht="14.25" customHeight="1">
      <c r="B317" s="19"/>
      <c r="C317" s="19"/>
      <c r="D317" s="19"/>
      <c r="G317" s="55"/>
      <c r="H317" s="55"/>
      <c r="I317" s="12"/>
    </row>
    <row r="318" ht="14.25" customHeight="1">
      <c r="B318" s="19"/>
      <c r="C318" s="19"/>
      <c r="D318" s="19"/>
      <c r="G318" s="55"/>
      <c r="H318" s="55"/>
      <c r="I318" s="12"/>
    </row>
    <row r="319" ht="14.25" customHeight="1">
      <c r="B319" s="19"/>
      <c r="C319" s="19"/>
      <c r="D319" s="19"/>
      <c r="G319" s="55"/>
      <c r="H319" s="55"/>
      <c r="I319" s="12"/>
    </row>
    <row r="320" ht="14.25" customHeight="1">
      <c r="B320" s="19"/>
      <c r="C320" s="19"/>
      <c r="D320" s="19"/>
      <c r="G320" s="55"/>
      <c r="H320" s="55"/>
      <c r="I320" s="12"/>
    </row>
    <row r="321" ht="14.25" customHeight="1">
      <c r="B321" s="19"/>
      <c r="C321" s="19"/>
      <c r="D321" s="19"/>
      <c r="G321" s="55"/>
      <c r="H321" s="55"/>
      <c r="I321" s="12"/>
    </row>
    <row r="322" ht="14.25" customHeight="1">
      <c r="B322" s="19"/>
      <c r="C322" s="19"/>
      <c r="D322" s="19"/>
      <c r="G322" s="55"/>
      <c r="H322" s="55"/>
      <c r="I322" s="12"/>
    </row>
    <row r="323" ht="14.25" customHeight="1">
      <c r="B323" s="19"/>
      <c r="C323" s="19"/>
      <c r="D323" s="19"/>
      <c r="G323" s="55"/>
      <c r="H323" s="55"/>
      <c r="I323" s="12"/>
    </row>
    <row r="324" ht="14.25" customHeight="1">
      <c r="B324" s="19"/>
      <c r="C324" s="19"/>
      <c r="D324" s="19"/>
      <c r="G324" s="55"/>
      <c r="H324" s="55"/>
      <c r="I324" s="12"/>
    </row>
    <row r="325" ht="14.25" customHeight="1">
      <c r="B325" s="19"/>
      <c r="C325" s="19"/>
      <c r="D325" s="19"/>
      <c r="G325" s="55"/>
      <c r="H325" s="55"/>
      <c r="I325" s="12"/>
    </row>
    <row r="326" ht="14.25" customHeight="1">
      <c r="B326" s="19"/>
      <c r="C326" s="19"/>
      <c r="D326" s="19"/>
      <c r="G326" s="55"/>
      <c r="H326" s="55"/>
      <c r="I326" s="12"/>
    </row>
    <row r="327" ht="14.25" customHeight="1">
      <c r="B327" s="19"/>
      <c r="C327" s="19"/>
      <c r="D327" s="19"/>
      <c r="G327" s="55"/>
      <c r="H327" s="55"/>
      <c r="I327" s="12"/>
    </row>
    <row r="328" ht="14.25" customHeight="1">
      <c r="B328" s="19"/>
      <c r="C328" s="19"/>
      <c r="D328" s="19"/>
      <c r="G328" s="55"/>
      <c r="H328" s="55"/>
      <c r="I328" s="12"/>
    </row>
    <row r="329" ht="14.25" customHeight="1">
      <c r="B329" s="19"/>
      <c r="C329" s="19"/>
      <c r="D329" s="19"/>
      <c r="G329" s="55"/>
      <c r="H329" s="55"/>
      <c r="I329" s="12"/>
    </row>
    <row r="330" ht="14.25" customHeight="1">
      <c r="B330" s="19"/>
      <c r="C330" s="19"/>
      <c r="D330" s="19"/>
      <c r="G330" s="55"/>
      <c r="H330" s="55"/>
      <c r="I330" s="12"/>
    </row>
    <row r="331" ht="14.25" customHeight="1">
      <c r="B331" s="19"/>
      <c r="C331" s="19"/>
      <c r="D331" s="19"/>
      <c r="G331" s="55"/>
      <c r="H331" s="55"/>
      <c r="I331" s="12"/>
    </row>
    <row r="332" ht="14.25" customHeight="1">
      <c r="B332" s="19"/>
      <c r="C332" s="19"/>
      <c r="D332" s="19"/>
      <c r="G332" s="55"/>
      <c r="H332" s="55"/>
      <c r="I332" s="12"/>
    </row>
    <row r="333" ht="14.25" customHeight="1">
      <c r="B333" s="19"/>
      <c r="C333" s="19"/>
      <c r="D333" s="19"/>
      <c r="G333" s="55"/>
      <c r="H333" s="55"/>
      <c r="I333" s="12"/>
    </row>
    <row r="334" ht="14.25" customHeight="1">
      <c r="B334" s="19"/>
      <c r="C334" s="19"/>
      <c r="D334" s="19"/>
      <c r="G334" s="55"/>
      <c r="H334" s="55"/>
      <c r="I334" s="12"/>
    </row>
    <row r="335" ht="14.25" customHeight="1">
      <c r="B335" s="19"/>
      <c r="C335" s="19"/>
      <c r="D335" s="19"/>
      <c r="G335" s="55"/>
      <c r="H335" s="55"/>
      <c r="I335" s="12"/>
    </row>
    <row r="336" ht="14.25" customHeight="1">
      <c r="B336" s="19"/>
      <c r="C336" s="19"/>
      <c r="D336" s="19"/>
      <c r="G336" s="55"/>
      <c r="H336" s="55"/>
      <c r="I336" s="12"/>
    </row>
    <row r="337" ht="14.25" customHeight="1">
      <c r="B337" s="19"/>
      <c r="C337" s="19"/>
      <c r="D337" s="19"/>
      <c r="G337" s="55"/>
      <c r="H337" s="55"/>
      <c r="I337" s="12"/>
    </row>
    <row r="338" ht="14.25" customHeight="1">
      <c r="B338" s="19"/>
      <c r="C338" s="19"/>
      <c r="D338" s="19"/>
      <c r="G338" s="55"/>
      <c r="H338" s="55"/>
      <c r="I338" s="12"/>
    </row>
    <row r="339" ht="14.25" customHeight="1">
      <c r="B339" s="19"/>
      <c r="C339" s="19"/>
      <c r="D339" s="19"/>
      <c r="G339" s="55"/>
      <c r="H339" s="55"/>
      <c r="I339" s="12"/>
    </row>
    <row r="340" ht="14.25" customHeight="1">
      <c r="B340" s="19"/>
      <c r="C340" s="19"/>
      <c r="D340" s="19"/>
      <c r="G340" s="55"/>
      <c r="H340" s="55"/>
      <c r="I340" s="12"/>
    </row>
    <row r="341" ht="14.25" customHeight="1">
      <c r="B341" s="19"/>
      <c r="C341" s="19"/>
      <c r="D341" s="19"/>
      <c r="G341" s="55"/>
      <c r="H341" s="55"/>
      <c r="I341" s="12"/>
    </row>
    <row r="342" ht="14.25" customHeight="1">
      <c r="B342" s="19"/>
      <c r="C342" s="19"/>
      <c r="D342" s="19"/>
      <c r="G342" s="55"/>
      <c r="H342" s="55"/>
      <c r="I342" s="12"/>
    </row>
    <row r="343" ht="14.25" customHeight="1">
      <c r="B343" s="19"/>
      <c r="C343" s="19"/>
      <c r="D343" s="19"/>
      <c r="G343" s="55"/>
      <c r="H343" s="55"/>
      <c r="I343" s="12"/>
    </row>
    <row r="344" ht="14.25" customHeight="1">
      <c r="B344" s="19"/>
      <c r="C344" s="19"/>
      <c r="D344" s="19"/>
      <c r="G344" s="55"/>
      <c r="H344" s="55"/>
      <c r="I344" s="12"/>
    </row>
    <row r="345" ht="14.25" customHeight="1">
      <c r="B345" s="19"/>
      <c r="C345" s="19"/>
      <c r="D345" s="19"/>
      <c r="G345" s="55"/>
      <c r="H345" s="55"/>
      <c r="I345" s="12"/>
    </row>
    <row r="346" ht="14.25" customHeight="1">
      <c r="B346" s="19"/>
      <c r="C346" s="19"/>
      <c r="D346" s="19"/>
      <c r="G346" s="55"/>
      <c r="H346" s="55"/>
      <c r="I346" s="12"/>
    </row>
    <row r="347" ht="14.25" customHeight="1">
      <c r="B347" s="19"/>
      <c r="C347" s="19"/>
      <c r="D347" s="19"/>
      <c r="G347" s="55"/>
      <c r="H347" s="55"/>
      <c r="I347" s="12"/>
    </row>
    <row r="348" ht="14.25" customHeight="1">
      <c r="B348" s="19"/>
      <c r="C348" s="19"/>
      <c r="D348" s="19"/>
      <c r="G348" s="55"/>
      <c r="H348" s="55"/>
      <c r="I348" s="12"/>
    </row>
    <row r="349" ht="14.25" customHeight="1">
      <c r="B349" s="19"/>
      <c r="C349" s="19"/>
      <c r="D349" s="19"/>
      <c r="G349" s="55"/>
      <c r="H349" s="55"/>
      <c r="I349" s="12"/>
    </row>
    <row r="350" ht="14.25" customHeight="1">
      <c r="B350" s="19"/>
      <c r="C350" s="19"/>
      <c r="D350" s="19"/>
      <c r="G350" s="55"/>
      <c r="H350" s="55"/>
      <c r="I350" s="12"/>
    </row>
    <row r="351" ht="14.25" customHeight="1">
      <c r="B351" s="19"/>
      <c r="C351" s="19"/>
      <c r="D351" s="19"/>
      <c r="G351" s="55"/>
      <c r="H351" s="55"/>
      <c r="I351" s="12"/>
    </row>
    <row r="352" ht="14.25" customHeight="1">
      <c r="B352" s="19"/>
      <c r="C352" s="19"/>
      <c r="D352" s="19"/>
      <c r="G352" s="55"/>
      <c r="H352" s="55"/>
      <c r="I352" s="12"/>
    </row>
    <row r="353" ht="14.25" customHeight="1">
      <c r="B353" s="19"/>
      <c r="C353" s="19"/>
      <c r="D353" s="19"/>
      <c r="G353" s="55"/>
      <c r="H353" s="55"/>
      <c r="I353" s="12"/>
    </row>
    <row r="354" ht="14.25" customHeight="1">
      <c r="B354" s="19"/>
      <c r="C354" s="19"/>
      <c r="D354" s="19"/>
      <c r="G354" s="55"/>
      <c r="H354" s="55"/>
      <c r="I354" s="12"/>
    </row>
    <row r="355" ht="14.25" customHeight="1">
      <c r="B355" s="19"/>
      <c r="C355" s="19"/>
      <c r="D355" s="19"/>
      <c r="G355" s="55"/>
      <c r="H355" s="55"/>
      <c r="I355" s="12"/>
    </row>
    <row r="356" ht="14.25" customHeight="1">
      <c r="B356" s="19"/>
      <c r="C356" s="19"/>
      <c r="D356" s="19"/>
      <c r="G356" s="55"/>
      <c r="H356" s="55"/>
      <c r="I356" s="12"/>
    </row>
    <row r="357" ht="14.25" customHeight="1">
      <c r="B357" s="19"/>
      <c r="C357" s="19"/>
      <c r="D357" s="19"/>
      <c r="G357" s="55"/>
      <c r="H357" s="55"/>
      <c r="I357" s="12"/>
    </row>
    <row r="358" ht="14.25" customHeight="1">
      <c r="B358" s="19"/>
      <c r="C358" s="19"/>
      <c r="D358" s="19"/>
      <c r="G358" s="55"/>
      <c r="H358" s="55"/>
      <c r="I358" s="12"/>
    </row>
    <row r="359" ht="14.25" customHeight="1">
      <c r="B359" s="19"/>
      <c r="C359" s="19"/>
      <c r="D359" s="19"/>
      <c r="G359" s="55"/>
      <c r="H359" s="55"/>
      <c r="I359" s="12"/>
    </row>
    <row r="360" ht="14.25" customHeight="1">
      <c r="B360" s="19"/>
      <c r="C360" s="19"/>
      <c r="D360" s="19"/>
      <c r="G360" s="55"/>
      <c r="H360" s="55"/>
      <c r="I360" s="12"/>
    </row>
    <row r="361" ht="14.25" customHeight="1">
      <c r="B361" s="19"/>
      <c r="C361" s="19"/>
      <c r="D361" s="19"/>
      <c r="G361" s="55"/>
      <c r="H361" s="55"/>
      <c r="I361" s="12"/>
    </row>
    <row r="362" ht="14.25" customHeight="1">
      <c r="B362" s="19"/>
      <c r="C362" s="19"/>
      <c r="D362" s="19"/>
      <c r="G362" s="55"/>
      <c r="H362" s="55"/>
      <c r="I362" s="12"/>
    </row>
    <row r="363" ht="14.25" customHeight="1">
      <c r="B363" s="19"/>
      <c r="C363" s="19"/>
      <c r="D363" s="19"/>
      <c r="G363" s="55"/>
      <c r="H363" s="55"/>
      <c r="I363" s="12"/>
    </row>
    <row r="364" ht="14.25" customHeight="1">
      <c r="B364" s="19"/>
      <c r="C364" s="19"/>
      <c r="D364" s="19"/>
      <c r="G364" s="55"/>
      <c r="H364" s="55"/>
      <c r="I364" s="12"/>
    </row>
    <row r="365" ht="14.25" customHeight="1">
      <c r="B365" s="19"/>
      <c r="C365" s="19"/>
      <c r="D365" s="19"/>
      <c r="G365" s="55"/>
      <c r="H365" s="55"/>
      <c r="I365" s="12"/>
    </row>
    <row r="366" ht="14.25" customHeight="1">
      <c r="B366" s="19"/>
      <c r="C366" s="19"/>
      <c r="D366" s="19"/>
      <c r="G366" s="55"/>
      <c r="H366" s="55"/>
      <c r="I366" s="12"/>
    </row>
    <row r="367" ht="14.25" customHeight="1">
      <c r="B367" s="19"/>
      <c r="C367" s="19"/>
      <c r="D367" s="19"/>
      <c r="G367" s="55"/>
      <c r="H367" s="55"/>
      <c r="I367" s="12"/>
    </row>
    <row r="368" ht="14.25" customHeight="1">
      <c r="B368" s="19"/>
      <c r="C368" s="19"/>
      <c r="D368" s="19"/>
      <c r="G368" s="55"/>
      <c r="H368" s="55"/>
      <c r="I368" s="12"/>
    </row>
    <row r="369" ht="14.25" customHeight="1">
      <c r="B369" s="19"/>
      <c r="C369" s="19"/>
      <c r="D369" s="19"/>
      <c r="G369" s="55"/>
      <c r="H369" s="55"/>
      <c r="I369" s="12"/>
    </row>
    <row r="370" ht="14.25" customHeight="1">
      <c r="B370" s="19"/>
      <c r="C370" s="19"/>
      <c r="D370" s="19"/>
      <c r="G370" s="55"/>
      <c r="H370" s="55"/>
      <c r="I370" s="12"/>
    </row>
    <row r="371" ht="14.25" customHeight="1">
      <c r="B371" s="19"/>
      <c r="C371" s="19"/>
      <c r="D371" s="19"/>
      <c r="G371" s="55"/>
      <c r="H371" s="55"/>
      <c r="I371" s="12"/>
    </row>
    <row r="372" ht="14.25" customHeight="1">
      <c r="B372" s="19"/>
      <c r="C372" s="19"/>
      <c r="D372" s="19"/>
      <c r="G372" s="55"/>
      <c r="H372" s="55"/>
      <c r="I372" s="12"/>
    </row>
    <row r="373" ht="14.25" customHeight="1">
      <c r="B373" s="19"/>
      <c r="C373" s="19"/>
      <c r="D373" s="19"/>
      <c r="G373" s="55"/>
      <c r="H373" s="55"/>
      <c r="I373" s="12"/>
    </row>
    <row r="374" ht="14.25" customHeight="1">
      <c r="B374" s="19"/>
      <c r="C374" s="19"/>
      <c r="D374" s="19"/>
      <c r="G374" s="55"/>
      <c r="H374" s="55"/>
      <c r="I374" s="12"/>
    </row>
    <row r="375" ht="14.25" customHeight="1">
      <c r="B375" s="19"/>
      <c r="C375" s="19"/>
      <c r="D375" s="19"/>
      <c r="G375" s="55"/>
      <c r="H375" s="55"/>
      <c r="I375" s="12"/>
    </row>
    <row r="376" ht="14.25" customHeight="1">
      <c r="B376" s="19"/>
      <c r="C376" s="19"/>
      <c r="D376" s="19"/>
      <c r="G376" s="55"/>
      <c r="H376" s="55"/>
      <c r="I376" s="12"/>
    </row>
    <row r="377" ht="14.25" customHeight="1">
      <c r="B377" s="19"/>
      <c r="C377" s="19"/>
      <c r="D377" s="19"/>
      <c r="G377" s="55"/>
      <c r="H377" s="55"/>
      <c r="I377" s="12"/>
    </row>
    <row r="378" ht="14.25" customHeight="1">
      <c r="B378" s="19"/>
      <c r="C378" s="19"/>
      <c r="D378" s="19"/>
      <c r="G378" s="55"/>
      <c r="H378" s="55"/>
      <c r="I378" s="12"/>
    </row>
    <row r="379" ht="14.25" customHeight="1">
      <c r="B379" s="19"/>
      <c r="C379" s="19"/>
      <c r="D379" s="19"/>
      <c r="G379" s="55"/>
      <c r="H379" s="55"/>
      <c r="I379" s="12"/>
    </row>
    <row r="380" ht="14.25" customHeight="1">
      <c r="B380" s="19"/>
      <c r="C380" s="19"/>
      <c r="D380" s="19"/>
      <c r="G380" s="55"/>
      <c r="H380" s="55"/>
      <c r="I380" s="12"/>
    </row>
    <row r="381" ht="14.25" customHeight="1">
      <c r="B381" s="19"/>
      <c r="C381" s="19"/>
      <c r="D381" s="19"/>
      <c r="G381" s="55"/>
      <c r="H381" s="55"/>
      <c r="I381" s="12"/>
    </row>
    <row r="382" ht="14.25" customHeight="1">
      <c r="B382" s="19"/>
      <c r="C382" s="19"/>
      <c r="D382" s="19"/>
      <c r="G382" s="55"/>
      <c r="H382" s="55"/>
      <c r="I382" s="12"/>
    </row>
    <row r="383" ht="14.25" customHeight="1">
      <c r="B383" s="19"/>
      <c r="C383" s="19"/>
      <c r="D383" s="19"/>
      <c r="G383" s="55"/>
      <c r="H383" s="55"/>
      <c r="I383" s="12"/>
    </row>
    <row r="384" ht="14.25" customHeight="1">
      <c r="B384" s="19"/>
      <c r="C384" s="19"/>
      <c r="D384" s="19"/>
      <c r="G384" s="55"/>
      <c r="H384" s="55"/>
      <c r="I384" s="12"/>
    </row>
    <row r="385" ht="14.25" customHeight="1">
      <c r="B385" s="19"/>
      <c r="C385" s="19"/>
      <c r="D385" s="19"/>
      <c r="G385" s="55"/>
      <c r="H385" s="55"/>
      <c r="I385" s="12"/>
    </row>
    <row r="386" ht="14.25" customHeight="1">
      <c r="B386" s="19"/>
      <c r="C386" s="19"/>
      <c r="D386" s="19"/>
      <c r="G386" s="55"/>
      <c r="H386" s="55"/>
      <c r="I386" s="12"/>
    </row>
    <row r="387" ht="14.25" customHeight="1">
      <c r="B387" s="19"/>
      <c r="C387" s="19"/>
      <c r="D387" s="19"/>
      <c r="G387" s="55"/>
      <c r="H387" s="55"/>
      <c r="I387" s="12"/>
    </row>
    <row r="388" ht="14.25" customHeight="1">
      <c r="B388" s="19"/>
      <c r="C388" s="19"/>
      <c r="D388" s="19"/>
      <c r="G388" s="55"/>
      <c r="H388" s="55"/>
      <c r="I388" s="12"/>
    </row>
    <row r="389" ht="14.25" customHeight="1">
      <c r="B389" s="19"/>
      <c r="C389" s="19"/>
      <c r="D389" s="19"/>
      <c r="G389" s="55"/>
      <c r="H389" s="55"/>
      <c r="I389" s="12"/>
    </row>
    <row r="390" ht="14.25" customHeight="1">
      <c r="B390" s="19"/>
      <c r="C390" s="19"/>
      <c r="D390" s="19"/>
      <c r="G390" s="55"/>
      <c r="H390" s="55"/>
      <c r="I390" s="12"/>
    </row>
    <row r="391" ht="14.25" customHeight="1">
      <c r="B391" s="19"/>
      <c r="C391" s="19"/>
      <c r="D391" s="19"/>
      <c r="G391" s="55"/>
      <c r="H391" s="55"/>
      <c r="I391" s="12"/>
    </row>
    <row r="392" ht="14.25" customHeight="1">
      <c r="B392" s="19"/>
      <c r="C392" s="19"/>
      <c r="D392" s="19"/>
      <c r="G392" s="55"/>
      <c r="H392" s="55"/>
      <c r="I392" s="12"/>
    </row>
    <row r="393" ht="14.25" customHeight="1">
      <c r="B393" s="19"/>
      <c r="C393" s="19"/>
      <c r="D393" s="19"/>
      <c r="G393" s="55"/>
      <c r="H393" s="55"/>
      <c r="I393" s="12"/>
    </row>
    <row r="394" ht="14.25" customHeight="1">
      <c r="B394" s="19"/>
      <c r="C394" s="19"/>
      <c r="D394" s="19"/>
      <c r="G394" s="55"/>
      <c r="H394" s="55"/>
      <c r="I394" s="12"/>
    </row>
    <row r="395" ht="14.25" customHeight="1">
      <c r="B395" s="19"/>
      <c r="C395" s="19"/>
      <c r="D395" s="19"/>
      <c r="G395" s="55"/>
      <c r="H395" s="55"/>
      <c r="I395" s="12"/>
    </row>
    <row r="396" ht="14.25" customHeight="1">
      <c r="B396" s="19"/>
      <c r="C396" s="19"/>
      <c r="D396" s="19"/>
      <c r="G396" s="55"/>
      <c r="H396" s="55"/>
      <c r="I396" s="12"/>
    </row>
    <row r="397" ht="14.25" customHeight="1">
      <c r="B397" s="19"/>
      <c r="C397" s="19"/>
      <c r="D397" s="19"/>
      <c r="G397" s="55"/>
      <c r="H397" s="55"/>
      <c r="I397" s="12"/>
    </row>
    <row r="398" ht="14.25" customHeight="1">
      <c r="B398" s="19"/>
      <c r="C398" s="19"/>
      <c r="D398" s="19"/>
      <c r="G398" s="55"/>
      <c r="H398" s="55"/>
      <c r="I398" s="12"/>
    </row>
    <row r="399" ht="14.25" customHeight="1">
      <c r="B399" s="19"/>
      <c r="C399" s="19"/>
      <c r="D399" s="19"/>
      <c r="G399" s="55"/>
      <c r="H399" s="55"/>
      <c r="I399" s="12"/>
    </row>
    <row r="400" ht="14.25" customHeight="1">
      <c r="B400" s="19"/>
      <c r="C400" s="19"/>
      <c r="D400" s="19"/>
      <c r="G400" s="55"/>
      <c r="H400" s="55"/>
      <c r="I400" s="12"/>
    </row>
    <row r="401" ht="14.25" customHeight="1">
      <c r="B401" s="19"/>
      <c r="C401" s="19"/>
      <c r="D401" s="19"/>
      <c r="G401" s="55"/>
      <c r="H401" s="55"/>
      <c r="I401" s="12"/>
    </row>
    <row r="402" ht="14.25" customHeight="1">
      <c r="B402" s="19"/>
      <c r="C402" s="19"/>
      <c r="D402" s="19"/>
      <c r="G402" s="55"/>
      <c r="H402" s="55"/>
      <c r="I402" s="12"/>
    </row>
    <row r="403" ht="14.25" customHeight="1">
      <c r="B403" s="19"/>
      <c r="C403" s="19"/>
      <c r="D403" s="19"/>
      <c r="G403" s="55"/>
      <c r="H403" s="55"/>
      <c r="I403" s="12"/>
    </row>
    <row r="404" ht="14.25" customHeight="1">
      <c r="B404" s="19"/>
      <c r="C404" s="19"/>
      <c r="D404" s="19"/>
      <c r="G404" s="55"/>
      <c r="H404" s="55"/>
      <c r="I404" s="12"/>
    </row>
    <row r="405" ht="14.25" customHeight="1">
      <c r="B405" s="19"/>
      <c r="C405" s="19"/>
      <c r="D405" s="19"/>
      <c r="G405" s="55"/>
      <c r="H405" s="55"/>
      <c r="I405" s="12"/>
    </row>
    <row r="406" ht="14.25" customHeight="1">
      <c r="B406" s="19"/>
      <c r="C406" s="19"/>
      <c r="D406" s="19"/>
      <c r="G406" s="55"/>
      <c r="H406" s="55"/>
      <c r="I406" s="12"/>
    </row>
    <row r="407" ht="14.25" customHeight="1">
      <c r="B407" s="19"/>
      <c r="C407" s="19"/>
      <c r="D407" s="19"/>
      <c r="G407" s="55"/>
      <c r="H407" s="55"/>
      <c r="I407" s="12"/>
    </row>
    <row r="408" ht="14.25" customHeight="1">
      <c r="B408" s="19"/>
      <c r="C408" s="19"/>
      <c r="D408" s="19"/>
      <c r="G408" s="55"/>
      <c r="H408" s="55"/>
      <c r="I408" s="12"/>
    </row>
    <row r="409" ht="14.25" customHeight="1">
      <c r="B409" s="19"/>
      <c r="C409" s="19"/>
      <c r="D409" s="19"/>
      <c r="G409" s="55"/>
      <c r="H409" s="55"/>
      <c r="I409" s="12"/>
    </row>
    <row r="410" ht="14.25" customHeight="1">
      <c r="B410" s="19"/>
      <c r="C410" s="19"/>
      <c r="D410" s="19"/>
      <c r="G410" s="55"/>
      <c r="H410" s="55"/>
      <c r="I410" s="12"/>
    </row>
    <row r="411" ht="14.25" customHeight="1">
      <c r="B411" s="19"/>
      <c r="C411" s="19"/>
      <c r="D411" s="19"/>
      <c r="G411" s="55"/>
      <c r="H411" s="55"/>
      <c r="I411" s="12"/>
    </row>
    <row r="412" ht="14.25" customHeight="1">
      <c r="B412" s="19"/>
      <c r="C412" s="19"/>
      <c r="D412" s="19"/>
      <c r="G412" s="55"/>
      <c r="H412" s="55"/>
      <c r="I412" s="12"/>
    </row>
    <row r="413" ht="14.25" customHeight="1">
      <c r="B413" s="19"/>
      <c r="C413" s="19"/>
      <c r="D413" s="19"/>
      <c r="G413" s="55"/>
      <c r="H413" s="55"/>
      <c r="I413" s="12"/>
    </row>
    <row r="414" ht="14.25" customHeight="1">
      <c r="B414" s="19"/>
      <c r="C414" s="19"/>
      <c r="D414" s="19"/>
      <c r="G414" s="55"/>
      <c r="H414" s="55"/>
      <c r="I414" s="12"/>
    </row>
    <row r="415" ht="14.25" customHeight="1">
      <c r="B415" s="19"/>
      <c r="C415" s="19"/>
      <c r="D415" s="19"/>
      <c r="G415" s="55"/>
      <c r="H415" s="55"/>
      <c r="I415" s="12"/>
    </row>
    <row r="416" ht="14.25" customHeight="1">
      <c r="B416" s="19"/>
      <c r="C416" s="19"/>
      <c r="D416" s="19"/>
      <c r="G416" s="55"/>
      <c r="H416" s="55"/>
      <c r="I416" s="12"/>
    </row>
    <row r="417" ht="14.25" customHeight="1">
      <c r="B417" s="19"/>
      <c r="C417" s="19"/>
      <c r="D417" s="19"/>
      <c r="G417" s="55"/>
      <c r="H417" s="55"/>
      <c r="I417" s="12"/>
    </row>
    <row r="418" ht="14.25" customHeight="1">
      <c r="B418" s="19"/>
      <c r="C418" s="19"/>
      <c r="D418" s="19"/>
      <c r="G418" s="55"/>
      <c r="H418" s="55"/>
      <c r="I418" s="12"/>
    </row>
    <row r="419" ht="14.25" customHeight="1">
      <c r="B419" s="19"/>
      <c r="C419" s="19"/>
      <c r="D419" s="19"/>
      <c r="G419" s="55"/>
      <c r="H419" s="55"/>
      <c r="I419" s="12"/>
    </row>
    <row r="420" ht="14.25" customHeight="1">
      <c r="B420" s="19"/>
      <c r="C420" s="19"/>
      <c r="D420" s="19"/>
      <c r="G420" s="55"/>
      <c r="H420" s="55"/>
      <c r="I420" s="12"/>
    </row>
    <row r="421" ht="14.25" customHeight="1">
      <c r="B421" s="19"/>
      <c r="C421" s="19"/>
      <c r="D421" s="19"/>
      <c r="G421" s="55"/>
      <c r="H421" s="55"/>
      <c r="I421" s="12"/>
    </row>
    <row r="422" ht="14.25" customHeight="1">
      <c r="B422" s="19"/>
      <c r="C422" s="19"/>
      <c r="D422" s="19"/>
      <c r="G422" s="55"/>
      <c r="H422" s="55"/>
      <c r="I422" s="12"/>
    </row>
    <row r="423" ht="14.25" customHeight="1">
      <c r="B423" s="19"/>
      <c r="C423" s="19"/>
      <c r="D423" s="19"/>
      <c r="G423" s="55"/>
      <c r="H423" s="55"/>
      <c r="I423" s="12"/>
    </row>
    <row r="424" ht="14.25" customHeight="1">
      <c r="B424" s="19"/>
      <c r="C424" s="19"/>
      <c r="D424" s="19"/>
      <c r="G424" s="55"/>
      <c r="H424" s="55"/>
      <c r="I424" s="12"/>
    </row>
    <row r="425" ht="14.25" customHeight="1">
      <c r="B425" s="19"/>
      <c r="C425" s="19"/>
      <c r="D425" s="19"/>
      <c r="G425" s="55"/>
      <c r="H425" s="55"/>
      <c r="I425" s="12"/>
    </row>
    <row r="426" ht="14.25" customHeight="1">
      <c r="B426" s="19"/>
      <c r="C426" s="19"/>
      <c r="D426" s="19"/>
      <c r="G426" s="55"/>
      <c r="H426" s="55"/>
      <c r="I426" s="12"/>
    </row>
    <row r="427" ht="14.25" customHeight="1">
      <c r="B427" s="19"/>
      <c r="C427" s="19"/>
      <c r="D427" s="19"/>
      <c r="G427" s="55"/>
      <c r="H427" s="55"/>
      <c r="I427" s="12"/>
    </row>
    <row r="428" ht="14.25" customHeight="1">
      <c r="B428" s="19"/>
      <c r="C428" s="19"/>
      <c r="D428" s="19"/>
      <c r="G428" s="55"/>
      <c r="H428" s="55"/>
      <c r="I428" s="12"/>
    </row>
    <row r="429" ht="14.25" customHeight="1">
      <c r="B429" s="19"/>
      <c r="C429" s="19"/>
      <c r="D429" s="19"/>
      <c r="G429" s="55"/>
      <c r="H429" s="55"/>
      <c r="I429" s="12"/>
    </row>
    <row r="430" ht="14.25" customHeight="1">
      <c r="B430" s="19"/>
      <c r="C430" s="19"/>
      <c r="D430" s="19"/>
      <c r="G430" s="55"/>
      <c r="H430" s="55"/>
      <c r="I430" s="12"/>
    </row>
    <row r="431" ht="14.25" customHeight="1">
      <c r="B431" s="19"/>
      <c r="C431" s="19"/>
      <c r="D431" s="19"/>
      <c r="G431" s="55"/>
      <c r="H431" s="55"/>
      <c r="I431" s="12"/>
    </row>
    <row r="432" ht="14.25" customHeight="1">
      <c r="B432" s="19"/>
      <c r="C432" s="19"/>
      <c r="D432" s="19"/>
      <c r="G432" s="55"/>
      <c r="H432" s="55"/>
      <c r="I432" s="12"/>
    </row>
    <row r="433" ht="14.25" customHeight="1">
      <c r="B433" s="19"/>
      <c r="C433" s="19"/>
      <c r="D433" s="19"/>
      <c r="G433" s="55"/>
      <c r="H433" s="55"/>
      <c r="I433" s="12"/>
    </row>
    <row r="434" ht="14.25" customHeight="1">
      <c r="B434" s="19"/>
      <c r="C434" s="19"/>
      <c r="D434" s="19"/>
      <c r="G434" s="55"/>
      <c r="H434" s="55"/>
      <c r="I434" s="12"/>
    </row>
    <row r="435" ht="14.25" customHeight="1">
      <c r="B435" s="19"/>
      <c r="C435" s="19"/>
      <c r="D435" s="19"/>
      <c r="G435" s="55"/>
      <c r="H435" s="55"/>
      <c r="I435" s="12"/>
    </row>
    <row r="436" ht="14.25" customHeight="1">
      <c r="B436" s="19"/>
      <c r="C436" s="19"/>
      <c r="D436" s="19"/>
      <c r="G436" s="55"/>
      <c r="H436" s="55"/>
      <c r="I436" s="12"/>
    </row>
    <row r="437" ht="14.25" customHeight="1">
      <c r="B437" s="19"/>
      <c r="C437" s="19"/>
      <c r="D437" s="19"/>
      <c r="G437" s="55"/>
      <c r="H437" s="55"/>
      <c r="I437" s="12"/>
    </row>
    <row r="438" ht="14.25" customHeight="1">
      <c r="B438" s="19"/>
      <c r="C438" s="19"/>
      <c r="D438" s="19"/>
      <c r="G438" s="55"/>
      <c r="H438" s="55"/>
      <c r="I438" s="12"/>
    </row>
    <row r="439" ht="14.25" customHeight="1">
      <c r="B439" s="19"/>
      <c r="C439" s="19"/>
      <c r="D439" s="19"/>
      <c r="G439" s="55"/>
      <c r="H439" s="55"/>
      <c r="I439" s="12"/>
    </row>
    <row r="440" ht="14.25" customHeight="1">
      <c r="B440" s="19"/>
      <c r="C440" s="19"/>
      <c r="D440" s="19"/>
      <c r="G440" s="55"/>
      <c r="H440" s="55"/>
      <c r="I440" s="12"/>
    </row>
    <row r="441" ht="14.25" customHeight="1">
      <c r="B441" s="19"/>
      <c r="C441" s="19"/>
      <c r="D441" s="19"/>
      <c r="G441" s="55"/>
      <c r="H441" s="55"/>
      <c r="I441" s="12"/>
    </row>
    <row r="442" ht="14.25" customHeight="1">
      <c r="B442" s="19"/>
      <c r="C442" s="19"/>
      <c r="D442" s="19"/>
      <c r="G442" s="55"/>
      <c r="H442" s="55"/>
      <c r="I442" s="12"/>
    </row>
    <row r="443" ht="14.25" customHeight="1">
      <c r="B443" s="19"/>
      <c r="C443" s="19"/>
      <c r="D443" s="19"/>
      <c r="G443" s="55"/>
      <c r="H443" s="55"/>
      <c r="I443" s="12"/>
    </row>
    <row r="444" ht="14.25" customHeight="1">
      <c r="B444" s="19"/>
      <c r="C444" s="19"/>
      <c r="D444" s="19"/>
      <c r="G444" s="55"/>
      <c r="H444" s="55"/>
      <c r="I444" s="12"/>
    </row>
    <row r="445" ht="14.25" customHeight="1">
      <c r="B445" s="19"/>
      <c r="C445" s="19"/>
      <c r="D445" s="19"/>
      <c r="G445" s="55"/>
      <c r="H445" s="55"/>
      <c r="I445" s="12"/>
    </row>
    <row r="446" ht="14.25" customHeight="1">
      <c r="B446" s="19"/>
      <c r="C446" s="19"/>
      <c r="D446" s="19"/>
      <c r="G446" s="55"/>
      <c r="H446" s="55"/>
      <c r="I446" s="12"/>
    </row>
    <row r="447" ht="14.25" customHeight="1">
      <c r="B447" s="19"/>
      <c r="C447" s="19"/>
      <c r="D447" s="19"/>
      <c r="G447" s="55"/>
      <c r="H447" s="55"/>
      <c r="I447" s="12"/>
    </row>
    <row r="448" ht="14.25" customHeight="1">
      <c r="B448" s="19"/>
      <c r="C448" s="19"/>
      <c r="D448" s="19"/>
      <c r="G448" s="55"/>
      <c r="H448" s="55"/>
      <c r="I448" s="12"/>
    </row>
    <row r="449" ht="14.25" customHeight="1">
      <c r="B449" s="19"/>
      <c r="C449" s="19"/>
      <c r="D449" s="19"/>
      <c r="G449" s="55"/>
      <c r="H449" s="55"/>
      <c r="I449" s="12"/>
    </row>
    <row r="450" ht="14.25" customHeight="1">
      <c r="B450" s="19"/>
      <c r="C450" s="19"/>
      <c r="D450" s="19"/>
      <c r="G450" s="55"/>
      <c r="H450" s="55"/>
      <c r="I450" s="12"/>
    </row>
    <row r="451" ht="14.25" customHeight="1">
      <c r="B451" s="19"/>
      <c r="C451" s="19"/>
      <c r="D451" s="19"/>
      <c r="G451" s="55"/>
      <c r="H451" s="55"/>
      <c r="I451" s="12"/>
    </row>
    <row r="452" ht="14.25" customHeight="1">
      <c r="B452" s="19"/>
      <c r="C452" s="19"/>
      <c r="D452" s="19"/>
      <c r="G452" s="55"/>
      <c r="H452" s="55"/>
      <c r="I452" s="12"/>
    </row>
    <row r="453" ht="14.25" customHeight="1">
      <c r="B453" s="19"/>
      <c r="C453" s="19"/>
      <c r="D453" s="19"/>
      <c r="G453" s="55"/>
      <c r="H453" s="55"/>
      <c r="I453" s="12"/>
    </row>
    <row r="454" ht="14.25" customHeight="1">
      <c r="B454" s="19"/>
      <c r="C454" s="19"/>
      <c r="D454" s="19"/>
      <c r="G454" s="55"/>
      <c r="H454" s="55"/>
      <c r="I454" s="12"/>
    </row>
    <row r="455" ht="14.25" customHeight="1">
      <c r="B455" s="19"/>
      <c r="C455" s="19"/>
      <c r="D455" s="19"/>
      <c r="G455" s="55"/>
      <c r="H455" s="55"/>
      <c r="I455" s="12"/>
    </row>
    <row r="456" ht="14.25" customHeight="1">
      <c r="B456" s="19"/>
      <c r="C456" s="19"/>
      <c r="D456" s="19"/>
      <c r="G456" s="55"/>
      <c r="H456" s="55"/>
      <c r="I456" s="12"/>
    </row>
    <row r="457" ht="14.25" customHeight="1">
      <c r="B457" s="19"/>
      <c r="C457" s="19"/>
      <c r="D457" s="19"/>
      <c r="G457" s="55"/>
      <c r="H457" s="55"/>
      <c r="I457" s="12"/>
    </row>
    <row r="458" ht="14.25" customHeight="1">
      <c r="B458" s="19"/>
      <c r="C458" s="19"/>
      <c r="D458" s="19"/>
      <c r="G458" s="55"/>
      <c r="H458" s="55"/>
      <c r="I458" s="12"/>
    </row>
    <row r="459" ht="14.25" customHeight="1">
      <c r="B459" s="19"/>
      <c r="C459" s="19"/>
      <c r="D459" s="19"/>
      <c r="G459" s="55"/>
      <c r="H459" s="55"/>
      <c r="I459" s="12"/>
    </row>
    <row r="460" ht="14.25" customHeight="1">
      <c r="B460" s="19"/>
      <c r="C460" s="19"/>
      <c r="D460" s="19"/>
      <c r="G460" s="55"/>
      <c r="H460" s="55"/>
      <c r="I460" s="12"/>
    </row>
    <row r="461" ht="14.25" customHeight="1">
      <c r="B461" s="19"/>
      <c r="C461" s="19"/>
      <c r="D461" s="19"/>
      <c r="G461" s="55"/>
      <c r="H461" s="55"/>
      <c r="I461" s="12"/>
    </row>
    <row r="462" ht="14.25" customHeight="1">
      <c r="B462" s="19"/>
      <c r="C462" s="19"/>
      <c r="D462" s="19"/>
      <c r="G462" s="55"/>
      <c r="H462" s="55"/>
      <c r="I462" s="12"/>
    </row>
    <row r="463" ht="14.25" customHeight="1">
      <c r="B463" s="19"/>
      <c r="C463" s="19"/>
      <c r="D463" s="19"/>
      <c r="G463" s="55"/>
      <c r="H463" s="55"/>
      <c r="I463" s="12"/>
    </row>
    <row r="464" ht="14.25" customHeight="1">
      <c r="B464" s="19"/>
      <c r="C464" s="19"/>
      <c r="D464" s="19"/>
      <c r="G464" s="55"/>
      <c r="H464" s="55"/>
      <c r="I464" s="12"/>
    </row>
    <row r="465" ht="14.25" customHeight="1">
      <c r="B465" s="19"/>
      <c r="C465" s="19"/>
      <c r="D465" s="19"/>
      <c r="G465" s="55"/>
      <c r="H465" s="55"/>
      <c r="I465" s="12"/>
    </row>
    <row r="466" ht="14.25" customHeight="1">
      <c r="B466" s="19"/>
      <c r="C466" s="19"/>
      <c r="D466" s="19"/>
      <c r="G466" s="55"/>
      <c r="H466" s="55"/>
      <c r="I466" s="12"/>
    </row>
    <row r="467" ht="14.25" customHeight="1">
      <c r="B467" s="19"/>
      <c r="C467" s="19"/>
      <c r="D467" s="19"/>
      <c r="G467" s="55"/>
      <c r="H467" s="55"/>
      <c r="I467" s="12"/>
    </row>
    <row r="468" ht="14.25" customHeight="1">
      <c r="B468" s="19"/>
      <c r="C468" s="19"/>
      <c r="D468" s="19"/>
      <c r="G468" s="55"/>
      <c r="H468" s="55"/>
      <c r="I468" s="12"/>
    </row>
    <row r="469" ht="14.25" customHeight="1">
      <c r="B469" s="19"/>
      <c r="C469" s="19"/>
      <c r="D469" s="19"/>
      <c r="G469" s="55"/>
      <c r="H469" s="55"/>
      <c r="I469" s="12"/>
    </row>
    <row r="470" ht="14.25" customHeight="1">
      <c r="B470" s="19"/>
      <c r="C470" s="19"/>
      <c r="D470" s="19"/>
      <c r="G470" s="55"/>
      <c r="H470" s="55"/>
      <c r="I470" s="12"/>
    </row>
    <row r="471" ht="14.25" customHeight="1">
      <c r="B471" s="19"/>
      <c r="C471" s="19"/>
      <c r="D471" s="19"/>
      <c r="G471" s="55"/>
      <c r="H471" s="55"/>
      <c r="I471" s="12"/>
    </row>
    <row r="472" ht="14.25" customHeight="1">
      <c r="B472" s="19"/>
      <c r="C472" s="19"/>
      <c r="D472" s="19"/>
      <c r="G472" s="55"/>
      <c r="H472" s="55"/>
      <c r="I472" s="12"/>
    </row>
    <row r="473" ht="14.25" customHeight="1">
      <c r="B473" s="19"/>
      <c r="C473" s="19"/>
      <c r="D473" s="19"/>
      <c r="G473" s="55"/>
      <c r="H473" s="55"/>
      <c r="I473" s="12"/>
    </row>
    <row r="474" ht="14.25" customHeight="1">
      <c r="B474" s="19"/>
      <c r="C474" s="19"/>
      <c r="D474" s="19"/>
      <c r="G474" s="55"/>
      <c r="H474" s="55"/>
      <c r="I474" s="12"/>
    </row>
    <row r="475" ht="14.25" customHeight="1">
      <c r="B475" s="19"/>
      <c r="C475" s="19"/>
      <c r="D475" s="19"/>
      <c r="G475" s="55"/>
      <c r="H475" s="55"/>
      <c r="I475" s="12"/>
    </row>
    <row r="476" ht="14.25" customHeight="1">
      <c r="B476" s="19"/>
      <c r="C476" s="19"/>
      <c r="D476" s="19"/>
      <c r="G476" s="55"/>
      <c r="H476" s="55"/>
      <c r="I476" s="12"/>
    </row>
    <row r="477" ht="14.25" customHeight="1">
      <c r="B477" s="19"/>
      <c r="C477" s="19"/>
      <c r="D477" s="19"/>
      <c r="G477" s="55"/>
      <c r="H477" s="55"/>
      <c r="I477" s="12"/>
    </row>
    <row r="478" ht="14.25" customHeight="1">
      <c r="B478" s="19"/>
      <c r="C478" s="19"/>
      <c r="D478" s="19"/>
      <c r="G478" s="55"/>
      <c r="H478" s="55"/>
      <c r="I478" s="12"/>
    </row>
    <row r="479" ht="14.25" customHeight="1">
      <c r="B479" s="19"/>
      <c r="C479" s="19"/>
      <c r="D479" s="19"/>
      <c r="G479" s="55"/>
      <c r="H479" s="55"/>
      <c r="I479" s="12"/>
    </row>
    <row r="480" ht="14.25" customHeight="1">
      <c r="B480" s="19"/>
      <c r="C480" s="19"/>
      <c r="D480" s="19"/>
      <c r="G480" s="55"/>
      <c r="H480" s="55"/>
      <c r="I480" s="12"/>
    </row>
    <row r="481" ht="14.25" customHeight="1">
      <c r="B481" s="19"/>
      <c r="C481" s="19"/>
      <c r="D481" s="19"/>
      <c r="G481" s="55"/>
      <c r="H481" s="55"/>
      <c r="I481" s="12"/>
    </row>
    <row r="482" ht="14.25" customHeight="1">
      <c r="B482" s="19"/>
      <c r="C482" s="19"/>
      <c r="D482" s="19"/>
      <c r="G482" s="55"/>
      <c r="H482" s="55"/>
      <c r="I482" s="12"/>
    </row>
    <row r="483" ht="14.25" customHeight="1">
      <c r="B483" s="19"/>
      <c r="C483" s="19"/>
      <c r="D483" s="19"/>
      <c r="G483" s="55"/>
      <c r="H483" s="55"/>
      <c r="I483" s="12"/>
    </row>
    <row r="484" ht="14.25" customHeight="1">
      <c r="B484" s="19"/>
      <c r="C484" s="19"/>
      <c r="D484" s="19"/>
      <c r="G484" s="55"/>
      <c r="H484" s="55"/>
      <c r="I484" s="12"/>
    </row>
    <row r="485" ht="14.25" customHeight="1">
      <c r="B485" s="19"/>
      <c r="C485" s="19"/>
      <c r="D485" s="19"/>
      <c r="G485" s="55"/>
      <c r="H485" s="55"/>
      <c r="I485" s="12"/>
    </row>
    <row r="486" ht="14.25" customHeight="1">
      <c r="B486" s="19"/>
      <c r="C486" s="19"/>
      <c r="D486" s="19"/>
      <c r="G486" s="55"/>
      <c r="H486" s="55"/>
      <c r="I486" s="12"/>
    </row>
    <row r="487" ht="14.25" customHeight="1">
      <c r="B487" s="19"/>
      <c r="C487" s="19"/>
      <c r="D487" s="19"/>
      <c r="G487" s="55"/>
      <c r="H487" s="55"/>
      <c r="I487" s="12"/>
    </row>
    <row r="488" ht="14.25" customHeight="1">
      <c r="B488" s="19"/>
      <c r="C488" s="19"/>
      <c r="D488" s="19"/>
      <c r="G488" s="55"/>
      <c r="H488" s="55"/>
      <c r="I488" s="12"/>
    </row>
    <row r="489" ht="14.25" customHeight="1">
      <c r="B489" s="19"/>
      <c r="C489" s="19"/>
      <c r="D489" s="19"/>
      <c r="G489" s="55"/>
      <c r="H489" s="55"/>
      <c r="I489" s="12"/>
    </row>
    <row r="490" ht="14.25" customHeight="1">
      <c r="B490" s="19"/>
      <c r="C490" s="19"/>
      <c r="D490" s="19"/>
      <c r="G490" s="55"/>
      <c r="H490" s="55"/>
      <c r="I490" s="12"/>
    </row>
    <row r="491" ht="14.25" customHeight="1">
      <c r="B491" s="19"/>
      <c r="C491" s="19"/>
      <c r="D491" s="19"/>
      <c r="G491" s="55"/>
      <c r="H491" s="55"/>
      <c r="I491" s="12"/>
    </row>
    <row r="492" ht="14.25" customHeight="1">
      <c r="B492" s="19"/>
      <c r="C492" s="19"/>
      <c r="D492" s="19"/>
      <c r="G492" s="55"/>
      <c r="H492" s="55"/>
      <c r="I492" s="12"/>
    </row>
    <row r="493" ht="14.25" customHeight="1">
      <c r="B493" s="19"/>
      <c r="C493" s="19"/>
      <c r="D493" s="19"/>
      <c r="G493" s="55"/>
      <c r="H493" s="55"/>
      <c r="I493" s="12"/>
    </row>
    <row r="494" ht="14.25" customHeight="1">
      <c r="B494" s="19"/>
      <c r="C494" s="19"/>
      <c r="D494" s="19"/>
      <c r="G494" s="55"/>
      <c r="H494" s="55"/>
      <c r="I494" s="12"/>
    </row>
    <row r="495" ht="14.25" customHeight="1">
      <c r="B495" s="19"/>
      <c r="C495" s="19"/>
      <c r="D495" s="19"/>
      <c r="G495" s="55"/>
      <c r="H495" s="55"/>
      <c r="I495" s="12"/>
    </row>
    <row r="496" ht="14.25" customHeight="1">
      <c r="B496" s="19"/>
      <c r="C496" s="19"/>
      <c r="D496" s="19"/>
      <c r="G496" s="55"/>
      <c r="H496" s="55"/>
      <c r="I496" s="12"/>
    </row>
    <row r="497" ht="14.25" customHeight="1">
      <c r="B497" s="19"/>
      <c r="C497" s="19"/>
      <c r="D497" s="19"/>
      <c r="G497" s="55"/>
      <c r="H497" s="55"/>
      <c r="I497" s="12"/>
    </row>
    <row r="498" ht="14.25" customHeight="1">
      <c r="B498" s="19"/>
      <c r="C498" s="19"/>
      <c r="D498" s="19"/>
      <c r="G498" s="55"/>
      <c r="H498" s="55"/>
      <c r="I498" s="12"/>
    </row>
    <row r="499" ht="14.25" customHeight="1">
      <c r="B499" s="19"/>
      <c r="C499" s="19"/>
      <c r="D499" s="19"/>
      <c r="G499" s="55"/>
      <c r="H499" s="55"/>
      <c r="I499" s="12"/>
    </row>
    <row r="500" ht="14.25" customHeight="1">
      <c r="B500" s="19"/>
      <c r="C500" s="19"/>
      <c r="D500" s="19"/>
      <c r="G500" s="55"/>
      <c r="H500" s="55"/>
      <c r="I500" s="12"/>
    </row>
    <row r="501" ht="14.25" customHeight="1">
      <c r="B501" s="19"/>
      <c r="C501" s="19"/>
      <c r="D501" s="19"/>
      <c r="G501" s="55"/>
      <c r="H501" s="55"/>
      <c r="I501" s="12"/>
    </row>
    <row r="502" ht="14.25" customHeight="1">
      <c r="B502" s="19"/>
      <c r="C502" s="19"/>
      <c r="D502" s="19"/>
      <c r="G502" s="55"/>
      <c r="H502" s="55"/>
      <c r="I502" s="12"/>
    </row>
    <row r="503" ht="14.25" customHeight="1">
      <c r="B503" s="19"/>
      <c r="C503" s="19"/>
      <c r="D503" s="19"/>
      <c r="G503" s="55"/>
      <c r="H503" s="55"/>
      <c r="I503" s="12"/>
    </row>
    <row r="504" ht="14.25" customHeight="1">
      <c r="B504" s="19"/>
      <c r="C504" s="19"/>
      <c r="D504" s="19"/>
      <c r="G504" s="55"/>
      <c r="H504" s="55"/>
      <c r="I504" s="12"/>
    </row>
    <row r="505" ht="14.25" customHeight="1">
      <c r="B505" s="19"/>
      <c r="C505" s="19"/>
      <c r="D505" s="19"/>
      <c r="G505" s="55"/>
      <c r="H505" s="55"/>
      <c r="I505" s="12"/>
    </row>
    <row r="506" ht="14.25" customHeight="1">
      <c r="B506" s="19"/>
      <c r="C506" s="19"/>
      <c r="D506" s="19"/>
      <c r="G506" s="55"/>
      <c r="H506" s="55"/>
      <c r="I506" s="12"/>
    </row>
    <row r="507" ht="14.25" customHeight="1">
      <c r="B507" s="19"/>
      <c r="C507" s="19"/>
      <c r="D507" s="19"/>
      <c r="G507" s="55"/>
      <c r="H507" s="55"/>
      <c r="I507" s="12"/>
    </row>
    <row r="508" ht="14.25" customHeight="1">
      <c r="B508" s="19"/>
      <c r="C508" s="19"/>
      <c r="D508" s="19"/>
      <c r="G508" s="55"/>
      <c r="H508" s="55"/>
      <c r="I508" s="12"/>
    </row>
    <row r="509" ht="14.25" customHeight="1">
      <c r="B509" s="19"/>
      <c r="C509" s="19"/>
      <c r="D509" s="19"/>
      <c r="G509" s="55"/>
      <c r="H509" s="55"/>
      <c r="I509" s="12"/>
    </row>
    <row r="510" ht="14.25" customHeight="1">
      <c r="B510" s="19"/>
      <c r="C510" s="19"/>
      <c r="D510" s="19"/>
      <c r="G510" s="55"/>
      <c r="H510" s="55"/>
      <c r="I510" s="12"/>
    </row>
    <row r="511" ht="14.25" customHeight="1">
      <c r="B511" s="19"/>
      <c r="C511" s="19"/>
      <c r="D511" s="19"/>
      <c r="G511" s="55"/>
      <c r="H511" s="55"/>
      <c r="I511" s="12"/>
    </row>
    <row r="512" ht="14.25" customHeight="1">
      <c r="B512" s="19"/>
      <c r="C512" s="19"/>
      <c r="D512" s="19"/>
      <c r="G512" s="55"/>
      <c r="H512" s="55"/>
      <c r="I512" s="12"/>
    </row>
    <row r="513" ht="14.25" customHeight="1">
      <c r="B513" s="19"/>
      <c r="C513" s="19"/>
      <c r="D513" s="19"/>
      <c r="G513" s="55"/>
      <c r="H513" s="55"/>
      <c r="I513" s="12"/>
    </row>
    <row r="514" ht="14.25" customHeight="1">
      <c r="B514" s="19"/>
      <c r="C514" s="19"/>
      <c r="D514" s="19"/>
      <c r="G514" s="55"/>
      <c r="H514" s="55"/>
      <c r="I514" s="12"/>
    </row>
    <row r="515" ht="14.25" customHeight="1">
      <c r="B515" s="19"/>
      <c r="C515" s="19"/>
      <c r="D515" s="19"/>
      <c r="G515" s="55"/>
      <c r="H515" s="55"/>
      <c r="I515" s="12"/>
    </row>
    <row r="516" ht="14.25" customHeight="1">
      <c r="B516" s="19"/>
      <c r="C516" s="19"/>
      <c r="D516" s="19"/>
      <c r="G516" s="55"/>
      <c r="H516" s="55"/>
      <c r="I516" s="12"/>
    </row>
    <row r="517" ht="14.25" customHeight="1">
      <c r="B517" s="19"/>
      <c r="C517" s="19"/>
      <c r="D517" s="19"/>
      <c r="G517" s="55"/>
      <c r="H517" s="55"/>
      <c r="I517" s="12"/>
    </row>
    <row r="518" ht="14.25" customHeight="1">
      <c r="B518" s="19"/>
      <c r="C518" s="19"/>
      <c r="D518" s="19"/>
      <c r="G518" s="55"/>
      <c r="H518" s="55"/>
      <c r="I518" s="12"/>
    </row>
    <row r="519" ht="14.25" customHeight="1">
      <c r="B519" s="19"/>
      <c r="C519" s="19"/>
      <c r="D519" s="19"/>
      <c r="G519" s="55"/>
      <c r="H519" s="55"/>
      <c r="I519" s="12"/>
    </row>
    <row r="520" ht="14.25" customHeight="1">
      <c r="B520" s="19"/>
      <c r="C520" s="19"/>
      <c r="D520" s="19"/>
      <c r="G520" s="55"/>
      <c r="H520" s="55"/>
      <c r="I520" s="12"/>
    </row>
    <row r="521" ht="14.25" customHeight="1">
      <c r="B521" s="19"/>
      <c r="C521" s="19"/>
      <c r="D521" s="19"/>
      <c r="G521" s="55"/>
      <c r="H521" s="55"/>
      <c r="I521" s="12"/>
    </row>
    <row r="522" ht="14.25" customHeight="1">
      <c r="B522" s="19"/>
      <c r="C522" s="19"/>
      <c r="D522" s="19"/>
      <c r="G522" s="55"/>
      <c r="H522" s="55"/>
      <c r="I522" s="12"/>
    </row>
    <row r="523" ht="14.25" customHeight="1">
      <c r="B523" s="19"/>
      <c r="C523" s="19"/>
      <c r="D523" s="19"/>
      <c r="G523" s="55"/>
      <c r="H523" s="55"/>
      <c r="I523" s="12"/>
    </row>
    <row r="524" ht="14.25" customHeight="1">
      <c r="B524" s="19"/>
      <c r="C524" s="19"/>
      <c r="D524" s="19"/>
      <c r="G524" s="55"/>
      <c r="H524" s="55"/>
      <c r="I524" s="12"/>
    </row>
    <row r="525" ht="14.25" customHeight="1">
      <c r="B525" s="19"/>
      <c r="C525" s="19"/>
      <c r="D525" s="19"/>
      <c r="G525" s="55"/>
      <c r="H525" s="55"/>
      <c r="I525" s="12"/>
    </row>
    <row r="526" ht="14.25" customHeight="1">
      <c r="B526" s="19"/>
      <c r="C526" s="19"/>
      <c r="D526" s="19"/>
      <c r="G526" s="55"/>
      <c r="H526" s="55"/>
      <c r="I526" s="12"/>
    </row>
    <row r="527" ht="14.25" customHeight="1">
      <c r="B527" s="19"/>
      <c r="C527" s="19"/>
      <c r="D527" s="19"/>
      <c r="G527" s="55"/>
      <c r="H527" s="55"/>
      <c r="I527" s="12"/>
    </row>
    <row r="528" ht="14.25" customHeight="1">
      <c r="B528" s="19"/>
      <c r="C528" s="19"/>
      <c r="D528" s="19"/>
      <c r="G528" s="55"/>
      <c r="H528" s="55"/>
      <c r="I528" s="12"/>
    </row>
    <row r="529" ht="14.25" customHeight="1">
      <c r="B529" s="19"/>
      <c r="C529" s="19"/>
      <c r="D529" s="19"/>
      <c r="G529" s="55"/>
      <c r="H529" s="55"/>
      <c r="I529" s="12"/>
    </row>
    <row r="530" ht="14.25" customHeight="1">
      <c r="B530" s="19"/>
      <c r="C530" s="19"/>
      <c r="D530" s="19"/>
      <c r="G530" s="55"/>
      <c r="H530" s="55"/>
      <c r="I530" s="12"/>
    </row>
    <row r="531" ht="14.25" customHeight="1">
      <c r="B531" s="19"/>
      <c r="C531" s="19"/>
      <c r="D531" s="19"/>
      <c r="G531" s="55"/>
      <c r="H531" s="55"/>
      <c r="I531" s="12"/>
    </row>
    <row r="532" ht="14.25" customHeight="1">
      <c r="B532" s="19"/>
      <c r="C532" s="19"/>
      <c r="D532" s="19"/>
      <c r="G532" s="55"/>
      <c r="H532" s="55"/>
      <c r="I532" s="12"/>
    </row>
    <row r="533" ht="14.25" customHeight="1">
      <c r="B533" s="19"/>
      <c r="C533" s="19"/>
      <c r="D533" s="19"/>
      <c r="G533" s="55"/>
      <c r="H533" s="55"/>
      <c r="I533" s="12"/>
    </row>
    <row r="534" ht="14.25" customHeight="1">
      <c r="B534" s="19"/>
      <c r="C534" s="19"/>
      <c r="D534" s="19"/>
      <c r="G534" s="55"/>
      <c r="H534" s="55"/>
      <c r="I534" s="12"/>
    </row>
    <row r="535" ht="14.25" customHeight="1">
      <c r="B535" s="19"/>
      <c r="C535" s="19"/>
      <c r="D535" s="19"/>
      <c r="G535" s="55"/>
      <c r="H535" s="55"/>
      <c r="I535" s="12"/>
    </row>
    <row r="536" ht="14.25" customHeight="1">
      <c r="B536" s="19"/>
      <c r="C536" s="19"/>
      <c r="D536" s="19"/>
      <c r="G536" s="55"/>
      <c r="H536" s="55"/>
      <c r="I536" s="12"/>
    </row>
    <row r="537" ht="14.25" customHeight="1">
      <c r="B537" s="19"/>
      <c r="C537" s="19"/>
      <c r="D537" s="19"/>
      <c r="G537" s="55"/>
      <c r="H537" s="55"/>
      <c r="I537" s="12"/>
    </row>
    <row r="538" ht="14.25" customHeight="1">
      <c r="B538" s="19"/>
      <c r="C538" s="19"/>
      <c r="D538" s="19"/>
      <c r="G538" s="55"/>
      <c r="H538" s="55"/>
      <c r="I538" s="12"/>
    </row>
    <row r="539" ht="14.25" customHeight="1">
      <c r="B539" s="19"/>
      <c r="C539" s="19"/>
      <c r="D539" s="19"/>
      <c r="G539" s="55"/>
      <c r="H539" s="55"/>
      <c r="I539" s="12"/>
    </row>
    <row r="540" ht="14.25" customHeight="1">
      <c r="B540" s="19"/>
      <c r="C540" s="19"/>
      <c r="D540" s="19"/>
      <c r="G540" s="55"/>
      <c r="H540" s="55"/>
      <c r="I540" s="12"/>
    </row>
    <row r="541" ht="14.25" customHeight="1">
      <c r="B541" s="19"/>
      <c r="C541" s="19"/>
      <c r="D541" s="19"/>
      <c r="G541" s="55"/>
      <c r="H541" s="55"/>
      <c r="I541" s="12"/>
    </row>
    <row r="542" ht="14.25" customHeight="1">
      <c r="B542" s="19"/>
      <c r="C542" s="19"/>
      <c r="D542" s="19"/>
      <c r="G542" s="55"/>
      <c r="H542" s="55"/>
      <c r="I542" s="12"/>
    </row>
    <row r="543" ht="14.25" customHeight="1">
      <c r="B543" s="19"/>
      <c r="C543" s="19"/>
      <c r="D543" s="19"/>
      <c r="G543" s="55"/>
      <c r="H543" s="55"/>
      <c r="I543" s="12"/>
    </row>
    <row r="544" ht="14.25" customHeight="1">
      <c r="B544" s="19"/>
      <c r="C544" s="19"/>
      <c r="D544" s="19"/>
      <c r="G544" s="55"/>
      <c r="H544" s="55"/>
      <c r="I544" s="12"/>
    </row>
    <row r="545" ht="14.25" customHeight="1">
      <c r="B545" s="19"/>
      <c r="C545" s="19"/>
      <c r="D545" s="19"/>
      <c r="G545" s="55"/>
      <c r="H545" s="55"/>
      <c r="I545" s="12"/>
    </row>
    <row r="546" ht="14.25" customHeight="1">
      <c r="B546" s="19"/>
      <c r="C546" s="19"/>
      <c r="D546" s="19"/>
      <c r="G546" s="55"/>
      <c r="H546" s="55"/>
      <c r="I546" s="12"/>
    </row>
    <row r="547" ht="14.25" customHeight="1">
      <c r="B547" s="19"/>
      <c r="C547" s="19"/>
      <c r="D547" s="19"/>
      <c r="G547" s="55"/>
      <c r="H547" s="55"/>
      <c r="I547" s="12"/>
    </row>
    <row r="548" ht="14.25" customHeight="1">
      <c r="B548" s="19"/>
      <c r="C548" s="19"/>
      <c r="D548" s="19"/>
      <c r="G548" s="55"/>
      <c r="H548" s="55"/>
      <c r="I548" s="12"/>
    </row>
    <row r="549" ht="14.25" customHeight="1">
      <c r="B549" s="19"/>
      <c r="C549" s="19"/>
      <c r="D549" s="19"/>
      <c r="G549" s="55"/>
      <c r="H549" s="55"/>
      <c r="I549" s="12"/>
    </row>
    <row r="550" ht="14.25" customHeight="1">
      <c r="B550" s="19"/>
      <c r="C550" s="19"/>
      <c r="D550" s="19"/>
      <c r="G550" s="55"/>
      <c r="H550" s="55"/>
      <c r="I550" s="12"/>
    </row>
    <row r="551" ht="14.25" customHeight="1">
      <c r="B551" s="19"/>
      <c r="C551" s="19"/>
      <c r="D551" s="19"/>
      <c r="G551" s="55"/>
      <c r="H551" s="55"/>
      <c r="I551" s="12"/>
    </row>
    <row r="552" ht="14.25" customHeight="1">
      <c r="B552" s="19"/>
      <c r="C552" s="19"/>
      <c r="D552" s="19"/>
      <c r="G552" s="55"/>
      <c r="H552" s="55"/>
      <c r="I552" s="12"/>
    </row>
    <row r="553" ht="14.25" customHeight="1">
      <c r="B553" s="19"/>
      <c r="C553" s="19"/>
      <c r="D553" s="19"/>
      <c r="G553" s="55"/>
      <c r="H553" s="55"/>
      <c r="I553" s="12"/>
    </row>
    <row r="554" ht="14.25" customHeight="1">
      <c r="B554" s="19"/>
      <c r="C554" s="19"/>
      <c r="D554" s="19"/>
      <c r="G554" s="55"/>
      <c r="H554" s="55"/>
      <c r="I554" s="12"/>
    </row>
    <row r="555" ht="14.25" customHeight="1">
      <c r="B555" s="19"/>
      <c r="C555" s="19"/>
      <c r="D555" s="19"/>
      <c r="G555" s="55"/>
      <c r="H555" s="55"/>
      <c r="I555" s="12"/>
    </row>
    <row r="556" ht="14.25" customHeight="1">
      <c r="B556" s="19"/>
      <c r="C556" s="19"/>
      <c r="D556" s="19"/>
      <c r="G556" s="55"/>
      <c r="H556" s="55"/>
      <c r="I556" s="12"/>
    </row>
    <row r="557" ht="14.25" customHeight="1">
      <c r="B557" s="19"/>
      <c r="C557" s="19"/>
      <c r="D557" s="19"/>
      <c r="G557" s="55"/>
      <c r="H557" s="55"/>
      <c r="I557" s="12"/>
    </row>
    <row r="558" ht="14.25" customHeight="1">
      <c r="B558" s="19"/>
      <c r="C558" s="19"/>
      <c r="D558" s="19"/>
      <c r="G558" s="55"/>
      <c r="H558" s="55"/>
      <c r="I558" s="12"/>
    </row>
    <row r="559" ht="14.25" customHeight="1">
      <c r="B559" s="19"/>
      <c r="C559" s="19"/>
      <c r="D559" s="19"/>
      <c r="G559" s="55"/>
      <c r="H559" s="55"/>
      <c r="I559" s="12"/>
    </row>
    <row r="560" ht="14.25" customHeight="1">
      <c r="B560" s="19"/>
      <c r="C560" s="19"/>
      <c r="D560" s="19"/>
      <c r="G560" s="55"/>
      <c r="H560" s="55"/>
      <c r="I560" s="12"/>
    </row>
    <row r="561" ht="14.25" customHeight="1">
      <c r="B561" s="19"/>
      <c r="C561" s="19"/>
      <c r="D561" s="19"/>
      <c r="G561" s="55"/>
      <c r="H561" s="55"/>
      <c r="I561" s="12"/>
    </row>
    <row r="562" ht="14.25" customHeight="1">
      <c r="B562" s="19"/>
      <c r="C562" s="19"/>
      <c r="D562" s="19"/>
      <c r="G562" s="55"/>
      <c r="H562" s="55"/>
      <c r="I562" s="12"/>
    </row>
    <row r="563" ht="14.25" customHeight="1">
      <c r="B563" s="19"/>
      <c r="C563" s="19"/>
      <c r="D563" s="19"/>
      <c r="G563" s="55"/>
      <c r="H563" s="55"/>
      <c r="I563" s="12"/>
    </row>
    <row r="564" ht="14.25" customHeight="1">
      <c r="B564" s="19"/>
      <c r="C564" s="19"/>
      <c r="D564" s="19"/>
      <c r="G564" s="55"/>
      <c r="H564" s="55"/>
      <c r="I564" s="12"/>
    </row>
    <row r="565" ht="14.25" customHeight="1">
      <c r="B565" s="19"/>
      <c r="C565" s="19"/>
      <c r="D565" s="19"/>
      <c r="G565" s="55"/>
      <c r="H565" s="55"/>
      <c r="I565" s="12"/>
    </row>
    <row r="566" ht="14.25" customHeight="1">
      <c r="B566" s="19"/>
      <c r="C566" s="19"/>
      <c r="D566" s="19"/>
      <c r="G566" s="55"/>
      <c r="H566" s="55"/>
      <c r="I566" s="12"/>
    </row>
    <row r="567" ht="14.25" customHeight="1">
      <c r="B567" s="19"/>
      <c r="C567" s="19"/>
      <c r="D567" s="19"/>
      <c r="G567" s="55"/>
      <c r="H567" s="55"/>
      <c r="I567" s="12"/>
    </row>
    <row r="568" ht="14.25" customHeight="1">
      <c r="B568" s="19"/>
      <c r="C568" s="19"/>
      <c r="D568" s="19"/>
      <c r="G568" s="55"/>
      <c r="H568" s="55"/>
      <c r="I568" s="12"/>
    </row>
    <row r="569" ht="14.25" customHeight="1">
      <c r="B569" s="19"/>
      <c r="C569" s="19"/>
      <c r="D569" s="19"/>
      <c r="G569" s="55"/>
      <c r="H569" s="55"/>
      <c r="I569" s="12"/>
    </row>
    <row r="570" ht="14.25" customHeight="1">
      <c r="B570" s="19"/>
      <c r="C570" s="19"/>
      <c r="D570" s="19"/>
      <c r="G570" s="55"/>
      <c r="H570" s="55"/>
      <c r="I570" s="12"/>
    </row>
    <row r="571" ht="14.25" customHeight="1">
      <c r="B571" s="19"/>
      <c r="C571" s="19"/>
      <c r="D571" s="19"/>
      <c r="G571" s="55"/>
      <c r="H571" s="55"/>
      <c r="I571" s="12"/>
    </row>
    <row r="572" ht="14.25" customHeight="1">
      <c r="B572" s="19"/>
      <c r="C572" s="19"/>
      <c r="D572" s="19"/>
      <c r="G572" s="55"/>
      <c r="H572" s="55"/>
      <c r="I572" s="12"/>
    </row>
    <row r="573" ht="14.25" customHeight="1">
      <c r="B573" s="19"/>
      <c r="C573" s="19"/>
      <c r="D573" s="19"/>
      <c r="G573" s="55"/>
      <c r="H573" s="55"/>
      <c r="I573" s="12"/>
    </row>
    <row r="574" ht="14.25" customHeight="1">
      <c r="B574" s="19"/>
      <c r="C574" s="19"/>
      <c r="D574" s="19"/>
      <c r="G574" s="55"/>
      <c r="H574" s="55"/>
      <c r="I574" s="12"/>
    </row>
    <row r="575" ht="14.25" customHeight="1">
      <c r="B575" s="19"/>
      <c r="C575" s="19"/>
      <c r="D575" s="19"/>
      <c r="G575" s="55"/>
      <c r="H575" s="55"/>
      <c r="I575" s="12"/>
    </row>
    <row r="576" ht="14.25" customHeight="1">
      <c r="B576" s="19"/>
      <c r="C576" s="19"/>
      <c r="D576" s="19"/>
      <c r="G576" s="55"/>
      <c r="H576" s="55"/>
      <c r="I576" s="12"/>
    </row>
    <row r="577" ht="14.25" customHeight="1">
      <c r="B577" s="19"/>
      <c r="C577" s="19"/>
      <c r="D577" s="19"/>
      <c r="G577" s="55"/>
      <c r="H577" s="55"/>
      <c r="I577" s="12"/>
    </row>
    <row r="578" ht="14.25" customHeight="1">
      <c r="B578" s="19"/>
      <c r="C578" s="19"/>
      <c r="D578" s="19"/>
      <c r="G578" s="55"/>
      <c r="H578" s="55"/>
      <c r="I578" s="12"/>
    </row>
    <row r="579" ht="14.25" customHeight="1">
      <c r="B579" s="19"/>
      <c r="C579" s="19"/>
      <c r="D579" s="19"/>
      <c r="G579" s="55"/>
      <c r="H579" s="55"/>
      <c r="I579" s="12"/>
    </row>
    <row r="580" ht="14.25" customHeight="1">
      <c r="B580" s="19"/>
      <c r="C580" s="19"/>
      <c r="D580" s="19"/>
      <c r="G580" s="55"/>
      <c r="H580" s="55"/>
      <c r="I580" s="12"/>
    </row>
    <row r="581" ht="14.25" customHeight="1">
      <c r="B581" s="19"/>
      <c r="C581" s="19"/>
      <c r="D581" s="19"/>
      <c r="G581" s="55"/>
      <c r="H581" s="55"/>
      <c r="I581" s="12"/>
    </row>
    <row r="582" ht="14.25" customHeight="1">
      <c r="B582" s="19"/>
      <c r="C582" s="19"/>
      <c r="D582" s="19"/>
      <c r="G582" s="55"/>
      <c r="H582" s="55"/>
      <c r="I582" s="12"/>
    </row>
    <row r="583" ht="14.25" customHeight="1">
      <c r="B583" s="19"/>
      <c r="C583" s="19"/>
      <c r="D583" s="19"/>
      <c r="G583" s="55"/>
      <c r="H583" s="55"/>
      <c r="I583" s="12"/>
    </row>
    <row r="584" ht="14.25" customHeight="1">
      <c r="B584" s="19"/>
      <c r="C584" s="19"/>
      <c r="D584" s="19"/>
      <c r="G584" s="55"/>
      <c r="H584" s="55"/>
      <c r="I584" s="12"/>
    </row>
    <row r="585" ht="14.25" customHeight="1">
      <c r="B585" s="19"/>
      <c r="C585" s="19"/>
      <c r="D585" s="19"/>
      <c r="G585" s="55"/>
      <c r="H585" s="55"/>
      <c r="I585" s="12"/>
    </row>
    <row r="586" ht="14.25" customHeight="1">
      <c r="B586" s="19"/>
      <c r="C586" s="19"/>
      <c r="D586" s="19"/>
      <c r="G586" s="55"/>
      <c r="H586" s="55"/>
      <c r="I586" s="12"/>
    </row>
    <row r="587" ht="14.25" customHeight="1">
      <c r="B587" s="19"/>
      <c r="C587" s="19"/>
      <c r="D587" s="19"/>
      <c r="G587" s="55"/>
      <c r="H587" s="55"/>
      <c r="I587" s="12"/>
    </row>
    <row r="588" ht="14.25" customHeight="1">
      <c r="B588" s="19"/>
      <c r="C588" s="19"/>
      <c r="D588" s="19"/>
      <c r="G588" s="55"/>
      <c r="H588" s="55"/>
      <c r="I588" s="12"/>
    </row>
    <row r="589" ht="14.25" customHeight="1">
      <c r="B589" s="19"/>
      <c r="C589" s="19"/>
      <c r="D589" s="19"/>
      <c r="G589" s="55"/>
      <c r="H589" s="55"/>
      <c r="I589" s="12"/>
    </row>
    <row r="590" ht="14.25" customHeight="1">
      <c r="B590" s="19"/>
      <c r="C590" s="19"/>
      <c r="D590" s="19"/>
      <c r="G590" s="55"/>
      <c r="H590" s="55"/>
      <c r="I590" s="12"/>
    </row>
    <row r="591" ht="14.25" customHeight="1">
      <c r="B591" s="19"/>
      <c r="C591" s="19"/>
      <c r="D591" s="19"/>
      <c r="G591" s="55"/>
      <c r="H591" s="55"/>
      <c r="I591" s="12"/>
    </row>
    <row r="592" ht="14.25" customHeight="1">
      <c r="B592" s="19"/>
      <c r="C592" s="19"/>
      <c r="D592" s="19"/>
      <c r="G592" s="55"/>
      <c r="H592" s="55"/>
      <c r="I592" s="12"/>
    </row>
    <row r="593" ht="14.25" customHeight="1">
      <c r="B593" s="19"/>
      <c r="C593" s="19"/>
      <c r="D593" s="19"/>
      <c r="G593" s="55"/>
      <c r="H593" s="55"/>
      <c r="I593" s="12"/>
    </row>
    <row r="594" ht="14.25" customHeight="1">
      <c r="B594" s="19"/>
      <c r="C594" s="19"/>
      <c r="D594" s="19"/>
      <c r="G594" s="55"/>
      <c r="H594" s="55"/>
      <c r="I594" s="12"/>
    </row>
    <row r="595" ht="14.25" customHeight="1">
      <c r="B595" s="19"/>
      <c r="C595" s="19"/>
      <c r="D595" s="19"/>
      <c r="G595" s="55"/>
      <c r="H595" s="55"/>
      <c r="I595" s="12"/>
    </row>
    <row r="596" ht="14.25" customHeight="1">
      <c r="B596" s="19"/>
      <c r="C596" s="19"/>
      <c r="D596" s="19"/>
      <c r="G596" s="55"/>
      <c r="H596" s="55"/>
      <c r="I596" s="12"/>
    </row>
    <row r="597" ht="14.25" customHeight="1">
      <c r="B597" s="19"/>
      <c r="C597" s="19"/>
      <c r="D597" s="19"/>
      <c r="G597" s="55"/>
      <c r="H597" s="55"/>
      <c r="I597" s="12"/>
    </row>
    <row r="598" ht="14.25" customHeight="1">
      <c r="B598" s="19"/>
      <c r="C598" s="19"/>
      <c r="D598" s="19"/>
      <c r="G598" s="55"/>
      <c r="H598" s="55"/>
      <c r="I598" s="12"/>
    </row>
    <row r="599" ht="14.25" customHeight="1">
      <c r="B599" s="19"/>
      <c r="C599" s="19"/>
      <c r="D599" s="19"/>
      <c r="G599" s="55"/>
      <c r="H599" s="55"/>
      <c r="I599" s="12"/>
    </row>
    <row r="600" ht="14.25" customHeight="1">
      <c r="B600" s="19"/>
      <c r="C600" s="19"/>
      <c r="D600" s="19"/>
      <c r="G600" s="55"/>
      <c r="H600" s="55"/>
      <c r="I600" s="12"/>
    </row>
    <row r="601" ht="14.25" customHeight="1">
      <c r="B601" s="19"/>
      <c r="C601" s="19"/>
      <c r="D601" s="19"/>
      <c r="G601" s="55"/>
      <c r="H601" s="55"/>
      <c r="I601" s="12"/>
    </row>
    <row r="602" ht="14.25" customHeight="1">
      <c r="B602" s="19"/>
      <c r="C602" s="19"/>
      <c r="D602" s="19"/>
      <c r="G602" s="55"/>
      <c r="H602" s="55"/>
      <c r="I602" s="12"/>
    </row>
    <row r="603" ht="14.25" customHeight="1">
      <c r="B603" s="19"/>
      <c r="C603" s="19"/>
      <c r="D603" s="19"/>
      <c r="G603" s="55"/>
      <c r="H603" s="55"/>
      <c r="I603" s="12"/>
    </row>
    <row r="604" ht="14.25" customHeight="1">
      <c r="B604" s="19"/>
      <c r="C604" s="19"/>
      <c r="D604" s="19"/>
      <c r="G604" s="55"/>
      <c r="H604" s="55"/>
      <c r="I604" s="12"/>
    </row>
    <row r="605" ht="14.25" customHeight="1">
      <c r="B605" s="19"/>
      <c r="C605" s="19"/>
      <c r="D605" s="19"/>
      <c r="G605" s="55"/>
      <c r="H605" s="55"/>
      <c r="I605" s="12"/>
    </row>
    <row r="606" ht="14.25" customHeight="1">
      <c r="B606" s="19"/>
      <c r="C606" s="19"/>
      <c r="D606" s="19"/>
      <c r="G606" s="55"/>
      <c r="H606" s="55"/>
      <c r="I606" s="12"/>
    </row>
    <row r="607" ht="14.25" customHeight="1">
      <c r="B607" s="19"/>
      <c r="C607" s="19"/>
      <c r="D607" s="19"/>
      <c r="G607" s="55"/>
      <c r="H607" s="55"/>
      <c r="I607" s="12"/>
    </row>
    <row r="608" ht="14.25" customHeight="1">
      <c r="B608" s="19"/>
      <c r="C608" s="19"/>
      <c r="D608" s="19"/>
      <c r="G608" s="55"/>
      <c r="H608" s="55"/>
      <c r="I608" s="12"/>
    </row>
    <row r="609" ht="14.25" customHeight="1">
      <c r="B609" s="19"/>
      <c r="C609" s="19"/>
      <c r="D609" s="19"/>
      <c r="G609" s="55"/>
      <c r="H609" s="55"/>
      <c r="I609" s="12"/>
    </row>
    <row r="610" ht="14.25" customHeight="1">
      <c r="B610" s="19"/>
      <c r="C610" s="19"/>
      <c r="D610" s="19"/>
      <c r="G610" s="55"/>
      <c r="H610" s="55"/>
      <c r="I610" s="12"/>
    </row>
    <row r="611" ht="14.25" customHeight="1">
      <c r="B611" s="19"/>
      <c r="C611" s="19"/>
      <c r="D611" s="19"/>
      <c r="G611" s="55"/>
      <c r="H611" s="55"/>
      <c r="I611" s="12"/>
    </row>
    <row r="612" ht="14.25" customHeight="1">
      <c r="B612" s="19"/>
      <c r="C612" s="19"/>
      <c r="D612" s="19"/>
      <c r="G612" s="55"/>
      <c r="H612" s="55"/>
      <c r="I612" s="12"/>
    </row>
    <row r="613" ht="14.25" customHeight="1">
      <c r="B613" s="19"/>
      <c r="C613" s="19"/>
      <c r="D613" s="19"/>
      <c r="G613" s="55"/>
      <c r="H613" s="55"/>
      <c r="I613" s="12"/>
    </row>
    <row r="614" ht="14.25" customHeight="1">
      <c r="B614" s="19"/>
      <c r="C614" s="19"/>
      <c r="D614" s="19"/>
      <c r="G614" s="55"/>
      <c r="H614" s="55"/>
      <c r="I614" s="12"/>
    </row>
    <row r="615" ht="14.25" customHeight="1">
      <c r="B615" s="19"/>
      <c r="C615" s="19"/>
      <c r="D615" s="19"/>
      <c r="G615" s="55"/>
      <c r="H615" s="55"/>
      <c r="I615" s="12"/>
    </row>
    <row r="616" ht="14.25" customHeight="1">
      <c r="B616" s="19"/>
      <c r="C616" s="19"/>
      <c r="D616" s="19"/>
      <c r="G616" s="55"/>
      <c r="H616" s="55"/>
      <c r="I616" s="12"/>
    </row>
    <row r="617" ht="14.25" customHeight="1">
      <c r="B617" s="19"/>
      <c r="C617" s="19"/>
      <c r="D617" s="19"/>
      <c r="G617" s="55"/>
      <c r="H617" s="55"/>
      <c r="I617" s="12"/>
    </row>
    <row r="618" ht="14.25" customHeight="1">
      <c r="B618" s="19"/>
      <c r="C618" s="19"/>
      <c r="D618" s="19"/>
      <c r="G618" s="55"/>
      <c r="H618" s="55"/>
      <c r="I618" s="12"/>
    </row>
    <row r="619" ht="14.25" customHeight="1">
      <c r="B619" s="19"/>
      <c r="C619" s="19"/>
      <c r="D619" s="19"/>
      <c r="G619" s="55"/>
      <c r="H619" s="55"/>
      <c r="I619" s="12"/>
    </row>
    <row r="620" ht="14.25" customHeight="1">
      <c r="B620" s="19"/>
      <c r="C620" s="19"/>
      <c r="D620" s="19"/>
      <c r="G620" s="55"/>
      <c r="H620" s="55"/>
      <c r="I620" s="12"/>
    </row>
    <row r="621" ht="14.25" customHeight="1">
      <c r="B621" s="19"/>
      <c r="C621" s="19"/>
      <c r="D621" s="19"/>
      <c r="G621" s="55"/>
      <c r="H621" s="55"/>
      <c r="I621" s="12"/>
    </row>
    <row r="622" ht="14.25" customHeight="1">
      <c r="B622" s="19"/>
      <c r="C622" s="19"/>
      <c r="D622" s="19"/>
      <c r="G622" s="55"/>
      <c r="H622" s="55"/>
      <c r="I622" s="12"/>
    </row>
    <row r="623" ht="14.25" customHeight="1">
      <c r="B623" s="19"/>
      <c r="C623" s="19"/>
      <c r="D623" s="19"/>
      <c r="G623" s="55"/>
      <c r="H623" s="55"/>
      <c r="I623" s="12"/>
    </row>
    <row r="624" ht="14.25" customHeight="1">
      <c r="B624" s="19"/>
      <c r="C624" s="19"/>
      <c r="D624" s="19"/>
      <c r="G624" s="55"/>
      <c r="H624" s="55"/>
      <c r="I624" s="12"/>
    </row>
    <row r="625" ht="14.25" customHeight="1">
      <c r="B625" s="19"/>
      <c r="C625" s="19"/>
      <c r="D625" s="19"/>
      <c r="G625" s="55"/>
      <c r="H625" s="55"/>
      <c r="I625" s="12"/>
    </row>
    <row r="626" ht="14.25" customHeight="1">
      <c r="B626" s="19"/>
      <c r="C626" s="19"/>
      <c r="D626" s="19"/>
      <c r="G626" s="55"/>
      <c r="H626" s="55"/>
      <c r="I626" s="12"/>
    </row>
    <row r="627" ht="14.25" customHeight="1">
      <c r="B627" s="19"/>
      <c r="C627" s="19"/>
      <c r="D627" s="19"/>
      <c r="G627" s="55"/>
      <c r="H627" s="55"/>
      <c r="I627" s="12"/>
    </row>
    <row r="628" ht="14.25" customHeight="1">
      <c r="B628" s="19"/>
      <c r="C628" s="19"/>
      <c r="D628" s="19"/>
      <c r="G628" s="55"/>
      <c r="H628" s="55"/>
      <c r="I628" s="12"/>
    </row>
    <row r="629" ht="14.25" customHeight="1">
      <c r="B629" s="19"/>
      <c r="C629" s="19"/>
      <c r="D629" s="19"/>
      <c r="G629" s="55"/>
      <c r="H629" s="55"/>
      <c r="I629" s="12"/>
    </row>
    <row r="630" ht="14.25" customHeight="1">
      <c r="B630" s="19"/>
      <c r="C630" s="19"/>
      <c r="D630" s="19"/>
      <c r="G630" s="55"/>
      <c r="H630" s="55"/>
      <c r="I630" s="12"/>
    </row>
    <row r="631" ht="14.25" customHeight="1">
      <c r="B631" s="19"/>
      <c r="C631" s="19"/>
      <c r="D631" s="19"/>
      <c r="G631" s="55"/>
      <c r="H631" s="55"/>
      <c r="I631" s="12"/>
    </row>
    <row r="632" ht="14.25" customHeight="1">
      <c r="B632" s="19"/>
      <c r="C632" s="19"/>
      <c r="D632" s="19"/>
      <c r="G632" s="55"/>
      <c r="H632" s="55"/>
      <c r="I632" s="12"/>
    </row>
    <row r="633" ht="14.25" customHeight="1">
      <c r="B633" s="19"/>
      <c r="C633" s="19"/>
      <c r="D633" s="19"/>
      <c r="G633" s="55"/>
      <c r="H633" s="55"/>
      <c r="I633" s="12"/>
    </row>
    <row r="634" ht="14.25" customHeight="1">
      <c r="B634" s="19"/>
      <c r="C634" s="19"/>
      <c r="D634" s="19"/>
      <c r="G634" s="55"/>
      <c r="H634" s="55"/>
      <c r="I634" s="12"/>
    </row>
    <row r="635" ht="14.25" customHeight="1">
      <c r="B635" s="19"/>
      <c r="C635" s="19"/>
      <c r="D635" s="19"/>
      <c r="G635" s="55"/>
      <c r="H635" s="55"/>
      <c r="I635" s="12"/>
    </row>
    <row r="636" ht="14.25" customHeight="1">
      <c r="B636" s="19"/>
      <c r="C636" s="19"/>
      <c r="D636" s="19"/>
      <c r="G636" s="55"/>
      <c r="H636" s="55"/>
      <c r="I636" s="12"/>
    </row>
    <row r="637" ht="14.25" customHeight="1">
      <c r="B637" s="19"/>
      <c r="C637" s="19"/>
      <c r="D637" s="19"/>
      <c r="G637" s="55"/>
      <c r="H637" s="55"/>
      <c r="I637" s="12"/>
    </row>
    <row r="638" ht="14.25" customHeight="1">
      <c r="B638" s="19"/>
      <c r="C638" s="19"/>
      <c r="D638" s="19"/>
      <c r="G638" s="55"/>
      <c r="H638" s="55"/>
      <c r="I638" s="12"/>
    </row>
    <row r="639" ht="14.25" customHeight="1">
      <c r="B639" s="19"/>
      <c r="C639" s="19"/>
      <c r="D639" s="19"/>
      <c r="G639" s="55"/>
      <c r="H639" s="55"/>
      <c r="I639" s="12"/>
    </row>
    <row r="640" ht="14.25" customHeight="1">
      <c r="B640" s="19"/>
      <c r="C640" s="19"/>
      <c r="D640" s="19"/>
      <c r="G640" s="55"/>
      <c r="H640" s="55"/>
      <c r="I640" s="12"/>
    </row>
    <row r="641" ht="14.25" customHeight="1">
      <c r="B641" s="19"/>
      <c r="C641" s="19"/>
      <c r="D641" s="19"/>
      <c r="G641" s="55"/>
      <c r="H641" s="55"/>
      <c r="I641" s="12"/>
    </row>
    <row r="642" ht="14.25" customHeight="1">
      <c r="B642" s="19"/>
      <c r="C642" s="19"/>
      <c r="D642" s="19"/>
      <c r="G642" s="55"/>
      <c r="H642" s="55"/>
      <c r="I642" s="12"/>
    </row>
    <row r="643" ht="14.25" customHeight="1">
      <c r="B643" s="19"/>
      <c r="C643" s="19"/>
      <c r="D643" s="19"/>
      <c r="G643" s="55"/>
      <c r="H643" s="55"/>
      <c r="I643" s="12"/>
    </row>
    <row r="644" ht="14.25" customHeight="1">
      <c r="B644" s="19"/>
      <c r="C644" s="19"/>
      <c r="D644" s="19"/>
      <c r="G644" s="55"/>
      <c r="H644" s="55"/>
      <c r="I644" s="12"/>
    </row>
    <row r="645" ht="14.25" customHeight="1">
      <c r="B645" s="19"/>
      <c r="C645" s="19"/>
      <c r="D645" s="19"/>
      <c r="G645" s="55"/>
      <c r="H645" s="55"/>
      <c r="I645" s="12"/>
    </row>
    <row r="646" ht="14.25" customHeight="1">
      <c r="B646" s="19"/>
      <c r="C646" s="19"/>
      <c r="D646" s="19"/>
      <c r="G646" s="55"/>
      <c r="H646" s="55"/>
      <c r="I646" s="12"/>
    </row>
    <row r="647" ht="14.25" customHeight="1">
      <c r="B647" s="19"/>
      <c r="C647" s="19"/>
      <c r="D647" s="19"/>
      <c r="G647" s="55"/>
      <c r="H647" s="55"/>
      <c r="I647" s="12"/>
    </row>
    <row r="648" ht="14.25" customHeight="1">
      <c r="B648" s="19"/>
      <c r="C648" s="19"/>
      <c r="D648" s="19"/>
      <c r="G648" s="55"/>
      <c r="H648" s="55"/>
      <c r="I648" s="12"/>
    </row>
    <row r="649" ht="14.25" customHeight="1">
      <c r="B649" s="19"/>
      <c r="C649" s="19"/>
      <c r="D649" s="19"/>
      <c r="G649" s="55"/>
      <c r="H649" s="55"/>
      <c r="I649" s="12"/>
    </row>
    <row r="650" ht="14.25" customHeight="1">
      <c r="B650" s="19"/>
      <c r="C650" s="19"/>
      <c r="D650" s="19"/>
      <c r="G650" s="55"/>
      <c r="H650" s="55"/>
      <c r="I650" s="12"/>
    </row>
    <row r="651" ht="14.25" customHeight="1">
      <c r="B651" s="19"/>
      <c r="C651" s="19"/>
      <c r="D651" s="19"/>
      <c r="G651" s="55"/>
      <c r="H651" s="55"/>
      <c r="I651" s="12"/>
    </row>
    <row r="652" ht="14.25" customHeight="1">
      <c r="B652" s="19"/>
      <c r="C652" s="19"/>
      <c r="D652" s="19"/>
      <c r="G652" s="55"/>
      <c r="H652" s="55"/>
      <c r="I652" s="12"/>
    </row>
    <row r="653" ht="14.25" customHeight="1">
      <c r="B653" s="19"/>
      <c r="C653" s="19"/>
      <c r="D653" s="19"/>
      <c r="G653" s="55"/>
      <c r="H653" s="55"/>
      <c r="I653" s="12"/>
    </row>
    <row r="654" ht="14.25" customHeight="1">
      <c r="B654" s="19"/>
      <c r="C654" s="19"/>
      <c r="D654" s="19"/>
      <c r="G654" s="55"/>
      <c r="H654" s="55"/>
      <c r="I654" s="12"/>
    </row>
    <row r="655" ht="14.25" customHeight="1">
      <c r="B655" s="19"/>
      <c r="C655" s="19"/>
      <c r="D655" s="19"/>
      <c r="G655" s="55"/>
      <c r="H655" s="55"/>
      <c r="I655" s="12"/>
    </row>
    <row r="656" ht="14.25" customHeight="1">
      <c r="B656" s="19"/>
      <c r="C656" s="19"/>
      <c r="D656" s="19"/>
      <c r="G656" s="55"/>
      <c r="H656" s="55"/>
      <c r="I656" s="12"/>
    </row>
    <row r="657" ht="14.25" customHeight="1">
      <c r="B657" s="19"/>
      <c r="C657" s="19"/>
      <c r="D657" s="19"/>
      <c r="G657" s="55"/>
      <c r="H657" s="55"/>
      <c r="I657" s="12"/>
    </row>
    <row r="658" ht="14.25" customHeight="1">
      <c r="B658" s="19"/>
      <c r="C658" s="19"/>
      <c r="D658" s="19"/>
      <c r="G658" s="55"/>
      <c r="H658" s="55"/>
      <c r="I658" s="12"/>
    </row>
    <row r="659" ht="14.25" customHeight="1">
      <c r="B659" s="19"/>
      <c r="C659" s="19"/>
      <c r="D659" s="19"/>
      <c r="G659" s="55"/>
      <c r="H659" s="55"/>
      <c r="I659" s="12"/>
    </row>
    <row r="660" ht="14.25" customHeight="1">
      <c r="B660" s="19"/>
      <c r="C660" s="19"/>
      <c r="D660" s="19"/>
      <c r="G660" s="55"/>
      <c r="H660" s="55"/>
      <c r="I660" s="12"/>
    </row>
    <row r="661" ht="14.25" customHeight="1">
      <c r="B661" s="19"/>
      <c r="C661" s="19"/>
      <c r="D661" s="19"/>
      <c r="G661" s="55"/>
      <c r="H661" s="55"/>
      <c r="I661" s="12"/>
    </row>
    <row r="662" ht="14.25" customHeight="1">
      <c r="B662" s="19"/>
      <c r="C662" s="19"/>
      <c r="D662" s="19"/>
      <c r="G662" s="55"/>
      <c r="H662" s="55"/>
      <c r="I662" s="12"/>
    </row>
    <row r="663" ht="14.25" customHeight="1">
      <c r="B663" s="19"/>
      <c r="C663" s="19"/>
      <c r="D663" s="19"/>
      <c r="G663" s="55"/>
      <c r="H663" s="55"/>
      <c r="I663" s="12"/>
    </row>
    <row r="664" ht="14.25" customHeight="1">
      <c r="B664" s="19"/>
      <c r="C664" s="19"/>
      <c r="D664" s="19"/>
      <c r="G664" s="55"/>
      <c r="H664" s="55"/>
      <c r="I664" s="12"/>
    </row>
    <row r="665" ht="14.25" customHeight="1">
      <c r="B665" s="19"/>
      <c r="C665" s="19"/>
      <c r="D665" s="19"/>
      <c r="G665" s="55"/>
      <c r="H665" s="55"/>
      <c r="I665" s="12"/>
    </row>
    <row r="666" ht="14.25" customHeight="1">
      <c r="B666" s="19"/>
      <c r="C666" s="19"/>
      <c r="D666" s="19"/>
      <c r="G666" s="55"/>
      <c r="H666" s="55"/>
      <c r="I666" s="12"/>
    </row>
    <row r="667" ht="14.25" customHeight="1">
      <c r="B667" s="19"/>
      <c r="C667" s="19"/>
      <c r="D667" s="19"/>
      <c r="G667" s="55"/>
      <c r="H667" s="55"/>
      <c r="I667" s="12"/>
    </row>
    <row r="668" ht="14.25" customHeight="1">
      <c r="B668" s="19"/>
      <c r="C668" s="19"/>
      <c r="D668" s="19"/>
      <c r="G668" s="55"/>
      <c r="H668" s="55"/>
      <c r="I668" s="12"/>
    </row>
    <row r="669" ht="14.25" customHeight="1">
      <c r="B669" s="19"/>
      <c r="C669" s="19"/>
      <c r="D669" s="19"/>
      <c r="G669" s="55"/>
      <c r="H669" s="55"/>
      <c r="I669" s="12"/>
    </row>
    <row r="670" ht="14.25" customHeight="1">
      <c r="B670" s="19"/>
      <c r="C670" s="19"/>
      <c r="D670" s="19"/>
      <c r="G670" s="55"/>
      <c r="H670" s="55"/>
      <c r="I670" s="12"/>
    </row>
    <row r="671" ht="14.25" customHeight="1">
      <c r="B671" s="19"/>
      <c r="C671" s="19"/>
      <c r="D671" s="19"/>
      <c r="G671" s="55"/>
      <c r="H671" s="55"/>
      <c r="I671" s="12"/>
    </row>
    <row r="672" ht="14.25" customHeight="1">
      <c r="B672" s="19"/>
      <c r="C672" s="19"/>
      <c r="D672" s="19"/>
      <c r="G672" s="55"/>
      <c r="H672" s="55"/>
      <c r="I672" s="12"/>
    </row>
    <row r="673" ht="14.25" customHeight="1">
      <c r="B673" s="19"/>
      <c r="C673" s="19"/>
      <c r="D673" s="19"/>
      <c r="G673" s="55"/>
      <c r="H673" s="55"/>
      <c r="I673" s="12"/>
    </row>
    <row r="674" ht="14.25" customHeight="1">
      <c r="B674" s="19"/>
      <c r="C674" s="19"/>
      <c r="D674" s="19"/>
      <c r="G674" s="55"/>
      <c r="H674" s="55"/>
      <c r="I674" s="12"/>
    </row>
    <row r="675" ht="14.25" customHeight="1">
      <c r="B675" s="19"/>
      <c r="C675" s="19"/>
      <c r="D675" s="19"/>
      <c r="G675" s="55"/>
      <c r="H675" s="55"/>
      <c r="I675" s="12"/>
    </row>
    <row r="676" ht="14.25" customHeight="1">
      <c r="B676" s="19"/>
      <c r="C676" s="19"/>
      <c r="D676" s="19"/>
      <c r="G676" s="55"/>
      <c r="H676" s="55"/>
      <c r="I676" s="12"/>
    </row>
    <row r="677" ht="14.25" customHeight="1">
      <c r="B677" s="19"/>
      <c r="C677" s="19"/>
      <c r="D677" s="19"/>
      <c r="G677" s="55"/>
      <c r="H677" s="55"/>
      <c r="I677" s="12"/>
    </row>
    <row r="678" ht="14.25" customHeight="1">
      <c r="B678" s="19"/>
      <c r="C678" s="19"/>
      <c r="D678" s="19"/>
      <c r="G678" s="55"/>
      <c r="H678" s="55"/>
      <c r="I678" s="12"/>
    </row>
    <row r="679" ht="14.25" customHeight="1">
      <c r="B679" s="19"/>
      <c r="C679" s="19"/>
      <c r="D679" s="19"/>
      <c r="G679" s="55"/>
      <c r="H679" s="55"/>
      <c r="I679" s="12"/>
    </row>
    <row r="680" ht="14.25" customHeight="1">
      <c r="B680" s="19"/>
      <c r="C680" s="19"/>
      <c r="D680" s="19"/>
      <c r="G680" s="55"/>
      <c r="H680" s="55"/>
      <c r="I680" s="12"/>
    </row>
    <row r="681" ht="14.25" customHeight="1">
      <c r="B681" s="19"/>
      <c r="C681" s="19"/>
      <c r="D681" s="19"/>
      <c r="G681" s="55"/>
      <c r="H681" s="55"/>
      <c r="I681" s="12"/>
    </row>
    <row r="682" ht="14.25" customHeight="1">
      <c r="B682" s="19"/>
      <c r="C682" s="19"/>
      <c r="D682" s="19"/>
      <c r="G682" s="55"/>
      <c r="H682" s="55"/>
      <c r="I682" s="12"/>
    </row>
    <row r="683" ht="14.25" customHeight="1">
      <c r="B683" s="19"/>
      <c r="C683" s="19"/>
      <c r="D683" s="19"/>
      <c r="G683" s="55"/>
      <c r="H683" s="55"/>
      <c r="I683" s="12"/>
    </row>
    <row r="684" ht="14.25" customHeight="1">
      <c r="B684" s="19"/>
      <c r="C684" s="19"/>
      <c r="D684" s="19"/>
      <c r="G684" s="55"/>
      <c r="H684" s="55"/>
      <c r="I684" s="12"/>
    </row>
    <row r="685" ht="14.25" customHeight="1">
      <c r="B685" s="19"/>
      <c r="C685" s="19"/>
      <c r="D685" s="19"/>
      <c r="G685" s="55"/>
      <c r="H685" s="55"/>
      <c r="I685" s="12"/>
    </row>
    <row r="686" ht="14.25" customHeight="1">
      <c r="B686" s="19"/>
      <c r="C686" s="19"/>
      <c r="D686" s="19"/>
      <c r="G686" s="55"/>
      <c r="H686" s="55"/>
      <c r="I686" s="12"/>
    </row>
    <row r="687" ht="14.25" customHeight="1">
      <c r="B687" s="19"/>
      <c r="C687" s="19"/>
      <c r="D687" s="19"/>
      <c r="G687" s="55"/>
      <c r="H687" s="55"/>
      <c r="I687" s="12"/>
    </row>
    <row r="688" ht="14.25" customHeight="1">
      <c r="B688" s="19"/>
      <c r="C688" s="19"/>
      <c r="D688" s="19"/>
      <c r="G688" s="55"/>
      <c r="H688" s="55"/>
      <c r="I688" s="12"/>
    </row>
    <row r="689" ht="14.25" customHeight="1">
      <c r="B689" s="19"/>
      <c r="C689" s="19"/>
      <c r="D689" s="19"/>
      <c r="G689" s="55"/>
      <c r="H689" s="55"/>
      <c r="I689" s="12"/>
    </row>
    <row r="690" ht="14.25" customHeight="1">
      <c r="B690" s="19"/>
      <c r="C690" s="19"/>
      <c r="D690" s="19"/>
      <c r="G690" s="55"/>
      <c r="H690" s="55"/>
      <c r="I690" s="12"/>
    </row>
    <row r="691" ht="14.25" customHeight="1">
      <c r="B691" s="19"/>
      <c r="C691" s="19"/>
      <c r="D691" s="19"/>
      <c r="G691" s="55"/>
      <c r="H691" s="55"/>
      <c r="I691" s="12"/>
    </row>
    <row r="692" ht="14.25" customHeight="1">
      <c r="B692" s="19"/>
      <c r="C692" s="19"/>
      <c r="D692" s="19"/>
      <c r="G692" s="55"/>
      <c r="H692" s="55"/>
      <c r="I692" s="12"/>
    </row>
    <row r="693" ht="14.25" customHeight="1">
      <c r="B693" s="19"/>
      <c r="C693" s="19"/>
      <c r="D693" s="19"/>
      <c r="G693" s="55"/>
      <c r="H693" s="55"/>
      <c r="I693" s="12"/>
    </row>
    <row r="694" ht="14.25" customHeight="1">
      <c r="B694" s="19"/>
      <c r="C694" s="19"/>
      <c r="D694" s="19"/>
      <c r="G694" s="55"/>
      <c r="H694" s="55"/>
      <c r="I694" s="12"/>
    </row>
    <row r="695" ht="14.25" customHeight="1">
      <c r="B695" s="19"/>
      <c r="C695" s="19"/>
      <c r="D695" s="19"/>
      <c r="G695" s="55"/>
      <c r="H695" s="55"/>
      <c r="I695" s="12"/>
    </row>
    <row r="696" ht="14.25" customHeight="1">
      <c r="B696" s="19"/>
      <c r="C696" s="19"/>
      <c r="D696" s="19"/>
      <c r="G696" s="55"/>
      <c r="H696" s="55"/>
      <c r="I696" s="12"/>
    </row>
    <row r="697" ht="14.25" customHeight="1">
      <c r="B697" s="19"/>
      <c r="C697" s="19"/>
      <c r="D697" s="19"/>
      <c r="G697" s="55"/>
      <c r="H697" s="55"/>
      <c r="I697" s="12"/>
    </row>
    <row r="698" ht="14.25" customHeight="1">
      <c r="B698" s="19"/>
      <c r="C698" s="19"/>
      <c r="D698" s="19"/>
      <c r="G698" s="55"/>
      <c r="H698" s="55"/>
      <c r="I698" s="12"/>
    </row>
    <row r="699" ht="14.25" customHeight="1">
      <c r="B699" s="19"/>
      <c r="C699" s="19"/>
      <c r="D699" s="19"/>
      <c r="G699" s="55"/>
      <c r="H699" s="55"/>
      <c r="I699" s="12"/>
    </row>
    <row r="700" ht="14.25" customHeight="1">
      <c r="B700" s="19"/>
      <c r="C700" s="19"/>
      <c r="D700" s="19"/>
      <c r="G700" s="55"/>
      <c r="H700" s="55"/>
      <c r="I700" s="12"/>
    </row>
    <row r="701" ht="14.25" customHeight="1">
      <c r="B701" s="19"/>
      <c r="C701" s="19"/>
      <c r="D701" s="19"/>
      <c r="G701" s="55"/>
      <c r="H701" s="55"/>
      <c r="I701" s="12"/>
    </row>
    <row r="702" ht="14.25" customHeight="1">
      <c r="B702" s="19"/>
      <c r="C702" s="19"/>
      <c r="D702" s="19"/>
      <c r="G702" s="55"/>
      <c r="H702" s="55"/>
      <c r="I702" s="12"/>
    </row>
    <row r="703" ht="14.25" customHeight="1">
      <c r="B703" s="19"/>
      <c r="C703" s="19"/>
      <c r="D703" s="19"/>
      <c r="G703" s="55"/>
      <c r="H703" s="55"/>
      <c r="I703" s="12"/>
    </row>
    <row r="704" ht="14.25" customHeight="1">
      <c r="B704" s="19"/>
      <c r="C704" s="19"/>
      <c r="D704" s="19"/>
      <c r="G704" s="55"/>
      <c r="H704" s="55"/>
      <c r="I704" s="12"/>
    </row>
    <row r="705" ht="14.25" customHeight="1">
      <c r="B705" s="19"/>
      <c r="C705" s="19"/>
      <c r="D705" s="19"/>
      <c r="G705" s="55"/>
      <c r="H705" s="55"/>
      <c r="I705" s="12"/>
    </row>
    <row r="706" ht="14.25" customHeight="1">
      <c r="B706" s="19"/>
      <c r="C706" s="19"/>
      <c r="D706" s="19"/>
      <c r="G706" s="55"/>
      <c r="H706" s="55"/>
      <c r="I706" s="12"/>
    </row>
    <row r="707" ht="14.25" customHeight="1">
      <c r="B707" s="19"/>
      <c r="C707" s="19"/>
      <c r="D707" s="19"/>
      <c r="G707" s="55"/>
      <c r="H707" s="55"/>
      <c r="I707" s="12"/>
    </row>
    <row r="708" ht="14.25" customHeight="1">
      <c r="B708" s="19"/>
      <c r="C708" s="19"/>
      <c r="D708" s="19"/>
      <c r="G708" s="55"/>
      <c r="H708" s="55"/>
      <c r="I708" s="12"/>
    </row>
    <row r="709" ht="14.25" customHeight="1">
      <c r="B709" s="19"/>
      <c r="C709" s="19"/>
      <c r="D709" s="19"/>
      <c r="G709" s="55"/>
      <c r="H709" s="55"/>
      <c r="I709" s="12"/>
    </row>
    <row r="710" ht="14.25" customHeight="1">
      <c r="B710" s="19"/>
      <c r="C710" s="19"/>
      <c r="D710" s="19"/>
      <c r="G710" s="55"/>
      <c r="H710" s="55"/>
      <c r="I710" s="12"/>
    </row>
    <row r="711" ht="14.25" customHeight="1">
      <c r="B711" s="19"/>
      <c r="C711" s="19"/>
      <c r="D711" s="19"/>
      <c r="G711" s="55"/>
      <c r="H711" s="55"/>
      <c r="I711" s="12"/>
    </row>
    <row r="712" ht="14.25" customHeight="1">
      <c r="B712" s="19"/>
      <c r="C712" s="19"/>
      <c r="D712" s="19"/>
      <c r="G712" s="55"/>
      <c r="H712" s="55"/>
      <c r="I712" s="12"/>
    </row>
    <row r="713" ht="14.25" customHeight="1">
      <c r="B713" s="19"/>
      <c r="C713" s="19"/>
      <c r="D713" s="19"/>
      <c r="G713" s="55"/>
      <c r="H713" s="55"/>
      <c r="I713" s="12"/>
    </row>
    <row r="714" ht="14.25" customHeight="1">
      <c r="B714" s="19"/>
      <c r="C714" s="19"/>
      <c r="D714" s="19"/>
      <c r="G714" s="55"/>
      <c r="H714" s="55"/>
      <c r="I714" s="12"/>
    </row>
    <row r="715" ht="14.25" customHeight="1">
      <c r="B715" s="19"/>
      <c r="C715" s="19"/>
      <c r="D715" s="19"/>
      <c r="G715" s="55"/>
      <c r="H715" s="55"/>
      <c r="I715" s="12"/>
    </row>
    <row r="716" ht="14.25" customHeight="1">
      <c r="B716" s="19"/>
      <c r="C716" s="19"/>
      <c r="D716" s="19"/>
      <c r="G716" s="55"/>
      <c r="H716" s="55"/>
      <c r="I716" s="12"/>
    </row>
    <row r="717" ht="14.25" customHeight="1">
      <c r="B717" s="19"/>
      <c r="C717" s="19"/>
      <c r="D717" s="19"/>
      <c r="G717" s="55"/>
      <c r="H717" s="55"/>
      <c r="I717" s="12"/>
    </row>
    <row r="718" ht="14.25" customHeight="1">
      <c r="B718" s="19"/>
      <c r="C718" s="19"/>
      <c r="D718" s="19"/>
      <c r="G718" s="55"/>
      <c r="H718" s="55"/>
      <c r="I718" s="12"/>
    </row>
    <row r="719" ht="14.25" customHeight="1">
      <c r="B719" s="19"/>
      <c r="C719" s="19"/>
      <c r="D719" s="19"/>
      <c r="G719" s="55"/>
      <c r="H719" s="55"/>
      <c r="I719" s="12"/>
    </row>
    <row r="720" ht="14.25" customHeight="1">
      <c r="B720" s="19"/>
      <c r="C720" s="19"/>
      <c r="D720" s="19"/>
      <c r="G720" s="55"/>
      <c r="H720" s="55"/>
      <c r="I720" s="12"/>
    </row>
    <row r="721" ht="14.25" customHeight="1">
      <c r="B721" s="19"/>
      <c r="C721" s="19"/>
      <c r="D721" s="19"/>
      <c r="G721" s="55"/>
      <c r="H721" s="55"/>
      <c r="I721" s="12"/>
    </row>
    <row r="722" ht="14.25" customHeight="1">
      <c r="B722" s="19"/>
      <c r="C722" s="19"/>
      <c r="D722" s="19"/>
      <c r="G722" s="55"/>
      <c r="H722" s="55"/>
      <c r="I722" s="12"/>
    </row>
    <row r="723" ht="14.25" customHeight="1">
      <c r="B723" s="19"/>
      <c r="C723" s="19"/>
      <c r="D723" s="19"/>
      <c r="G723" s="55"/>
      <c r="H723" s="55"/>
      <c r="I723" s="12"/>
    </row>
    <row r="724" ht="14.25" customHeight="1">
      <c r="B724" s="19"/>
      <c r="C724" s="19"/>
      <c r="D724" s="19"/>
      <c r="G724" s="55"/>
      <c r="H724" s="55"/>
      <c r="I724" s="12"/>
    </row>
    <row r="725" ht="14.25" customHeight="1">
      <c r="B725" s="19"/>
      <c r="C725" s="19"/>
      <c r="D725" s="19"/>
      <c r="G725" s="55"/>
      <c r="H725" s="55"/>
      <c r="I725" s="12"/>
    </row>
    <row r="726" ht="14.25" customHeight="1">
      <c r="B726" s="19"/>
      <c r="C726" s="19"/>
      <c r="D726" s="19"/>
      <c r="G726" s="55"/>
      <c r="H726" s="55"/>
      <c r="I726" s="12"/>
    </row>
    <row r="727" ht="14.25" customHeight="1">
      <c r="B727" s="19"/>
      <c r="C727" s="19"/>
      <c r="D727" s="19"/>
      <c r="G727" s="55"/>
      <c r="H727" s="55"/>
      <c r="I727" s="12"/>
    </row>
    <row r="728" ht="14.25" customHeight="1">
      <c r="B728" s="19"/>
      <c r="C728" s="19"/>
      <c r="D728" s="19"/>
      <c r="G728" s="55"/>
      <c r="H728" s="55"/>
      <c r="I728" s="12"/>
    </row>
    <row r="729" ht="14.25" customHeight="1">
      <c r="B729" s="19"/>
      <c r="C729" s="19"/>
      <c r="D729" s="19"/>
      <c r="G729" s="55"/>
      <c r="H729" s="55"/>
      <c r="I729" s="12"/>
    </row>
    <row r="730" ht="14.25" customHeight="1">
      <c r="B730" s="19"/>
      <c r="C730" s="19"/>
      <c r="D730" s="19"/>
      <c r="G730" s="55"/>
      <c r="H730" s="55"/>
      <c r="I730" s="12"/>
    </row>
    <row r="731" ht="14.25" customHeight="1">
      <c r="B731" s="19"/>
      <c r="C731" s="19"/>
      <c r="D731" s="19"/>
      <c r="G731" s="55"/>
      <c r="H731" s="55"/>
      <c r="I731" s="12"/>
    </row>
    <row r="732" ht="14.25" customHeight="1">
      <c r="B732" s="19"/>
      <c r="C732" s="19"/>
      <c r="D732" s="19"/>
      <c r="G732" s="55"/>
      <c r="H732" s="55"/>
      <c r="I732" s="12"/>
    </row>
    <row r="733" ht="14.25" customHeight="1">
      <c r="B733" s="19"/>
      <c r="C733" s="19"/>
      <c r="D733" s="19"/>
      <c r="G733" s="55"/>
      <c r="H733" s="55"/>
      <c r="I733" s="12"/>
    </row>
    <row r="734" ht="14.25" customHeight="1">
      <c r="B734" s="19"/>
      <c r="C734" s="19"/>
      <c r="D734" s="19"/>
      <c r="G734" s="55"/>
      <c r="H734" s="55"/>
      <c r="I734" s="12"/>
    </row>
    <row r="735" ht="14.25" customHeight="1">
      <c r="B735" s="19"/>
      <c r="C735" s="19"/>
      <c r="D735" s="19"/>
      <c r="G735" s="55"/>
      <c r="H735" s="55"/>
      <c r="I735" s="12"/>
    </row>
    <row r="736" ht="14.25" customHeight="1">
      <c r="B736" s="19"/>
      <c r="C736" s="19"/>
      <c r="D736" s="19"/>
      <c r="G736" s="55"/>
      <c r="H736" s="55"/>
      <c r="I736" s="12"/>
    </row>
    <row r="737" ht="14.25" customHeight="1">
      <c r="B737" s="19"/>
      <c r="C737" s="19"/>
      <c r="D737" s="19"/>
      <c r="G737" s="55"/>
      <c r="H737" s="55"/>
      <c r="I737" s="12"/>
    </row>
    <row r="738" ht="14.25" customHeight="1">
      <c r="B738" s="19"/>
      <c r="C738" s="19"/>
      <c r="D738" s="19"/>
      <c r="G738" s="55"/>
      <c r="H738" s="55"/>
      <c r="I738" s="12"/>
    </row>
    <row r="739" ht="14.25" customHeight="1">
      <c r="B739" s="19"/>
      <c r="C739" s="19"/>
      <c r="D739" s="19"/>
      <c r="G739" s="55"/>
      <c r="H739" s="55"/>
      <c r="I739" s="12"/>
    </row>
    <row r="740" ht="14.25" customHeight="1">
      <c r="B740" s="19"/>
      <c r="C740" s="19"/>
      <c r="D740" s="19"/>
      <c r="G740" s="55"/>
      <c r="H740" s="55"/>
      <c r="I740" s="12"/>
    </row>
    <row r="741" ht="14.25" customHeight="1">
      <c r="B741" s="19"/>
      <c r="C741" s="19"/>
      <c r="D741" s="19"/>
      <c r="G741" s="55"/>
      <c r="H741" s="55"/>
      <c r="I741" s="12"/>
    </row>
    <row r="742" ht="14.25" customHeight="1">
      <c r="B742" s="19"/>
      <c r="C742" s="19"/>
      <c r="D742" s="19"/>
      <c r="G742" s="55"/>
      <c r="H742" s="55"/>
      <c r="I742" s="12"/>
    </row>
    <row r="743" ht="14.25" customHeight="1">
      <c r="B743" s="19"/>
      <c r="C743" s="19"/>
      <c r="D743" s="19"/>
      <c r="G743" s="55"/>
      <c r="H743" s="55"/>
      <c r="I743" s="12"/>
    </row>
    <row r="744" ht="14.25" customHeight="1">
      <c r="B744" s="19"/>
      <c r="C744" s="19"/>
      <c r="D744" s="19"/>
      <c r="G744" s="55"/>
      <c r="H744" s="55"/>
      <c r="I744" s="12"/>
    </row>
    <row r="745" ht="14.25" customHeight="1">
      <c r="B745" s="19"/>
      <c r="C745" s="19"/>
      <c r="D745" s="19"/>
      <c r="G745" s="55"/>
      <c r="H745" s="55"/>
      <c r="I745" s="12"/>
    </row>
    <row r="746" ht="14.25" customHeight="1">
      <c r="B746" s="19"/>
      <c r="C746" s="19"/>
      <c r="D746" s="19"/>
      <c r="G746" s="55"/>
      <c r="H746" s="55"/>
      <c r="I746" s="12"/>
    </row>
    <row r="747" ht="14.25" customHeight="1">
      <c r="B747" s="19"/>
      <c r="C747" s="19"/>
      <c r="D747" s="19"/>
      <c r="G747" s="55"/>
      <c r="H747" s="55"/>
      <c r="I747" s="12"/>
    </row>
    <row r="748" ht="14.25" customHeight="1">
      <c r="B748" s="19"/>
      <c r="C748" s="19"/>
      <c r="D748" s="19"/>
      <c r="G748" s="55"/>
      <c r="H748" s="55"/>
      <c r="I748" s="12"/>
    </row>
    <row r="749" ht="14.25" customHeight="1">
      <c r="B749" s="19"/>
      <c r="C749" s="19"/>
      <c r="D749" s="19"/>
      <c r="G749" s="55"/>
      <c r="H749" s="55"/>
      <c r="I749" s="12"/>
    </row>
    <row r="750" ht="14.25" customHeight="1">
      <c r="B750" s="19"/>
      <c r="C750" s="19"/>
      <c r="D750" s="19"/>
      <c r="G750" s="55"/>
      <c r="H750" s="55"/>
      <c r="I750" s="12"/>
    </row>
    <row r="751" ht="14.25" customHeight="1">
      <c r="B751" s="19"/>
      <c r="C751" s="19"/>
      <c r="D751" s="19"/>
      <c r="G751" s="55"/>
      <c r="H751" s="55"/>
      <c r="I751" s="12"/>
    </row>
    <row r="752" ht="14.25" customHeight="1">
      <c r="B752" s="19"/>
      <c r="C752" s="19"/>
      <c r="D752" s="19"/>
      <c r="G752" s="55"/>
      <c r="H752" s="55"/>
      <c r="I752" s="12"/>
    </row>
    <row r="753" ht="14.25" customHeight="1">
      <c r="B753" s="19"/>
      <c r="C753" s="19"/>
      <c r="D753" s="19"/>
      <c r="G753" s="55"/>
      <c r="H753" s="55"/>
      <c r="I753" s="12"/>
    </row>
    <row r="754" ht="14.25" customHeight="1">
      <c r="B754" s="19"/>
      <c r="C754" s="19"/>
      <c r="D754" s="19"/>
      <c r="G754" s="55"/>
      <c r="H754" s="55"/>
      <c r="I754" s="12"/>
    </row>
    <row r="755" ht="14.25" customHeight="1">
      <c r="B755" s="19"/>
      <c r="C755" s="19"/>
      <c r="D755" s="19"/>
      <c r="G755" s="55"/>
      <c r="H755" s="55"/>
      <c r="I755" s="12"/>
    </row>
    <row r="756" ht="14.25" customHeight="1">
      <c r="B756" s="19"/>
      <c r="C756" s="19"/>
      <c r="D756" s="19"/>
      <c r="G756" s="55"/>
      <c r="H756" s="55"/>
      <c r="I756" s="12"/>
    </row>
    <row r="757" ht="14.25" customHeight="1">
      <c r="B757" s="19"/>
      <c r="C757" s="19"/>
      <c r="D757" s="19"/>
      <c r="G757" s="55"/>
      <c r="H757" s="55"/>
      <c r="I757" s="12"/>
    </row>
    <row r="758" ht="14.25" customHeight="1">
      <c r="B758" s="19"/>
      <c r="C758" s="19"/>
      <c r="D758" s="19"/>
      <c r="G758" s="55"/>
      <c r="H758" s="55"/>
      <c r="I758" s="12"/>
    </row>
    <row r="759" ht="14.25" customHeight="1">
      <c r="B759" s="19"/>
      <c r="C759" s="19"/>
      <c r="D759" s="19"/>
      <c r="G759" s="55"/>
      <c r="H759" s="55"/>
      <c r="I759" s="12"/>
    </row>
    <row r="760" ht="14.25" customHeight="1">
      <c r="B760" s="19"/>
      <c r="C760" s="19"/>
      <c r="D760" s="19"/>
      <c r="G760" s="55"/>
      <c r="H760" s="55"/>
      <c r="I760" s="12"/>
    </row>
    <row r="761" ht="14.25" customHeight="1">
      <c r="B761" s="19"/>
      <c r="C761" s="19"/>
      <c r="D761" s="19"/>
      <c r="G761" s="55"/>
      <c r="H761" s="55"/>
      <c r="I761" s="12"/>
    </row>
    <row r="762" ht="14.25" customHeight="1">
      <c r="B762" s="19"/>
      <c r="C762" s="19"/>
      <c r="D762" s="19"/>
      <c r="G762" s="55"/>
      <c r="H762" s="55"/>
      <c r="I762" s="12"/>
    </row>
    <row r="763" ht="14.25" customHeight="1">
      <c r="B763" s="19"/>
      <c r="C763" s="19"/>
      <c r="D763" s="19"/>
      <c r="G763" s="55"/>
      <c r="H763" s="55"/>
      <c r="I763" s="12"/>
    </row>
    <row r="764" ht="14.25" customHeight="1">
      <c r="B764" s="19"/>
      <c r="C764" s="19"/>
      <c r="D764" s="19"/>
      <c r="G764" s="55"/>
      <c r="H764" s="55"/>
      <c r="I764" s="12"/>
    </row>
    <row r="765" ht="14.25" customHeight="1">
      <c r="B765" s="19"/>
      <c r="C765" s="19"/>
      <c r="D765" s="19"/>
      <c r="G765" s="55"/>
      <c r="H765" s="55"/>
      <c r="I765" s="12"/>
    </row>
    <row r="766" ht="14.25" customHeight="1">
      <c r="B766" s="19"/>
      <c r="C766" s="19"/>
      <c r="D766" s="19"/>
      <c r="G766" s="55"/>
      <c r="H766" s="55"/>
      <c r="I766" s="12"/>
    </row>
    <row r="767" ht="14.25" customHeight="1">
      <c r="B767" s="19"/>
      <c r="C767" s="19"/>
      <c r="D767" s="19"/>
      <c r="G767" s="55"/>
      <c r="H767" s="55"/>
      <c r="I767" s="12"/>
    </row>
    <row r="768" ht="14.25" customHeight="1">
      <c r="B768" s="19"/>
      <c r="C768" s="19"/>
      <c r="D768" s="19"/>
      <c r="G768" s="55"/>
      <c r="H768" s="55"/>
      <c r="I768" s="12"/>
    </row>
    <row r="769" ht="14.25" customHeight="1">
      <c r="B769" s="19"/>
      <c r="C769" s="19"/>
      <c r="D769" s="19"/>
      <c r="G769" s="55"/>
      <c r="H769" s="55"/>
      <c r="I769" s="12"/>
    </row>
    <row r="770" ht="14.25" customHeight="1">
      <c r="B770" s="19"/>
      <c r="C770" s="19"/>
      <c r="D770" s="19"/>
      <c r="G770" s="55"/>
      <c r="H770" s="55"/>
      <c r="I770" s="12"/>
    </row>
    <row r="771" ht="14.25" customHeight="1">
      <c r="B771" s="19"/>
      <c r="C771" s="19"/>
      <c r="D771" s="19"/>
      <c r="G771" s="55"/>
      <c r="H771" s="55"/>
      <c r="I771" s="12"/>
    </row>
    <row r="772" ht="14.25" customHeight="1">
      <c r="B772" s="19"/>
      <c r="C772" s="19"/>
      <c r="D772" s="19"/>
      <c r="G772" s="55"/>
      <c r="H772" s="55"/>
      <c r="I772" s="12"/>
    </row>
    <row r="773" ht="14.25" customHeight="1">
      <c r="B773" s="19"/>
      <c r="C773" s="19"/>
      <c r="D773" s="19"/>
      <c r="G773" s="55"/>
      <c r="H773" s="55"/>
      <c r="I773" s="12"/>
    </row>
    <row r="774" ht="14.25" customHeight="1">
      <c r="B774" s="19"/>
      <c r="C774" s="19"/>
      <c r="D774" s="19"/>
      <c r="G774" s="55"/>
      <c r="H774" s="55"/>
      <c r="I774" s="12"/>
    </row>
    <row r="775" ht="14.25" customHeight="1">
      <c r="B775" s="19"/>
      <c r="C775" s="19"/>
      <c r="D775" s="19"/>
      <c r="G775" s="55"/>
      <c r="H775" s="55"/>
      <c r="I775" s="12"/>
    </row>
    <row r="776" ht="14.25" customHeight="1">
      <c r="B776" s="19"/>
      <c r="C776" s="19"/>
      <c r="D776" s="19"/>
      <c r="G776" s="55"/>
      <c r="H776" s="55"/>
      <c r="I776" s="12"/>
    </row>
    <row r="777" ht="14.25" customHeight="1">
      <c r="B777" s="19"/>
      <c r="C777" s="19"/>
      <c r="D777" s="19"/>
      <c r="G777" s="55"/>
      <c r="H777" s="55"/>
      <c r="I777" s="12"/>
    </row>
    <row r="778" ht="14.25" customHeight="1">
      <c r="B778" s="19"/>
      <c r="C778" s="19"/>
      <c r="D778" s="19"/>
      <c r="G778" s="55"/>
      <c r="H778" s="55"/>
      <c r="I778" s="12"/>
    </row>
    <row r="779" ht="14.25" customHeight="1">
      <c r="B779" s="19"/>
      <c r="C779" s="19"/>
      <c r="D779" s="19"/>
      <c r="G779" s="55"/>
      <c r="H779" s="55"/>
      <c r="I779" s="12"/>
    </row>
    <row r="780" ht="14.25" customHeight="1">
      <c r="B780" s="19"/>
      <c r="C780" s="19"/>
      <c r="D780" s="19"/>
      <c r="G780" s="55"/>
      <c r="H780" s="55"/>
      <c r="I780" s="12"/>
    </row>
    <row r="781" ht="14.25" customHeight="1">
      <c r="B781" s="19"/>
      <c r="C781" s="19"/>
      <c r="D781" s="19"/>
      <c r="G781" s="55"/>
      <c r="H781" s="55"/>
      <c r="I781" s="12"/>
    </row>
    <row r="782" ht="14.25" customHeight="1">
      <c r="B782" s="19"/>
      <c r="C782" s="19"/>
      <c r="D782" s="19"/>
      <c r="G782" s="55"/>
      <c r="H782" s="55"/>
      <c r="I782" s="12"/>
    </row>
    <row r="783" ht="14.25" customHeight="1">
      <c r="B783" s="19"/>
      <c r="C783" s="19"/>
      <c r="D783" s="19"/>
      <c r="G783" s="55"/>
      <c r="H783" s="55"/>
      <c r="I783" s="12"/>
    </row>
    <row r="784" ht="14.25" customHeight="1">
      <c r="B784" s="19"/>
      <c r="C784" s="19"/>
      <c r="D784" s="19"/>
      <c r="G784" s="55"/>
      <c r="H784" s="55"/>
      <c r="I784" s="12"/>
    </row>
    <row r="785" ht="14.25" customHeight="1">
      <c r="B785" s="19"/>
      <c r="C785" s="19"/>
      <c r="D785" s="19"/>
      <c r="G785" s="55"/>
      <c r="H785" s="55"/>
      <c r="I785" s="12"/>
    </row>
    <row r="786" ht="14.25" customHeight="1">
      <c r="B786" s="19"/>
      <c r="C786" s="19"/>
      <c r="D786" s="19"/>
      <c r="G786" s="55"/>
      <c r="H786" s="55"/>
      <c r="I786" s="12"/>
    </row>
    <row r="787" ht="14.25" customHeight="1">
      <c r="B787" s="19"/>
      <c r="C787" s="19"/>
      <c r="D787" s="19"/>
      <c r="G787" s="55"/>
      <c r="H787" s="55"/>
      <c r="I787" s="12"/>
    </row>
    <row r="788" ht="14.25" customHeight="1">
      <c r="B788" s="19"/>
      <c r="C788" s="19"/>
      <c r="D788" s="19"/>
      <c r="G788" s="55"/>
      <c r="H788" s="55"/>
      <c r="I788" s="12"/>
    </row>
    <row r="789" ht="14.25" customHeight="1">
      <c r="B789" s="19"/>
      <c r="C789" s="19"/>
      <c r="D789" s="19"/>
      <c r="G789" s="55"/>
      <c r="H789" s="55"/>
      <c r="I789" s="12"/>
    </row>
    <row r="790" ht="14.25" customHeight="1">
      <c r="B790" s="19"/>
      <c r="C790" s="19"/>
      <c r="D790" s="19"/>
      <c r="G790" s="55"/>
      <c r="H790" s="55"/>
      <c r="I790" s="12"/>
    </row>
    <row r="791" ht="14.25" customHeight="1">
      <c r="B791" s="19"/>
      <c r="C791" s="19"/>
      <c r="D791" s="19"/>
      <c r="G791" s="55"/>
      <c r="H791" s="55"/>
      <c r="I791" s="12"/>
    </row>
    <row r="792" ht="14.25" customHeight="1">
      <c r="B792" s="19"/>
      <c r="C792" s="19"/>
      <c r="D792" s="19"/>
      <c r="G792" s="55"/>
      <c r="H792" s="55"/>
      <c r="I792" s="12"/>
    </row>
    <row r="793" ht="14.25" customHeight="1">
      <c r="B793" s="19"/>
      <c r="C793" s="19"/>
      <c r="D793" s="19"/>
      <c r="G793" s="55"/>
      <c r="H793" s="55"/>
      <c r="I793" s="12"/>
    </row>
    <row r="794" ht="14.25" customHeight="1">
      <c r="B794" s="19"/>
      <c r="C794" s="19"/>
      <c r="D794" s="19"/>
      <c r="G794" s="55"/>
      <c r="H794" s="55"/>
      <c r="I794" s="12"/>
    </row>
    <row r="795" ht="14.25" customHeight="1">
      <c r="B795" s="19"/>
      <c r="C795" s="19"/>
      <c r="D795" s="19"/>
      <c r="G795" s="55"/>
      <c r="H795" s="55"/>
      <c r="I795" s="12"/>
    </row>
    <row r="796" ht="14.25" customHeight="1">
      <c r="B796" s="19"/>
      <c r="C796" s="19"/>
      <c r="D796" s="19"/>
      <c r="G796" s="55"/>
      <c r="H796" s="55"/>
      <c r="I796" s="12"/>
    </row>
    <row r="797" ht="14.25" customHeight="1">
      <c r="B797" s="19"/>
      <c r="C797" s="19"/>
      <c r="D797" s="19"/>
      <c r="G797" s="55"/>
      <c r="H797" s="55"/>
      <c r="I797" s="12"/>
    </row>
    <row r="798" ht="14.25" customHeight="1">
      <c r="B798" s="19"/>
      <c r="C798" s="19"/>
      <c r="D798" s="19"/>
      <c r="G798" s="55"/>
      <c r="H798" s="55"/>
      <c r="I798" s="12"/>
    </row>
    <row r="799" ht="14.25" customHeight="1">
      <c r="B799" s="19"/>
      <c r="C799" s="19"/>
      <c r="D799" s="19"/>
      <c r="G799" s="55"/>
      <c r="H799" s="55"/>
      <c r="I799" s="12"/>
    </row>
    <row r="800" ht="14.25" customHeight="1">
      <c r="B800" s="19"/>
      <c r="C800" s="19"/>
      <c r="D800" s="19"/>
      <c r="G800" s="55"/>
      <c r="H800" s="55"/>
      <c r="I800" s="12"/>
    </row>
    <row r="801" ht="14.25" customHeight="1">
      <c r="B801" s="19"/>
      <c r="C801" s="19"/>
      <c r="D801" s="19"/>
      <c r="G801" s="55"/>
      <c r="H801" s="55"/>
      <c r="I801" s="12"/>
    </row>
    <row r="802" ht="14.25" customHeight="1">
      <c r="B802" s="19"/>
      <c r="C802" s="19"/>
      <c r="D802" s="19"/>
      <c r="G802" s="55"/>
      <c r="H802" s="55"/>
      <c r="I802" s="12"/>
    </row>
    <row r="803" ht="14.25" customHeight="1">
      <c r="B803" s="19"/>
      <c r="C803" s="19"/>
      <c r="D803" s="19"/>
      <c r="G803" s="55"/>
      <c r="H803" s="55"/>
      <c r="I803" s="12"/>
    </row>
    <row r="804" ht="14.25" customHeight="1">
      <c r="B804" s="19"/>
      <c r="C804" s="19"/>
      <c r="D804" s="19"/>
      <c r="G804" s="55"/>
      <c r="H804" s="55"/>
      <c r="I804" s="12"/>
    </row>
    <row r="805" ht="14.25" customHeight="1">
      <c r="B805" s="19"/>
      <c r="C805" s="19"/>
      <c r="D805" s="19"/>
      <c r="G805" s="55"/>
      <c r="H805" s="55"/>
      <c r="I805" s="12"/>
    </row>
    <row r="806" ht="14.25" customHeight="1">
      <c r="B806" s="19"/>
      <c r="C806" s="19"/>
      <c r="D806" s="19"/>
      <c r="G806" s="55"/>
      <c r="H806" s="55"/>
      <c r="I806" s="12"/>
    </row>
    <row r="807" ht="14.25" customHeight="1">
      <c r="B807" s="19"/>
      <c r="C807" s="19"/>
      <c r="D807" s="19"/>
      <c r="G807" s="55"/>
      <c r="H807" s="55"/>
      <c r="I807" s="12"/>
    </row>
    <row r="808" ht="14.25" customHeight="1">
      <c r="B808" s="19"/>
      <c r="C808" s="19"/>
      <c r="D808" s="19"/>
      <c r="G808" s="55"/>
      <c r="H808" s="55"/>
      <c r="I808" s="12"/>
    </row>
    <row r="809" ht="14.25" customHeight="1">
      <c r="B809" s="19"/>
      <c r="C809" s="19"/>
      <c r="D809" s="19"/>
      <c r="G809" s="55"/>
      <c r="H809" s="55"/>
      <c r="I809" s="12"/>
    </row>
    <row r="810" ht="14.25" customHeight="1">
      <c r="B810" s="19"/>
      <c r="C810" s="19"/>
      <c r="D810" s="19"/>
      <c r="G810" s="55"/>
      <c r="H810" s="55"/>
      <c r="I810" s="12"/>
    </row>
    <row r="811" ht="14.25" customHeight="1">
      <c r="B811" s="19"/>
      <c r="C811" s="19"/>
      <c r="D811" s="19"/>
      <c r="G811" s="55"/>
      <c r="H811" s="55"/>
      <c r="I811" s="12"/>
    </row>
    <row r="812" ht="14.25" customHeight="1">
      <c r="B812" s="19"/>
      <c r="C812" s="19"/>
      <c r="D812" s="19"/>
      <c r="G812" s="55"/>
      <c r="H812" s="55"/>
      <c r="I812" s="12"/>
    </row>
    <row r="813" ht="14.25" customHeight="1">
      <c r="B813" s="19"/>
      <c r="C813" s="19"/>
      <c r="D813" s="19"/>
      <c r="G813" s="55"/>
      <c r="H813" s="55"/>
      <c r="I813" s="12"/>
    </row>
    <row r="814" ht="14.25" customHeight="1">
      <c r="B814" s="19"/>
      <c r="C814" s="19"/>
      <c r="D814" s="19"/>
      <c r="G814" s="55"/>
      <c r="H814" s="55"/>
      <c r="I814" s="12"/>
    </row>
    <row r="815" ht="14.25" customHeight="1">
      <c r="B815" s="19"/>
      <c r="C815" s="19"/>
      <c r="D815" s="19"/>
      <c r="G815" s="55"/>
      <c r="H815" s="55"/>
      <c r="I815" s="12"/>
    </row>
    <row r="816" ht="14.25" customHeight="1">
      <c r="B816" s="19"/>
      <c r="C816" s="19"/>
      <c r="D816" s="19"/>
      <c r="G816" s="55"/>
      <c r="H816" s="55"/>
      <c r="I816" s="12"/>
    </row>
    <row r="817" ht="14.25" customHeight="1">
      <c r="B817" s="19"/>
      <c r="C817" s="19"/>
      <c r="D817" s="19"/>
      <c r="G817" s="55"/>
      <c r="H817" s="55"/>
      <c r="I817" s="12"/>
    </row>
    <row r="818" ht="14.25" customHeight="1">
      <c r="B818" s="19"/>
      <c r="C818" s="19"/>
      <c r="D818" s="19"/>
      <c r="G818" s="55"/>
      <c r="H818" s="55"/>
      <c r="I818" s="12"/>
    </row>
    <row r="819" ht="14.25" customHeight="1">
      <c r="B819" s="19"/>
      <c r="C819" s="19"/>
      <c r="D819" s="19"/>
      <c r="G819" s="55"/>
      <c r="H819" s="55"/>
      <c r="I819" s="12"/>
    </row>
    <row r="820" ht="14.25" customHeight="1">
      <c r="B820" s="19"/>
      <c r="C820" s="19"/>
      <c r="D820" s="19"/>
      <c r="G820" s="55"/>
      <c r="H820" s="55"/>
      <c r="I820" s="12"/>
    </row>
    <row r="821" ht="14.25" customHeight="1">
      <c r="B821" s="19"/>
      <c r="C821" s="19"/>
      <c r="D821" s="19"/>
      <c r="G821" s="55"/>
      <c r="H821" s="55"/>
      <c r="I821" s="12"/>
    </row>
    <row r="822" ht="14.25" customHeight="1">
      <c r="B822" s="19"/>
      <c r="C822" s="19"/>
      <c r="D822" s="19"/>
      <c r="G822" s="55"/>
      <c r="H822" s="55"/>
      <c r="I822" s="12"/>
    </row>
    <row r="823" ht="14.25" customHeight="1">
      <c r="B823" s="19"/>
      <c r="C823" s="19"/>
      <c r="D823" s="19"/>
      <c r="G823" s="55"/>
      <c r="H823" s="55"/>
      <c r="I823" s="12"/>
    </row>
    <row r="824" ht="14.25" customHeight="1">
      <c r="B824" s="19"/>
      <c r="C824" s="19"/>
      <c r="D824" s="19"/>
      <c r="G824" s="55"/>
      <c r="H824" s="55"/>
      <c r="I824" s="12"/>
    </row>
    <row r="825" ht="14.25" customHeight="1">
      <c r="B825" s="19"/>
      <c r="C825" s="19"/>
      <c r="D825" s="19"/>
      <c r="G825" s="55"/>
      <c r="H825" s="55"/>
      <c r="I825" s="12"/>
    </row>
    <row r="826" ht="14.25" customHeight="1">
      <c r="B826" s="19"/>
      <c r="C826" s="19"/>
      <c r="D826" s="19"/>
      <c r="G826" s="55"/>
      <c r="H826" s="55"/>
      <c r="I826" s="12"/>
    </row>
    <row r="827" ht="14.25" customHeight="1">
      <c r="B827" s="19"/>
      <c r="C827" s="19"/>
      <c r="D827" s="19"/>
      <c r="G827" s="55"/>
      <c r="H827" s="55"/>
      <c r="I827" s="12"/>
    </row>
    <row r="828" ht="14.25" customHeight="1">
      <c r="B828" s="19"/>
      <c r="C828" s="19"/>
      <c r="D828" s="19"/>
      <c r="G828" s="55"/>
      <c r="H828" s="55"/>
      <c r="I828" s="12"/>
    </row>
    <row r="829" ht="14.25" customHeight="1">
      <c r="B829" s="19"/>
      <c r="C829" s="19"/>
      <c r="D829" s="19"/>
      <c r="G829" s="55"/>
      <c r="H829" s="55"/>
      <c r="I829" s="12"/>
    </row>
    <row r="830" ht="14.25" customHeight="1">
      <c r="B830" s="19"/>
      <c r="C830" s="19"/>
      <c r="D830" s="19"/>
      <c r="G830" s="55"/>
      <c r="H830" s="55"/>
      <c r="I830" s="12"/>
    </row>
    <row r="831" ht="14.25" customHeight="1">
      <c r="B831" s="19"/>
      <c r="C831" s="19"/>
      <c r="D831" s="19"/>
      <c r="G831" s="55"/>
      <c r="H831" s="55"/>
      <c r="I831" s="12"/>
    </row>
    <row r="832" ht="14.25" customHeight="1">
      <c r="B832" s="19"/>
      <c r="C832" s="19"/>
      <c r="D832" s="19"/>
      <c r="G832" s="55"/>
      <c r="H832" s="55"/>
      <c r="I832" s="12"/>
    </row>
    <row r="833" ht="14.25" customHeight="1">
      <c r="B833" s="19"/>
      <c r="C833" s="19"/>
      <c r="D833" s="19"/>
      <c r="G833" s="55"/>
      <c r="H833" s="55"/>
      <c r="I833" s="12"/>
    </row>
    <row r="834" ht="14.25" customHeight="1">
      <c r="B834" s="19"/>
      <c r="C834" s="19"/>
      <c r="D834" s="19"/>
      <c r="G834" s="55"/>
      <c r="H834" s="55"/>
      <c r="I834" s="12"/>
    </row>
    <row r="835" ht="14.25" customHeight="1">
      <c r="B835" s="19"/>
      <c r="C835" s="19"/>
      <c r="D835" s="19"/>
      <c r="G835" s="55"/>
      <c r="H835" s="55"/>
      <c r="I835" s="12"/>
    </row>
    <row r="836" ht="14.25" customHeight="1">
      <c r="B836" s="19"/>
      <c r="C836" s="19"/>
      <c r="D836" s="19"/>
      <c r="G836" s="55"/>
      <c r="H836" s="55"/>
      <c r="I836" s="12"/>
    </row>
    <row r="837" ht="14.25" customHeight="1">
      <c r="B837" s="19"/>
      <c r="C837" s="19"/>
      <c r="D837" s="19"/>
      <c r="G837" s="55"/>
      <c r="H837" s="55"/>
      <c r="I837" s="12"/>
    </row>
    <row r="838" ht="14.25" customHeight="1">
      <c r="B838" s="19"/>
      <c r="C838" s="19"/>
      <c r="D838" s="19"/>
      <c r="G838" s="55"/>
      <c r="H838" s="55"/>
      <c r="I838" s="12"/>
    </row>
    <row r="839" ht="14.25" customHeight="1">
      <c r="B839" s="19"/>
      <c r="C839" s="19"/>
      <c r="D839" s="19"/>
      <c r="G839" s="55"/>
      <c r="H839" s="55"/>
      <c r="I839" s="12"/>
    </row>
    <row r="840" ht="14.25" customHeight="1">
      <c r="B840" s="19"/>
      <c r="C840" s="19"/>
      <c r="D840" s="19"/>
      <c r="G840" s="55"/>
      <c r="H840" s="55"/>
      <c r="I840" s="12"/>
    </row>
    <row r="841" ht="14.25" customHeight="1">
      <c r="B841" s="19"/>
      <c r="C841" s="19"/>
      <c r="D841" s="19"/>
      <c r="G841" s="55"/>
      <c r="H841" s="55"/>
      <c r="I841" s="12"/>
    </row>
    <row r="842" ht="14.25" customHeight="1">
      <c r="B842" s="19"/>
      <c r="C842" s="19"/>
      <c r="D842" s="19"/>
      <c r="G842" s="55"/>
      <c r="H842" s="55"/>
      <c r="I842" s="12"/>
    </row>
    <row r="843" ht="14.25" customHeight="1">
      <c r="B843" s="19"/>
      <c r="C843" s="19"/>
      <c r="D843" s="19"/>
      <c r="G843" s="55"/>
      <c r="H843" s="55"/>
      <c r="I843" s="12"/>
    </row>
    <row r="844" ht="14.25" customHeight="1">
      <c r="B844" s="19"/>
      <c r="C844" s="19"/>
      <c r="D844" s="19"/>
      <c r="G844" s="55"/>
      <c r="H844" s="55"/>
      <c r="I844" s="12"/>
    </row>
    <row r="845" ht="14.25" customHeight="1">
      <c r="B845" s="19"/>
      <c r="C845" s="19"/>
      <c r="D845" s="19"/>
      <c r="G845" s="55"/>
      <c r="H845" s="55"/>
      <c r="I845" s="12"/>
    </row>
    <row r="846" ht="14.25" customHeight="1">
      <c r="B846" s="19"/>
      <c r="C846" s="19"/>
      <c r="D846" s="19"/>
      <c r="G846" s="55"/>
      <c r="H846" s="55"/>
      <c r="I846" s="12"/>
    </row>
    <row r="847" ht="14.25" customHeight="1">
      <c r="B847" s="19"/>
      <c r="C847" s="19"/>
      <c r="D847" s="19"/>
      <c r="G847" s="55"/>
      <c r="H847" s="55"/>
      <c r="I847" s="12"/>
    </row>
    <row r="848" ht="14.25" customHeight="1">
      <c r="B848" s="19"/>
      <c r="C848" s="19"/>
      <c r="D848" s="19"/>
      <c r="G848" s="55"/>
      <c r="H848" s="55"/>
      <c r="I848" s="12"/>
    </row>
    <row r="849" ht="14.25" customHeight="1">
      <c r="B849" s="19"/>
      <c r="C849" s="19"/>
      <c r="D849" s="19"/>
      <c r="G849" s="55"/>
      <c r="H849" s="55"/>
      <c r="I849" s="12"/>
    </row>
    <row r="850" ht="14.25" customHeight="1">
      <c r="B850" s="19"/>
      <c r="C850" s="19"/>
      <c r="D850" s="19"/>
      <c r="G850" s="55"/>
      <c r="H850" s="55"/>
      <c r="I850" s="12"/>
    </row>
    <row r="851" ht="14.25" customHeight="1">
      <c r="B851" s="19"/>
      <c r="C851" s="19"/>
      <c r="D851" s="19"/>
      <c r="G851" s="55"/>
      <c r="H851" s="55"/>
      <c r="I851" s="12"/>
    </row>
    <row r="852" ht="14.25" customHeight="1">
      <c r="B852" s="19"/>
      <c r="C852" s="19"/>
      <c r="D852" s="19"/>
      <c r="G852" s="55"/>
      <c r="H852" s="55"/>
      <c r="I852" s="12"/>
    </row>
    <row r="853" ht="14.25" customHeight="1">
      <c r="B853" s="19"/>
      <c r="C853" s="19"/>
      <c r="D853" s="19"/>
      <c r="G853" s="55"/>
      <c r="H853" s="55"/>
      <c r="I853" s="12"/>
    </row>
    <row r="854" ht="14.25" customHeight="1">
      <c r="B854" s="19"/>
      <c r="C854" s="19"/>
      <c r="D854" s="19"/>
      <c r="G854" s="55"/>
      <c r="H854" s="55"/>
      <c r="I854" s="12"/>
    </row>
    <row r="855" ht="14.25" customHeight="1">
      <c r="B855" s="19"/>
      <c r="C855" s="19"/>
      <c r="D855" s="19"/>
      <c r="G855" s="55"/>
      <c r="H855" s="55"/>
      <c r="I855" s="12"/>
    </row>
    <row r="856" ht="14.25" customHeight="1">
      <c r="B856" s="19"/>
      <c r="C856" s="19"/>
      <c r="D856" s="19"/>
      <c r="G856" s="55"/>
      <c r="H856" s="55"/>
      <c r="I856" s="12"/>
    </row>
    <row r="857" ht="14.25" customHeight="1">
      <c r="B857" s="19"/>
      <c r="C857" s="19"/>
      <c r="D857" s="19"/>
      <c r="G857" s="55"/>
      <c r="H857" s="55"/>
      <c r="I857" s="12"/>
    </row>
    <row r="858" ht="14.25" customHeight="1">
      <c r="B858" s="19"/>
      <c r="C858" s="19"/>
      <c r="D858" s="19"/>
      <c r="G858" s="55"/>
      <c r="H858" s="55"/>
      <c r="I858" s="12"/>
    </row>
    <row r="859" ht="14.25" customHeight="1">
      <c r="B859" s="19"/>
      <c r="C859" s="19"/>
      <c r="D859" s="19"/>
      <c r="G859" s="55"/>
      <c r="H859" s="55"/>
      <c r="I859" s="12"/>
    </row>
    <row r="860" ht="14.25" customHeight="1">
      <c r="B860" s="19"/>
      <c r="C860" s="19"/>
      <c r="D860" s="19"/>
      <c r="G860" s="55"/>
      <c r="H860" s="55"/>
      <c r="I860" s="12"/>
    </row>
    <row r="861" ht="14.25" customHeight="1">
      <c r="B861" s="19"/>
      <c r="C861" s="19"/>
      <c r="D861" s="19"/>
      <c r="G861" s="55"/>
      <c r="H861" s="55"/>
      <c r="I861" s="12"/>
    </row>
    <row r="862" ht="14.25" customHeight="1">
      <c r="B862" s="19"/>
      <c r="C862" s="19"/>
      <c r="D862" s="19"/>
      <c r="G862" s="55"/>
      <c r="H862" s="55"/>
      <c r="I862" s="12"/>
    </row>
    <row r="863" ht="14.25" customHeight="1">
      <c r="B863" s="19"/>
      <c r="C863" s="19"/>
      <c r="D863" s="19"/>
      <c r="G863" s="55"/>
      <c r="H863" s="55"/>
      <c r="I863" s="12"/>
    </row>
    <row r="864" ht="14.25" customHeight="1">
      <c r="B864" s="19"/>
      <c r="C864" s="19"/>
      <c r="D864" s="19"/>
      <c r="G864" s="55"/>
      <c r="H864" s="55"/>
      <c r="I864" s="12"/>
    </row>
    <row r="865" ht="14.25" customHeight="1">
      <c r="B865" s="19"/>
      <c r="C865" s="19"/>
      <c r="D865" s="19"/>
      <c r="G865" s="55"/>
      <c r="H865" s="55"/>
      <c r="I865" s="12"/>
    </row>
    <row r="866" ht="14.25" customHeight="1">
      <c r="B866" s="19"/>
      <c r="C866" s="19"/>
      <c r="D866" s="19"/>
      <c r="G866" s="55"/>
      <c r="H866" s="55"/>
      <c r="I866" s="12"/>
    </row>
    <row r="867" ht="14.25" customHeight="1">
      <c r="B867" s="19"/>
      <c r="C867" s="19"/>
      <c r="D867" s="19"/>
      <c r="G867" s="55"/>
      <c r="H867" s="55"/>
      <c r="I867" s="12"/>
    </row>
    <row r="868" ht="14.25" customHeight="1">
      <c r="B868" s="19"/>
      <c r="C868" s="19"/>
      <c r="D868" s="19"/>
      <c r="G868" s="55"/>
      <c r="H868" s="55"/>
      <c r="I868" s="12"/>
    </row>
    <row r="869" ht="14.25" customHeight="1">
      <c r="B869" s="19"/>
      <c r="C869" s="19"/>
      <c r="D869" s="19"/>
      <c r="G869" s="55"/>
      <c r="H869" s="55"/>
      <c r="I869" s="12"/>
    </row>
    <row r="870" ht="14.25" customHeight="1">
      <c r="B870" s="19"/>
      <c r="C870" s="19"/>
      <c r="D870" s="19"/>
      <c r="G870" s="55"/>
      <c r="H870" s="55"/>
      <c r="I870" s="12"/>
    </row>
    <row r="871" ht="14.25" customHeight="1">
      <c r="B871" s="19"/>
      <c r="C871" s="19"/>
      <c r="D871" s="19"/>
      <c r="G871" s="55"/>
      <c r="H871" s="55"/>
      <c r="I871" s="12"/>
    </row>
    <row r="872" ht="14.25" customHeight="1">
      <c r="B872" s="19"/>
      <c r="C872" s="19"/>
      <c r="D872" s="19"/>
      <c r="G872" s="55"/>
      <c r="H872" s="55"/>
      <c r="I872" s="12"/>
    </row>
    <row r="873" ht="14.25" customHeight="1">
      <c r="B873" s="19"/>
      <c r="C873" s="19"/>
      <c r="D873" s="19"/>
      <c r="G873" s="55"/>
      <c r="H873" s="55"/>
      <c r="I873" s="12"/>
    </row>
    <row r="874" ht="14.25" customHeight="1">
      <c r="B874" s="19"/>
      <c r="C874" s="19"/>
      <c r="D874" s="19"/>
      <c r="G874" s="55"/>
      <c r="H874" s="55"/>
      <c r="I874" s="12"/>
    </row>
    <row r="875" ht="14.25" customHeight="1">
      <c r="B875" s="19"/>
      <c r="C875" s="19"/>
      <c r="D875" s="19"/>
      <c r="G875" s="55"/>
      <c r="H875" s="55"/>
      <c r="I875" s="12"/>
    </row>
    <row r="876" ht="14.25" customHeight="1">
      <c r="B876" s="19"/>
      <c r="C876" s="19"/>
      <c r="D876" s="19"/>
      <c r="G876" s="55"/>
      <c r="H876" s="55"/>
      <c r="I876" s="12"/>
    </row>
    <row r="877" ht="14.25" customHeight="1">
      <c r="B877" s="19"/>
      <c r="C877" s="19"/>
      <c r="D877" s="19"/>
      <c r="G877" s="55"/>
      <c r="H877" s="55"/>
      <c r="I877" s="12"/>
    </row>
    <row r="878" ht="14.25" customHeight="1">
      <c r="B878" s="19"/>
      <c r="C878" s="19"/>
      <c r="D878" s="19"/>
      <c r="G878" s="55"/>
      <c r="H878" s="55"/>
      <c r="I878" s="12"/>
    </row>
    <row r="879" ht="14.25" customHeight="1">
      <c r="B879" s="19"/>
      <c r="C879" s="19"/>
      <c r="D879" s="19"/>
      <c r="G879" s="55"/>
      <c r="H879" s="55"/>
      <c r="I879" s="12"/>
    </row>
    <row r="880" ht="14.25" customHeight="1">
      <c r="B880" s="19"/>
      <c r="C880" s="19"/>
      <c r="D880" s="19"/>
      <c r="G880" s="55"/>
      <c r="H880" s="55"/>
      <c r="I880" s="12"/>
    </row>
    <row r="881" ht="14.25" customHeight="1">
      <c r="B881" s="19"/>
      <c r="C881" s="19"/>
      <c r="D881" s="19"/>
      <c r="G881" s="55"/>
      <c r="H881" s="55"/>
      <c r="I881" s="12"/>
    </row>
    <row r="882" ht="14.25" customHeight="1">
      <c r="B882" s="19"/>
      <c r="C882" s="19"/>
      <c r="D882" s="19"/>
      <c r="G882" s="55"/>
      <c r="H882" s="55"/>
      <c r="I882" s="12"/>
    </row>
    <row r="883" ht="14.25" customHeight="1">
      <c r="B883" s="19"/>
      <c r="C883" s="19"/>
      <c r="D883" s="19"/>
      <c r="G883" s="55"/>
      <c r="H883" s="55"/>
      <c r="I883" s="12"/>
    </row>
    <row r="884" ht="14.25" customHeight="1">
      <c r="B884" s="19"/>
      <c r="C884" s="19"/>
      <c r="D884" s="19"/>
      <c r="G884" s="55"/>
      <c r="H884" s="55"/>
      <c r="I884" s="12"/>
    </row>
    <row r="885" ht="14.25" customHeight="1">
      <c r="B885" s="19"/>
      <c r="C885" s="19"/>
      <c r="D885" s="19"/>
      <c r="G885" s="55"/>
      <c r="H885" s="55"/>
      <c r="I885" s="12"/>
    </row>
    <row r="886" ht="14.25" customHeight="1">
      <c r="B886" s="19"/>
      <c r="C886" s="19"/>
      <c r="D886" s="19"/>
      <c r="G886" s="55"/>
      <c r="H886" s="55"/>
      <c r="I886" s="12"/>
    </row>
    <row r="887" ht="14.25" customHeight="1">
      <c r="B887" s="19"/>
      <c r="C887" s="19"/>
      <c r="D887" s="19"/>
      <c r="G887" s="55"/>
      <c r="H887" s="55"/>
      <c r="I887" s="12"/>
    </row>
    <row r="888" ht="14.25" customHeight="1">
      <c r="B888" s="19"/>
      <c r="C888" s="19"/>
      <c r="D888" s="19"/>
      <c r="G888" s="55"/>
      <c r="H888" s="55"/>
      <c r="I888" s="12"/>
    </row>
    <row r="889" ht="14.25" customHeight="1">
      <c r="B889" s="19"/>
      <c r="C889" s="19"/>
      <c r="D889" s="19"/>
      <c r="G889" s="55"/>
      <c r="H889" s="55"/>
      <c r="I889" s="12"/>
    </row>
    <row r="890" ht="14.25" customHeight="1">
      <c r="B890" s="19"/>
      <c r="C890" s="19"/>
      <c r="D890" s="19"/>
      <c r="G890" s="55"/>
      <c r="H890" s="55"/>
      <c r="I890" s="12"/>
    </row>
    <row r="891" ht="14.25" customHeight="1">
      <c r="B891" s="19"/>
      <c r="C891" s="19"/>
      <c r="D891" s="19"/>
      <c r="G891" s="55"/>
      <c r="H891" s="55"/>
      <c r="I891" s="12"/>
    </row>
    <row r="892" ht="14.25" customHeight="1">
      <c r="B892" s="19"/>
      <c r="C892" s="19"/>
      <c r="D892" s="19"/>
      <c r="G892" s="55"/>
      <c r="H892" s="55"/>
      <c r="I892" s="12"/>
    </row>
    <row r="893" ht="14.25" customHeight="1">
      <c r="B893" s="19"/>
      <c r="C893" s="19"/>
      <c r="D893" s="19"/>
      <c r="G893" s="55"/>
      <c r="H893" s="55"/>
      <c r="I893" s="12"/>
    </row>
    <row r="894" ht="14.25" customHeight="1">
      <c r="B894" s="19"/>
      <c r="C894" s="19"/>
      <c r="D894" s="19"/>
      <c r="G894" s="55"/>
      <c r="H894" s="55"/>
      <c r="I894" s="12"/>
    </row>
    <row r="895" ht="14.25" customHeight="1">
      <c r="B895" s="19"/>
      <c r="C895" s="19"/>
      <c r="D895" s="19"/>
      <c r="G895" s="55"/>
      <c r="H895" s="55"/>
      <c r="I895" s="12"/>
    </row>
    <row r="896" ht="14.25" customHeight="1">
      <c r="B896" s="19"/>
      <c r="C896" s="19"/>
      <c r="D896" s="19"/>
      <c r="G896" s="55"/>
      <c r="H896" s="55"/>
      <c r="I896" s="12"/>
    </row>
    <row r="897" ht="14.25" customHeight="1">
      <c r="B897" s="19"/>
      <c r="C897" s="19"/>
      <c r="D897" s="19"/>
      <c r="G897" s="55"/>
      <c r="H897" s="55"/>
      <c r="I897" s="12"/>
    </row>
    <row r="898" ht="14.25" customHeight="1">
      <c r="B898" s="19"/>
      <c r="C898" s="19"/>
      <c r="D898" s="19"/>
      <c r="G898" s="55"/>
      <c r="H898" s="55"/>
      <c r="I898" s="12"/>
    </row>
    <row r="899" ht="14.25" customHeight="1">
      <c r="B899" s="19"/>
      <c r="C899" s="19"/>
      <c r="D899" s="19"/>
      <c r="G899" s="55"/>
      <c r="H899" s="55"/>
      <c r="I899" s="12"/>
    </row>
    <row r="900" ht="14.25" customHeight="1">
      <c r="B900" s="19"/>
      <c r="C900" s="19"/>
      <c r="D900" s="19"/>
      <c r="G900" s="55"/>
      <c r="H900" s="55"/>
      <c r="I900" s="12"/>
    </row>
    <row r="901" ht="14.25" customHeight="1">
      <c r="B901" s="19"/>
      <c r="C901" s="19"/>
      <c r="D901" s="19"/>
      <c r="G901" s="55"/>
      <c r="H901" s="55"/>
      <c r="I901" s="12"/>
    </row>
    <row r="902" ht="14.25" customHeight="1">
      <c r="B902" s="19"/>
      <c r="C902" s="19"/>
      <c r="D902" s="19"/>
      <c r="G902" s="55"/>
      <c r="H902" s="55"/>
      <c r="I902" s="12"/>
    </row>
    <row r="903" ht="14.25" customHeight="1">
      <c r="B903" s="19"/>
      <c r="C903" s="19"/>
      <c r="D903" s="19"/>
      <c r="G903" s="55"/>
      <c r="H903" s="55"/>
      <c r="I903" s="12"/>
    </row>
    <row r="904" ht="14.25" customHeight="1">
      <c r="B904" s="19"/>
      <c r="C904" s="19"/>
      <c r="D904" s="19"/>
      <c r="G904" s="55"/>
      <c r="H904" s="55"/>
      <c r="I904" s="12"/>
    </row>
    <row r="905" ht="14.25" customHeight="1">
      <c r="B905" s="19"/>
      <c r="C905" s="19"/>
      <c r="D905" s="19"/>
      <c r="G905" s="55"/>
      <c r="H905" s="55"/>
      <c r="I905" s="12"/>
    </row>
    <row r="906" ht="14.25" customHeight="1">
      <c r="B906" s="19"/>
      <c r="C906" s="19"/>
      <c r="D906" s="19"/>
      <c r="G906" s="55"/>
      <c r="H906" s="55"/>
      <c r="I906" s="12"/>
    </row>
    <row r="907" ht="14.25" customHeight="1">
      <c r="B907" s="19"/>
      <c r="C907" s="19"/>
      <c r="D907" s="19"/>
      <c r="G907" s="55"/>
      <c r="H907" s="55"/>
      <c r="I907" s="12"/>
    </row>
    <row r="908" ht="14.25" customHeight="1">
      <c r="B908" s="19"/>
      <c r="C908" s="19"/>
      <c r="D908" s="19"/>
      <c r="G908" s="55"/>
      <c r="H908" s="55"/>
      <c r="I908" s="12"/>
    </row>
    <row r="909" ht="14.25" customHeight="1">
      <c r="B909" s="19"/>
      <c r="C909" s="19"/>
      <c r="D909" s="19"/>
      <c r="G909" s="55"/>
      <c r="H909" s="55"/>
      <c r="I909" s="12"/>
    </row>
    <row r="910" ht="14.25" customHeight="1">
      <c r="B910" s="19"/>
      <c r="C910" s="19"/>
      <c r="D910" s="19"/>
      <c r="G910" s="55"/>
      <c r="H910" s="55"/>
      <c r="I910" s="12"/>
    </row>
    <row r="911" ht="14.25" customHeight="1">
      <c r="B911" s="19"/>
      <c r="C911" s="19"/>
      <c r="D911" s="19"/>
      <c r="G911" s="55"/>
      <c r="H911" s="55"/>
      <c r="I911" s="12"/>
    </row>
    <row r="912" ht="14.25" customHeight="1">
      <c r="B912" s="19"/>
      <c r="C912" s="19"/>
      <c r="D912" s="19"/>
      <c r="G912" s="55"/>
      <c r="H912" s="55"/>
      <c r="I912" s="12"/>
    </row>
    <row r="913" ht="14.25" customHeight="1">
      <c r="B913" s="19"/>
      <c r="C913" s="19"/>
      <c r="D913" s="19"/>
      <c r="G913" s="55"/>
      <c r="H913" s="55"/>
      <c r="I913" s="12"/>
    </row>
    <row r="914" ht="14.25" customHeight="1">
      <c r="B914" s="19"/>
      <c r="C914" s="19"/>
      <c r="D914" s="19"/>
      <c r="G914" s="55"/>
      <c r="H914" s="55"/>
      <c r="I914" s="12"/>
    </row>
    <row r="915" ht="14.25" customHeight="1">
      <c r="B915" s="19"/>
      <c r="C915" s="19"/>
      <c r="D915" s="19"/>
      <c r="G915" s="55"/>
      <c r="H915" s="55"/>
      <c r="I915" s="12"/>
    </row>
    <row r="916" ht="14.25" customHeight="1">
      <c r="B916" s="19"/>
      <c r="C916" s="19"/>
      <c r="D916" s="19"/>
      <c r="G916" s="55"/>
      <c r="H916" s="55"/>
      <c r="I916" s="12"/>
    </row>
    <row r="917" ht="14.25" customHeight="1">
      <c r="B917" s="19"/>
      <c r="C917" s="19"/>
      <c r="D917" s="19"/>
      <c r="G917" s="55"/>
      <c r="H917" s="55"/>
      <c r="I917" s="12"/>
    </row>
    <row r="918" ht="14.25" customHeight="1">
      <c r="B918" s="19"/>
      <c r="C918" s="19"/>
      <c r="D918" s="19"/>
      <c r="G918" s="55"/>
      <c r="H918" s="55"/>
      <c r="I918" s="12"/>
    </row>
    <row r="919" ht="14.25" customHeight="1">
      <c r="B919" s="19"/>
      <c r="C919" s="19"/>
      <c r="D919" s="19"/>
      <c r="G919" s="55"/>
      <c r="H919" s="55"/>
      <c r="I919" s="12"/>
    </row>
    <row r="920" ht="14.25" customHeight="1">
      <c r="B920" s="19"/>
      <c r="C920" s="19"/>
      <c r="D920" s="19"/>
      <c r="G920" s="55"/>
      <c r="H920" s="55"/>
      <c r="I920" s="12"/>
    </row>
    <row r="921" ht="14.25" customHeight="1">
      <c r="B921" s="19"/>
      <c r="C921" s="19"/>
      <c r="D921" s="19"/>
      <c r="G921" s="55"/>
      <c r="H921" s="55"/>
      <c r="I921" s="12"/>
    </row>
    <row r="922" ht="14.25" customHeight="1">
      <c r="B922" s="19"/>
      <c r="C922" s="19"/>
      <c r="D922" s="19"/>
      <c r="G922" s="55"/>
      <c r="H922" s="55"/>
      <c r="I922" s="12"/>
    </row>
    <row r="923" ht="14.25" customHeight="1">
      <c r="B923" s="19"/>
      <c r="C923" s="19"/>
      <c r="D923" s="19"/>
      <c r="G923" s="55"/>
      <c r="H923" s="55"/>
      <c r="I923" s="12"/>
    </row>
    <row r="924" ht="14.25" customHeight="1">
      <c r="B924" s="19"/>
      <c r="C924" s="19"/>
      <c r="D924" s="19"/>
      <c r="G924" s="55"/>
      <c r="H924" s="55"/>
      <c r="I924" s="12"/>
    </row>
    <row r="925" ht="14.25" customHeight="1">
      <c r="B925" s="19"/>
      <c r="C925" s="19"/>
      <c r="D925" s="19"/>
      <c r="G925" s="55"/>
      <c r="H925" s="55"/>
      <c r="I925" s="12"/>
    </row>
    <row r="926" ht="14.25" customHeight="1">
      <c r="B926" s="19"/>
      <c r="C926" s="19"/>
      <c r="D926" s="19"/>
      <c r="G926" s="55"/>
      <c r="H926" s="55"/>
      <c r="I926" s="12"/>
    </row>
    <row r="927" ht="14.25" customHeight="1">
      <c r="B927" s="19"/>
      <c r="C927" s="19"/>
      <c r="D927" s="19"/>
      <c r="G927" s="55"/>
      <c r="H927" s="55"/>
      <c r="I927" s="12"/>
    </row>
    <row r="928" ht="14.25" customHeight="1">
      <c r="B928" s="19"/>
      <c r="C928" s="19"/>
      <c r="D928" s="19"/>
      <c r="G928" s="55"/>
      <c r="H928" s="55"/>
      <c r="I928" s="12"/>
    </row>
    <row r="929" ht="14.25" customHeight="1">
      <c r="B929" s="19"/>
      <c r="C929" s="19"/>
      <c r="D929" s="19"/>
      <c r="G929" s="55"/>
      <c r="H929" s="55"/>
      <c r="I929" s="12"/>
    </row>
    <row r="930" ht="14.25" customHeight="1">
      <c r="B930" s="19"/>
      <c r="C930" s="19"/>
      <c r="D930" s="19"/>
      <c r="G930" s="55"/>
      <c r="H930" s="55"/>
      <c r="I930" s="12"/>
    </row>
    <row r="931" ht="14.25" customHeight="1">
      <c r="B931" s="19"/>
      <c r="C931" s="19"/>
      <c r="D931" s="19"/>
      <c r="G931" s="55"/>
      <c r="H931" s="55"/>
      <c r="I931" s="12"/>
    </row>
    <row r="932" ht="14.25" customHeight="1">
      <c r="B932" s="19"/>
      <c r="C932" s="19"/>
      <c r="D932" s="19"/>
      <c r="G932" s="55"/>
      <c r="H932" s="55"/>
      <c r="I932" s="12"/>
    </row>
    <row r="933" ht="14.25" customHeight="1">
      <c r="B933" s="19"/>
      <c r="C933" s="19"/>
      <c r="D933" s="19"/>
      <c r="G933" s="55"/>
      <c r="H933" s="55"/>
      <c r="I933" s="12"/>
    </row>
    <row r="934" ht="14.25" customHeight="1">
      <c r="B934" s="19"/>
      <c r="C934" s="19"/>
      <c r="D934" s="19"/>
      <c r="G934" s="55"/>
      <c r="H934" s="55"/>
      <c r="I934" s="12"/>
    </row>
    <row r="935" ht="14.25" customHeight="1">
      <c r="B935" s="19"/>
      <c r="C935" s="19"/>
      <c r="D935" s="19"/>
      <c r="G935" s="55"/>
      <c r="H935" s="55"/>
      <c r="I935" s="12"/>
    </row>
    <row r="936" ht="14.25" customHeight="1">
      <c r="B936" s="19"/>
      <c r="C936" s="19"/>
      <c r="D936" s="19"/>
      <c r="G936" s="55"/>
      <c r="H936" s="55"/>
      <c r="I936" s="12"/>
    </row>
    <row r="937" ht="14.25" customHeight="1">
      <c r="B937" s="19"/>
      <c r="C937" s="19"/>
      <c r="D937" s="19"/>
      <c r="G937" s="55"/>
      <c r="H937" s="55"/>
      <c r="I937" s="12"/>
    </row>
    <row r="938" ht="14.25" customHeight="1">
      <c r="B938" s="19"/>
      <c r="C938" s="19"/>
      <c r="D938" s="19"/>
      <c r="G938" s="55"/>
      <c r="H938" s="55"/>
      <c r="I938" s="12"/>
    </row>
    <row r="939" ht="14.25" customHeight="1">
      <c r="B939" s="19"/>
      <c r="C939" s="19"/>
      <c r="D939" s="19"/>
      <c r="G939" s="55"/>
      <c r="H939" s="55"/>
      <c r="I939" s="12"/>
    </row>
    <row r="940" ht="14.25" customHeight="1">
      <c r="B940" s="19"/>
      <c r="C940" s="19"/>
      <c r="D940" s="19"/>
      <c r="G940" s="55"/>
      <c r="H940" s="55"/>
      <c r="I940" s="12"/>
    </row>
    <row r="941" ht="14.25" customHeight="1">
      <c r="B941" s="19"/>
      <c r="C941" s="19"/>
      <c r="D941" s="19"/>
      <c r="G941" s="55"/>
      <c r="H941" s="55"/>
      <c r="I941" s="12"/>
    </row>
    <row r="942" ht="14.25" customHeight="1">
      <c r="B942" s="19"/>
      <c r="C942" s="19"/>
      <c r="D942" s="19"/>
      <c r="G942" s="55"/>
      <c r="H942" s="55"/>
      <c r="I942" s="12"/>
    </row>
    <row r="943" ht="14.25" customHeight="1">
      <c r="B943" s="19"/>
      <c r="C943" s="19"/>
      <c r="D943" s="19"/>
      <c r="G943" s="55"/>
      <c r="H943" s="55"/>
      <c r="I943" s="12"/>
    </row>
    <row r="944" ht="14.25" customHeight="1">
      <c r="B944" s="19"/>
      <c r="C944" s="19"/>
      <c r="D944" s="19"/>
      <c r="G944" s="55"/>
      <c r="H944" s="55"/>
      <c r="I944" s="12"/>
    </row>
    <row r="945" ht="14.25" customHeight="1">
      <c r="B945" s="19"/>
      <c r="C945" s="19"/>
      <c r="D945" s="19"/>
      <c r="G945" s="55"/>
      <c r="H945" s="55"/>
      <c r="I945" s="12"/>
    </row>
    <row r="946" ht="14.25" customHeight="1">
      <c r="B946" s="19"/>
      <c r="C946" s="19"/>
      <c r="D946" s="19"/>
      <c r="G946" s="55"/>
      <c r="H946" s="55"/>
      <c r="I946" s="12"/>
    </row>
    <row r="947" ht="14.25" customHeight="1">
      <c r="B947" s="19"/>
      <c r="C947" s="19"/>
      <c r="D947" s="19"/>
      <c r="G947" s="55"/>
      <c r="H947" s="55"/>
      <c r="I947" s="12"/>
    </row>
    <row r="948" ht="14.25" customHeight="1">
      <c r="B948" s="19"/>
      <c r="C948" s="19"/>
      <c r="D948" s="19"/>
      <c r="G948" s="55"/>
      <c r="H948" s="55"/>
      <c r="I948" s="12"/>
    </row>
    <row r="949" ht="14.25" customHeight="1">
      <c r="B949" s="19"/>
      <c r="C949" s="19"/>
      <c r="D949" s="19"/>
      <c r="G949" s="55"/>
      <c r="H949" s="55"/>
      <c r="I949" s="12"/>
    </row>
    <row r="950" ht="14.25" customHeight="1">
      <c r="B950" s="19"/>
      <c r="C950" s="19"/>
      <c r="D950" s="19"/>
      <c r="G950" s="55"/>
      <c r="H950" s="55"/>
      <c r="I950" s="12"/>
    </row>
    <row r="951" ht="14.25" customHeight="1">
      <c r="B951" s="19"/>
      <c r="C951" s="19"/>
      <c r="D951" s="19"/>
      <c r="G951" s="55"/>
      <c r="H951" s="55"/>
      <c r="I951" s="12"/>
    </row>
    <row r="952" ht="14.25" customHeight="1">
      <c r="B952" s="19"/>
      <c r="C952" s="19"/>
      <c r="D952" s="19"/>
      <c r="G952" s="55"/>
      <c r="H952" s="55"/>
      <c r="I952" s="12"/>
    </row>
    <row r="953" ht="14.25" customHeight="1">
      <c r="B953" s="19"/>
      <c r="C953" s="19"/>
      <c r="D953" s="19"/>
      <c r="G953" s="55"/>
      <c r="H953" s="55"/>
      <c r="I953" s="12"/>
    </row>
    <row r="954" ht="14.25" customHeight="1">
      <c r="B954" s="19"/>
      <c r="C954" s="19"/>
      <c r="D954" s="19"/>
      <c r="G954" s="55"/>
      <c r="H954" s="55"/>
      <c r="I954" s="12"/>
    </row>
    <row r="955" ht="14.25" customHeight="1">
      <c r="B955" s="19"/>
      <c r="C955" s="19"/>
      <c r="D955" s="19"/>
      <c r="G955" s="55"/>
      <c r="H955" s="55"/>
      <c r="I955" s="12"/>
    </row>
    <row r="956" ht="14.25" customHeight="1">
      <c r="B956" s="19"/>
      <c r="C956" s="19"/>
      <c r="D956" s="19"/>
      <c r="G956" s="55"/>
      <c r="H956" s="55"/>
      <c r="I956" s="12"/>
    </row>
    <row r="957" ht="14.25" customHeight="1">
      <c r="B957" s="19"/>
      <c r="C957" s="19"/>
      <c r="D957" s="19"/>
      <c r="G957" s="55"/>
      <c r="H957" s="55"/>
      <c r="I957" s="12"/>
    </row>
    <row r="958" ht="14.25" customHeight="1">
      <c r="B958" s="19"/>
      <c r="C958" s="19"/>
      <c r="D958" s="19"/>
      <c r="G958" s="55"/>
      <c r="H958" s="55"/>
      <c r="I958" s="12"/>
    </row>
    <row r="959" ht="14.25" customHeight="1">
      <c r="B959" s="19"/>
      <c r="C959" s="19"/>
      <c r="D959" s="19"/>
      <c r="G959" s="55"/>
      <c r="H959" s="55"/>
      <c r="I959" s="12"/>
    </row>
    <row r="960" ht="14.25" customHeight="1">
      <c r="B960" s="19"/>
      <c r="C960" s="19"/>
      <c r="D960" s="19"/>
      <c r="G960" s="55"/>
      <c r="H960" s="55"/>
      <c r="I960" s="12"/>
    </row>
    <row r="961" ht="14.25" customHeight="1">
      <c r="B961" s="19"/>
      <c r="C961" s="19"/>
      <c r="D961" s="19"/>
      <c r="G961" s="55"/>
      <c r="H961" s="55"/>
      <c r="I961" s="12"/>
    </row>
    <row r="962" ht="14.25" customHeight="1">
      <c r="B962" s="19"/>
      <c r="C962" s="19"/>
      <c r="D962" s="19"/>
      <c r="G962" s="55"/>
      <c r="H962" s="55"/>
      <c r="I962" s="12"/>
    </row>
    <row r="963" ht="14.25" customHeight="1">
      <c r="B963" s="19"/>
      <c r="C963" s="19"/>
      <c r="D963" s="19"/>
      <c r="G963" s="55"/>
      <c r="H963" s="55"/>
      <c r="I963" s="12"/>
    </row>
    <row r="964" ht="14.25" customHeight="1">
      <c r="B964" s="19"/>
      <c r="C964" s="19"/>
      <c r="D964" s="19"/>
      <c r="G964" s="55"/>
      <c r="H964" s="55"/>
      <c r="I964" s="12"/>
    </row>
    <row r="965" ht="14.25" customHeight="1">
      <c r="B965" s="19"/>
      <c r="C965" s="19"/>
      <c r="D965" s="19"/>
      <c r="G965" s="55"/>
      <c r="H965" s="55"/>
      <c r="I965" s="12"/>
    </row>
    <row r="966" ht="14.25" customHeight="1">
      <c r="B966" s="19"/>
      <c r="C966" s="19"/>
      <c r="D966" s="19"/>
      <c r="G966" s="55"/>
      <c r="H966" s="55"/>
      <c r="I966" s="12"/>
    </row>
    <row r="967" ht="14.25" customHeight="1">
      <c r="B967" s="19"/>
      <c r="C967" s="19"/>
      <c r="D967" s="19"/>
      <c r="G967" s="55"/>
      <c r="H967" s="55"/>
      <c r="I967" s="12"/>
    </row>
    <row r="968" ht="14.25" customHeight="1">
      <c r="B968" s="19"/>
      <c r="C968" s="19"/>
      <c r="D968" s="19"/>
      <c r="G968" s="55"/>
      <c r="H968" s="55"/>
      <c r="I968" s="12"/>
    </row>
    <row r="969" ht="14.25" customHeight="1">
      <c r="B969" s="19"/>
      <c r="C969" s="19"/>
      <c r="D969" s="19"/>
      <c r="G969" s="55"/>
      <c r="H969" s="55"/>
      <c r="I969" s="12"/>
    </row>
    <row r="970" ht="14.25" customHeight="1">
      <c r="B970" s="19"/>
      <c r="C970" s="19"/>
      <c r="D970" s="19"/>
      <c r="G970" s="55"/>
      <c r="H970" s="55"/>
      <c r="I970" s="12"/>
    </row>
    <row r="971" ht="14.25" customHeight="1">
      <c r="B971" s="19"/>
      <c r="C971" s="19"/>
      <c r="D971" s="19"/>
      <c r="G971" s="55"/>
      <c r="H971" s="55"/>
      <c r="I971" s="12"/>
    </row>
    <row r="972" ht="14.25" customHeight="1">
      <c r="B972" s="19"/>
      <c r="C972" s="19"/>
      <c r="D972" s="19"/>
      <c r="G972" s="55"/>
      <c r="H972" s="55"/>
      <c r="I972" s="12"/>
    </row>
    <row r="973" ht="14.25" customHeight="1">
      <c r="B973" s="19"/>
      <c r="C973" s="19"/>
      <c r="D973" s="19"/>
      <c r="G973" s="55"/>
      <c r="H973" s="55"/>
      <c r="I973" s="12"/>
    </row>
    <row r="974" ht="14.25" customHeight="1">
      <c r="B974" s="19"/>
      <c r="C974" s="19"/>
      <c r="D974" s="19"/>
      <c r="G974" s="55"/>
      <c r="H974" s="55"/>
      <c r="I974" s="12"/>
    </row>
    <row r="975" ht="14.25" customHeight="1">
      <c r="B975" s="19"/>
      <c r="C975" s="19"/>
      <c r="D975" s="19"/>
      <c r="G975" s="55"/>
      <c r="H975" s="55"/>
      <c r="I975" s="12"/>
    </row>
    <row r="976" ht="14.25" customHeight="1">
      <c r="B976" s="19"/>
      <c r="C976" s="19"/>
      <c r="D976" s="19"/>
      <c r="G976" s="55"/>
      <c r="H976" s="55"/>
      <c r="I976" s="12"/>
    </row>
    <row r="977" ht="14.25" customHeight="1">
      <c r="B977" s="19"/>
      <c r="C977" s="19"/>
      <c r="D977" s="19"/>
      <c r="G977" s="55"/>
      <c r="H977" s="55"/>
      <c r="I977" s="12"/>
    </row>
    <row r="978" ht="14.25" customHeight="1">
      <c r="B978" s="19"/>
      <c r="C978" s="19"/>
      <c r="D978" s="19"/>
      <c r="G978" s="55"/>
      <c r="H978" s="55"/>
      <c r="I978" s="12"/>
    </row>
    <row r="979" ht="14.25" customHeight="1">
      <c r="B979" s="19"/>
      <c r="C979" s="19"/>
      <c r="D979" s="19"/>
      <c r="G979" s="55"/>
      <c r="H979" s="55"/>
      <c r="I979" s="12"/>
    </row>
    <row r="980" ht="14.25" customHeight="1">
      <c r="B980" s="19"/>
      <c r="C980" s="19"/>
      <c r="D980" s="19"/>
      <c r="G980" s="55"/>
      <c r="H980" s="55"/>
      <c r="I980" s="12"/>
    </row>
    <row r="981" ht="14.25" customHeight="1">
      <c r="B981" s="19"/>
      <c r="C981" s="19"/>
      <c r="D981" s="19"/>
      <c r="G981" s="55"/>
      <c r="H981" s="55"/>
      <c r="I981" s="12"/>
    </row>
    <row r="982" ht="14.25" customHeight="1">
      <c r="B982" s="19"/>
      <c r="C982" s="19"/>
      <c r="D982" s="19"/>
      <c r="G982" s="55"/>
      <c r="H982" s="55"/>
      <c r="I982" s="12"/>
    </row>
    <row r="983" ht="14.25" customHeight="1">
      <c r="B983" s="19"/>
      <c r="C983" s="19"/>
      <c r="D983" s="19"/>
      <c r="G983" s="55"/>
      <c r="H983" s="55"/>
      <c r="I983" s="12"/>
    </row>
    <row r="984" ht="14.25" customHeight="1">
      <c r="B984" s="19"/>
      <c r="C984" s="19"/>
      <c r="D984" s="19"/>
      <c r="G984" s="55"/>
      <c r="H984" s="55"/>
      <c r="I984" s="12"/>
    </row>
    <row r="985" ht="14.25" customHeight="1">
      <c r="B985" s="19"/>
      <c r="C985" s="19"/>
      <c r="D985" s="19"/>
      <c r="G985" s="55"/>
      <c r="H985" s="55"/>
      <c r="I985" s="12"/>
    </row>
    <row r="986" ht="14.25" customHeight="1">
      <c r="B986" s="19"/>
      <c r="C986" s="19"/>
      <c r="D986" s="19"/>
      <c r="G986" s="55"/>
      <c r="H986" s="55"/>
      <c r="I986" s="12"/>
    </row>
    <row r="987" ht="14.25" customHeight="1">
      <c r="B987" s="19"/>
      <c r="C987" s="19"/>
      <c r="D987" s="19"/>
      <c r="G987" s="55"/>
      <c r="H987" s="55"/>
      <c r="I987" s="12"/>
    </row>
    <row r="988" ht="14.25" customHeight="1">
      <c r="B988" s="19"/>
      <c r="C988" s="19"/>
      <c r="D988" s="19"/>
      <c r="G988" s="55"/>
      <c r="H988" s="55"/>
      <c r="I988" s="12"/>
    </row>
    <row r="989" ht="14.25" customHeight="1">
      <c r="B989" s="19"/>
      <c r="C989" s="19"/>
      <c r="D989" s="19"/>
      <c r="G989" s="55"/>
      <c r="H989" s="55"/>
      <c r="I989" s="12"/>
    </row>
    <row r="990" ht="14.25" customHeight="1">
      <c r="B990" s="19"/>
      <c r="C990" s="19"/>
      <c r="D990" s="19"/>
      <c r="G990" s="55"/>
      <c r="H990" s="55"/>
      <c r="I990" s="12"/>
    </row>
    <row r="991" ht="14.25" customHeight="1">
      <c r="B991" s="19"/>
      <c r="C991" s="19"/>
      <c r="D991" s="19"/>
      <c r="G991" s="55"/>
      <c r="H991" s="55"/>
      <c r="I991" s="12"/>
    </row>
    <row r="992" ht="14.25" customHeight="1">
      <c r="B992" s="19"/>
      <c r="C992" s="19"/>
      <c r="D992" s="19"/>
      <c r="G992" s="55"/>
      <c r="H992" s="55"/>
      <c r="I992" s="12"/>
    </row>
    <row r="993" ht="14.25" customHeight="1">
      <c r="B993" s="19"/>
      <c r="C993" s="19"/>
      <c r="D993" s="19"/>
      <c r="G993" s="55"/>
      <c r="H993" s="55"/>
      <c r="I993" s="12"/>
    </row>
    <row r="994" ht="14.25" customHeight="1">
      <c r="B994" s="19"/>
      <c r="C994" s="19"/>
      <c r="D994" s="19"/>
      <c r="G994" s="55"/>
      <c r="H994" s="55"/>
      <c r="I994" s="12"/>
    </row>
    <row r="995" ht="14.25" customHeight="1">
      <c r="B995" s="19"/>
      <c r="C995" s="19"/>
      <c r="D995" s="19"/>
      <c r="G995" s="55"/>
      <c r="H995" s="55"/>
      <c r="I995" s="12"/>
    </row>
    <row r="996" ht="14.25" customHeight="1">
      <c r="B996" s="19"/>
      <c r="C996" s="19"/>
      <c r="D996" s="19"/>
      <c r="G996" s="55"/>
      <c r="H996" s="55"/>
      <c r="I996" s="12"/>
    </row>
    <row r="997" ht="14.25" customHeight="1">
      <c r="B997" s="19"/>
      <c r="C997" s="19"/>
      <c r="D997" s="19"/>
      <c r="G997" s="55"/>
      <c r="H997" s="55"/>
      <c r="I997" s="12"/>
    </row>
    <row r="998" ht="14.25" customHeight="1">
      <c r="B998" s="19"/>
      <c r="C998" s="19"/>
      <c r="D998" s="19"/>
      <c r="G998" s="55"/>
      <c r="H998" s="55"/>
      <c r="I998" s="12"/>
    </row>
    <row r="999" ht="14.25" customHeight="1">
      <c r="B999" s="19"/>
      <c r="C999" s="19"/>
      <c r="D999" s="19"/>
      <c r="G999" s="55"/>
      <c r="H999" s="55"/>
      <c r="I999" s="12"/>
    </row>
  </sheetData>
  <mergeCells count="11">
    <mergeCell ref="B5:E5"/>
    <mergeCell ref="B6:E6"/>
    <mergeCell ref="G6:H6"/>
    <mergeCell ref="G31:J31"/>
    <mergeCell ref="A1:H1"/>
    <mergeCell ref="D2:E2"/>
    <mergeCell ref="B3:E3"/>
    <mergeCell ref="G3:H3"/>
    <mergeCell ref="B4:E4"/>
    <mergeCell ref="G4:H4"/>
    <mergeCell ref="G5:H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6.43"/>
    <col customWidth="1" min="7" max="7" width="23.29"/>
    <col customWidth="1" min="8" max="8" width="12.86"/>
    <col customWidth="1" min="9" max="28" width="8.71"/>
  </cols>
  <sheetData>
    <row r="1" ht="31.5" customHeight="1">
      <c r="A1" s="11" t="s">
        <v>42</v>
      </c>
      <c r="H1" s="12"/>
    </row>
    <row r="2" ht="26.25" customHeight="1">
      <c r="C2" s="159" t="s">
        <v>43</v>
      </c>
      <c r="G2" s="55"/>
      <c r="H2" s="12"/>
    </row>
    <row r="3" ht="14.25" customHeight="1">
      <c r="A3" s="14" t="s">
        <v>44</v>
      </c>
      <c r="B3" s="17" t="s">
        <v>405</v>
      </c>
      <c r="E3" s="14" t="s">
        <v>46</v>
      </c>
      <c r="F3" s="18" t="s">
        <v>406</v>
      </c>
      <c r="H3" s="12"/>
    </row>
    <row r="4" ht="14.25" customHeight="1">
      <c r="A4" s="14" t="s">
        <v>48</v>
      </c>
      <c r="B4" s="18" t="s">
        <v>407</v>
      </c>
      <c r="E4" s="14" t="s">
        <v>105</v>
      </c>
      <c r="F4" s="18">
        <v>8.007226100235E12</v>
      </c>
      <c r="H4" s="12"/>
    </row>
    <row r="5" ht="14.25" customHeight="1">
      <c r="A5" s="14" t="s">
        <v>51</v>
      </c>
      <c r="B5" s="15" t="s">
        <v>154</v>
      </c>
      <c r="E5" s="14" t="s">
        <v>53</v>
      </c>
      <c r="F5" s="18" t="s">
        <v>408</v>
      </c>
      <c r="H5" s="12"/>
    </row>
    <row r="6" ht="14.25" customHeight="1">
      <c r="A6" s="14" t="s">
        <v>54</v>
      </c>
      <c r="B6" s="18"/>
      <c r="E6" s="14" t="s">
        <v>55</v>
      </c>
      <c r="F6" s="18">
        <v>1.2990364255E10</v>
      </c>
      <c r="H6" s="12"/>
    </row>
    <row r="7" ht="14.25" customHeight="1">
      <c r="G7" s="55"/>
      <c r="H7" s="12"/>
    </row>
    <row r="8" ht="14.25" customHeight="1">
      <c r="G8" s="55"/>
      <c r="H8" s="12"/>
    </row>
    <row r="9" ht="14.25" customHeight="1">
      <c r="A9" s="20" t="s">
        <v>56</v>
      </c>
      <c r="B9" s="20" t="s">
        <v>107</v>
      </c>
      <c r="C9" s="160" t="s">
        <v>58</v>
      </c>
      <c r="D9" s="20" t="s">
        <v>59</v>
      </c>
      <c r="E9" s="20" t="s">
        <v>60</v>
      </c>
      <c r="F9" s="20" t="s">
        <v>61</v>
      </c>
      <c r="G9" s="58" t="s">
        <v>62</v>
      </c>
      <c r="H9" s="22" t="s">
        <v>63</v>
      </c>
      <c r="I9" s="20" t="s">
        <v>64</v>
      </c>
    </row>
    <row r="10" ht="14.25" customHeight="1">
      <c r="A10" s="82" t="s">
        <v>409</v>
      </c>
      <c r="B10" s="93"/>
      <c r="C10" s="62"/>
      <c r="D10" s="62"/>
      <c r="E10" s="62"/>
      <c r="F10" s="63">
        <v>1.0</v>
      </c>
      <c r="G10" s="30">
        <v>1.0</v>
      </c>
      <c r="H10" s="27">
        <f t="shared" ref="H10:H43" si="1">G10*200</f>
        <v>200</v>
      </c>
      <c r="I10" s="23"/>
    </row>
    <row r="11" ht="14.25" customHeight="1">
      <c r="A11" s="85" t="s">
        <v>410</v>
      </c>
      <c r="B11" s="161"/>
      <c r="C11" s="162"/>
      <c r="D11" s="62"/>
      <c r="E11" s="62"/>
      <c r="F11" s="60">
        <v>3.0</v>
      </c>
      <c r="G11" s="30">
        <v>3.0</v>
      </c>
      <c r="H11" s="27">
        <f t="shared" si="1"/>
        <v>600</v>
      </c>
      <c r="I11" s="23"/>
    </row>
    <row r="12" ht="14.25" customHeight="1">
      <c r="A12" s="85" t="s">
        <v>411</v>
      </c>
      <c r="B12" s="161"/>
      <c r="C12" s="162"/>
      <c r="D12" s="62"/>
      <c r="E12" s="62"/>
      <c r="F12" s="60">
        <v>1.0</v>
      </c>
      <c r="G12" s="30">
        <v>1.0</v>
      </c>
      <c r="H12" s="27">
        <f t="shared" si="1"/>
        <v>200</v>
      </c>
      <c r="I12" s="23"/>
    </row>
    <row r="13" ht="14.25" customHeight="1">
      <c r="A13" s="87" t="s">
        <v>412</v>
      </c>
      <c r="B13" s="163"/>
      <c r="C13" s="162"/>
      <c r="D13" s="62"/>
      <c r="E13" s="62"/>
      <c r="F13" s="60">
        <v>2.0</v>
      </c>
      <c r="G13" s="30">
        <v>2.0</v>
      </c>
      <c r="H13" s="27">
        <f t="shared" si="1"/>
        <v>400</v>
      </c>
      <c r="I13" s="23"/>
    </row>
    <row r="14" ht="14.25" customHeight="1">
      <c r="A14" s="85" t="s">
        <v>413</v>
      </c>
      <c r="B14" s="161"/>
      <c r="C14" s="162"/>
      <c r="D14" s="62"/>
      <c r="E14" s="62"/>
      <c r="F14" s="60">
        <v>1.0</v>
      </c>
      <c r="G14" s="30">
        <v>1.0</v>
      </c>
      <c r="H14" s="27">
        <f t="shared" si="1"/>
        <v>200</v>
      </c>
      <c r="I14" s="23"/>
    </row>
    <row r="15" ht="14.25" customHeight="1">
      <c r="A15" s="85" t="s">
        <v>414</v>
      </c>
      <c r="B15" s="161"/>
      <c r="C15" s="162"/>
      <c r="D15" s="62"/>
      <c r="E15" s="62"/>
      <c r="F15" s="60">
        <v>1.0</v>
      </c>
      <c r="G15" s="30">
        <v>1.0</v>
      </c>
      <c r="H15" s="27">
        <f t="shared" si="1"/>
        <v>200</v>
      </c>
      <c r="I15" s="23"/>
    </row>
    <row r="16" ht="14.25" customHeight="1">
      <c r="A16" s="87" t="s">
        <v>415</v>
      </c>
      <c r="B16" s="163"/>
      <c r="C16" s="162"/>
      <c r="D16" s="62"/>
      <c r="E16" s="62"/>
      <c r="F16" s="69">
        <v>1.0</v>
      </c>
      <c r="G16" s="30">
        <v>1.0</v>
      </c>
      <c r="H16" s="27">
        <f t="shared" si="1"/>
        <v>200</v>
      </c>
      <c r="I16" s="23"/>
    </row>
    <row r="17" ht="14.25" customHeight="1">
      <c r="A17" s="85" t="s">
        <v>416</v>
      </c>
      <c r="B17" s="161"/>
      <c r="C17" s="162"/>
      <c r="D17" s="62"/>
      <c r="E17" s="62"/>
      <c r="F17" s="60">
        <v>1.0</v>
      </c>
      <c r="G17" s="30">
        <v>1.0</v>
      </c>
      <c r="H17" s="27">
        <f t="shared" si="1"/>
        <v>200</v>
      </c>
      <c r="I17" s="23"/>
    </row>
    <row r="18" ht="14.25" customHeight="1">
      <c r="A18" s="87" t="s">
        <v>417</v>
      </c>
      <c r="B18" s="164"/>
      <c r="C18" s="162"/>
      <c r="D18" s="62"/>
      <c r="E18" s="62"/>
      <c r="F18" s="60">
        <v>1.0</v>
      </c>
      <c r="G18" s="30">
        <v>1.0</v>
      </c>
      <c r="H18" s="27">
        <f t="shared" si="1"/>
        <v>200</v>
      </c>
      <c r="I18" s="23"/>
    </row>
    <row r="19" ht="14.25" customHeight="1">
      <c r="A19" s="85" t="s">
        <v>418</v>
      </c>
      <c r="B19" s="164"/>
      <c r="C19" s="162"/>
      <c r="D19" s="62"/>
      <c r="E19" s="62"/>
      <c r="F19" s="60">
        <v>1.0</v>
      </c>
      <c r="G19" s="30">
        <v>1.0</v>
      </c>
      <c r="H19" s="27">
        <f t="shared" si="1"/>
        <v>200</v>
      </c>
      <c r="I19" s="23"/>
    </row>
    <row r="20" ht="14.25" customHeight="1">
      <c r="A20" s="87" t="s">
        <v>419</v>
      </c>
      <c r="B20" s="163"/>
      <c r="C20" s="162"/>
      <c r="D20" s="62"/>
      <c r="E20" s="62"/>
      <c r="F20" s="69">
        <v>1.0</v>
      </c>
      <c r="G20" s="30">
        <v>1.0</v>
      </c>
      <c r="H20" s="27">
        <f t="shared" si="1"/>
        <v>200</v>
      </c>
      <c r="I20" s="23"/>
    </row>
    <row r="21" ht="14.25" customHeight="1">
      <c r="A21" s="85" t="s">
        <v>420</v>
      </c>
      <c r="B21" s="161"/>
      <c r="C21" s="162"/>
      <c r="D21" s="62"/>
      <c r="E21" s="62"/>
      <c r="F21" s="60">
        <v>1.0</v>
      </c>
      <c r="G21" s="30">
        <v>1.0</v>
      </c>
      <c r="H21" s="27">
        <f t="shared" si="1"/>
        <v>200</v>
      </c>
      <c r="I21" s="23"/>
    </row>
    <row r="22" ht="14.25" customHeight="1">
      <c r="A22" s="85" t="s">
        <v>421</v>
      </c>
      <c r="B22" s="164"/>
      <c r="C22" s="162"/>
      <c r="D22" s="62"/>
      <c r="E22" s="62"/>
      <c r="F22" s="60">
        <v>1.0</v>
      </c>
      <c r="G22" s="30">
        <v>1.0</v>
      </c>
      <c r="H22" s="27">
        <f t="shared" si="1"/>
        <v>200</v>
      </c>
      <c r="I22" s="23"/>
    </row>
    <row r="23" ht="14.25" customHeight="1">
      <c r="A23" s="85" t="s">
        <v>422</v>
      </c>
      <c r="B23" s="161"/>
      <c r="C23" s="162"/>
      <c r="D23" s="62"/>
      <c r="E23" s="62"/>
      <c r="F23" s="60">
        <v>1.0</v>
      </c>
      <c r="G23" s="30">
        <v>1.0</v>
      </c>
      <c r="H23" s="27">
        <f t="shared" si="1"/>
        <v>200</v>
      </c>
      <c r="I23" s="23"/>
    </row>
    <row r="24" ht="14.25" customHeight="1">
      <c r="A24" s="87" t="s">
        <v>423</v>
      </c>
      <c r="B24" s="164"/>
      <c r="C24" s="162"/>
      <c r="D24" s="62"/>
      <c r="E24" s="62"/>
      <c r="F24" s="60">
        <v>2.0</v>
      </c>
      <c r="G24" s="30">
        <v>2.0</v>
      </c>
      <c r="H24" s="27">
        <f t="shared" si="1"/>
        <v>400</v>
      </c>
      <c r="I24" s="23"/>
    </row>
    <row r="25" ht="14.25" customHeight="1">
      <c r="A25" s="85" t="s">
        <v>424</v>
      </c>
      <c r="B25" s="161"/>
      <c r="C25" s="162"/>
      <c r="D25" s="62"/>
      <c r="E25" s="62"/>
      <c r="F25" s="60">
        <v>1.0</v>
      </c>
      <c r="G25" s="30">
        <v>1.0</v>
      </c>
      <c r="H25" s="27">
        <f t="shared" si="1"/>
        <v>200</v>
      </c>
      <c r="I25" s="23"/>
    </row>
    <row r="26" ht="14.25" customHeight="1">
      <c r="A26" s="85" t="s">
        <v>425</v>
      </c>
      <c r="B26" s="161"/>
      <c r="C26" s="162"/>
      <c r="D26" s="62"/>
      <c r="E26" s="62"/>
      <c r="F26" s="60">
        <v>3.0</v>
      </c>
      <c r="G26" s="30">
        <v>3.0</v>
      </c>
      <c r="H26" s="27">
        <f t="shared" si="1"/>
        <v>600</v>
      </c>
      <c r="I26" s="23"/>
    </row>
    <row r="27" ht="14.25" customHeight="1">
      <c r="A27" s="85" t="s">
        <v>426</v>
      </c>
      <c r="B27" s="161"/>
      <c r="C27" s="162"/>
      <c r="D27" s="62"/>
      <c r="E27" s="62"/>
      <c r="F27" s="60">
        <v>2.0</v>
      </c>
      <c r="G27" s="30">
        <v>2.0</v>
      </c>
      <c r="H27" s="27">
        <f t="shared" si="1"/>
        <v>400</v>
      </c>
      <c r="I27" s="23"/>
    </row>
    <row r="28" ht="14.25" customHeight="1">
      <c r="A28" s="85" t="s">
        <v>427</v>
      </c>
      <c r="B28" s="161"/>
      <c r="C28" s="162"/>
      <c r="D28" s="62"/>
      <c r="E28" s="62"/>
      <c r="F28" s="60">
        <v>2.0</v>
      </c>
      <c r="G28" s="30">
        <v>2.0</v>
      </c>
      <c r="H28" s="27">
        <f t="shared" si="1"/>
        <v>400</v>
      </c>
      <c r="I28" s="23"/>
    </row>
    <row r="29" ht="14.25" customHeight="1">
      <c r="A29" s="85" t="s">
        <v>428</v>
      </c>
      <c r="B29" s="161"/>
      <c r="C29" s="162"/>
      <c r="D29" s="62"/>
      <c r="E29" s="62"/>
      <c r="F29" s="60">
        <v>3.0</v>
      </c>
      <c r="G29" s="30">
        <v>3.0</v>
      </c>
      <c r="H29" s="27">
        <f t="shared" si="1"/>
        <v>600</v>
      </c>
      <c r="I29" s="23"/>
    </row>
    <row r="30" ht="14.25" customHeight="1">
      <c r="A30" s="85" t="s">
        <v>429</v>
      </c>
      <c r="B30" s="164"/>
      <c r="C30" s="162"/>
      <c r="D30" s="62"/>
      <c r="E30" s="62"/>
      <c r="F30" s="60">
        <v>1.0</v>
      </c>
      <c r="G30" s="30">
        <v>1.0</v>
      </c>
      <c r="H30" s="27">
        <f t="shared" si="1"/>
        <v>200</v>
      </c>
      <c r="I30" s="23"/>
    </row>
    <row r="31" ht="14.25" customHeight="1">
      <c r="A31" s="85" t="s">
        <v>430</v>
      </c>
      <c r="B31" s="161"/>
      <c r="C31" s="162"/>
      <c r="D31" s="62"/>
      <c r="E31" s="62"/>
      <c r="F31" s="60">
        <v>2.0</v>
      </c>
      <c r="G31" s="30">
        <v>2.0</v>
      </c>
      <c r="H31" s="27">
        <f t="shared" si="1"/>
        <v>400</v>
      </c>
      <c r="I31" s="23"/>
    </row>
    <row r="32" ht="14.25" customHeight="1">
      <c r="A32" s="87" t="s">
        <v>431</v>
      </c>
      <c r="B32" s="163"/>
      <c r="C32" s="162"/>
      <c r="D32" s="62"/>
      <c r="E32" s="62"/>
      <c r="F32" s="60">
        <v>2.0</v>
      </c>
      <c r="G32" s="30">
        <v>2.0</v>
      </c>
      <c r="H32" s="27">
        <f t="shared" si="1"/>
        <v>400</v>
      </c>
      <c r="I32" s="23"/>
    </row>
    <row r="33" ht="14.25" customHeight="1">
      <c r="A33" s="87" t="s">
        <v>432</v>
      </c>
      <c r="B33" s="163"/>
      <c r="C33" s="165"/>
      <c r="D33" s="23"/>
      <c r="E33" s="23"/>
      <c r="F33" s="63">
        <v>1.0</v>
      </c>
      <c r="G33" s="30">
        <v>1.0</v>
      </c>
      <c r="H33" s="27">
        <f t="shared" si="1"/>
        <v>200</v>
      </c>
      <c r="I33" s="23"/>
    </row>
    <row r="34" ht="14.25" customHeight="1">
      <c r="A34" s="87" t="s">
        <v>433</v>
      </c>
      <c r="B34" s="163"/>
      <c r="C34" s="165"/>
      <c r="D34" s="23"/>
      <c r="E34" s="23"/>
      <c r="F34" s="63">
        <v>2.0</v>
      </c>
      <c r="G34" s="30">
        <v>2.0</v>
      </c>
      <c r="H34" s="27">
        <f t="shared" si="1"/>
        <v>400</v>
      </c>
      <c r="I34" s="23"/>
    </row>
    <row r="35" ht="14.25" customHeight="1">
      <c r="A35" s="85" t="s">
        <v>434</v>
      </c>
      <c r="B35" s="161"/>
      <c r="C35" s="165"/>
      <c r="D35" s="23"/>
      <c r="E35" s="23"/>
      <c r="F35" s="63">
        <v>3.0</v>
      </c>
      <c r="G35" s="30">
        <v>3.0</v>
      </c>
      <c r="H35" s="27">
        <f t="shared" si="1"/>
        <v>600</v>
      </c>
      <c r="I35" s="23"/>
    </row>
    <row r="36" ht="14.25" customHeight="1">
      <c r="A36" s="85" t="s">
        <v>435</v>
      </c>
      <c r="B36" s="161"/>
      <c r="C36" s="165"/>
      <c r="D36" s="23"/>
      <c r="E36" s="23"/>
      <c r="F36" s="63">
        <v>1.0</v>
      </c>
      <c r="G36" s="30">
        <v>1.0</v>
      </c>
      <c r="H36" s="27">
        <f t="shared" si="1"/>
        <v>200</v>
      </c>
      <c r="I36" s="23"/>
    </row>
    <row r="37" ht="14.25" customHeight="1">
      <c r="A37" s="87" t="s">
        <v>436</v>
      </c>
      <c r="B37" s="163"/>
      <c r="C37" s="165"/>
      <c r="D37" s="23"/>
      <c r="E37" s="23"/>
      <c r="F37" s="63">
        <v>1.0</v>
      </c>
      <c r="G37" s="30">
        <v>1.0</v>
      </c>
      <c r="H37" s="27">
        <f t="shared" si="1"/>
        <v>200</v>
      </c>
      <c r="I37" s="23"/>
    </row>
    <row r="38" ht="14.25" customHeight="1">
      <c r="A38" s="85" t="s">
        <v>437</v>
      </c>
      <c r="B38" s="161"/>
      <c r="C38" s="165"/>
      <c r="D38" s="23"/>
      <c r="E38" s="23"/>
      <c r="F38" s="63">
        <v>1.0</v>
      </c>
      <c r="G38" s="30">
        <v>1.0</v>
      </c>
      <c r="H38" s="27">
        <f t="shared" si="1"/>
        <v>200</v>
      </c>
      <c r="I38" s="23"/>
    </row>
    <row r="39" ht="14.25" customHeight="1">
      <c r="A39" s="85" t="s">
        <v>438</v>
      </c>
      <c r="B39" s="161"/>
      <c r="C39" s="165"/>
      <c r="D39" s="23"/>
      <c r="E39" s="23"/>
      <c r="F39" s="63">
        <v>1.0</v>
      </c>
      <c r="G39" s="30">
        <v>1.0</v>
      </c>
      <c r="H39" s="27">
        <f t="shared" si="1"/>
        <v>200</v>
      </c>
      <c r="I39" s="23"/>
    </row>
    <row r="40" ht="14.25" customHeight="1">
      <c r="A40" s="85" t="s">
        <v>439</v>
      </c>
      <c r="B40" s="161"/>
      <c r="C40" s="165"/>
      <c r="D40" s="23"/>
      <c r="E40" s="23"/>
      <c r="F40" s="63">
        <v>1.0</v>
      </c>
      <c r="G40" s="30">
        <v>1.0</v>
      </c>
      <c r="H40" s="27">
        <f t="shared" si="1"/>
        <v>200</v>
      </c>
      <c r="I40" s="23"/>
    </row>
    <row r="41" ht="14.25" customHeight="1">
      <c r="A41" s="85" t="s">
        <v>440</v>
      </c>
      <c r="B41" s="161"/>
      <c r="C41" s="165"/>
      <c r="D41" s="23"/>
      <c r="E41" s="23"/>
      <c r="F41" s="63">
        <v>1.0</v>
      </c>
      <c r="G41" s="30">
        <v>1.0</v>
      </c>
      <c r="H41" s="27">
        <f t="shared" si="1"/>
        <v>200</v>
      </c>
      <c r="I41" s="23"/>
    </row>
    <row r="42" ht="14.25" customHeight="1">
      <c r="A42" s="85" t="s">
        <v>441</v>
      </c>
      <c r="B42" s="161"/>
      <c r="C42" s="165"/>
      <c r="D42" s="23"/>
      <c r="E42" s="23"/>
      <c r="F42" s="63">
        <v>2.0</v>
      </c>
      <c r="G42" s="30">
        <v>2.0</v>
      </c>
      <c r="H42" s="27">
        <f t="shared" si="1"/>
        <v>400</v>
      </c>
      <c r="I42" s="23"/>
    </row>
    <row r="43" ht="14.25" customHeight="1">
      <c r="A43" s="85" t="s">
        <v>442</v>
      </c>
      <c r="B43" s="161"/>
      <c r="C43" s="165"/>
      <c r="D43" s="23"/>
      <c r="E43" s="23"/>
      <c r="F43" s="63">
        <v>1.0</v>
      </c>
      <c r="G43" s="30">
        <v>1.0</v>
      </c>
      <c r="H43" s="27">
        <f t="shared" si="1"/>
        <v>200</v>
      </c>
      <c r="I43" s="23"/>
    </row>
    <row r="44" ht="21.75" customHeight="1">
      <c r="A44" s="91"/>
      <c r="B44" s="92"/>
      <c r="C44" s="165"/>
      <c r="D44" s="23"/>
      <c r="E44" s="73" t="s">
        <v>41</v>
      </c>
      <c r="F44" s="40">
        <f>SUM(F9:F43)</f>
        <v>50</v>
      </c>
      <c r="G44" s="40">
        <f>SUM(G1:G43)</f>
        <v>50</v>
      </c>
      <c r="H44" s="74">
        <f>SUM(H9:H43)</f>
        <v>10000</v>
      </c>
      <c r="I44" s="42"/>
    </row>
    <row r="45" ht="23.25" customHeight="1">
      <c r="A45" s="73"/>
      <c r="B45" s="73"/>
      <c r="C45" s="73"/>
      <c r="D45" s="73"/>
      <c r="E45" s="76" t="s">
        <v>100</v>
      </c>
      <c r="F45" s="46">
        <f>COUNT(F10:F43)</f>
        <v>34</v>
      </c>
      <c r="G45" s="47"/>
      <c r="H45" s="47"/>
      <c r="I45" s="48"/>
    </row>
    <row r="46" ht="14.25" customHeight="1">
      <c r="G46" s="55"/>
      <c r="H46" s="12"/>
    </row>
    <row r="47" ht="14.25" customHeight="1">
      <c r="D47" s="49" t="s">
        <v>101</v>
      </c>
      <c r="E47" s="50"/>
      <c r="G47" s="55"/>
      <c r="H47" s="12"/>
    </row>
    <row r="48" ht="14.25" customHeight="1">
      <c r="D48" s="51" t="s">
        <v>102</v>
      </c>
      <c r="E48" s="50"/>
      <c r="G48" s="55"/>
      <c r="H48" s="12"/>
    </row>
    <row r="49" ht="14.25" customHeight="1">
      <c r="D49" s="52" t="s">
        <v>58</v>
      </c>
      <c r="E49" s="53"/>
      <c r="G49" s="55"/>
      <c r="H49" s="12"/>
    </row>
    <row r="50" ht="14.25" customHeight="1">
      <c r="G50" s="55"/>
      <c r="H50" s="12"/>
    </row>
    <row r="51" ht="14.25" customHeight="1">
      <c r="G51" s="55"/>
      <c r="H51" s="12"/>
    </row>
    <row r="52" ht="14.25" customHeight="1">
      <c r="G52" s="55"/>
      <c r="H52" s="12"/>
    </row>
    <row r="53" ht="14.25" customHeight="1">
      <c r="G53" s="55"/>
      <c r="H53" s="12"/>
    </row>
    <row r="54" ht="14.25" customHeight="1">
      <c r="G54" s="55"/>
      <c r="H54" s="12"/>
    </row>
    <row r="55" ht="14.25" customHeight="1">
      <c r="G55" s="55"/>
      <c r="H55" s="12"/>
    </row>
    <row r="56" ht="14.25" customHeight="1">
      <c r="G56" s="55"/>
      <c r="H56" s="12"/>
    </row>
    <row r="57" ht="14.25" customHeight="1">
      <c r="G57" s="55"/>
      <c r="H57" s="12"/>
    </row>
    <row r="58" ht="14.25" customHeight="1">
      <c r="G58" s="55"/>
      <c r="H58" s="12"/>
    </row>
    <row r="59" ht="14.25" customHeight="1">
      <c r="G59" s="55"/>
      <c r="H59" s="12"/>
    </row>
    <row r="60" ht="14.25" customHeight="1">
      <c r="G60" s="55"/>
      <c r="H60" s="12"/>
    </row>
    <row r="61" ht="14.25" customHeight="1">
      <c r="G61" s="55"/>
      <c r="H61" s="12"/>
    </row>
    <row r="62" ht="14.25" customHeight="1">
      <c r="G62" s="55"/>
      <c r="H62" s="12"/>
    </row>
    <row r="63" ht="14.25" customHeight="1">
      <c r="G63" s="55"/>
      <c r="H63" s="12"/>
    </row>
    <row r="64" ht="14.25" customHeight="1">
      <c r="G64" s="55"/>
      <c r="H64" s="12"/>
    </row>
    <row r="65" ht="14.25" customHeight="1">
      <c r="G65" s="55"/>
      <c r="H65" s="12"/>
    </row>
    <row r="66" ht="14.25" customHeight="1">
      <c r="G66" s="55"/>
      <c r="H66" s="12"/>
    </row>
    <row r="67" ht="14.25" customHeight="1">
      <c r="G67" s="55"/>
      <c r="H67" s="12"/>
    </row>
    <row r="68" ht="14.25" customHeight="1">
      <c r="G68" s="55"/>
      <c r="H68" s="12"/>
    </row>
    <row r="69" ht="14.25" customHeight="1">
      <c r="G69" s="55"/>
      <c r="H69" s="12"/>
    </row>
    <row r="70" ht="14.25" customHeight="1">
      <c r="G70" s="55"/>
      <c r="H70" s="12"/>
    </row>
    <row r="71" ht="14.25" customHeight="1">
      <c r="G71" s="55"/>
      <c r="H71" s="12"/>
    </row>
    <row r="72" ht="14.25" customHeight="1">
      <c r="G72" s="55"/>
      <c r="H72" s="12"/>
    </row>
    <row r="73" ht="14.25" customHeight="1">
      <c r="G73" s="55"/>
      <c r="H73" s="12"/>
    </row>
    <row r="74" ht="14.25" customHeight="1">
      <c r="G74" s="55"/>
      <c r="H74" s="12"/>
    </row>
    <row r="75" ht="14.25" customHeight="1">
      <c r="G75" s="55"/>
      <c r="H75" s="12"/>
    </row>
    <row r="76" ht="14.25" customHeight="1">
      <c r="G76" s="55"/>
      <c r="H76" s="12"/>
    </row>
    <row r="77" ht="14.25" customHeight="1">
      <c r="G77" s="55"/>
      <c r="H77" s="12"/>
    </row>
    <row r="78" ht="14.25" customHeight="1">
      <c r="G78" s="55"/>
      <c r="H78" s="12"/>
    </row>
    <row r="79" ht="14.25" customHeight="1">
      <c r="G79" s="55"/>
      <c r="H79" s="12"/>
    </row>
    <row r="80" ht="14.25" customHeight="1">
      <c r="G80" s="55"/>
      <c r="H80" s="12"/>
    </row>
    <row r="81" ht="14.25" customHeight="1">
      <c r="G81" s="55"/>
      <c r="H81" s="12"/>
    </row>
    <row r="82" ht="14.25" customHeight="1">
      <c r="G82" s="55"/>
      <c r="H82" s="12"/>
    </row>
    <row r="83" ht="14.25" customHeight="1">
      <c r="G83" s="55"/>
      <c r="H83" s="12"/>
    </row>
    <row r="84" ht="14.25" customHeight="1">
      <c r="G84" s="55"/>
      <c r="H84" s="12"/>
    </row>
    <row r="85" ht="14.25" customHeight="1">
      <c r="G85" s="55"/>
      <c r="H85" s="12"/>
    </row>
    <row r="86" ht="14.25" customHeight="1">
      <c r="G86" s="55"/>
      <c r="H86" s="12"/>
    </row>
    <row r="87" ht="14.25" customHeight="1">
      <c r="G87" s="55"/>
      <c r="H87" s="12"/>
    </row>
    <row r="88" ht="14.25" customHeight="1">
      <c r="G88" s="55"/>
      <c r="H88" s="12"/>
    </row>
    <row r="89" ht="14.25" customHeight="1">
      <c r="G89" s="55"/>
      <c r="H89" s="12"/>
    </row>
    <row r="90" ht="14.25" customHeight="1">
      <c r="G90" s="55"/>
      <c r="H90" s="12"/>
    </row>
    <row r="91" ht="14.25" customHeight="1">
      <c r="G91" s="55"/>
      <c r="H91" s="12"/>
    </row>
    <row r="92" ht="14.25" customHeight="1">
      <c r="G92" s="55"/>
      <c r="H92" s="12"/>
    </row>
    <row r="93" ht="14.25" customHeight="1">
      <c r="G93" s="55"/>
      <c r="H93" s="12"/>
    </row>
    <row r="94" ht="14.25" customHeight="1">
      <c r="G94" s="55"/>
      <c r="H94" s="12"/>
    </row>
    <row r="95" ht="14.25" customHeight="1">
      <c r="G95" s="55"/>
      <c r="H95" s="12"/>
    </row>
    <row r="96" ht="14.25" customHeight="1">
      <c r="G96" s="55"/>
      <c r="H96" s="12"/>
    </row>
    <row r="97" ht="14.25" customHeight="1">
      <c r="G97" s="55"/>
      <c r="H97" s="12"/>
    </row>
    <row r="98" ht="14.25" customHeight="1">
      <c r="G98" s="55"/>
      <c r="H98" s="12"/>
    </row>
    <row r="99" ht="14.25" customHeight="1">
      <c r="G99" s="55"/>
      <c r="H99" s="12"/>
    </row>
    <row r="100" ht="14.25" customHeight="1">
      <c r="G100" s="55"/>
      <c r="H100" s="12"/>
    </row>
    <row r="101" ht="14.25" customHeight="1">
      <c r="G101" s="55"/>
      <c r="H101" s="12"/>
    </row>
    <row r="102" ht="14.25" customHeight="1">
      <c r="G102" s="55"/>
      <c r="H102" s="12"/>
    </row>
    <row r="103" ht="14.25" customHeight="1">
      <c r="G103" s="55"/>
      <c r="H103" s="12"/>
    </row>
    <row r="104" ht="14.25" customHeight="1">
      <c r="G104" s="55"/>
      <c r="H104" s="12"/>
    </row>
    <row r="105" ht="14.25" customHeight="1">
      <c r="G105" s="55"/>
      <c r="H105" s="12"/>
    </row>
    <row r="106" ht="14.25" customHeight="1">
      <c r="G106" s="55"/>
      <c r="H106" s="12"/>
    </row>
    <row r="107" ht="14.25" customHeight="1">
      <c r="G107" s="55"/>
      <c r="H107" s="12"/>
    </row>
    <row r="108" ht="14.25" customHeight="1">
      <c r="G108" s="55"/>
      <c r="H108" s="12"/>
    </row>
    <row r="109" ht="14.25" customHeight="1">
      <c r="G109" s="55"/>
      <c r="H109" s="12"/>
    </row>
    <row r="110" ht="14.25" customHeight="1">
      <c r="G110" s="55"/>
      <c r="H110" s="12"/>
    </row>
    <row r="111" ht="14.25" customHeight="1">
      <c r="G111" s="55"/>
      <c r="H111" s="12"/>
    </row>
    <row r="112" ht="14.25" customHeight="1">
      <c r="G112" s="55"/>
      <c r="H112" s="12"/>
    </row>
    <row r="113" ht="14.25" customHeight="1">
      <c r="G113" s="55"/>
      <c r="H113" s="12"/>
    </row>
    <row r="114" ht="14.25" customHeight="1">
      <c r="G114" s="55"/>
      <c r="H114" s="12"/>
    </row>
    <row r="115" ht="14.25" customHeight="1">
      <c r="G115" s="55"/>
      <c r="H115" s="12"/>
    </row>
    <row r="116" ht="14.25" customHeight="1">
      <c r="G116" s="55"/>
      <c r="H116" s="12"/>
    </row>
    <row r="117" ht="14.25" customHeight="1">
      <c r="G117" s="55"/>
      <c r="H117" s="12"/>
    </row>
    <row r="118" ht="14.25" customHeight="1">
      <c r="G118" s="55"/>
      <c r="H118" s="12"/>
    </row>
    <row r="119" ht="14.25" customHeight="1">
      <c r="G119" s="55"/>
      <c r="H119" s="12"/>
    </row>
    <row r="120" ht="14.25" customHeight="1">
      <c r="G120" s="55"/>
      <c r="H120" s="12"/>
    </row>
    <row r="121" ht="14.25" customHeight="1">
      <c r="G121" s="55"/>
      <c r="H121" s="12"/>
    </row>
    <row r="122" ht="14.25" customHeight="1">
      <c r="G122" s="55"/>
      <c r="H122" s="12"/>
    </row>
    <row r="123" ht="14.25" customHeight="1">
      <c r="G123" s="55"/>
      <c r="H123" s="12"/>
    </row>
    <row r="124" ht="14.25" customHeight="1">
      <c r="G124" s="55"/>
      <c r="H124" s="12"/>
    </row>
    <row r="125" ht="14.25" customHeight="1">
      <c r="G125" s="55"/>
      <c r="H125" s="12"/>
    </row>
    <row r="126" ht="14.25" customHeight="1">
      <c r="G126" s="55"/>
      <c r="H126" s="12"/>
    </row>
    <row r="127" ht="14.25" customHeight="1">
      <c r="G127" s="55"/>
      <c r="H127" s="12"/>
    </row>
    <row r="128" ht="14.25" customHeight="1">
      <c r="G128" s="55"/>
      <c r="H128" s="12"/>
    </row>
    <row r="129" ht="14.25" customHeight="1">
      <c r="G129" s="55"/>
      <c r="H129" s="12"/>
    </row>
    <row r="130" ht="14.25" customHeight="1">
      <c r="G130" s="55"/>
      <c r="H130" s="12"/>
    </row>
    <row r="131" ht="14.25" customHeight="1">
      <c r="G131" s="55"/>
      <c r="H131" s="12"/>
    </row>
    <row r="132" ht="14.25" customHeight="1">
      <c r="G132" s="55"/>
      <c r="H132" s="12"/>
    </row>
    <row r="133" ht="14.25" customHeight="1">
      <c r="G133" s="55"/>
      <c r="H133" s="12"/>
    </row>
    <row r="134" ht="14.25" customHeight="1">
      <c r="G134" s="55"/>
      <c r="H134" s="12"/>
    </row>
    <row r="135" ht="14.25" customHeight="1">
      <c r="G135" s="55"/>
      <c r="H135" s="12"/>
    </row>
    <row r="136" ht="14.25" customHeight="1">
      <c r="G136" s="55"/>
      <c r="H136" s="12"/>
    </row>
    <row r="137" ht="14.25" customHeight="1">
      <c r="G137" s="55"/>
      <c r="H137" s="12"/>
    </row>
    <row r="138" ht="14.25" customHeight="1">
      <c r="G138" s="55"/>
      <c r="H138" s="12"/>
    </row>
    <row r="139" ht="14.25" customHeight="1">
      <c r="G139" s="55"/>
      <c r="H139" s="12"/>
    </row>
    <row r="140" ht="14.25" customHeight="1">
      <c r="G140" s="55"/>
      <c r="H140" s="12"/>
    </row>
    <row r="141" ht="14.25" customHeight="1">
      <c r="G141" s="55"/>
      <c r="H141" s="12"/>
    </row>
    <row r="142" ht="14.25" customHeight="1">
      <c r="G142" s="55"/>
      <c r="H142" s="12"/>
    </row>
    <row r="143" ht="14.25" customHeight="1">
      <c r="G143" s="55"/>
      <c r="H143" s="12"/>
    </row>
    <row r="144" ht="14.25" customHeight="1">
      <c r="G144" s="55"/>
      <c r="H144" s="12"/>
    </row>
    <row r="145" ht="14.25" customHeight="1">
      <c r="G145" s="55"/>
      <c r="H145" s="12"/>
    </row>
    <row r="146" ht="14.25" customHeight="1">
      <c r="G146" s="55"/>
      <c r="H146" s="12"/>
    </row>
    <row r="147" ht="14.25" customHeight="1">
      <c r="G147" s="55"/>
      <c r="H147" s="12"/>
    </row>
    <row r="148" ht="14.25" customHeight="1">
      <c r="G148" s="55"/>
      <c r="H148" s="12"/>
    </row>
    <row r="149" ht="14.25" customHeight="1">
      <c r="G149" s="55"/>
      <c r="H149" s="12"/>
    </row>
    <row r="150" ht="14.25" customHeight="1">
      <c r="G150" s="55"/>
      <c r="H150" s="12"/>
    </row>
    <row r="151" ht="14.25" customHeight="1">
      <c r="G151" s="55"/>
      <c r="H151" s="12"/>
    </row>
    <row r="152" ht="14.25" customHeight="1">
      <c r="G152" s="55"/>
      <c r="H152" s="12"/>
    </row>
    <row r="153" ht="14.25" customHeight="1">
      <c r="G153" s="55"/>
      <c r="H153" s="12"/>
    </row>
    <row r="154" ht="14.25" customHeight="1">
      <c r="G154" s="55"/>
      <c r="H154" s="12"/>
    </row>
    <row r="155" ht="14.25" customHeight="1">
      <c r="G155" s="55"/>
      <c r="H155" s="12"/>
    </row>
    <row r="156" ht="14.25" customHeight="1">
      <c r="G156" s="55"/>
      <c r="H156" s="12"/>
    </row>
    <row r="157" ht="14.25" customHeight="1">
      <c r="G157" s="55"/>
      <c r="H157" s="12"/>
    </row>
    <row r="158" ht="14.25" customHeight="1">
      <c r="G158" s="55"/>
      <c r="H158" s="12"/>
    </row>
    <row r="159" ht="14.25" customHeight="1">
      <c r="G159" s="55"/>
      <c r="H159" s="12"/>
    </row>
    <row r="160" ht="14.25" customHeight="1">
      <c r="G160" s="55"/>
      <c r="H160" s="12"/>
    </row>
    <row r="161" ht="14.25" customHeight="1">
      <c r="G161" s="55"/>
      <c r="H161" s="12"/>
    </row>
    <row r="162" ht="14.25" customHeight="1">
      <c r="G162" s="55"/>
      <c r="H162" s="12"/>
    </row>
    <row r="163" ht="14.25" customHeight="1">
      <c r="G163" s="55"/>
      <c r="H163" s="12"/>
    </row>
    <row r="164" ht="14.25" customHeight="1">
      <c r="G164" s="55"/>
      <c r="H164" s="12"/>
    </row>
    <row r="165" ht="14.25" customHeight="1">
      <c r="G165" s="55"/>
      <c r="H165" s="12"/>
    </row>
    <row r="166" ht="14.25" customHeight="1">
      <c r="G166" s="55"/>
      <c r="H166" s="12"/>
    </row>
    <row r="167" ht="14.25" customHeight="1">
      <c r="G167" s="55"/>
      <c r="H167" s="12"/>
    </row>
    <row r="168" ht="14.25" customHeight="1">
      <c r="G168" s="55"/>
      <c r="H168" s="12"/>
    </row>
    <row r="169" ht="14.25" customHeight="1">
      <c r="G169" s="55"/>
      <c r="H169" s="12"/>
    </row>
    <row r="170" ht="14.25" customHeight="1">
      <c r="G170" s="55"/>
      <c r="H170" s="12"/>
    </row>
    <row r="171" ht="14.25" customHeight="1">
      <c r="G171" s="55"/>
      <c r="H171" s="12"/>
    </row>
    <row r="172" ht="14.25" customHeight="1">
      <c r="G172" s="55"/>
      <c r="H172" s="12"/>
    </row>
    <row r="173" ht="14.25" customHeight="1">
      <c r="G173" s="55"/>
      <c r="H173" s="12"/>
    </row>
    <row r="174" ht="14.25" customHeight="1">
      <c r="G174" s="55"/>
      <c r="H174" s="12"/>
    </row>
    <row r="175" ht="14.25" customHeight="1">
      <c r="G175" s="55"/>
      <c r="H175" s="12"/>
    </row>
    <row r="176" ht="14.25" customHeight="1">
      <c r="G176" s="55"/>
      <c r="H176" s="12"/>
    </row>
    <row r="177" ht="14.25" customHeight="1">
      <c r="G177" s="55"/>
      <c r="H177" s="12"/>
    </row>
    <row r="178" ht="14.25" customHeight="1">
      <c r="G178" s="55"/>
      <c r="H178" s="12"/>
    </row>
    <row r="179" ht="14.25" customHeight="1">
      <c r="G179" s="55"/>
      <c r="H179" s="12"/>
    </row>
    <row r="180" ht="14.25" customHeight="1">
      <c r="G180" s="55"/>
      <c r="H180" s="12"/>
    </row>
    <row r="181" ht="14.25" customHeight="1">
      <c r="G181" s="55"/>
      <c r="H181" s="12"/>
    </row>
    <row r="182" ht="14.25" customHeight="1">
      <c r="G182" s="55"/>
      <c r="H182" s="12"/>
    </row>
    <row r="183" ht="14.25" customHeight="1">
      <c r="G183" s="55"/>
      <c r="H183" s="12"/>
    </row>
    <row r="184" ht="14.25" customHeight="1">
      <c r="G184" s="55"/>
      <c r="H184" s="12"/>
    </row>
    <row r="185" ht="14.25" customHeight="1">
      <c r="G185" s="55"/>
      <c r="H185" s="12"/>
    </row>
    <row r="186" ht="14.25" customHeight="1">
      <c r="G186" s="55"/>
      <c r="H186" s="12"/>
    </row>
    <row r="187" ht="14.25" customHeight="1">
      <c r="G187" s="55"/>
      <c r="H187" s="12"/>
    </row>
    <row r="188" ht="14.25" customHeight="1">
      <c r="G188" s="55"/>
      <c r="H188" s="12"/>
    </row>
    <row r="189" ht="14.25" customHeight="1">
      <c r="G189" s="55"/>
      <c r="H189" s="12"/>
    </row>
    <row r="190" ht="14.25" customHeight="1">
      <c r="G190" s="55"/>
      <c r="H190" s="12"/>
    </row>
    <row r="191" ht="14.25" customHeight="1">
      <c r="G191" s="55"/>
      <c r="H191" s="12"/>
    </row>
    <row r="192" ht="14.25" customHeight="1">
      <c r="G192" s="55"/>
      <c r="H192" s="12"/>
    </row>
    <row r="193" ht="14.25" customHeight="1">
      <c r="G193" s="55"/>
      <c r="H193" s="12"/>
    </row>
    <row r="194" ht="14.25" customHeight="1">
      <c r="G194" s="55"/>
      <c r="H194" s="12"/>
    </row>
    <row r="195" ht="14.25" customHeight="1">
      <c r="G195" s="55"/>
      <c r="H195" s="12"/>
    </row>
    <row r="196" ht="14.25" customHeight="1">
      <c r="G196" s="55"/>
      <c r="H196" s="12"/>
    </row>
    <row r="197" ht="14.25" customHeight="1">
      <c r="G197" s="55"/>
      <c r="H197" s="12"/>
    </row>
    <row r="198" ht="14.25" customHeight="1">
      <c r="G198" s="55"/>
      <c r="H198" s="12"/>
    </row>
    <row r="199" ht="14.25" customHeight="1">
      <c r="G199" s="55"/>
      <c r="H199" s="12"/>
    </row>
    <row r="200" ht="14.25" customHeight="1">
      <c r="G200" s="55"/>
      <c r="H200" s="12"/>
    </row>
    <row r="201" ht="14.25" customHeight="1">
      <c r="G201" s="55"/>
      <c r="H201" s="12"/>
    </row>
    <row r="202" ht="14.25" customHeight="1">
      <c r="G202" s="55"/>
      <c r="H202" s="12"/>
    </row>
    <row r="203" ht="14.25" customHeight="1">
      <c r="G203" s="55"/>
      <c r="H203" s="12"/>
    </row>
    <row r="204" ht="14.25" customHeight="1">
      <c r="G204" s="55"/>
      <c r="H204" s="12"/>
    </row>
    <row r="205" ht="14.25" customHeight="1">
      <c r="G205" s="55"/>
      <c r="H205" s="12"/>
    </row>
    <row r="206" ht="14.25" customHeight="1">
      <c r="G206" s="55"/>
      <c r="H206" s="12"/>
    </row>
    <row r="207" ht="14.25" customHeight="1">
      <c r="G207" s="55"/>
      <c r="H207" s="12"/>
    </row>
    <row r="208" ht="14.25" customHeight="1">
      <c r="G208" s="55"/>
      <c r="H208" s="12"/>
    </row>
    <row r="209" ht="14.25" customHeight="1">
      <c r="G209" s="55"/>
      <c r="H209" s="12"/>
    </row>
    <row r="210" ht="14.25" customHeight="1">
      <c r="G210" s="55"/>
      <c r="H210" s="12"/>
    </row>
    <row r="211" ht="14.25" customHeight="1">
      <c r="G211" s="55"/>
      <c r="H211" s="12"/>
    </row>
    <row r="212" ht="14.25" customHeight="1">
      <c r="G212" s="55"/>
      <c r="H212" s="12"/>
    </row>
    <row r="213" ht="14.25" customHeight="1">
      <c r="G213" s="55"/>
      <c r="H213" s="12"/>
    </row>
    <row r="214" ht="14.25" customHeight="1">
      <c r="G214" s="55"/>
      <c r="H214" s="12"/>
    </row>
    <row r="215" ht="14.25" customHeight="1">
      <c r="G215" s="55"/>
      <c r="H215" s="12"/>
    </row>
    <row r="216" ht="14.25" customHeight="1">
      <c r="G216" s="55"/>
      <c r="H216" s="12"/>
    </row>
    <row r="217" ht="14.25" customHeight="1">
      <c r="G217" s="55"/>
      <c r="H217" s="12"/>
    </row>
    <row r="218" ht="14.25" customHeight="1">
      <c r="G218" s="55"/>
      <c r="H218" s="12"/>
    </row>
    <row r="219" ht="14.25" customHeight="1">
      <c r="G219" s="55"/>
      <c r="H219" s="12"/>
    </row>
    <row r="220" ht="14.25" customHeight="1">
      <c r="G220" s="55"/>
      <c r="H220" s="12"/>
    </row>
    <row r="221" ht="14.25" customHeight="1">
      <c r="G221" s="55"/>
      <c r="H221" s="12"/>
    </row>
    <row r="222" ht="14.25" customHeight="1">
      <c r="G222" s="55"/>
      <c r="H222" s="12"/>
    </row>
    <row r="223" ht="14.25" customHeight="1">
      <c r="G223" s="55"/>
      <c r="H223" s="12"/>
    </row>
    <row r="224" ht="14.25" customHeight="1">
      <c r="G224" s="55"/>
      <c r="H224" s="12"/>
    </row>
    <row r="225" ht="14.25" customHeight="1">
      <c r="G225" s="55"/>
      <c r="H225" s="12"/>
    </row>
    <row r="226" ht="14.25" customHeight="1">
      <c r="G226" s="55"/>
      <c r="H226" s="12"/>
    </row>
    <row r="227" ht="14.25" customHeight="1">
      <c r="G227" s="55"/>
      <c r="H227" s="12"/>
    </row>
    <row r="228" ht="14.25" customHeight="1">
      <c r="G228" s="55"/>
      <c r="H228" s="12"/>
    </row>
    <row r="229" ht="14.25" customHeight="1">
      <c r="G229" s="55"/>
      <c r="H229" s="12"/>
    </row>
    <row r="230" ht="14.25" customHeight="1">
      <c r="G230" s="55"/>
      <c r="H230" s="12"/>
    </row>
    <row r="231" ht="14.25" customHeight="1">
      <c r="G231" s="55"/>
      <c r="H231" s="12"/>
    </row>
    <row r="232" ht="14.25" customHeight="1">
      <c r="G232" s="55"/>
      <c r="H232" s="12"/>
    </row>
    <row r="233" ht="14.25" customHeight="1">
      <c r="G233" s="55"/>
      <c r="H233" s="12"/>
    </row>
    <row r="234" ht="14.25" customHeight="1">
      <c r="G234" s="55"/>
      <c r="H234" s="12"/>
    </row>
    <row r="235" ht="14.25" customHeight="1">
      <c r="G235" s="55"/>
      <c r="H235" s="12"/>
    </row>
    <row r="236" ht="14.25" customHeight="1">
      <c r="G236" s="55"/>
      <c r="H236" s="12"/>
    </row>
    <row r="237" ht="14.25" customHeight="1">
      <c r="G237" s="55"/>
      <c r="H237" s="12"/>
    </row>
    <row r="238" ht="14.25" customHeight="1">
      <c r="G238" s="55"/>
      <c r="H238" s="12"/>
    </row>
    <row r="239" ht="14.25" customHeight="1">
      <c r="G239" s="55"/>
      <c r="H239" s="12"/>
    </row>
    <row r="240" ht="14.25" customHeight="1">
      <c r="G240" s="55"/>
      <c r="H240" s="12"/>
    </row>
    <row r="241" ht="14.25" customHeight="1">
      <c r="G241" s="55"/>
      <c r="H241" s="12"/>
    </row>
    <row r="242" ht="14.25" customHeight="1">
      <c r="G242" s="55"/>
      <c r="H242" s="12"/>
    </row>
    <row r="243" ht="14.25" customHeight="1">
      <c r="G243" s="55"/>
      <c r="H243" s="12"/>
    </row>
    <row r="244" ht="14.25" customHeight="1">
      <c r="G244" s="55"/>
      <c r="H244" s="12"/>
    </row>
    <row r="245" ht="14.25" customHeight="1">
      <c r="G245" s="55"/>
      <c r="H245" s="12"/>
    </row>
    <row r="246" ht="14.25" customHeight="1">
      <c r="G246" s="55"/>
      <c r="H246" s="12"/>
    </row>
    <row r="247" ht="14.25" customHeight="1">
      <c r="G247" s="55"/>
      <c r="H247" s="12"/>
    </row>
    <row r="248" ht="14.25" customHeight="1">
      <c r="G248" s="55"/>
      <c r="H248" s="12"/>
    </row>
    <row r="249" ht="14.25" customHeight="1">
      <c r="G249" s="55"/>
      <c r="H249" s="12"/>
    </row>
    <row r="250" ht="14.25" customHeight="1">
      <c r="G250" s="55"/>
      <c r="H250" s="12"/>
    </row>
    <row r="251" ht="14.25" customHeight="1">
      <c r="G251" s="55"/>
      <c r="H251" s="12"/>
    </row>
    <row r="252" ht="14.25" customHeight="1">
      <c r="G252" s="55"/>
      <c r="H252" s="12"/>
    </row>
    <row r="253" ht="14.25" customHeight="1">
      <c r="G253" s="55"/>
      <c r="H253" s="12"/>
    </row>
    <row r="254" ht="14.25" customHeight="1">
      <c r="G254" s="55"/>
      <c r="H254" s="12"/>
    </row>
    <row r="255" ht="14.25" customHeight="1">
      <c r="G255" s="55"/>
      <c r="H255" s="12"/>
    </row>
    <row r="256" ht="14.25" customHeight="1">
      <c r="G256" s="55"/>
      <c r="H256" s="12"/>
    </row>
    <row r="257" ht="14.25" customHeight="1">
      <c r="G257" s="55"/>
      <c r="H257" s="12"/>
    </row>
    <row r="258" ht="14.25" customHeight="1">
      <c r="G258" s="55"/>
      <c r="H258" s="12"/>
    </row>
    <row r="259" ht="14.25" customHeight="1">
      <c r="G259" s="55"/>
      <c r="H259" s="12"/>
    </row>
    <row r="260" ht="14.25" customHeight="1">
      <c r="G260" s="55"/>
      <c r="H260" s="12"/>
    </row>
    <row r="261" ht="14.25" customHeight="1">
      <c r="G261" s="55"/>
      <c r="H261" s="12"/>
    </row>
    <row r="262" ht="14.25" customHeight="1">
      <c r="G262" s="55"/>
      <c r="H262" s="12"/>
    </row>
    <row r="263" ht="14.25" customHeight="1">
      <c r="G263" s="55"/>
      <c r="H263" s="12"/>
    </row>
    <row r="264" ht="14.25" customHeight="1">
      <c r="G264" s="55"/>
      <c r="H264" s="12"/>
    </row>
    <row r="265" ht="14.25" customHeight="1">
      <c r="G265" s="55"/>
      <c r="H265" s="12"/>
    </row>
    <row r="266" ht="14.25" customHeight="1">
      <c r="G266" s="55"/>
      <c r="H266" s="12"/>
    </row>
    <row r="267" ht="14.25" customHeight="1">
      <c r="G267" s="55"/>
      <c r="H267" s="12"/>
    </row>
    <row r="268" ht="14.25" customHeight="1">
      <c r="G268" s="55"/>
      <c r="H268" s="12"/>
    </row>
    <row r="269" ht="14.25" customHeight="1">
      <c r="G269" s="55"/>
      <c r="H269" s="12"/>
    </row>
    <row r="270" ht="14.25" customHeight="1">
      <c r="G270" s="55"/>
      <c r="H270" s="12"/>
    </row>
    <row r="271" ht="14.25" customHeight="1">
      <c r="G271" s="55"/>
      <c r="H271" s="12"/>
    </row>
    <row r="272" ht="14.25" customHeight="1">
      <c r="G272" s="55"/>
      <c r="H272" s="12"/>
    </row>
    <row r="273" ht="14.25" customHeight="1">
      <c r="G273" s="55"/>
      <c r="H273" s="12"/>
    </row>
    <row r="274" ht="14.25" customHeight="1">
      <c r="G274" s="55"/>
      <c r="H274" s="12"/>
    </row>
    <row r="275" ht="14.25" customHeight="1">
      <c r="G275" s="55"/>
      <c r="H275" s="12"/>
    </row>
    <row r="276" ht="14.25" customHeight="1">
      <c r="G276" s="55"/>
      <c r="H276" s="12"/>
    </row>
    <row r="277" ht="14.25" customHeight="1">
      <c r="G277" s="55"/>
      <c r="H277" s="12"/>
    </row>
    <row r="278" ht="14.25" customHeight="1">
      <c r="G278" s="55"/>
      <c r="H278" s="12"/>
    </row>
    <row r="279" ht="14.25" customHeight="1">
      <c r="G279" s="55"/>
      <c r="H279" s="12"/>
    </row>
    <row r="280" ht="14.25" customHeight="1">
      <c r="G280" s="55"/>
      <c r="H280" s="12"/>
    </row>
    <row r="281" ht="14.25" customHeight="1">
      <c r="G281" s="55"/>
      <c r="H281" s="12"/>
    </row>
    <row r="282" ht="14.25" customHeight="1">
      <c r="G282" s="55"/>
      <c r="H282" s="12"/>
    </row>
    <row r="283" ht="14.25" customHeight="1">
      <c r="G283" s="55"/>
      <c r="H283" s="12"/>
    </row>
    <row r="284" ht="14.25" customHeight="1">
      <c r="G284" s="55"/>
      <c r="H284" s="12"/>
    </row>
    <row r="285" ht="14.25" customHeight="1">
      <c r="G285" s="55"/>
      <c r="H285" s="12"/>
    </row>
    <row r="286" ht="14.25" customHeight="1">
      <c r="G286" s="55"/>
      <c r="H286" s="12"/>
    </row>
    <row r="287" ht="14.25" customHeight="1">
      <c r="G287" s="55"/>
      <c r="H287" s="12"/>
    </row>
    <row r="288" ht="14.25" customHeight="1">
      <c r="G288" s="55"/>
      <c r="H288" s="12"/>
    </row>
    <row r="289" ht="14.25" customHeight="1">
      <c r="G289" s="55"/>
      <c r="H289" s="12"/>
    </row>
    <row r="290" ht="14.25" customHeight="1">
      <c r="G290" s="55"/>
      <c r="H290" s="12"/>
    </row>
    <row r="291" ht="14.25" customHeight="1">
      <c r="G291" s="55"/>
      <c r="H291" s="12"/>
    </row>
    <row r="292" ht="14.25" customHeight="1">
      <c r="G292" s="55"/>
      <c r="H292" s="12"/>
    </row>
    <row r="293" ht="14.25" customHeight="1">
      <c r="G293" s="55"/>
      <c r="H293" s="12"/>
    </row>
    <row r="294" ht="14.25" customHeight="1">
      <c r="G294" s="55"/>
      <c r="H294" s="12"/>
    </row>
    <row r="295" ht="14.25" customHeight="1">
      <c r="G295" s="55"/>
      <c r="H295" s="12"/>
    </row>
    <row r="296" ht="14.25" customHeight="1">
      <c r="G296" s="55"/>
      <c r="H296" s="12"/>
    </row>
    <row r="297" ht="14.25" customHeight="1">
      <c r="G297" s="55"/>
      <c r="H297" s="12"/>
    </row>
    <row r="298" ht="14.25" customHeight="1">
      <c r="G298" s="55"/>
      <c r="H298" s="12"/>
    </row>
    <row r="299" ht="14.25" customHeight="1">
      <c r="G299" s="55"/>
      <c r="H299" s="12"/>
    </row>
    <row r="300" ht="14.25" customHeight="1">
      <c r="G300" s="55"/>
      <c r="H300" s="12"/>
    </row>
    <row r="301" ht="14.25" customHeight="1">
      <c r="G301" s="55"/>
      <c r="H301" s="12"/>
    </row>
    <row r="302" ht="14.25" customHeight="1">
      <c r="G302" s="55"/>
      <c r="H302" s="12"/>
    </row>
    <row r="303" ht="14.25" customHeight="1">
      <c r="G303" s="55"/>
      <c r="H303" s="12"/>
    </row>
    <row r="304" ht="14.25" customHeight="1">
      <c r="G304" s="55"/>
      <c r="H304" s="12"/>
    </row>
    <row r="305" ht="14.25" customHeight="1">
      <c r="G305" s="55"/>
      <c r="H305" s="12"/>
    </row>
    <row r="306" ht="14.25" customHeight="1">
      <c r="G306" s="55"/>
      <c r="H306" s="12"/>
    </row>
    <row r="307" ht="14.25" customHeight="1">
      <c r="G307" s="55"/>
      <c r="H307" s="12"/>
    </row>
    <row r="308" ht="14.25" customHeight="1">
      <c r="G308" s="55"/>
      <c r="H308" s="12"/>
    </row>
    <row r="309" ht="14.25" customHeight="1">
      <c r="G309" s="55"/>
      <c r="H309" s="12"/>
    </row>
    <row r="310" ht="14.25" customHeight="1">
      <c r="G310" s="55"/>
      <c r="H310" s="12"/>
    </row>
    <row r="311" ht="14.25" customHeight="1">
      <c r="G311" s="55"/>
      <c r="H311" s="12"/>
    </row>
    <row r="312" ht="14.25" customHeight="1">
      <c r="G312" s="55"/>
      <c r="H312" s="12"/>
    </row>
    <row r="313" ht="14.25" customHeight="1">
      <c r="G313" s="55"/>
      <c r="H313" s="12"/>
    </row>
    <row r="314" ht="14.25" customHeight="1">
      <c r="G314" s="55"/>
      <c r="H314" s="12"/>
    </row>
    <row r="315" ht="14.25" customHeight="1">
      <c r="G315" s="55"/>
      <c r="H315" s="12"/>
    </row>
    <row r="316" ht="14.25" customHeight="1">
      <c r="G316" s="55"/>
      <c r="H316" s="12"/>
    </row>
    <row r="317" ht="14.25" customHeight="1">
      <c r="G317" s="55"/>
      <c r="H317" s="12"/>
    </row>
    <row r="318" ht="14.25" customHeight="1">
      <c r="G318" s="55"/>
      <c r="H318" s="12"/>
    </row>
    <row r="319" ht="14.25" customHeight="1">
      <c r="G319" s="55"/>
      <c r="H319" s="12"/>
    </row>
    <row r="320" ht="14.25" customHeight="1">
      <c r="G320" s="55"/>
      <c r="H320" s="12"/>
    </row>
    <row r="321" ht="14.25" customHeight="1">
      <c r="G321" s="55"/>
      <c r="H321" s="12"/>
    </row>
    <row r="322" ht="14.25" customHeight="1">
      <c r="G322" s="55"/>
      <c r="H322" s="12"/>
    </row>
    <row r="323" ht="14.25" customHeight="1">
      <c r="G323" s="55"/>
      <c r="H323" s="12"/>
    </row>
    <row r="324" ht="14.25" customHeight="1">
      <c r="G324" s="55"/>
      <c r="H324" s="12"/>
    </row>
    <row r="325" ht="14.25" customHeight="1">
      <c r="G325" s="55"/>
      <c r="H325" s="12"/>
    </row>
    <row r="326" ht="14.25" customHeight="1">
      <c r="G326" s="55"/>
      <c r="H326" s="12"/>
    </row>
    <row r="327" ht="14.25" customHeight="1">
      <c r="G327" s="55"/>
      <c r="H327" s="12"/>
    </row>
    <row r="328" ht="14.25" customHeight="1">
      <c r="G328" s="55"/>
      <c r="H328" s="12"/>
    </row>
    <row r="329" ht="14.25" customHeight="1">
      <c r="G329" s="55"/>
      <c r="H329" s="12"/>
    </row>
    <row r="330" ht="14.25" customHeight="1">
      <c r="G330" s="55"/>
      <c r="H330" s="12"/>
    </row>
    <row r="331" ht="14.25" customHeight="1">
      <c r="G331" s="55"/>
      <c r="H331" s="12"/>
    </row>
    <row r="332" ht="14.25" customHeight="1">
      <c r="G332" s="55"/>
      <c r="H332" s="12"/>
    </row>
    <row r="333" ht="14.25" customHeight="1">
      <c r="G333" s="55"/>
      <c r="H333" s="12"/>
    </row>
    <row r="334" ht="14.25" customHeight="1">
      <c r="G334" s="55"/>
      <c r="H334" s="12"/>
    </row>
    <row r="335" ht="14.25" customHeight="1">
      <c r="G335" s="55"/>
      <c r="H335" s="12"/>
    </row>
    <row r="336" ht="14.25" customHeight="1">
      <c r="G336" s="55"/>
      <c r="H336" s="12"/>
    </row>
    <row r="337" ht="14.25" customHeight="1">
      <c r="G337" s="55"/>
      <c r="H337" s="12"/>
    </row>
    <row r="338" ht="14.25" customHeight="1">
      <c r="G338" s="55"/>
      <c r="H338" s="12"/>
    </row>
    <row r="339" ht="14.25" customHeight="1">
      <c r="G339" s="55"/>
      <c r="H339" s="12"/>
    </row>
    <row r="340" ht="14.25" customHeight="1">
      <c r="G340" s="55"/>
      <c r="H340" s="12"/>
    </row>
    <row r="341" ht="14.25" customHeight="1">
      <c r="G341" s="55"/>
      <c r="H341" s="12"/>
    </row>
    <row r="342" ht="14.25" customHeight="1">
      <c r="G342" s="55"/>
      <c r="H342" s="12"/>
    </row>
    <row r="343" ht="14.25" customHeight="1">
      <c r="G343" s="55"/>
      <c r="H343" s="12"/>
    </row>
    <row r="344" ht="14.25" customHeight="1">
      <c r="G344" s="55"/>
      <c r="H344" s="12"/>
    </row>
    <row r="345" ht="14.25" customHeight="1">
      <c r="G345" s="55"/>
      <c r="H345" s="12"/>
    </row>
    <row r="346" ht="14.25" customHeight="1">
      <c r="G346" s="55"/>
      <c r="H346" s="12"/>
    </row>
    <row r="347" ht="14.25" customHeight="1">
      <c r="G347" s="55"/>
      <c r="H347" s="12"/>
    </row>
    <row r="348" ht="14.25" customHeight="1">
      <c r="G348" s="55"/>
      <c r="H348" s="12"/>
    </row>
    <row r="349" ht="14.25" customHeight="1">
      <c r="G349" s="55"/>
      <c r="H349" s="12"/>
    </row>
    <row r="350" ht="14.25" customHeight="1">
      <c r="G350" s="55"/>
      <c r="H350" s="12"/>
    </row>
    <row r="351" ht="14.25" customHeight="1">
      <c r="G351" s="55"/>
      <c r="H351" s="12"/>
    </row>
    <row r="352" ht="14.25" customHeight="1">
      <c r="G352" s="55"/>
      <c r="H352" s="12"/>
    </row>
    <row r="353" ht="14.25" customHeight="1">
      <c r="G353" s="55"/>
      <c r="H353" s="12"/>
    </row>
    <row r="354" ht="14.25" customHeight="1">
      <c r="G354" s="55"/>
      <c r="H354" s="12"/>
    </row>
    <row r="355" ht="14.25" customHeight="1">
      <c r="G355" s="55"/>
      <c r="H355" s="12"/>
    </row>
    <row r="356" ht="14.25" customHeight="1">
      <c r="G356" s="55"/>
      <c r="H356" s="12"/>
    </row>
    <row r="357" ht="14.25" customHeight="1">
      <c r="G357" s="55"/>
      <c r="H357" s="12"/>
    </row>
    <row r="358" ht="14.25" customHeight="1">
      <c r="G358" s="55"/>
      <c r="H358" s="12"/>
    </row>
    <row r="359" ht="14.25" customHeight="1">
      <c r="G359" s="55"/>
      <c r="H359" s="12"/>
    </row>
    <row r="360" ht="14.25" customHeight="1">
      <c r="G360" s="55"/>
      <c r="H360" s="12"/>
    </row>
    <row r="361" ht="14.25" customHeight="1">
      <c r="G361" s="55"/>
      <c r="H361" s="12"/>
    </row>
    <row r="362" ht="14.25" customHeight="1">
      <c r="G362" s="55"/>
      <c r="H362" s="12"/>
    </row>
    <row r="363" ht="14.25" customHeight="1">
      <c r="G363" s="55"/>
      <c r="H363" s="12"/>
    </row>
    <row r="364" ht="14.25" customHeight="1">
      <c r="G364" s="55"/>
      <c r="H364" s="12"/>
    </row>
    <row r="365" ht="14.25" customHeight="1">
      <c r="G365" s="55"/>
      <c r="H365" s="12"/>
    </row>
    <row r="366" ht="14.25" customHeight="1">
      <c r="G366" s="55"/>
      <c r="H366" s="12"/>
    </row>
    <row r="367" ht="14.25" customHeight="1">
      <c r="G367" s="55"/>
      <c r="H367" s="12"/>
    </row>
    <row r="368" ht="14.25" customHeight="1">
      <c r="G368" s="55"/>
      <c r="H368" s="12"/>
    </row>
    <row r="369" ht="14.25" customHeight="1">
      <c r="G369" s="55"/>
      <c r="H369" s="12"/>
    </row>
    <row r="370" ht="14.25" customHeight="1">
      <c r="G370" s="55"/>
      <c r="H370" s="12"/>
    </row>
    <row r="371" ht="14.25" customHeight="1">
      <c r="G371" s="55"/>
      <c r="H371" s="12"/>
    </row>
    <row r="372" ht="14.25" customHeight="1">
      <c r="G372" s="55"/>
      <c r="H372" s="12"/>
    </row>
    <row r="373" ht="14.25" customHeight="1">
      <c r="G373" s="55"/>
      <c r="H373" s="12"/>
    </row>
    <row r="374" ht="14.25" customHeight="1">
      <c r="G374" s="55"/>
      <c r="H374" s="12"/>
    </row>
    <row r="375" ht="14.25" customHeight="1">
      <c r="G375" s="55"/>
      <c r="H375" s="12"/>
    </row>
    <row r="376" ht="14.25" customHeight="1">
      <c r="G376" s="55"/>
      <c r="H376" s="12"/>
    </row>
    <row r="377" ht="14.25" customHeight="1">
      <c r="G377" s="55"/>
      <c r="H377" s="12"/>
    </row>
    <row r="378" ht="14.25" customHeight="1">
      <c r="G378" s="55"/>
      <c r="H378" s="12"/>
    </row>
    <row r="379" ht="14.25" customHeight="1">
      <c r="G379" s="55"/>
      <c r="H379" s="12"/>
    </row>
    <row r="380" ht="14.25" customHeight="1">
      <c r="G380" s="55"/>
      <c r="H380" s="12"/>
    </row>
    <row r="381" ht="14.25" customHeight="1">
      <c r="G381" s="55"/>
      <c r="H381" s="12"/>
    </row>
    <row r="382" ht="14.25" customHeight="1">
      <c r="G382" s="55"/>
      <c r="H382" s="12"/>
    </row>
    <row r="383" ht="14.25" customHeight="1">
      <c r="G383" s="55"/>
      <c r="H383" s="12"/>
    </row>
    <row r="384" ht="14.25" customHeight="1">
      <c r="G384" s="55"/>
      <c r="H384" s="12"/>
    </row>
    <row r="385" ht="14.25" customHeight="1">
      <c r="G385" s="55"/>
      <c r="H385" s="12"/>
    </row>
    <row r="386" ht="14.25" customHeight="1">
      <c r="G386" s="55"/>
      <c r="H386" s="12"/>
    </row>
    <row r="387" ht="14.25" customHeight="1">
      <c r="G387" s="55"/>
      <c r="H387" s="12"/>
    </row>
    <row r="388" ht="14.25" customHeight="1">
      <c r="G388" s="55"/>
      <c r="H388" s="12"/>
    </row>
    <row r="389" ht="14.25" customHeight="1">
      <c r="G389" s="55"/>
      <c r="H389" s="12"/>
    </row>
    <row r="390" ht="14.25" customHeight="1">
      <c r="G390" s="55"/>
      <c r="H390" s="12"/>
    </row>
    <row r="391" ht="14.25" customHeight="1">
      <c r="G391" s="55"/>
      <c r="H391" s="12"/>
    </row>
    <row r="392" ht="14.25" customHeight="1">
      <c r="G392" s="55"/>
      <c r="H392" s="12"/>
    </row>
    <row r="393" ht="14.25" customHeight="1">
      <c r="G393" s="55"/>
      <c r="H393" s="12"/>
    </row>
    <row r="394" ht="14.25" customHeight="1">
      <c r="G394" s="55"/>
      <c r="H394" s="12"/>
    </row>
    <row r="395" ht="14.25" customHeight="1">
      <c r="G395" s="55"/>
      <c r="H395" s="12"/>
    </row>
    <row r="396" ht="14.25" customHeight="1">
      <c r="G396" s="55"/>
      <c r="H396" s="12"/>
    </row>
    <row r="397" ht="14.25" customHeight="1">
      <c r="G397" s="55"/>
      <c r="H397" s="12"/>
    </row>
    <row r="398" ht="14.25" customHeight="1">
      <c r="G398" s="55"/>
      <c r="H398" s="12"/>
    </row>
    <row r="399" ht="14.25" customHeight="1">
      <c r="G399" s="55"/>
      <c r="H399" s="12"/>
    </row>
    <row r="400" ht="14.25" customHeight="1">
      <c r="G400" s="55"/>
      <c r="H400" s="12"/>
    </row>
    <row r="401" ht="14.25" customHeight="1">
      <c r="G401" s="55"/>
      <c r="H401" s="12"/>
    </row>
    <row r="402" ht="14.25" customHeight="1">
      <c r="G402" s="55"/>
      <c r="H402" s="12"/>
    </row>
    <row r="403" ht="14.25" customHeight="1">
      <c r="G403" s="55"/>
      <c r="H403" s="12"/>
    </row>
    <row r="404" ht="14.25" customHeight="1">
      <c r="G404" s="55"/>
      <c r="H404" s="12"/>
    </row>
    <row r="405" ht="14.25" customHeight="1">
      <c r="G405" s="55"/>
      <c r="H405" s="12"/>
    </row>
    <row r="406" ht="14.25" customHeight="1">
      <c r="G406" s="55"/>
      <c r="H406" s="12"/>
    </row>
    <row r="407" ht="14.25" customHeight="1">
      <c r="G407" s="55"/>
      <c r="H407" s="12"/>
    </row>
    <row r="408" ht="14.25" customHeight="1">
      <c r="G408" s="55"/>
      <c r="H408" s="12"/>
    </row>
    <row r="409" ht="14.25" customHeight="1">
      <c r="G409" s="55"/>
      <c r="H409" s="12"/>
    </row>
    <row r="410" ht="14.25" customHeight="1">
      <c r="G410" s="55"/>
      <c r="H410" s="12"/>
    </row>
    <row r="411" ht="14.25" customHeight="1">
      <c r="G411" s="55"/>
      <c r="H411" s="12"/>
    </row>
    <row r="412" ht="14.25" customHeight="1">
      <c r="G412" s="55"/>
      <c r="H412" s="12"/>
    </row>
    <row r="413" ht="14.25" customHeight="1">
      <c r="G413" s="55"/>
      <c r="H413" s="12"/>
    </row>
    <row r="414" ht="14.25" customHeight="1">
      <c r="G414" s="55"/>
      <c r="H414" s="12"/>
    </row>
    <row r="415" ht="14.25" customHeight="1">
      <c r="G415" s="55"/>
      <c r="H415" s="12"/>
    </row>
    <row r="416" ht="14.25" customHeight="1">
      <c r="G416" s="55"/>
      <c r="H416" s="12"/>
    </row>
    <row r="417" ht="14.25" customHeight="1">
      <c r="G417" s="55"/>
      <c r="H417" s="12"/>
    </row>
    <row r="418" ht="14.25" customHeight="1">
      <c r="G418" s="55"/>
      <c r="H418" s="12"/>
    </row>
    <row r="419" ht="14.25" customHeight="1">
      <c r="G419" s="55"/>
      <c r="H419" s="12"/>
    </row>
    <row r="420" ht="14.25" customHeight="1">
      <c r="G420" s="55"/>
      <c r="H420" s="12"/>
    </row>
    <row r="421" ht="14.25" customHeight="1">
      <c r="G421" s="55"/>
      <c r="H421" s="12"/>
    </row>
    <row r="422" ht="14.25" customHeight="1">
      <c r="G422" s="55"/>
      <c r="H422" s="12"/>
    </row>
    <row r="423" ht="14.25" customHeight="1">
      <c r="G423" s="55"/>
      <c r="H423" s="12"/>
    </row>
    <row r="424" ht="14.25" customHeight="1">
      <c r="G424" s="55"/>
      <c r="H424" s="12"/>
    </row>
    <row r="425" ht="14.25" customHeight="1">
      <c r="G425" s="55"/>
      <c r="H425" s="12"/>
    </row>
    <row r="426" ht="14.25" customHeight="1">
      <c r="G426" s="55"/>
      <c r="H426" s="12"/>
    </row>
    <row r="427" ht="14.25" customHeight="1">
      <c r="G427" s="55"/>
      <c r="H427" s="12"/>
    </row>
    <row r="428" ht="14.25" customHeight="1">
      <c r="G428" s="55"/>
      <c r="H428" s="12"/>
    </row>
    <row r="429" ht="14.25" customHeight="1">
      <c r="G429" s="55"/>
      <c r="H429" s="12"/>
    </row>
    <row r="430" ht="14.25" customHeight="1">
      <c r="G430" s="55"/>
      <c r="H430" s="12"/>
    </row>
    <row r="431" ht="14.25" customHeight="1">
      <c r="G431" s="55"/>
      <c r="H431" s="12"/>
    </row>
    <row r="432" ht="14.25" customHeight="1">
      <c r="G432" s="55"/>
      <c r="H432" s="12"/>
    </row>
    <row r="433" ht="14.25" customHeight="1">
      <c r="G433" s="55"/>
      <c r="H433" s="12"/>
    </row>
    <row r="434" ht="14.25" customHeight="1">
      <c r="G434" s="55"/>
      <c r="H434" s="12"/>
    </row>
    <row r="435" ht="14.25" customHeight="1">
      <c r="G435" s="55"/>
      <c r="H435" s="12"/>
    </row>
    <row r="436" ht="14.25" customHeight="1">
      <c r="G436" s="55"/>
      <c r="H436" s="12"/>
    </row>
    <row r="437" ht="14.25" customHeight="1">
      <c r="G437" s="55"/>
      <c r="H437" s="12"/>
    </row>
    <row r="438" ht="14.25" customHeight="1">
      <c r="G438" s="55"/>
      <c r="H438" s="12"/>
    </row>
    <row r="439" ht="14.25" customHeight="1">
      <c r="G439" s="55"/>
      <c r="H439" s="12"/>
    </row>
    <row r="440" ht="14.25" customHeight="1">
      <c r="G440" s="55"/>
      <c r="H440" s="12"/>
    </row>
    <row r="441" ht="14.25" customHeight="1">
      <c r="G441" s="55"/>
      <c r="H441" s="12"/>
    </row>
    <row r="442" ht="14.25" customHeight="1">
      <c r="G442" s="55"/>
      <c r="H442" s="12"/>
    </row>
    <row r="443" ht="14.25" customHeight="1">
      <c r="G443" s="55"/>
      <c r="H443" s="12"/>
    </row>
    <row r="444" ht="14.25" customHeight="1">
      <c r="G444" s="55"/>
      <c r="H444" s="12"/>
    </row>
    <row r="445" ht="14.25" customHeight="1">
      <c r="G445" s="55"/>
      <c r="H445" s="12"/>
    </row>
    <row r="446" ht="14.25" customHeight="1">
      <c r="G446" s="55"/>
      <c r="H446" s="12"/>
    </row>
    <row r="447" ht="14.25" customHeight="1">
      <c r="G447" s="55"/>
      <c r="H447" s="12"/>
    </row>
    <row r="448" ht="14.25" customHeight="1">
      <c r="G448" s="55"/>
      <c r="H448" s="12"/>
    </row>
    <row r="449" ht="14.25" customHeight="1">
      <c r="G449" s="55"/>
      <c r="H449" s="12"/>
    </row>
    <row r="450" ht="14.25" customHeight="1">
      <c r="G450" s="55"/>
      <c r="H450" s="12"/>
    </row>
    <row r="451" ht="14.25" customHeight="1">
      <c r="G451" s="55"/>
      <c r="H451" s="12"/>
    </row>
    <row r="452" ht="14.25" customHeight="1">
      <c r="G452" s="55"/>
      <c r="H452" s="12"/>
    </row>
    <row r="453" ht="14.25" customHeight="1">
      <c r="G453" s="55"/>
      <c r="H453" s="12"/>
    </row>
    <row r="454" ht="14.25" customHeight="1">
      <c r="G454" s="55"/>
      <c r="H454" s="12"/>
    </row>
    <row r="455" ht="14.25" customHeight="1">
      <c r="G455" s="55"/>
      <c r="H455" s="12"/>
    </row>
    <row r="456" ht="14.25" customHeight="1">
      <c r="G456" s="55"/>
      <c r="H456" s="12"/>
    </row>
    <row r="457" ht="14.25" customHeight="1">
      <c r="G457" s="55"/>
      <c r="H457" s="12"/>
    </row>
    <row r="458" ht="14.25" customHeight="1">
      <c r="G458" s="55"/>
      <c r="H458" s="12"/>
    </row>
    <row r="459" ht="14.25" customHeight="1">
      <c r="G459" s="55"/>
      <c r="H459" s="12"/>
    </row>
    <row r="460" ht="14.25" customHeight="1">
      <c r="G460" s="55"/>
      <c r="H460" s="12"/>
    </row>
    <row r="461" ht="14.25" customHeight="1">
      <c r="G461" s="55"/>
      <c r="H461" s="12"/>
    </row>
    <row r="462" ht="14.25" customHeight="1">
      <c r="G462" s="55"/>
      <c r="H462" s="12"/>
    </row>
    <row r="463" ht="14.25" customHeight="1">
      <c r="G463" s="55"/>
      <c r="H463" s="12"/>
    </row>
    <row r="464" ht="14.25" customHeight="1">
      <c r="G464" s="55"/>
      <c r="H464" s="12"/>
    </row>
    <row r="465" ht="14.25" customHeight="1">
      <c r="G465" s="55"/>
      <c r="H465" s="12"/>
    </row>
    <row r="466" ht="14.25" customHeight="1">
      <c r="G466" s="55"/>
      <c r="H466" s="12"/>
    </row>
    <row r="467" ht="14.25" customHeight="1">
      <c r="G467" s="55"/>
      <c r="H467" s="12"/>
    </row>
    <row r="468" ht="14.25" customHeight="1">
      <c r="G468" s="55"/>
      <c r="H468" s="12"/>
    </row>
    <row r="469" ht="14.25" customHeight="1">
      <c r="G469" s="55"/>
      <c r="H469" s="12"/>
    </row>
    <row r="470" ht="14.25" customHeight="1">
      <c r="G470" s="55"/>
      <c r="H470" s="12"/>
    </row>
    <row r="471" ht="14.25" customHeight="1">
      <c r="G471" s="55"/>
      <c r="H471" s="12"/>
    </row>
    <row r="472" ht="14.25" customHeight="1">
      <c r="G472" s="55"/>
      <c r="H472" s="12"/>
    </row>
    <row r="473" ht="14.25" customHeight="1">
      <c r="G473" s="55"/>
      <c r="H473" s="12"/>
    </row>
    <row r="474" ht="14.25" customHeight="1">
      <c r="G474" s="55"/>
      <c r="H474" s="12"/>
    </row>
    <row r="475" ht="14.25" customHeight="1">
      <c r="G475" s="55"/>
      <c r="H475" s="12"/>
    </row>
    <row r="476" ht="14.25" customHeight="1">
      <c r="G476" s="55"/>
      <c r="H476" s="12"/>
    </row>
    <row r="477" ht="14.25" customHeight="1">
      <c r="G477" s="55"/>
      <c r="H477" s="12"/>
    </row>
    <row r="478" ht="14.25" customHeight="1">
      <c r="G478" s="55"/>
      <c r="H478" s="12"/>
    </row>
    <row r="479" ht="14.25" customHeight="1">
      <c r="G479" s="55"/>
      <c r="H479" s="12"/>
    </row>
    <row r="480" ht="14.25" customHeight="1">
      <c r="G480" s="55"/>
      <c r="H480" s="12"/>
    </row>
    <row r="481" ht="14.25" customHeight="1">
      <c r="G481" s="55"/>
      <c r="H481" s="12"/>
    </row>
    <row r="482" ht="14.25" customHeight="1">
      <c r="G482" s="55"/>
      <c r="H482" s="12"/>
    </row>
    <row r="483" ht="14.25" customHeight="1">
      <c r="G483" s="55"/>
      <c r="H483" s="12"/>
    </row>
    <row r="484" ht="14.25" customHeight="1">
      <c r="G484" s="55"/>
      <c r="H484" s="12"/>
    </row>
    <row r="485" ht="14.25" customHeight="1">
      <c r="G485" s="55"/>
      <c r="H485" s="12"/>
    </row>
    <row r="486" ht="14.25" customHeight="1">
      <c r="G486" s="55"/>
      <c r="H486" s="12"/>
    </row>
    <row r="487" ht="14.25" customHeight="1">
      <c r="G487" s="55"/>
      <c r="H487" s="12"/>
    </row>
    <row r="488" ht="14.25" customHeight="1">
      <c r="G488" s="55"/>
      <c r="H488" s="12"/>
    </row>
    <row r="489" ht="14.25" customHeight="1">
      <c r="G489" s="55"/>
      <c r="H489" s="12"/>
    </row>
    <row r="490" ht="14.25" customHeight="1">
      <c r="G490" s="55"/>
      <c r="H490" s="12"/>
    </row>
    <row r="491" ht="14.25" customHeight="1">
      <c r="G491" s="55"/>
      <c r="H491" s="12"/>
    </row>
    <row r="492" ht="14.25" customHeight="1">
      <c r="G492" s="55"/>
      <c r="H492" s="12"/>
    </row>
    <row r="493" ht="14.25" customHeight="1">
      <c r="G493" s="55"/>
      <c r="H493" s="12"/>
    </row>
    <row r="494" ht="14.25" customHeight="1">
      <c r="G494" s="55"/>
      <c r="H494" s="12"/>
    </row>
    <row r="495" ht="14.25" customHeight="1">
      <c r="G495" s="55"/>
      <c r="H495" s="12"/>
    </row>
    <row r="496" ht="14.25" customHeight="1">
      <c r="G496" s="55"/>
      <c r="H496" s="12"/>
    </row>
    <row r="497" ht="14.25" customHeight="1">
      <c r="G497" s="55"/>
      <c r="H497" s="12"/>
    </row>
    <row r="498" ht="14.25" customHeight="1">
      <c r="G498" s="55"/>
      <c r="H498" s="12"/>
    </row>
    <row r="499" ht="14.25" customHeight="1">
      <c r="G499" s="55"/>
      <c r="H499" s="12"/>
    </row>
    <row r="500" ht="14.25" customHeight="1">
      <c r="G500" s="55"/>
      <c r="H500" s="12"/>
    </row>
    <row r="501" ht="14.25" customHeight="1">
      <c r="G501" s="55"/>
      <c r="H501" s="12"/>
    </row>
    <row r="502" ht="14.25" customHeight="1">
      <c r="G502" s="55"/>
      <c r="H502" s="12"/>
    </row>
    <row r="503" ht="14.25" customHeight="1">
      <c r="G503" s="55"/>
      <c r="H503" s="12"/>
    </row>
    <row r="504" ht="14.25" customHeight="1">
      <c r="G504" s="55"/>
      <c r="H504" s="12"/>
    </row>
    <row r="505" ht="14.25" customHeight="1">
      <c r="G505" s="55"/>
      <c r="H505" s="12"/>
    </row>
    <row r="506" ht="14.25" customHeight="1">
      <c r="G506" s="55"/>
      <c r="H506" s="12"/>
    </row>
    <row r="507" ht="14.25" customHeight="1">
      <c r="G507" s="55"/>
      <c r="H507" s="12"/>
    </row>
    <row r="508" ht="14.25" customHeight="1">
      <c r="G508" s="55"/>
      <c r="H508" s="12"/>
    </row>
    <row r="509" ht="14.25" customHeight="1">
      <c r="G509" s="55"/>
      <c r="H509" s="12"/>
    </row>
    <row r="510" ht="14.25" customHeight="1">
      <c r="G510" s="55"/>
      <c r="H510" s="12"/>
    </row>
    <row r="511" ht="14.25" customHeight="1">
      <c r="G511" s="55"/>
      <c r="H511" s="12"/>
    </row>
    <row r="512" ht="14.25" customHeight="1">
      <c r="G512" s="55"/>
      <c r="H512" s="12"/>
    </row>
    <row r="513" ht="14.25" customHeight="1">
      <c r="G513" s="55"/>
      <c r="H513" s="12"/>
    </row>
    <row r="514" ht="14.25" customHeight="1">
      <c r="G514" s="55"/>
      <c r="H514" s="12"/>
    </row>
    <row r="515" ht="14.25" customHeight="1">
      <c r="G515" s="55"/>
      <c r="H515" s="12"/>
    </row>
    <row r="516" ht="14.25" customHeight="1">
      <c r="G516" s="55"/>
      <c r="H516" s="12"/>
    </row>
    <row r="517" ht="14.25" customHeight="1">
      <c r="G517" s="55"/>
      <c r="H517" s="12"/>
    </row>
    <row r="518" ht="14.25" customHeight="1">
      <c r="G518" s="55"/>
      <c r="H518" s="12"/>
    </row>
    <row r="519" ht="14.25" customHeight="1">
      <c r="G519" s="55"/>
      <c r="H519" s="12"/>
    </row>
    <row r="520" ht="14.25" customHeight="1">
      <c r="G520" s="55"/>
      <c r="H520" s="12"/>
    </row>
    <row r="521" ht="14.25" customHeight="1">
      <c r="G521" s="55"/>
      <c r="H521" s="12"/>
    </row>
    <row r="522" ht="14.25" customHeight="1">
      <c r="G522" s="55"/>
      <c r="H522" s="12"/>
    </row>
    <row r="523" ht="14.25" customHeight="1">
      <c r="G523" s="55"/>
      <c r="H523" s="12"/>
    </row>
    <row r="524" ht="14.25" customHeight="1">
      <c r="G524" s="55"/>
      <c r="H524" s="12"/>
    </row>
    <row r="525" ht="14.25" customHeight="1">
      <c r="G525" s="55"/>
      <c r="H525" s="12"/>
    </row>
    <row r="526" ht="14.25" customHeight="1">
      <c r="G526" s="55"/>
      <c r="H526" s="12"/>
    </row>
    <row r="527" ht="14.25" customHeight="1">
      <c r="G527" s="55"/>
      <c r="H527" s="12"/>
    </row>
    <row r="528" ht="14.25" customHeight="1">
      <c r="G528" s="55"/>
      <c r="H528" s="12"/>
    </row>
    <row r="529" ht="14.25" customHeight="1">
      <c r="G529" s="55"/>
      <c r="H529" s="12"/>
    </row>
    <row r="530" ht="14.25" customHeight="1">
      <c r="G530" s="55"/>
      <c r="H530" s="12"/>
    </row>
    <row r="531" ht="14.25" customHeight="1">
      <c r="G531" s="55"/>
      <c r="H531" s="12"/>
    </row>
    <row r="532" ht="14.25" customHeight="1">
      <c r="G532" s="55"/>
      <c r="H532" s="12"/>
    </row>
    <row r="533" ht="14.25" customHeight="1">
      <c r="G533" s="55"/>
      <c r="H533" s="12"/>
    </row>
    <row r="534" ht="14.25" customHeight="1">
      <c r="G534" s="55"/>
      <c r="H534" s="12"/>
    </row>
    <row r="535" ht="14.25" customHeight="1">
      <c r="G535" s="55"/>
      <c r="H535" s="12"/>
    </row>
    <row r="536" ht="14.25" customHeight="1">
      <c r="G536" s="55"/>
      <c r="H536" s="12"/>
    </row>
    <row r="537" ht="14.25" customHeight="1">
      <c r="G537" s="55"/>
      <c r="H537" s="12"/>
    </row>
    <row r="538" ht="14.25" customHeight="1">
      <c r="G538" s="55"/>
      <c r="H538" s="12"/>
    </row>
    <row r="539" ht="14.25" customHeight="1">
      <c r="G539" s="55"/>
      <c r="H539" s="12"/>
    </row>
    <row r="540" ht="14.25" customHeight="1">
      <c r="G540" s="55"/>
      <c r="H540" s="12"/>
    </row>
    <row r="541" ht="14.25" customHeight="1">
      <c r="G541" s="55"/>
      <c r="H541" s="12"/>
    </row>
    <row r="542" ht="14.25" customHeight="1">
      <c r="G542" s="55"/>
      <c r="H542" s="12"/>
    </row>
    <row r="543" ht="14.25" customHeight="1">
      <c r="G543" s="55"/>
      <c r="H543" s="12"/>
    </row>
    <row r="544" ht="14.25" customHeight="1">
      <c r="G544" s="55"/>
      <c r="H544" s="12"/>
    </row>
    <row r="545" ht="14.25" customHeight="1">
      <c r="G545" s="55"/>
      <c r="H545" s="12"/>
    </row>
    <row r="546" ht="14.25" customHeight="1">
      <c r="G546" s="55"/>
      <c r="H546" s="12"/>
    </row>
    <row r="547" ht="14.25" customHeight="1">
      <c r="G547" s="55"/>
      <c r="H547" s="12"/>
    </row>
    <row r="548" ht="14.25" customHeight="1">
      <c r="G548" s="55"/>
      <c r="H548" s="12"/>
    </row>
    <row r="549" ht="14.25" customHeight="1">
      <c r="G549" s="55"/>
      <c r="H549" s="12"/>
    </row>
    <row r="550" ht="14.25" customHeight="1">
      <c r="G550" s="55"/>
      <c r="H550" s="12"/>
    </row>
    <row r="551" ht="14.25" customHeight="1">
      <c r="G551" s="55"/>
      <c r="H551" s="12"/>
    </row>
    <row r="552" ht="14.25" customHeight="1">
      <c r="G552" s="55"/>
      <c r="H552" s="12"/>
    </row>
    <row r="553" ht="14.25" customHeight="1">
      <c r="G553" s="55"/>
      <c r="H553" s="12"/>
    </row>
    <row r="554" ht="14.25" customHeight="1">
      <c r="G554" s="55"/>
      <c r="H554" s="12"/>
    </row>
    <row r="555" ht="14.25" customHeight="1">
      <c r="G555" s="55"/>
      <c r="H555" s="12"/>
    </row>
    <row r="556" ht="14.25" customHeight="1">
      <c r="G556" s="55"/>
      <c r="H556" s="12"/>
    </row>
    <row r="557" ht="14.25" customHeight="1">
      <c r="G557" s="55"/>
      <c r="H557" s="12"/>
    </row>
    <row r="558" ht="14.25" customHeight="1">
      <c r="G558" s="55"/>
      <c r="H558" s="12"/>
    </row>
    <row r="559" ht="14.25" customHeight="1">
      <c r="G559" s="55"/>
      <c r="H559" s="12"/>
    </row>
    <row r="560" ht="14.25" customHeight="1">
      <c r="G560" s="55"/>
      <c r="H560" s="12"/>
    </row>
    <row r="561" ht="14.25" customHeight="1">
      <c r="G561" s="55"/>
      <c r="H561" s="12"/>
    </row>
    <row r="562" ht="14.25" customHeight="1">
      <c r="G562" s="55"/>
      <c r="H562" s="12"/>
    </row>
    <row r="563" ht="14.25" customHeight="1">
      <c r="G563" s="55"/>
      <c r="H563" s="12"/>
    </row>
    <row r="564" ht="14.25" customHeight="1">
      <c r="G564" s="55"/>
      <c r="H564" s="12"/>
    </row>
    <row r="565" ht="14.25" customHeight="1">
      <c r="G565" s="55"/>
      <c r="H565" s="12"/>
    </row>
    <row r="566" ht="14.25" customHeight="1">
      <c r="G566" s="55"/>
      <c r="H566" s="12"/>
    </row>
    <row r="567" ht="14.25" customHeight="1">
      <c r="G567" s="55"/>
      <c r="H567" s="12"/>
    </row>
    <row r="568" ht="14.25" customHeight="1">
      <c r="G568" s="55"/>
      <c r="H568" s="12"/>
    </row>
    <row r="569" ht="14.25" customHeight="1">
      <c r="G569" s="55"/>
      <c r="H569" s="12"/>
    </row>
    <row r="570" ht="14.25" customHeight="1">
      <c r="G570" s="55"/>
      <c r="H570" s="12"/>
    </row>
    <row r="571" ht="14.25" customHeight="1">
      <c r="G571" s="55"/>
      <c r="H571" s="12"/>
    </row>
    <row r="572" ht="14.25" customHeight="1">
      <c r="G572" s="55"/>
      <c r="H572" s="12"/>
    </row>
    <row r="573" ht="14.25" customHeight="1">
      <c r="G573" s="55"/>
      <c r="H573" s="12"/>
    </row>
    <row r="574" ht="14.25" customHeight="1">
      <c r="G574" s="55"/>
      <c r="H574" s="12"/>
    </row>
    <row r="575" ht="14.25" customHeight="1">
      <c r="G575" s="55"/>
      <c r="H575" s="12"/>
    </row>
    <row r="576" ht="14.25" customHeight="1">
      <c r="G576" s="55"/>
      <c r="H576" s="12"/>
    </row>
    <row r="577" ht="14.25" customHeight="1">
      <c r="G577" s="55"/>
      <c r="H577" s="12"/>
    </row>
    <row r="578" ht="14.25" customHeight="1">
      <c r="G578" s="55"/>
      <c r="H578" s="12"/>
    </row>
    <row r="579" ht="14.25" customHeight="1">
      <c r="G579" s="55"/>
      <c r="H579" s="12"/>
    </row>
    <row r="580" ht="14.25" customHeight="1">
      <c r="G580" s="55"/>
      <c r="H580" s="12"/>
    </row>
    <row r="581" ht="14.25" customHeight="1">
      <c r="G581" s="55"/>
      <c r="H581" s="12"/>
    </row>
    <row r="582" ht="14.25" customHeight="1">
      <c r="G582" s="55"/>
      <c r="H582" s="12"/>
    </row>
    <row r="583" ht="14.25" customHeight="1">
      <c r="G583" s="55"/>
      <c r="H583" s="12"/>
    </row>
    <row r="584" ht="14.25" customHeight="1">
      <c r="G584" s="55"/>
      <c r="H584" s="12"/>
    </row>
    <row r="585" ht="14.25" customHeight="1">
      <c r="G585" s="55"/>
      <c r="H585" s="12"/>
    </row>
    <row r="586" ht="14.25" customHeight="1">
      <c r="G586" s="55"/>
      <c r="H586" s="12"/>
    </row>
    <row r="587" ht="14.25" customHeight="1">
      <c r="G587" s="55"/>
      <c r="H587" s="12"/>
    </row>
    <row r="588" ht="14.25" customHeight="1">
      <c r="G588" s="55"/>
      <c r="H588" s="12"/>
    </row>
    <row r="589" ht="14.25" customHeight="1">
      <c r="G589" s="55"/>
      <c r="H589" s="12"/>
    </row>
    <row r="590" ht="14.25" customHeight="1">
      <c r="G590" s="55"/>
      <c r="H590" s="12"/>
    </row>
    <row r="591" ht="14.25" customHeight="1">
      <c r="G591" s="55"/>
      <c r="H591" s="12"/>
    </row>
    <row r="592" ht="14.25" customHeight="1">
      <c r="G592" s="55"/>
      <c r="H592" s="12"/>
    </row>
    <row r="593" ht="14.25" customHeight="1">
      <c r="G593" s="55"/>
      <c r="H593" s="12"/>
    </row>
    <row r="594" ht="14.25" customHeight="1">
      <c r="G594" s="55"/>
      <c r="H594" s="12"/>
    </row>
    <row r="595" ht="14.25" customHeight="1">
      <c r="G595" s="55"/>
      <c r="H595" s="12"/>
    </row>
    <row r="596" ht="14.25" customHeight="1">
      <c r="G596" s="55"/>
      <c r="H596" s="12"/>
    </row>
    <row r="597" ht="14.25" customHeight="1">
      <c r="G597" s="55"/>
      <c r="H597" s="12"/>
    </row>
    <row r="598" ht="14.25" customHeight="1">
      <c r="G598" s="55"/>
      <c r="H598" s="12"/>
    </row>
    <row r="599" ht="14.25" customHeight="1">
      <c r="G599" s="55"/>
      <c r="H599" s="12"/>
    </row>
    <row r="600" ht="14.25" customHeight="1">
      <c r="G600" s="55"/>
      <c r="H600" s="12"/>
    </row>
    <row r="601" ht="14.25" customHeight="1">
      <c r="G601" s="55"/>
      <c r="H601" s="12"/>
    </row>
    <row r="602" ht="14.25" customHeight="1">
      <c r="G602" s="55"/>
      <c r="H602" s="12"/>
    </row>
    <row r="603" ht="14.25" customHeight="1">
      <c r="G603" s="55"/>
      <c r="H603" s="12"/>
    </row>
    <row r="604" ht="14.25" customHeight="1">
      <c r="G604" s="55"/>
      <c r="H604" s="12"/>
    </row>
    <row r="605" ht="14.25" customHeight="1">
      <c r="G605" s="55"/>
      <c r="H605" s="12"/>
    </row>
    <row r="606" ht="14.25" customHeight="1">
      <c r="G606" s="55"/>
      <c r="H606" s="12"/>
    </row>
    <row r="607" ht="14.25" customHeight="1">
      <c r="G607" s="55"/>
      <c r="H607" s="12"/>
    </row>
    <row r="608" ht="14.25" customHeight="1">
      <c r="G608" s="55"/>
      <c r="H608" s="12"/>
    </row>
    <row r="609" ht="14.25" customHeight="1">
      <c r="G609" s="55"/>
      <c r="H609" s="12"/>
    </row>
    <row r="610" ht="14.25" customHeight="1">
      <c r="G610" s="55"/>
      <c r="H610" s="12"/>
    </row>
    <row r="611" ht="14.25" customHeight="1">
      <c r="G611" s="55"/>
      <c r="H611" s="12"/>
    </row>
    <row r="612" ht="14.25" customHeight="1">
      <c r="G612" s="55"/>
      <c r="H612" s="12"/>
    </row>
    <row r="613" ht="14.25" customHeight="1">
      <c r="G613" s="55"/>
      <c r="H613" s="12"/>
    </row>
    <row r="614" ht="14.25" customHeight="1">
      <c r="G614" s="55"/>
      <c r="H614" s="12"/>
    </row>
    <row r="615" ht="14.25" customHeight="1">
      <c r="G615" s="55"/>
      <c r="H615" s="12"/>
    </row>
    <row r="616" ht="14.25" customHeight="1">
      <c r="G616" s="55"/>
      <c r="H616" s="12"/>
    </row>
    <row r="617" ht="14.25" customHeight="1">
      <c r="G617" s="55"/>
      <c r="H617" s="12"/>
    </row>
    <row r="618" ht="14.25" customHeight="1">
      <c r="G618" s="55"/>
      <c r="H618" s="12"/>
    </row>
    <row r="619" ht="14.25" customHeight="1">
      <c r="G619" s="55"/>
      <c r="H619" s="12"/>
    </row>
    <row r="620" ht="14.25" customHeight="1">
      <c r="G620" s="55"/>
      <c r="H620" s="12"/>
    </row>
    <row r="621" ht="14.25" customHeight="1">
      <c r="G621" s="55"/>
      <c r="H621" s="12"/>
    </row>
    <row r="622" ht="14.25" customHeight="1">
      <c r="G622" s="55"/>
      <c r="H622" s="12"/>
    </row>
    <row r="623" ht="14.25" customHeight="1">
      <c r="G623" s="55"/>
      <c r="H623" s="12"/>
    </row>
    <row r="624" ht="14.25" customHeight="1">
      <c r="G624" s="55"/>
      <c r="H624" s="12"/>
    </row>
    <row r="625" ht="14.25" customHeight="1">
      <c r="G625" s="55"/>
      <c r="H625" s="12"/>
    </row>
    <row r="626" ht="14.25" customHeight="1">
      <c r="G626" s="55"/>
      <c r="H626" s="12"/>
    </row>
    <row r="627" ht="14.25" customHeight="1">
      <c r="G627" s="55"/>
      <c r="H627" s="12"/>
    </row>
    <row r="628" ht="14.25" customHeight="1">
      <c r="G628" s="55"/>
      <c r="H628" s="12"/>
    </row>
    <row r="629" ht="14.25" customHeight="1">
      <c r="G629" s="55"/>
      <c r="H629" s="12"/>
    </row>
    <row r="630" ht="14.25" customHeight="1">
      <c r="G630" s="55"/>
      <c r="H630" s="12"/>
    </row>
    <row r="631" ht="14.25" customHeight="1">
      <c r="G631" s="55"/>
      <c r="H631" s="12"/>
    </row>
    <row r="632" ht="14.25" customHeight="1">
      <c r="G632" s="55"/>
      <c r="H632" s="12"/>
    </row>
    <row r="633" ht="14.25" customHeight="1">
      <c r="G633" s="55"/>
      <c r="H633" s="12"/>
    </row>
    <row r="634" ht="14.25" customHeight="1">
      <c r="G634" s="55"/>
      <c r="H634" s="12"/>
    </row>
    <row r="635" ht="14.25" customHeight="1">
      <c r="G635" s="55"/>
      <c r="H635" s="12"/>
    </row>
    <row r="636" ht="14.25" customHeight="1">
      <c r="G636" s="55"/>
      <c r="H636" s="12"/>
    </row>
    <row r="637" ht="14.25" customHeight="1">
      <c r="G637" s="55"/>
      <c r="H637" s="12"/>
    </row>
    <row r="638" ht="14.25" customHeight="1">
      <c r="G638" s="55"/>
      <c r="H638" s="12"/>
    </row>
    <row r="639" ht="14.25" customHeight="1">
      <c r="G639" s="55"/>
      <c r="H639" s="12"/>
    </row>
    <row r="640" ht="14.25" customHeight="1">
      <c r="G640" s="55"/>
      <c r="H640" s="12"/>
    </row>
    <row r="641" ht="14.25" customHeight="1">
      <c r="G641" s="55"/>
      <c r="H641" s="12"/>
    </row>
    <row r="642" ht="14.25" customHeight="1">
      <c r="G642" s="55"/>
      <c r="H642" s="12"/>
    </row>
    <row r="643" ht="14.25" customHeight="1">
      <c r="G643" s="55"/>
      <c r="H643" s="12"/>
    </row>
    <row r="644" ht="14.25" customHeight="1">
      <c r="G644" s="55"/>
      <c r="H644" s="12"/>
    </row>
    <row r="645" ht="14.25" customHeight="1">
      <c r="G645" s="55"/>
      <c r="H645" s="12"/>
    </row>
    <row r="646" ht="14.25" customHeight="1">
      <c r="G646" s="55"/>
      <c r="H646" s="12"/>
    </row>
    <row r="647" ht="14.25" customHeight="1">
      <c r="G647" s="55"/>
      <c r="H647" s="12"/>
    </row>
    <row r="648" ht="14.25" customHeight="1">
      <c r="G648" s="55"/>
      <c r="H648" s="12"/>
    </row>
    <row r="649" ht="14.25" customHeight="1">
      <c r="G649" s="55"/>
      <c r="H649" s="12"/>
    </row>
    <row r="650" ht="14.25" customHeight="1">
      <c r="G650" s="55"/>
      <c r="H650" s="12"/>
    </row>
    <row r="651" ht="14.25" customHeight="1">
      <c r="G651" s="55"/>
      <c r="H651" s="12"/>
    </row>
    <row r="652" ht="14.25" customHeight="1">
      <c r="G652" s="55"/>
      <c r="H652" s="12"/>
    </row>
    <row r="653" ht="14.25" customHeight="1">
      <c r="G653" s="55"/>
      <c r="H653" s="12"/>
    </row>
    <row r="654" ht="14.25" customHeight="1">
      <c r="G654" s="55"/>
      <c r="H654" s="12"/>
    </row>
    <row r="655" ht="14.25" customHeight="1">
      <c r="G655" s="55"/>
      <c r="H655" s="12"/>
    </row>
    <row r="656" ht="14.25" customHeight="1">
      <c r="G656" s="55"/>
      <c r="H656" s="12"/>
    </row>
    <row r="657" ht="14.25" customHeight="1">
      <c r="G657" s="55"/>
      <c r="H657" s="12"/>
    </row>
    <row r="658" ht="14.25" customHeight="1">
      <c r="G658" s="55"/>
      <c r="H658" s="12"/>
    </row>
    <row r="659" ht="14.25" customHeight="1">
      <c r="G659" s="55"/>
      <c r="H659" s="12"/>
    </row>
    <row r="660" ht="14.25" customHeight="1">
      <c r="G660" s="55"/>
      <c r="H660" s="12"/>
    </row>
    <row r="661" ht="14.25" customHeight="1">
      <c r="G661" s="55"/>
      <c r="H661" s="12"/>
    </row>
    <row r="662" ht="14.25" customHeight="1">
      <c r="G662" s="55"/>
      <c r="H662" s="12"/>
    </row>
    <row r="663" ht="14.25" customHeight="1">
      <c r="G663" s="55"/>
      <c r="H663" s="12"/>
    </row>
    <row r="664" ht="14.25" customHeight="1">
      <c r="G664" s="55"/>
      <c r="H664" s="12"/>
    </row>
    <row r="665" ht="14.25" customHeight="1">
      <c r="G665" s="55"/>
      <c r="H665" s="12"/>
    </row>
    <row r="666" ht="14.25" customHeight="1">
      <c r="G666" s="55"/>
      <c r="H666" s="12"/>
    </row>
    <row r="667" ht="14.25" customHeight="1">
      <c r="G667" s="55"/>
      <c r="H667" s="12"/>
    </row>
    <row r="668" ht="14.25" customHeight="1">
      <c r="G668" s="55"/>
      <c r="H668" s="12"/>
    </row>
    <row r="669" ht="14.25" customHeight="1">
      <c r="G669" s="55"/>
      <c r="H669" s="12"/>
    </row>
    <row r="670" ht="14.25" customHeight="1">
      <c r="G670" s="55"/>
      <c r="H670" s="12"/>
    </row>
    <row r="671" ht="14.25" customHeight="1">
      <c r="G671" s="55"/>
      <c r="H671" s="12"/>
    </row>
    <row r="672" ht="14.25" customHeight="1">
      <c r="G672" s="55"/>
      <c r="H672" s="12"/>
    </row>
    <row r="673" ht="14.25" customHeight="1">
      <c r="G673" s="55"/>
      <c r="H673" s="12"/>
    </row>
    <row r="674" ht="14.25" customHeight="1">
      <c r="G674" s="55"/>
      <c r="H674" s="12"/>
    </row>
    <row r="675" ht="14.25" customHeight="1">
      <c r="G675" s="55"/>
      <c r="H675" s="12"/>
    </row>
    <row r="676" ht="14.25" customHeight="1">
      <c r="G676" s="55"/>
      <c r="H676" s="12"/>
    </row>
    <row r="677" ht="14.25" customHeight="1">
      <c r="G677" s="55"/>
      <c r="H677" s="12"/>
    </row>
    <row r="678" ht="14.25" customHeight="1">
      <c r="G678" s="55"/>
      <c r="H678" s="12"/>
    </row>
    <row r="679" ht="14.25" customHeight="1">
      <c r="G679" s="55"/>
      <c r="H679" s="12"/>
    </row>
    <row r="680" ht="14.25" customHeight="1">
      <c r="G680" s="55"/>
      <c r="H680" s="12"/>
    </row>
    <row r="681" ht="14.25" customHeight="1">
      <c r="G681" s="55"/>
      <c r="H681" s="12"/>
    </row>
    <row r="682" ht="14.25" customHeight="1">
      <c r="G682" s="55"/>
      <c r="H682" s="12"/>
    </row>
    <row r="683" ht="14.25" customHeight="1">
      <c r="G683" s="55"/>
      <c r="H683" s="12"/>
    </row>
    <row r="684" ht="14.25" customHeight="1">
      <c r="G684" s="55"/>
      <c r="H684" s="12"/>
    </row>
    <row r="685" ht="14.25" customHeight="1">
      <c r="G685" s="55"/>
      <c r="H685" s="12"/>
    </row>
    <row r="686" ht="14.25" customHeight="1">
      <c r="G686" s="55"/>
      <c r="H686" s="12"/>
    </row>
    <row r="687" ht="14.25" customHeight="1">
      <c r="G687" s="55"/>
      <c r="H687" s="12"/>
    </row>
    <row r="688" ht="14.25" customHeight="1">
      <c r="G688" s="55"/>
      <c r="H688" s="12"/>
    </row>
    <row r="689" ht="14.25" customHeight="1">
      <c r="G689" s="55"/>
      <c r="H689" s="12"/>
    </row>
    <row r="690" ht="14.25" customHeight="1">
      <c r="G690" s="55"/>
      <c r="H690" s="12"/>
    </row>
    <row r="691" ht="14.25" customHeight="1">
      <c r="G691" s="55"/>
      <c r="H691" s="12"/>
    </row>
    <row r="692" ht="14.25" customHeight="1">
      <c r="G692" s="55"/>
      <c r="H692" s="12"/>
    </row>
    <row r="693" ht="14.25" customHeight="1">
      <c r="G693" s="55"/>
      <c r="H693" s="12"/>
    </row>
    <row r="694" ht="14.25" customHeight="1">
      <c r="G694" s="55"/>
      <c r="H694" s="12"/>
    </row>
    <row r="695" ht="14.25" customHeight="1">
      <c r="G695" s="55"/>
      <c r="H695" s="12"/>
    </row>
    <row r="696" ht="14.25" customHeight="1">
      <c r="G696" s="55"/>
      <c r="H696" s="12"/>
    </row>
    <row r="697" ht="14.25" customHeight="1">
      <c r="G697" s="55"/>
      <c r="H697" s="12"/>
    </row>
    <row r="698" ht="14.25" customHeight="1">
      <c r="G698" s="55"/>
      <c r="H698" s="12"/>
    </row>
    <row r="699" ht="14.25" customHeight="1">
      <c r="G699" s="55"/>
      <c r="H699" s="12"/>
    </row>
    <row r="700" ht="14.25" customHeight="1">
      <c r="G700" s="55"/>
      <c r="H700" s="12"/>
    </row>
    <row r="701" ht="14.25" customHeight="1">
      <c r="G701" s="55"/>
      <c r="H701" s="12"/>
    </row>
    <row r="702" ht="14.25" customHeight="1">
      <c r="G702" s="55"/>
      <c r="H702" s="12"/>
    </row>
    <row r="703" ht="14.25" customHeight="1">
      <c r="G703" s="55"/>
      <c r="H703" s="12"/>
    </row>
    <row r="704" ht="14.25" customHeight="1">
      <c r="G704" s="55"/>
      <c r="H704" s="12"/>
    </row>
    <row r="705" ht="14.25" customHeight="1">
      <c r="G705" s="55"/>
      <c r="H705" s="12"/>
    </row>
    <row r="706" ht="14.25" customHeight="1">
      <c r="G706" s="55"/>
      <c r="H706" s="12"/>
    </row>
    <row r="707" ht="14.25" customHeight="1">
      <c r="G707" s="55"/>
      <c r="H707" s="12"/>
    </row>
    <row r="708" ht="14.25" customHeight="1">
      <c r="G708" s="55"/>
      <c r="H708" s="12"/>
    </row>
    <row r="709" ht="14.25" customHeight="1">
      <c r="G709" s="55"/>
      <c r="H709" s="12"/>
    </row>
    <row r="710" ht="14.25" customHeight="1">
      <c r="G710" s="55"/>
      <c r="H710" s="12"/>
    </row>
    <row r="711" ht="14.25" customHeight="1">
      <c r="G711" s="55"/>
      <c r="H711" s="12"/>
    </row>
    <row r="712" ht="14.25" customHeight="1">
      <c r="G712" s="55"/>
      <c r="H712" s="12"/>
    </row>
    <row r="713" ht="14.25" customHeight="1">
      <c r="G713" s="55"/>
      <c r="H713" s="12"/>
    </row>
    <row r="714" ht="14.25" customHeight="1">
      <c r="G714" s="55"/>
      <c r="H714" s="12"/>
    </row>
    <row r="715" ht="14.25" customHeight="1">
      <c r="G715" s="55"/>
      <c r="H715" s="12"/>
    </row>
    <row r="716" ht="14.25" customHeight="1">
      <c r="G716" s="55"/>
      <c r="H716" s="12"/>
    </row>
    <row r="717" ht="14.25" customHeight="1">
      <c r="G717" s="55"/>
      <c r="H717" s="12"/>
    </row>
    <row r="718" ht="14.25" customHeight="1">
      <c r="G718" s="55"/>
      <c r="H718" s="12"/>
    </row>
    <row r="719" ht="14.25" customHeight="1">
      <c r="G719" s="55"/>
      <c r="H719" s="12"/>
    </row>
    <row r="720" ht="14.25" customHeight="1">
      <c r="G720" s="55"/>
      <c r="H720" s="12"/>
    </row>
    <row r="721" ht="14.25" customHeight="1">
      <c r="G721" s="55"/>
      <c r="H721" s="12"/>
    </row>
    <row r="722" ht="14.25" customHeight="1">
      <c r="G722" s="55"/>
      <c r="H722" s="12"/>
    </row>
    <row r="723" ht="14.25" customHeight="1">
      <c r="G723" s="55"/>
      <c r="H723" s="12"/>
    </row>
    <row r="724" ht="14.25" customHeight="1">
      <c r="G724" s="55"/>
      <c r="H724" s="12"/>
    </row>
    <row r="725" ht="14.25" customHeight="1">
      <c r="G725" s="55"/>
      <c r="H725" s="12"/>
    </row>
    <row r="726" ht="14.25" customHeight="1">
      <c r="G726" s="55"/>
      <c r="H726" s="12"/>
    </row>
    <row r="727" ht="14.25" customHeight="1">
      <c r="G727" s="55"/>
      <c r="H727" s="12"/>
    </row>
    <row r="728" ht="14.25" customHeight="1">
      <c r="G728" s="55"/>
      <c r="H728" s="12"/>
    </row>
    <row r="729" ht="14.25" customHeight="1">
      <c r="G729" s="55"/>
      <c r="H729" s="12"/>
    </row>
    <row r="730" ht="14.25" customHeight="1">
      <c r="G730" s="55"/>
      <c r="H730" s="12"/>
    </row>
    <row r="731" ht="14.25" customHeight="1">
      <c r="G731" s="55"/>
      <c r="H731" s="12"/>
    </row>
    <row r="732" ht="14.25" customHeight="1">
      <c r="G732" s="55"/>
      <c r="H732" s="12"/>
    </row>
    <row r="733" ht="14.25" customHeight="1">
      <c r="G733" s="55"/>
      <c r="H733" s="12"/>
    </row>
    <row r="734" ht="14.25" customHeight="1">
      <c r="G734" s="55"/>
      <c r="H734" s="12"/>
    </row>
    <row r="735" ht="14.25" customHeight="1">
      <c r="G735" s="55"/>
      <c r="H735" s="12"/>
    </row>
    <row r="736" ht="14.25" customHeight="1">
      <c r="G736" s="55"/>
      <c r="H736" s="12"/>
    </row>
    <row r="737" ht="14.25" customHeight="1">
      <c r="G737" s="55"/>
      <c r="H737" s="12"/>
    </row>
    <row r="738" ht="14.25" customHeight="1">
      <c r="G738" s="55"/>
      <c r="H738" s="12"/>
    </row>
    <row r="739" ht="14.25" customHeight="1">
      <c r="G739" s="55"/>
      <c r="H739" s="12"/>
    </row>
    <row r="740" ht="14.25" customHeight="1">
      <c r="G740" s="55"/>
      <c r="H740" s="12"/>
    </row>
    <row r="741" ht="14.25" customHeight="1">
      <c r="G741" s="55"/>
      <c r="H741" s="12"/>
    </row>
    <row r="742" ht="14.25" customHeight="1">
      <c r="G742" s="55"/>
      <c r="H742" s="12"/>
    </row>
    <row r="743" ht="14.25" customHeight="1">
      <c r="G743" s="55"/>
      <c r="H743" s="12"/>
    </row>
    <row r="744" ht="14.25" customHeight="1">
      <c r="G744" s="55"/>
      <c r="H744" s="12"/>
    </row>
    <row r="745" ht="14.25" customHeight="1">
      <c r="G745" s="55"/>
      <c r="H745" s="12"/>
    </row>
    <row r="746" ht="14.25" customHeight="1">
      <c r="G746" s="55"/>
      <c r="H746" s="12"/>
    </row>
    <row r="747" ht="14.25" customHeight="1">
      <c r="G747" s="55"/>
      <c r="H747" s="12"/>
    </row>
    <row r="748" ht="14.25" customHeight="1">
      <c r="G748" s="55"/>
      <c r="H748" s="12"/>
    </row>
    <row r="749" ht="14.25" customHeight="1">
      <c r="G749" s="55"/>
      <c r="H749" s="12"/>
    </row>
    <row r="750" ht="14.25" customHeight="1">
      <c r="G750" s="55"/>
      <c r="H750" s="12"/>
    </row>
    <row r="751" ht="14.25" customHeight="1">
      <c r="G751" s="55"/>
      <c r="H751" s="12"/>
    </row>
    <row r="752" ht="14.25" customHeight="1">
      <c r="G752" s="55"/>
      <c r="H752" s="12"/>
    </row>
    <row r="753" ht="14.25" customHeight="1">
      <c r="G753" s="55"/>
      <c r="H753" s="12"/>
    </row>
    <row r="754" ht="14.25" customHeight="1">
      <c r="G754" s="55"/>
      <c r="H754" s="12"/>
    </row>
    <row r="755" ht="14.25" customHeight="1">
      <c r="G755" s="55"/>
      <c r="H755" s="12"/>
    </row>
    <row r="756" ht="14.25" customHeight="1">
      <c r="G756" s="55"/>
      <c r="H756" s="12"/>
    </row>
    <row r="757" ht="14.25" customHeight="1">
      <c r="G757" s="55"/>
      <c r="H757" s="12"/>
    </row>
    <row r="758" ht="14.25" customHeight="1">
      <c r="G758" s="55"/>
      <c r="H758" s="12"/>
    </row>
    <row r="759" ht="14.25" customHeight="1">
      <c r="G759" s="55"/>
      <c r="H759" s="12"/>
    </row>
    <row r="760" ht="14.25" customHeight="1">
      <c r="G760" s="55"/>
      <c r="H760" s="12"/>
    </row>
    <row r="761" ht="14.25" customHeight="1">
      <c r="G761" s="55"/>
      <c r="H761" s="12"/>
    </row>
    <row r="762" ht="14.25" customHeight="1">
      <c r="G762" s="55"/>
      <c r="H762" s="12"/>
    </row>
    <row r="763" ht="14.25" customHeight="1">
      <c r="G763" s="55"/>
      <c r="H763" s="12"/>
    </row>
    <row r="764" ht="14.25" customHeight="1">
      <c r="G764" s="55"/>
      <c r="H764" s="12"/>
    </row>
    <row r="765" ht="14.25" customHeight="1">
      <c r="G765" s="55"/>
      <c r="H765" s="12"/>
    </row>
    <row r="766" ht="14.25" customHeight="1">
      <c r="G766" s="55"/>
      <c r="H766" s="12"/>
    </row>
    <row r="767" ht="14.25" customHeight="1">
      <c r="G767" s="55"/>
      <c r="H767" s="12"/>
    </row>
    <row r="768" ht="14.25" customHeight="1">
      <c r="G768" s="55"/>
      <c r="H768" s="12"/>
    </row>
    <row r="769" ht="14.25" customHeight="1">
      <c r="G769" s="55"/>
      <c r="H769" s="12"/>
    </row>
    <row r="770" ht="14.25" customHeight="1">
      <c r="G770" s="55"/>
      <c r="H770" s="12"/>
    </row>
    <row r="771" ht="14.25" customHeight="1">
      <c r="G771" s="55"/>
      <c r="H771" s="12"/>
    </row>
    <row r="772" ht="14.25" customHeight="1">
      <c r="G772" s="55"/>
      <c r="H772" s="12"/>
    </row>
    <row r="773" ht="14.25" customHeight="1">
      <c r="G773" s="55"/>
      <c r="H773" s="12"/>
    </row>
    <row r="774" ht="14.25" customHeight="1">
      <c r="G774" s="55"/>
      <c r="H774" s="12"/>
    </row>
    <row r="775" ht="14.25" customHeight="1">
      <c r="G775" s="55"/>
      <c r="H775" s="12"/>
    </row>
    <row r="776" ht="14.25" customHeight="1">
      <c r="G776" s="55"/>
      <c r="H776" s="12"/>
    </row>
    <row r="777" ht="14.25" customHeight="1">
      <c r="G777" s="55"/>
      <c r="H777" s="12"/>
    </row>
    <row r="778" ht="14.25" customHeight="1">
      <c r="G778" s="55"/>
      <c r="H778" s="12"/>
    </row>
    <row r="779" ht="14.25" customHeight="1">
      <c r="G779" s="55"/>
      <c r="H779" s="12"/>
    </row>
    <row r="780" ht="14.25" customHeight="1">
      <c r="G780" s="55"/>
      <c r="H780" s="12"/>
    </row>
    <row r="781" ht="14.25" customHeight="1">
      <c r="G781" s="55"/>
      <c r="H781" s="12"/>
    </row>
    <row r="782" ht="14.25" customHeight="1">
      <c r="G782" s="55"/>
      <c r="H782" s="12"/>
    </row>
    <row r="783" ht="14.25" customHeight="1">
      <c r="G783" s="55"/>
      <c r="H783" s="12"/>
    </row>
    <row r="784" ht="14.25" customHeight="1">
      <c r="G784" s="55"/>
      <c r="H784" s="12"/>
    </row>
    <row r="785" ht="14.25" customHeight="1">
      <c r="G785" s="55"/>
      <c r="H785" s="12"/>
    </row>
    <row r="786" ht="14.25" customHeight="1">
      <c r="G786" s="55"/>
      <c r="H786" s="12"/>
    </row>
    <row r="787" ht="14.25" customHeight="1">
      <c r="G787" s="55"/>
      <c r="H787" s="12"/>
    </row>
    <row r="788" ht="14.25" customHeight="1">
      <c r="G788" s="55"/>
      <c r="H788" s="12"/>
    </row>
    <row r="789" ht="14.25" customHeight="1">
      <c r="G789" s="55"/>
      <c r="H789" s="12"/>
    </row>
    <row r="790" ht="14.25" customHeight="1">
      <c r="G790" s="55"/>
      <c r="H790" s="12"/>
    </row>
    <row r="791" ht="14.25" customHeight="1">
      <c r="G791" s="55"/>
      <c r="H791" s="12"/>
    </row>
    <row r="792" ht="14.25" customHeight="1">
      <c r="G792" s="55"/>
      <c r="H792" s="12"/>
    </row>
    <row r="793" ht="14.25" customHeight="1">
      <c r="G793" s="55"/>
      <c r="H793" s="12"/>
    </row>
    <row r="794" ht="14.25" customHeight="1">
      <c r="G794" s="55"/>
      <c r="H794" s="12"/>
    </row>
    <row r="795" ht="14.25" customHeight="1">
      <c r="G795" s="55"/>
      <c r="H795" s="12"/>
    </row>
    <row r="796" ht="14.25" customHeight="1">
      <c r="G796" s="55"/>
      <c r="H796" s="12"/>
    </row>
    <row r="797" ht="14.25" customHeight="1">
      <c r="G797" s="55"/>
      <c r="H797" s="12"/>
    </row>
    <row r="798" ht="14.25" customHeight="1">
      <c r="G798" s="55"/>
      <c r="H798" s="12"/>
    </row>
    <row r="799" ht="14.25" customHeight="1">
      <c r="G799" s="55"/>
      <c r="H799" s="12"/>
    </row>
    <row r="800" ht="14.25" customHeight="1">
      <c r="G800" s="55"/>
      <c r="H800" s="12"/>
    </row>
    <row r="801" ht="14.25" customHeight="1">
      <c r="G801" s="55"/>
      <c r="H801" s="12"/>
    </row>
    <row r="802" ht="14.25" customHeight="1">
      <c r="G802" s="55"/>
      <c r="H802" s="12"/>
    </row>
    <row r="803" ht="14.25" customHeight="1">
      <c r="G803" s="55"/>
      <c r="H803" s="12"/>
    </row>
    <row r="804" ht="14.25" customHeight="1">
      <c r="G804" s="55"/>
      <c r="H804" s="12"/>
    </row>
    <row r="805" ht="14.25" customHeight="1">
      <c r="G805" s="55"/>
      <c r="H805" s="12"/>
    </row>
    <row r="806" ht="14.25" customHeight="1">
      <c r="G806" s="55"/>
      <c r="H806" s="12"/>
    </row>
    <row r="807" ht="14.25" customHeight="1">
      <c r="G807" s="55"/>
      <c r="H807" s="12"/>
    </row>
    <row r="808" ht="14.25" customHeight="1">
      <c r="G808" s="55"/>
      <c r="H808" s="12"/>
    </row>
    <row r="809" ht="14.25" customHeight="1">
      <c r="G809" s="55"/>
      <c r="H809" s="12"/>
    </row>
    <row r="810" ht="14.25" customHeight="1">
      <c r="G810" s="55"/>
      <c r="H810" s="12"/>
    </row>
    <row r="811" ht="14.25" customHeight="1">
      <c r="G811" s="55"/>
      <c r="H811" s="12"/>
    </row>
    <row r="812" ht="14.25" customHeight="1">
      <c r="G812" s="55"/>
      <c r="H812" s="12"/>
    </row>
    <row r="813" ht="14.25" customHeight="1">
      <c r="G813" s="55"/>
      <c r="H813" s="12"/>
    </row>
    <row r="814" ht="14.25" customHeight="1">
      <c r="G814" s="55"/>
      <c r="H814" s="12"/>
    </row>
    <row r="815" ht="14.25" customHeight="1">
      <c r="G815" s="55"/>
      <c r="H815" s="12"/>
    </row>
    <row r="816" ht="14.25" customHeight="1">
      <c r="G816" s="55"/>
      <c r="H816" s="12"/>
    </row>
    <row r="817" ht="14.25" customHeight="1">
      <c r="G817" s="55"/>
      <c r="H817" s="12"/>
    </row>
    <row r="818" ht="14.25" customHeight="1">
      <c r="G818" s="55"/>
      <c r="H818" s="12"/>
    </row>
    <row r="819" ht="14.25" customHeight="1">
      <c r="G819" s="55"/>
      <c r="H819" s="12"/>
    </row>
    <row r="820" ht="14.25" customHeight="1">
      <c r="G820" s="55"/>
      <c r="H820" s="12"/>
    </row>
    <row r="821" ht="14.25" customHeight="1">
      <c r="G821" s="55"/>
      <c r="H821" s="12"/>
    </row>
    <row r="822" ht="14.25" customHeight="1">
      <c r="G822" s="55"/>
      <c r="H822" s="12"/>
    </row>
    <row r="823" ht="14.25" customHeight="1">
      <c r="G823" s="55"/>
      <c r="H823" s="12"/>
    </row>
    <row r="824" ht="14.25" customHeight="1">
      <c r="G824" s="55"/>
      <c r="H824" s="12"/>
    </row>
    <row r="825" ht="14.25" customHeight="1">
      <c r="G825" s="55"/>
      <c r="H825" s="12"/>
    </row>
    <row r="826" ht="14.25" customHeight="1">
      <c r="G826" s="55"/>
      <c r="H826" s="12"/>
    </row>
    <row r="827" ht="14.25" customHeight="1">
      <c r="G827" s="55"/>
      <c r="H827" s="12"/>
    </row>
    <row r="828" ht="14.25" customHeight="1">
      <c r="G828" s="55"/>
      <c r="H828" s="12"/>
    </row>
    <row r="829" ht="14.25" customHeight="1">
      <c r="G829" s="55"/>
      <c r="H829" s="12"/>
    </row>
    <row r="830" ht="14.25" customHeight="1">
      <c r="G830" s="55"/>
      <c r="H830" s="12"/>
    </row>
    <row r="831" ht="14.25" customHeight="1">
      <c r="G831" s="55"/>
      <c r="H831" s="12"/>
    </row>
    <row r="832" ht="14.25" customHeight="1">
      <c r="G832" s="55"/>
      <c r="H832" s="12"/>
    </row>
    <row r="833" ht="14.25" customHeight="1">
      <c r="G833" s="55"/>
      <c r="H833" s="12"/>
    </row>
    <row r="834" ht="14.25" customHeight="1">
      <c r="G834" s="55"/>
      <c r="H834" s="12"/>
    </row>
    <row r="835" ht="14.25" customHeight="1">
      <c r="G835" s="55"/>
      <c r="H835" s="12"/>
    </row>
    <row r="836" ht="14.25" customHeight="1">
      <c r="G836" s="55"/>
      <c r="H836" s="12"/>
    </row>
    <row r="837" ht="14.25" customHeight="1">
      <c r="G837" s="55"/>
      <c r="H837" s="12"/>
    </row>
    <row r="838" ht="14.25" customHeight="1">
      <c r="G838" s="55"/>
      <c r="H838" s="12"/>
    </row>
    <row r="839" ht="14.25" customHeight="1">
      <c r="G839" s="55"/>
      <c r="H839" s="12"/>
    </row>
    <row r="840" ht="14.25" customHeight="1">
      <c r="G840" s="55"/>
      <c r="H840" s="12"/>
    </row>
    <row r="841" ht="14.25" customHeight="1">
      <c r="G841" s="55"/>
      <c r="H841" s="12"/>
    </row>
    <row r="842" ht="14.25" customHeight="1">
      <c r="G842" s="55"/>
      <c r="H842" s="12"/>
    </row>
    <row r="843" ht="14.25" customHeight="1">
      <c r="G843" s="55"/>
      <c r="H843" s="12"/>
    </row>
    <row r="844" ht="14.25" customHeight="1">
      <c r="G844" s="55"/>
      <c r="H844" s="12"/>
    </row>
    <row r="845" ht="14.25" customHeight="1">
      <c r="G845" s="55"/>
      <c r="H845" s="12"/>
    </row>
    <row r="846" ht="14.25" customHeight="1">
      <c r="G846" s="55"/>
      <c r="H846" s="12"/>
    </row>
    <row r="847" ht="14.25" customHeight="1">
      <c r="G847" s="55"/>
      <c r="H847" s="12"/>
    </row>
    <row r="848" ht="14.25" customHeight="1">
      <c r="G848" s="55"/>
      <c r="H848" s="12"/>
    </row>
    <row r="849" ht="14.25" customHeight="1">
      <c r="G849" s="55"/>
      <c r="H849" s="12"/>
    </row>
    <row r="850" ht="14.25" customHeight="1">
      <c r="G850" s="55"/>
      <c r="H850" s="12"/>
    </row>
    <row r="851" ht="14.25" customHeight="1">
      <c r="G851" s="55"/>
      <c r="H851" s="12"/>
    </row>
    <row r="852" ht="14.25" customHeight="1">
      <c r="G852" s="55"/>
      <c r="H852" s="12"/>
    </row>
    <row r="853" ht="14.25" customHeight="1">
      <c r="G853" s="55"/>
      <c r="H853" s="12"/>
    </row>
    <row r="854" ht="14.25" customHeight="1">
      <c r="G854" s="55"/>
      <c r="H854" s="12"/>
    </row>
    <row r="855" ht="14.25" customHeight="1">
      <c r="G855" s="55"/>
      <c r="H855" s="12"/>
    </row>
    <row r="856" ht="14.25" customHeight="1">
      <c r="G856" s="55"/>
      <c r="H856" s="12"/>
    </row>
    <row r="857" ht="14.25" customHeight="1">
      <c r="G857" s="55"/>
      <c r="H857" s="12"/>
    </row>
    <row r="858" ht="14.25" customHeight="1">
      <c r="G858" s="55"/>
      <c r="H858" s="12"/>
    </row>
    <row r="859" ht="14.25" customHeight="1">
      <c r="G859" s="55"/>
      <c r="H859" s="12"/>
    </row>
    <row r="860" ht="14.25" customHeight="1">
      <c r="G860" s="55"/>
      <c r="H860" s="12"/>
    </row>
    <row r="861" ht="14.25" customHeight="1">
      <c r="G861" s="55"/>
      <c r="H861" s="12"/>
    </row>
    <row r="862" ht="14.25" customHeight="1">
      <c r="G862" s="55"/>
      <c r="H862" s="12"/>
    </row>
    <row r="863" ht="14.25" customHeight="1">
      <c r="G863" s="55"/>
      <c r="H863" s="12"/>
    </row>
    <row r="864" ht="14.25" customHeight="1">
      <c r="G864" s="55"/>
      <c r="H864" s="12"/>
    </row>
    <row r="865" ht="14.25" customHeight="1">
      <c r="G865" s="55"/>
      <c r="H865" s="12"/>
    </row>
    <row r="866" ht="14.25" customHeight="1">
      <c r="G866" s="55"/>
      <c r="H866" s="12"/>
    </row>
    <row r="867" ht="14.25" customHeight="1">
      <c r="G867" s="55"/>
      <c r="H867" s="12"/>
    </row>
    <row r="868" ht="14.25" customHeight="1">
      <c r="G868" s="55"/>
      <c r="H868" s="12"/>
    </row>
    <row r="869" ht="14.25" customHeight="1">
      <c r="G869" s="55"/>
      <c r="H869" s="12"/>
    </row>
    <row r="870" ht="14.25" customHeight="1">
      <c r="G870" s="55"/>
      <c r="H870" s="12"/>
    </row>
    <row r="871" ht="14.25" customHeight="1">
      <c r="G871" s="55"/>
      <c r="H871" s="12"/>
    </row>
    <row r="872" ht="14.25" customHeight="1">
      <c r="G872" s="55"/>
      <c r="H872" s="12"/>
    </row>
    <row r="873" ht="14.25" customHeight="1">
      <c r="G873" s="55"/>
      <c r="H873" s="12"/>
    </row>
    <row r="874" ht="14.25" customHeight="1">
      <c r="G874" s="55"/>
      <c r="H874" s="12"/>
    </row>
    <row r="875" ht="14.25" customHeight="1">
      <c r="G875" s="55"/>
      <c r="H875" s="12"/>
    </row>
    <row r="876" ht="14.25" customHeight="1">
      <c r="G876" s="55"/>
      <c r="H876" s="12"/>
    </row>
    <row r="877" ht="14.25" customHeight="1">
      <c r="G877" s="55"/>
      <c r="H877" s="12"/>
    </row>
    <row r="878" ht="14.25" customHeight="1">
      <c r="G878" s="55"/>
      <c r="H878" s="12"/>
    </row>
    <row r="879" ht="14.25" customHeight="1">
      <c r="G879" s="55"/>
      <c r="H879" s="12"/>
    </row>
    <row r="880" ht="14.25" customHeight="1">
      <c r="G880" s="55"/>
      <c r="H880" s="12"/>
    </row>
    <row r="881" ht="14.25" customHeight="1">
      <c r="G881" s="55"/>
      <c r="H881" s="12"/>
    </row>
    <row r="882" ht="14.25" customHeight="1">
      <c r="G882" s="55"/>
      <c r="H882" s="12"/>
    </row>
    <row r="883" ht="14.25" customHeight="1">
      <c r="G883" s="55"/>
      <c r="H883" s="12"/>
    </row>
    <row r="884" ht="14.25" customHeight="1">
      <c r="G884" s="55"/>
      <c r="H884" s="12"/>
    </row>
    <row r="885" ht="14.25" customHeight="1">
      <c r="G885" s="55"/>
      <c r="H885" s="12"/>
    </row>
    <row r="886" ht="14.25" customHeight="1">
      <c r="G886" s="55"/>
      <c r="H886" s="12"/>
    </row>
    <row r="887" ht="14.25" customHeight="1">
      <c r="G887" s="55"/>
      <c r="H887" s="12"/>
    </row>
    <row r="888" ht="14.25" customHeight="1">
      <c r="G888" s="55"/>
      <c r="H888" s="12"/>
    </row>
    <row r="889" ht="14.25" customHeight="1">
      <c r="G889" s="55"/>
      <c r="H889" s="12"/>
    </row>
    <row r="890" ht="14.25" customHeight="1">
      <c r="G890" s="55"/>
      <c r="H890" s="12"/>
    </row>
    <row r="891" ht="14.25" customHeight="1">
      <c r="G891" s="55"/>
      <c r="H891" s="12"/>
    </row>
    <row r="892" ht="14.25" customHeight="1">
      <c r="G892" s="55"/>
      <c r="H892" s="12"/>
    </row>
    <row r="893" ht="14.25" customHeight="1">
      <c r="G893" s="55"/>
      <c r="H893" s="12"/>
    </row>
    <row r="894" ht="14.25" customHeight="1">
      <c r="G894" s="55"/>
      <c r="H894" s="12"/>
    </row>
    <row r="895" ht="14.25" customHeight="1">
      <c r="G895" s="55"/>
      <c r="H895" s="12"/>
    </row>
    <row r="896" ht="14.25" customHeight="1">
      <c r="G896" s="55"/>
      <c r="H896" s="12"/>
    </row>
    <row r="897" ht="14.25" customHeight="1">
      <c r="G897" s="55"/>
      <c r="H897" s="12"/>
    </row>
    <row r="898" ht="14.25" customHeight="1">
      <c r="G898" s="55"/>
      <c r="H898" s="12"/>
    </row>
    <row r="899" ht="14.25" customHeight="1">
      <c r="G899" s="55"/>
      <c r="H899" s="12"/>
    </row>
    <row r="900" ht="14.25" customHeight="1">
      <c r="G900" s="55"/>
      <c r="H900" s="12"/>
    </row>
    <row r="901" ht="14.25" customHeight="1">
      <c r="G901" s="55"/>
      <c r="H901" s="12"/>
    </row>
    <row r="902" ht="14.25" customHeight="1">
      <c r="G902" s="55"/>
      <c r="H902" s="12"/>
    </row>
    <row r="903" ht="14.25" customHeight="1">
      <c r="G903" s="55"/>
      <c r="H903" s="12"/>
    </row>
    <row r="904" ht="14.25" customHeight="1">
      <c r="G904" s="55"/>
      <c r="H904" s="12"/>
    </row>
    <row r="905" ht="14.25" customHeight="1">
      <c r="G905" s="55"/>
      <c r="H905" s="12"/>
    </row>
    <row r="906" ht="14.25" customHeight="1">
      <c r="G906" s="55"/>
      <c r="H906" s="12"/>
    </row>
    <row r="907" ht="14.25" customHeight="1">
      <c r="G907" s="55"/>
      <c r="H907" s="12"/>
    </row>
    <row r="908" ht="14.25" customHeight="1">
      <c r="G908" s="55"/>
      <c r="H908" s="12"/>
    </row>
    <row r="909" ht="14.25" customHeight="1">
      <c r="G909" s="55"/>
      <c r="H909" s="12"/>
    </row>
    <row r="910" ht="14.25" customHeight="1">
      <c r="G910" s="55"/>
      <c r="H910" s="12"/>
    </row>
    <row r="911" ht="14.25" customHeight="1">
      <c r="G911" s="55"/>
      <c r="H911" s="12"/>
    </row>
    <row r="912" ht="14.25" customHeight="1">
      <c r="G912" s="55"/>
      <c r="H912" s="12"/>
    </row>
    <row r="913" ht="14.25" customHeight="1">
      <c r="G913" s="55"/>
      <c r="H913" s="12"/>
    </row>
    <row r="914" ht="14.25" customHeight="1">
      <c r="G914" s="55"/>
      <c r="H914" s="12"/>
    </row>
    <row r="915" ht="14.25" customHeight="1">
      <c r="G915" s="55"/>
      <c r="H915" s="12"/>
    </row>
    <row r="916" ht="14.25" customHeight="1">
      <c r="G916" s="55"/>
      <c r="H916" s="12"/>
    </row>
    <row r="917" ht="14.25" customHeight="1">
      <c r="G917" s="55"/>
      <c r="H917" s="12"/>
    </row>
    <row r="918" ht="14.25" customHeight="1">
      <c r="G918" s="55"/>
      <c r="H918" s="12"/>
    </row>
    <row r="919" ht="14.25" customHeight="1">
      <c r="G919" s="55"/>
      <c r="H919" s="12"/>
    </row>
    <row r="920" ht="14.25" customHeight="1">
      <c r="G920" s="55"/>
      <c r="H920" s="12"/>
    </row>
    <row r="921" ht="14.25" customHeight="1">
      <c r="G921" s="55"/>
      <c r="H921" s="12"/>
    </row>
    <row r="922" ht="14.25" customHeight="1">
      <c r="G922" s="55"/>
      <c r="H922" s="12"/>
    </row>
    <row r="923" ht="14.25" customHeight="1">
      <c r="G923" s="55"/>
      <c r="H923" s="12"/>
    </row>
    <row r="924" ht="14.25" customHeight="1">
      <c r="G924" s="55"/>
      <c r="H924" s="12"/>
    </row>
    <row r="925" ht="14.25" customHeight="1">
      <c r="G925" s="55"/>
      <c r="H925" s="12"/>
    </row>
    <row r="926" ht="14.25" customHeight="1">
      <c r="G926" s="55"/>
      <c r="H926" s="12"/>
    </row>
    <row r="927" ht="14.25" customHeight="1">
      <c r="G927" s="55"/>
      <c r="H927" s="12"/>
    </row>
    <row r="928" ht="14.25" customHeight="1">
      <c r="G928" s="55"/>
      <c r="H928" s="12"/>
    </row>
    <row r="929" ht="14.25" customHeight="1">
      <c r="G929" s="55"/>
      <c r="H929" s="12"/>
    </row>
    <row r="930" ht="14.25" customHeight="1">
      <c r="G930" s="55"/>
      <c r="H930" s="12"/>
    </row>
    <row r="931" ht="14.25" customHeight="1">
      <c r="G931" s="55"/>
      <c r="H931" s="12"/>
    </row>
    <row r="932" ht="14.25" customHeight="1">
      <c r="G932" s="55"/>
      <c r="H932" s="12"/>
    </row>
    <row r="933" ht="14.25" customHeight="1">
      <c r="G933" s="55"/>
      <c r="H933" s="12"/>
    </row>
    <row r="934" ht="14.25" customHeight="1">
      <c r="G934" s="55"/>
      <c r="H934" s="12"/>
    </row>
    <row r="935" ht="14.25" customHeight="1">
      <c r="G935" s="55"/>
      <c r="H935" s="12"/>
    </row>
    <row r="936" ht="14.25" customHeight="1">
      <c r="G936" s="55"/>
      <c r="H936" s="12"/>
    </row>
    <row r="937" ht="14.25" customHeight="1">
      <c r="G937" s="55"/>
      <c r="H937" s="12"/>
    </row>
    <row r="938" ht="14.25" customHeight="1">
      <c r="G938" s="55"/>
      <c r="H938" s="12"/>
    </row>
    <row r="939" ht="14.25" customHeight="1">
      <c r="G939" s="55"/>
      <c r="H939" s="12"/>
    </row>
    <row r="940" ht="14.25" customHeight="1">
      <c r="G940" s="55"/>
      <c r="H940" s="12"/>
    </row>
    <row r="941" ht="14.25" customHeight="1">
      <c r="G941" s="55"/>
      <c r="H941" s="12"/>
    </row>
    <row r="942" ht="14.25" customHeight="1">
      <c r="G942" s="55"/>
      <c r="H942" s="12"/>
    </row>
    <row r="943" ht="14.25" customHeight="1">
      <c r="G943" s="55"/>
      <c r="H943" s="12"/>
    </row>
    <row r="944" ht="14.25" customHeight="1">
      <c r="G944" s="55"/>
      <c r="H944" s="12"/>
    </row>
    <row r="945" ht="14.25" customHeight="1">
      <c r="G945" s="55"/>
      <c r="H945" s="12"/>
    </row>
    <row r="946" ht="14.25" customHeight="1">
      <c r="G946" s="55"/>
      <c r="H946" s="12"/>
    </row>
    <row r="947" ht="14.25" customHeight="1">
      <c r="G947" s="55"/>
      <c r="H947" s="12"/>
    </row>
    <row r="948" ht="14.25" customHeight="1">
      <c r="G948" s="55"/>
      <c r="H948" s="12"/>
    </row>
    <row r="949" ht="14.25" customHeight="1">
      <c r="G949" s="55"/>
      <c r="H949" s="12"/>
    </row>
    <row r="950" ht="14.25" customHeight="1">
      <c r="G950" s="55"/>
      <c r="H950" s="12"/>
    </row>
    <row r="951" ht="14.25" customHeight="1">
      <c r="G951" s="55"/>
      <c r="H951" s="12"/>
    </row>
    <row r="952" ht="14.25" customHeight="1">
      <c r="G952" s="55"/>
      <c r="H952" s="12"/>
    </row>
    <row r="953" ht="14.25" customHeight="1">
      <c r="G953" s="55"/>
      <c r="H953" s="12"/>
    </row>
    <row r="954" ht="14.25" customHeight="1">
      <c r="G954" s="55"/>
      <c r="H954" s="12"/>
    </row>
    <row r="955" ht="14.25" customHeight="1">
      <c r="G955" s="55"/>
      <c r="H955" s="12"/>
    </row>
    <row r="956" ht="14.25" customHeight="1">
      <c r="G956" s="55"/>
      <c r="H956" s="12"/>
    </row>
    <row r="957" ht="14.25" customHeight="1">
      <c r="G957" s="55"/>
      <c r="H957" s="12"/>
    </row>
    <row r="958" ht="14.25" customHeight="1">
      <c r="G958" s="55"/>
      <c r="H958" s="12"/>
    </row>
    <row r="959" ht="14.25" customHeight="1">
      <c r="G959" s="55"/>
      <c r="H959" s="12"/>
    </row>
    <row r="960" ht="14.25" customHeight="1">
      <c r="G960" s="55"/>
      <c r="H960" s="12"/>
    </row>
    <row r="961" ht="14.25" customHeight="1">
      <c r="G961" s="55"/>
      <c r="H961" s="12"/>
    </row>
    <row r="962" ht="14.25" customHeight="1">
      <c r="G962" s="55"/>
      <c r="H962" s="12"/>
    </row>
    <row r="963" ht="14.25" customHeight="1">
      <c r="G963" s="55"/>
      <c r="H963" s="12"/>
    </row>
    <row r="964" ht="14.25" customHeight="1">
      <c r="G964" s="55"/>
      <c r="H964" s="12"/>
    </row>
    <row r="965" ht="14.25" customHeight="1">
      <c r="G965" s="55"/>
      <c r="H965" s="12"/>
    </row>
    <row r="966" ht="14.25" customHeight="1">
      <c r="G966" s="55"/>
      <c r="H966" s="12"/>
    </row>
    <row r="967" ht="14.25" customHeight="1">
      <c r="G967" s="55"/>
      <c r="H967" s="12"/>
    </row>
    <row r="968" ht="14.25" customHeight="1">
      <c r="G968" s="55"/>
      <c r="H968" s="12"/>
    </row>
    <row r="969" ht="14.25" customHeight="1">
      <c r="G969" s="55"/>
      <c r="H969" s="12"/>
    </row>
    <row r="970" ht="14.25" customHeight="1">
      <c r="G970" s="55"/>
      <c r="H970" s="12"/>
    </row>
    <row r="971" ht="14.25" customHeight="1">
      <c r="G971" s="55"/>
      <c r="H971" s="12"/>
    </row>
    <row r="972" ht="14.25" customHeight="1">
      <c r="G972" s="55"/>
      <c r="H972" s="12"/>
    </row>
    <row r="973" ht="14.25" customHeight="1">
      <c r="G973" s="55"/>
      <c r="H973" s="12"/>
    </row>
    <row r="974" ht="14.25" customHeight="1">
      <c r="G974" s="55"/>
      <c r="H974" s="12"/>
    </row>
    <row r="975" ht="14.25" customHeight="1">
      <c r="G975" s="55"/>
      <c r="H975" s="12"/>
    </row>
    <row r="976" ht="14.25" customHeight="1">
      <c r="G976" s="55"/>
      <c r="H976" s="12"/>
    </row>
    <row r="977" ht="14.25" customHeight="1">
      <c r="G977" s="55"/>
      <c r="H977" s="12"/>
    </row>
    <row r="978" ht="14.25" customHeight="1">
      <c r="G978" s="55"/>
      <c r="H978" s="12"/>
    </row>
    <row r="979" ht="14.25" customHeight="1">
      <c r="G979" s="55"/>
      <c r="H979" s="12"/>
    </row>
    <row r="980" ht="14.25" customHeight="1">
      <c r="G980" s="55"/>
      <c r="H980" s="12"/>
    </row>
    <row r="981" ht="14.25" customHeight="1">
      <c r="G981" s="55"/>
      <c r="H981" s="12"/>
    </row>
    <row r="982" ht="14.25" customHeight="1">
      <c r="G982" s="55"/>
      <c r="H982" s="12"/>
    </row>
    <row r="983" ht="14.25" customHeight="1">
      <c r="G983" s="55"/>
      <c r="H983" s="12"/>
    </row>
    <row r="984" ht="14.25" customHeight="1">
      <c r="G984" s="55"/>
      <c r="H984" s="12"/>
    </row>
    <row r="985" ht="14.25" customHeight="1">
      <c r="G985" s="55"/>
      <c r="H985" s="12"/>
    </row>
    <row r="986" ht="14.25" customHeight="1">
      <c r="G986" s="55"/>
      <c r="H986" s="12"/>
    </row>
    <row r="987" ht="14.25" customHeight="1">
      <c r="G987" s="55"/>
      <c r="H987" s="12"/>
    </row>
    <row r="988" ht="14.25" customHeight="1">
      <c r="G988" s="55"/>
      <c r="H988" s="12"/>
    </row>
    <row r="989" ht="14.25" customHeight="1">
      <c r="G989" s="55"/>
      <c r="H989" s="12"/>
    </row>
    <row r="990" ht="14.25" customHeight="1">
      <c r="G990" s="55"/>
      <c r="H990" s="12"/>
    </row>
    <row r="991" ht="14.25" customHeight="1">
      <c r="G991" s="55"/>
      <c r="H991" s="12"/>
    </row>
    <row r="992" ht="14.25" customHeight="1">
      <c r="G992" s="55"/>
      <c r="H992" s="12"/>
    </row>
    <row r="993" ht="14.25" customHeight="1">
      <c r="G993" s="55"/>
      <c r="H993" s="12"/>
    </row>
    <row r="994" ht="14.25" customHeight="1">
      <c r="G994" s="55"/>
      <c r="H994" s="12"/>
    </row>
    <row r="995" ht="14.25" customHeight="1">
      <c r="G995" s="55"/>
      <c r="H995" s="12"/>
    </row>
    <row r="996" ht="14.25" customHeight="1">
      <c r="G996" s="55"/>
      <c r="H996" s="12"/>
    </row>
    <row r="997" ht="14.25" customHeight="1">
      <c r="G997" s="55"/>
      <c r="H997" s="12"/>
    </row>
    <row r="998" ht="14.25" customHeight="1">
      <c r="G998" s="55"/>
      <c r="H998" s="12"/>
    </row>
    <row r="999" ht="14.25" customHeight="1">
      <c r="G999" s="55"/>
      <c r="H999" s="12"/>
    </row>
    <row r="1000" ht="14.25" customHeight="1">
      <c r="G1000" s="55"/>
      <c r="H1000" s="12"/>
    </row>
    <row r="1001" ht="14.25" customHeight="1">
      <c r="G1001" s="55"/>
      <c r="H1001" s="12"/>
    </row>
    <row r="1002" ht="14.25" customHeight="1">
      <c r="G1002" s="55"/>
      <c r="H1002" s="12"/>
    </row>
    <row r="1003" ht="14.25" customHeight="1">
      <c r="G1003" s="55"/>
      <c r="H1003" s="12"/>
    </row>
    <row r="1004" ht="14.25" customHeight="1">
      <c r="G1004" s="55"/>
      <c r="H1004" s="12"/>
    </row>
    <row r="1005" ht="14.25" customHeight="1">
      <c r="G1005" s="55"/>
      <c r="H1005" s="12"/>
    </row>
  </sheetData>
  <mergeCells count="11">
    <mergeCell ref="B5:D5"/>
    <mergeCell ref="B6:D6"/>
    <mergeCell ref="F6:G6"/>
    <mergeCell ref="F45:I45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5" width="28.86"/>
    <col customWidth="1" min="6" max="6" width="40.29"/>
    <col customWidth="1" min="7" max="7" width="25.71"/>
    <col customWidth="1" min="8" max="8" width="24.0"/>
    <col customWidth="1" min="9" max="9" width="12.57"/>
    <col customWidth="1" min="10" max="10" width="26.43"/>
    <col customWidth="1" min="11" max="29" width="8.71"/>
  </cols>
  <sheetData>
    <row r="1" ht="28.5" customHeight="1">
      <c r="A1" s="11" t="s">
        <v>42</v>
      </c>
      <c r="I1" s="12"/>
    </row>
    <row r="2" ht="19.5" customHeight="1">
      <c r="D2" s="166" t="s">
        <v>43</v>
      </c>
      <c r="I2" s="12"/>
    </row>
    <row r="3" ht="14.25" customHeight="1">
      <c r="A3" s="14" t="s">
        <v>44</v>
      </c>
      <c r="B3" s="15" t="s">
        <v>443</v>
      </c>
      <c r="F3" s="14" t="s">
        <v>46</v>
      </c>
      <c r="G3" s="18" t="s">
        <v>444</v>
      </c>
      <c r="I3" s="12"/>
    </row>
    <row r="4" ht="14.25" customHeight="1">
      <c r="A4" s="14" t="s">
        <v>48</v>
      </c>
      <c r="B4" s="15" t="s">
        <v>445</v>
      </c>
      <c r="F4" s="14" t="s">
        <v>105</v>
      </c>
      <c r="G4" s="18">
        <v>8.001181100132E12</v>
      </c>
      <c r="I4" s="12"/>
    </row>
    <row r="5" ht="14.25" customHeight="1">
      <c r="A5" s="14" t="s">
        <v>51</v>
      </c>
      <c r="B5" s="15" t="s">
        <v>231</v>
      </c>
      <c r="F5" s="14" t="s">
        <v>53</v>
      </c>
      <c r="G5" s="18" t="s">
        <v>446</v>
      </c>
      <c r="I5" s="12"/>
    </row>
    <row r="6" ht="14.25" customHeight="1">
      <c r="A6" s="14" t="s">
        <v>54</v>
      </c>
      <c r="B6" s="15"/>
      <c r="F6" s="14" t="s">
        <v>55</v>
      </c>
      <c r="G6" s="18">
        <v>6.2334485415E10</v>
      </c>
      <c r="I6" s="12"/>
    </row>
    <row r="7" ht="14.25" customHeight="1">
      <c r="C7" s="19"/>
      <c r="D7" s="19"/>
      <c r="I7" s="12"/>
    </row>
    <row r="8" ht="14.25" customHeight="1">
      <c r="C8" s="19"/>
      <c r="D8" s="19"/>
      <c r="I8" s="12"/>
    </row>
    <row r="9" ht="14.25" customHeight="1">
      <c r="A9" s="20" t="s">
        <v>56</v>
      </c>
      <c r="B9" s="20" t="s">
        <v>107</v>
      </c>
      <c r="C9" s="57" t="s">
        <v>377</v>
      </c>
      <c r="D9" s="57" t="s">
        <v>58</v>
      </c>
      <c r="E9" s="20" t="s">
        <v>59</v>
      </c>
      <c r="F9" s="20" t="s">
        <v>60</v>
      </c>
      <c r="G9" s="20" t="s">
        <v>61</v>
      </c>
      <c r="H9" s="20" t="s">
        <v>62</v>
      </c>
      <c r="I9" s="22" t="s">
        <v>63</v>
      </c>
      <c r="J9" s="20" t="s">
        <v>64</v>
      </c>
    </row>
    <row r="10" ht="14.25" customHeight="1">
      <c r="A10" s="28" t="s">
        <v>447</v>
      </c>
      <c r="B10" s="23">
        <v>7.6274234E7</v>
      </c>
      <c r="C10" s="29">
        <v>6.712021100122E12</v>
      </c>
      <c r="D10" s="33">
        <v>44968.0</v>
      </c>
      <c r="E10" s="62"/>
      <c r="F10" s="62"/>
      <c r="G10" s="23">
        <v>3.0</v>
      </c>
      <c r="H10" s="28">
        <v>3.0</v>
      </c>
      <c r="I10" s="27">
        <f t="shared" ref="I10:I30" si="1">H10*200</f>
        <v>600</v>
      </c>
      <c r="J10" s="154" t="s">
        <v>448</v>
      </c>
    </row>
    <row r="11" ht="14.25" customHeight="1">
      <c r="A11" s="28" t="s">
        <v>449</v>
      </c>
      <c r="B11" s="28">
        <v>7.6322552E7</v>
      </c>
      <c r="C11" s="29">
        <v>7.506206100488E12</v>
      </c>
      <c r="D11" s="33">
        <v>44968.0</v>
      </c>
      <c r="E11" s="62"/>
      <c r="F11" s="62"/>
      <c r="G11" s="23">
        <v>1.0</v>
      </c>
      <c r="H11" s="28">
        <v>1.0</v>
      </c>
      <c r="I11" s="27">
        <f t="shared" si="1"/>
        <v>200</v>
      </c>
      <c r="J11" s="154" t="s">
        <v>450</v>
      </c>
    </row>
    <row r="12" ht="14.25" customHeight="1">
      <c r="A12" s="28" t="s">
        <v>451</v>
      </c>
      <c r="B12" s="28">
        <v>7.638009E7</v>
      </c>
      <c r="C12" s="29">
        <v>7.704046100715E12</v>
      </c>
      <c r="D12" s="33">
        <v>45149.0</v>
      </c>
      <c r="E12" s="62"/>
      <c r="F12" s="62"/>
      <c r="G12" s="28">
        <v>3.0</v>
      </c>
      <c r="H12" s="28">
        <v>3.0</v>
      </c>
      <c r="I12" s="27">
        <f t="shared" si="1"/>
        <v>600</v>
      </c>
      <c r="J12" s="154" t="s">
        <v>452</v>
      </c>
    </row>
    <row r="13" ht="14.25" customHeight="1">
      <c r="A13" s="28" t="s">
        <v>453</v>
      </c>
      <c r="B13" s="23">
        <v>7.6076856E7</v>
      </c>
      <c r="C13" s="29">
        <v>6.804186100391E12</v>
      </c>
      <c r="D13" s="33">
        <v>45149.0</v>
      </c>
      <c r="E13" s="62"/>
      <c r="F13" s="62"/>
      <c r="G13" s="23">
        <v>2.0</v>
      </c>
      <c r="H13" s="28">
        <v>2.0</v>
      </c>
      <c r="I13" s="27">
        <f t="shared" si="1"/>
        <v>400</v>
      </c>
      <c r="J13" s="154" t="s">
        <v>454</v>
      </c>
    </row>
    <row r="14" ht="14.25" customHeight="1">
      <c r="A14" s="28" t="s">
        <v>455</v>
      </c>
      <c r="B14" s="28">
        <v>7.682041E7</v>
      </c>
      <c r="C14" s="29">
        <v>5.20528110004E12</v>
      </c>
      <c r="D14" s="33">
        <v>44968.0</v>
      </c>
      <c r="E14" s="62"/>
      <c r="F14" s="62"/>
      <c r="G14" s="23">
        <v>2.0</v>
      </c>
      <c r="H14" s="28">
        <v>2.0</v>
      </c>
      <c r="I14" s="27">
        <f t="shared" si="1"/>
        <v>400</v>
      </c>
      <c r="J14" s="154" t="s">
        <v>456</v>
      </c>
    </row>
    <row r="15" ht="14.25" customHeight="1">
      <c r="A15" s="28" t="s">
        <v>457</v>
      </c>
      <c r="B15" s="23">
        <v>7.6688244E7</v>
      </c>
      <c r="C15" s="155">
        <v>5.307291100075E12</v>
      </c>
      <c r="D15" s="33">
        <v>44996.0</v>
      </c>
      <c r="E15" s="62"/>
      <c r="F15" s="62"/>
      <c r="G15" s="23">
        <v>2.0</v>
      </c>
      <c r="H15" s="28">
        <v>2.0</v>
      </c>
      <c r="I15" s="27">
        <f t="shared" si="1"/>
        <v>400</v>
      </c>
      <c r="J15" s="154" t="s">
        <v>458</v>
      </c>
    </row>
    <row r="16" ht="14.25" customHeight="1">
      <c r="A16" s="28" t="s">
        <v>459</v>
      </c>
      <c r="B16" s="28">
        <v>7.628789E7</v>
      </c>
      <c r="C16" s="29">
        <v>7.21225610105E12</v>
      </c>
      <c r="D16" s="33">
        <v>44968.0</v>
      </c>
      <c r="E16" s="62"/>
      <c r="F16" s="62"/>
      <c r="G16" s="23">
        <v>3.0</v>
      </c>
      <c r="H16" s="28">
        <v>3.0</v>
      </c>
      <c r="I16" s="27">
        <f t="shared" si="1"/>
        <v>600</v>
      </c>
      <c r="J16" s="154" t="s">
        <v>460</v>
      </c>
    </row>
    <row r="17">
      <c r="A17" s="43"/>
      <c r="B17" s="43"/>
      <c r="C17" s="43"/>
      <c r="D17" s="43"/>
      <c r="E17" s="43"/>
      <c r="F17" s="43"/>
      <c r="G17" s="43"/>
      <c r="H17" s="43"/>
      <c r="I17" s="27">
        <f t="shared" si="1"/>
        <v>0</v>
      </c>
      <c r="J17" s="154" t="s">
        <v>460</v>
      </c>
    </row>
    <row r="18" ht="14.25" customHeight="1">
      <c r="A18" s="23"/>
      <c r="B18" s="62"/>
      <c r="C18" s="25"/>
      <c r="D18" s="25"/>
      <c r="E18" s="62"/>
      <c r="F18" s="62"/>
      <c r="G18" s="23"/>
      <c r="H18" s="23"/>
      <c r="I18" s="27">
        <f t="shared" si="1"/>
        <v>0</v>
      </c>
      <c r="J18" s="23"/>
    </row>
    <row r="19" ht="14.25" customHeight="1">
      <c r="A19" s="23"/>
      <c r="B19" s="62"/>
      <c r="C19" s="25"/>
      <c r="D19" s="25"/>
      <c r="E19" s="62"/>
      <c r="F19" s="62"/>
      <c r="G19" s="23"/>
      <c r="H19" s="23"/>
      <c r="I19" s="27">
        <f t="shared" si="1"/>
        <v>0</v>
      </c>
      <c r="J19" s="23"/>
    </row>
    <row r="20" ht="14.25" customHeight="1">
      <c r="A20" s="23"/>
      <c r="B20" s="62"/>
      <c r="C20" s="25"/>
      <c r="D20" s="25"/>
      <c r="E20" s="62"/>
      <c r="F20" s="62"/>
      <c r="G20" s="23"/>
      <c r="H20" s="23"/>
      <c r="I20" s="27">
        <f t="shared" si="1"/>
        <v>0</v>
      </c>
      <c r="J20" s="23"/>
    </row>
    <row r="21" ht="14.25" customHeight="1">
      <c r="A21" s="23"/>
      <c r="B21" s="62"/>
      <c r="C21" s="25"/>
      <c r="D21" s="25"/>
      <c r="E21" s="62"/>
      <c r="F21" s="62"/>
      <c r="G21" s="23"/>
      <c r="H21" s="23"/>
      <c r="I21" s="27">
        <f t="shared" si="1"/>
        <v>0</v>
      </c>
      <c r="J21" s="23"/>
    </row>
    <row r="22" ht="14.25" customHeight="1">
      <c r="A22" s="23"/>
      <c r="B22" s="62"/>
      <c r="C22" s="25"/>
      <c r="D22" s="25"/>
      <c r="E22" s="62"/>
      <c r="F22" s="62"/>
      <c r="G22" s="23"/>
      <c r="H22" s="23"/>
      <c r="I22" s="27">
        <f t="shared" si="1"/>
        <v>0</v>
      </c>
      <c r="J22" s="23"/>
    </row>
    <row r="23" ht="14.25" customHeight="1">
      <c r="A23" s="23"/>
      <c r="B23" s="62"/>
      <c r="C23" s="25"/>
      <c r="D23" s="25"/>
      <c r="E23" s="62"/>
      <c r="F23" s="62"/>
      <c r="G23" s="23"/>
      <c r="H23" s="23"/>
      <c r="I23" s="27">
        <f t="shared" si="1"/>
        <v>0</v>
      </c>
      <c r="J23" s="23"/>
    </row>
    <row r="24" ht="14.25" customHeight="1">
      <c r="A24" s="23"/>
      <c r="B24" s="62"/>
      <c r="C24" s="25"/>
      <c r="D24" s="25"/>
      <c r="E24" s="62"/>
      <c r="F24" s="62"/>
      <c r="G24" s="23"/>
      <c r="H24" s="23"/>
      <c r="I24" s="27">
        <f t="shared" si="1"/>
        <v>0</v>
      </c>
      <c r="J24" s="23"/>
    </row>
    <row r="25" ht="14.25" customHeight="1">
      <c r="A25" s="23"/>
      <c r="B25" s="62"/>
      <c r="C25" s="25"/>
      <c r="D25" s="25"/>
      <c r="E25" s="62"/>
      <c r="F25" s="62"/>
      <c r="G25" s="23"/>
      <c r="H25" s="23"/>
      <c r="I25" s="27">
        <f t="shared" si="1"/>
        <v>0</v>
      </c>
      <c r="J25" s="23"/>
    </row>
    <row r="26" ht="14.25" customHeight="1">
      <c r="A26" s="23"/>
      <c r="B26" s="62"/>
      <c r="C26" s="25"/>
      <c r="D26" s="25"/>
      <c r="E26" s="62"/>
      <c r="F26" s="62"/>
      <c r="G26" s="23"/>
      <c r="H26" s="23"/>
      <c r="I26" s="27">
        <f t="shared" si="1"/>
        <v>0</v>
      </c>
      <c r="J26" s="23"/>
    </row>
    <row r="27" ht="14.25" customHeight="1">
      <c r="A27" s="23"/>
      <c r="B27" s="62"/>
      <c r="C27" s="25"/>
      <c r="D27" s="25"/>
      <c r="E27" s="62"/>
      <c r="F27" s="62"/>
      <c r="G27" s="23"/>
      <c r="H27" s="23"/>
      <c r="I27" s="27">
        <f t="shared" si="1"/>
        <v>0</v>
      </c>
      <c r="J27" s="23"/>
    </row>
    <row r="28" ht="14.25" customHeight="1">
      <c r="A28" s="23"/>
      <c r="B28" s="62"/>
      <c r="C28" s="25"/>
      <c r="D28" s="25"/>
      <c r="E28" s="62"/>
      <c r="F28" s="62"/>
      <c r="G28" s="23"/>
      <c r="H28" s="23"/>
      <c r="I28" s="27">
        <f t="shared" si="1"/>
        <v>0</v>
      </c>
      <c r="J28" s="23"/>
    </row>
    <row r="29" ht="14.25" customHeight="1">
      <c r="A29" s="23"/>
      <c r="B29" s="62"/>
      <c r="C29" s="25"/>
      <c r="D29" s="25"/>
      <c r="E29" s="62"/>
      <c r="F29" s="62"/>
      <c r="G29" s="23"/>
      <c r="H29" s="23"/>
      <c r="I29" s="27">
        <f t="shared" si="1"/>
        <v>0</v>
      </c>
      <c r="J29" s="23"/>
    </row>
    <row r="30" ht="14.25" customHeight="1">
      <c r="A30" s="23"/>
      <c r="B30" s="62"/>
      <c r="C30" s="25"/>
      <c r="D30" s="25"/>
      <c r="E30" s="62"/>
      <c r="F30" s="62"/>
      <c r="G30" s="23"/>
      <c r="H30" s="23"/>
      <c r="I30" s="27">
        <f t="shared" si="1"/>
        <v>0</v>
      </c>
      <c r="J30" s="23"/>
    </row>
    <row r="31" ht="18.0" customHeight="1">
      <c r="A31" s="23"/>
      <c r="B31" s="62"/>
      <c r="C31" s="25"/>
      <c r="D31" s="25"/>
      <c r="E31" s="62"/>
      <c r="F31" s="73" t="s">
        <v>41</v>
      </c>
      <c r="G31" s="40">
        <f>sum(G10:G30)</f>
        <v>16</v>
      </c>
      <c r="H31" s="40">
        <f>SUM(H1:H30)</f>
        <v>16</v>
      </c>
      <c r="I31" s="74">
        <f>SUM(I10:I30)</f>
        <v>3200</v>
      </c>
      <c r="J31" s="42"/>
    </row>
    <row r="32" ht="19.5" customHeight="1">
      <c r="A32" s="23"/>
      <c r="B32" s="62"/>
      <c r="C32" s="25"/>
      <c r="D32" s="25"/>
      <c r="E32" s="62"/>
      <c r="F32" s="76" t="s">
        <v>100</v>
      </c>
      <c r="G32" s="46">
        <f>COUNT(H2:H30)</f>
        <v>7</v>
      </c>
      <c r="H32" s="47"/>
      <c r="I32" s="47"/>
      <c r="J32" s="48"/>
    </row>
    <row r="33" ht="14.25" customHeight="1">
      <c r="C33" s="19"/>
      <c r="D33" s="19"/>
      <c r="I33" s="12"/>
    </row>
    <row r="34" ht="14.25" customHeight="1">
      <c r="C34" s="19"/>
      <c r="D34" s="19"/>
      <c r="E34" s="49" t="s">
        <v>101</v>
      </c>
      <c r="F34" s="50"/>
      <c r="G34" s="156"/>
      <c r="I34" s="12"/>
    </row>
    <row r="35" ht="14.25" customHeight="1">
      <c r="C35" s="19"/>
      <c r="D35" s="19"/>
      <c r="E35" s="51" t="s">
        <v>102</v>
      </c>
      <c r="F35" s="50"/>
      <c r="G35" s="156"/>
      <c r="I35" s="12"/>
    </row>
    <row r="36" ht="14.25" customHeight="1">
      <c r="C36" s="19"/>
      <c r="D36" s="19"/>
      <c r="E36" s="52" t="s">
        <v>58</v>
      </c>
      <c r="F36" s="53"/>
      <c r="I36" s="12"/>
    </row>
    <row r="37" ht="14.25" customHeight="1">
      <c r="C37" s="19"/>
      <c r="D37" s="19"/>
      <c r="I37" s="12"/>
    </row>
    <row r="38" ht="14.25" customHeight="1">
      <c r="C38" s="19"/>
      <c r="D38" s="19"/>
      <c r="I38" s="12"/>
    </row>
    <row r="39" ht="14.25" customHeight="1">
      <c r="C39" s="19"/>
      <c r="D39" s="19"/>
      <c r="I39" s="12"/>
    </row>
    <row r="40" ht="14.25" customHeight="1">
      <c r="C40" s="19"/>
      <c r="D40" s="19"/>
      <c r="I40" s="12"/>
    </row>
    <row r="41" ht="14.25" customHeight="1">
      <c r="C41" s="19"/>
      <c r="D41" s="19"/>
      <c r="I41" s="12"/>
    </row>
    <row r="42" ht="14.25" customHeight="1">
      <c r="C42" s="19"/>
      <c r="D42" s="19"/>
      <c r="I42" s="12"/>
    </row>
    <row r="43" ht="14.25" customHeight="1">
      <c r="C43" s="19"/>
      <c r="D43" s="19"/>
      <c r="I43" s="12"/>
    </row>
    <row r="44" ht="14.25" customHeight="1">
      <c r="C44" s="19"/>
      <c r="D44" s="19"/>
      <c r="I44" s="12"/>
    </row>
    <row r="45" ht="14.25" customHeight="1">
      <c r="C45" s="19"/>
      <c r="D45" s="19"/>
      <c r="I45" s="12"/>
    </row>
    <row r="46" ht="14.25" customHeight="1">
      <c r="C46" s="19"/>
      <c r="D46" s="19"/>
      <c r="I46" s="12"/>
    </row>
    <row r="47" ht="14.25" customHeight="1">
      <c r="C47" s="19"/>
      <c r="D47" s="19"/>
      <c r="I47" s="12"/>
    </row>
    <row r="48" ht="14.25" customHeight="1">
      <c r="C48" s="19"/>
      <c r="D48" s="19"/>
      <c r="I48" s="12"/>
    </row>
    <row r="49" ht="14.25" customHeight="1">
      <c r="C49" s="19"/>
      <c r="D49" s="19"/>
      <c r="I49" s="12"/>
    </row>
    <row r="50" ht="14.25" customHeight="1">
      <c r="C50" s="19"/>
      <c r="D50" s="19"/>
      <c r="I50" s="12"/>
    </row>
    <row r="51" ht="14.25" customHeight="1">
      <c r="C51" s="19"/>
      <c r="D51" s="19"/>
      <c r="I51" s="12"/>
    </row>
    <row r="52" ht="14.25" customHeight="1">
      <c r="C52" s="19"/>
      <c r="D52" s="19"/>
      <c r="I52" s="12"/>
    </row>
    <row r="53" ht="14.25" customHeight="1">
      <c r="C53" s="19"/>
      <c r="D53" s="19"/>
      <c r="I53" s="12"/>
    </row>
    <row r="54" ht="14.25" customHeight="1">
      <c r="C54" s="19"/>
      <c r="D54" s="19"/>
      <c r="I54" s="12"/>
    </row>
    <row r="55" ht="14.25" customHeight="1">
      <c r="C55" s="19"/>
      <c r="D55" s="19"/>
      <c r="I55" s="12"/>
    </row>
    <row r="56" ht="14.25" customHeight="1">
      <c r="C56" s="19"/>
      <c r="D56" s="19"/>
      <c r="I56" s="12"/>
    </row>
    <row r="57" ht="14.25" customHeight="1">
      <c r="C57" s="19"/>
      <c r="D57" s="19"/>
      <c r="I57" s="12"/>
    </row>
    <row r="58" ht="14.25" customHeight="1">
      <c r="C58" s="19"/>
      <c r="D58" s="19"/>
      <c r="I58" s="12"/>
    </row>
    <row r="59" ht="14.25" customHeight="1">
      <c r="C59" s="19"/>
      <c r="D59" s="19"/>
      <c r="I59" s="12"/>
    </row>
    <row r="60" ht="14.25" customHeight="1">
      <c r="C60" s="19"/>
      <c r="D60" s="19"/>
      <c r="I60" s="12"/>
    </row>
    <row r="61" ht="14.25" customHeight="1">
      <c r="C61" s="19"/>
      <c r="D61" s="19"/>
      <c r="I61" s="12"/>
    </row>
    <row r="62" ht="14.25" customHeight="1">
      <c r="C62" s="19"/>
      <c r="D62" s="19"/>
      <c r="I62" s="12"/>
    </row>
    <row r="63" ht="14.25" customHeight="1">
      <c r="C63" s="19"/>
      <c r="D63" s="19"/>
      <c r="I63" s="12"/>
    </row>
    <row r="64" ht="14.25" customHeight="1">
      <c r="C64" s="19"/>
      <c r="D64" s="19"/>
      <c r="I64" s="12"/>
    </row>
    <row r="65" ht="14.25" customHeight="1">
      <c r="C65" s="19"/>
      <c r="D65" s="19"/>
      <c r="I65" s="12"/>
    </row>
    <row r="66" ht="14.25" customHeight="1">
      <c r="C66" s="19"/>
      <c r="D66" s="19"/>
      <c r="I66" s="12"/>
    </row>
    <row r="67" ht="14.25" customHeight="1">
      <c r="C67" s="19"/>
      <c r="D67" s="19"/>
      <c r="I67" s="12"/>
    </row>
    <row r="68" ht="14.25" customHeight="1">
      <c r="C68" s="19"/>
      <c r="D68" s="19"/>
      <c r="I68" s="12"/>
    </row>
    <row r="69" ht="14.25" customHeight="1">
      <c r="C69" s="19"/>
      <c r="D69" s="19"/>
      <c r="I69" s="12"/>
    </row>
    <row r="70" ht="14.25" customHeight="1">
      <c r="C70" s="19"/>
      <c r="D70" s="19"/>
      <c r="I70" s="12"/>
    </row>
    <row r="71" ht="14.25" customHeight="1">
      <c r="C71" s="19"/>
      <c r="D71" s="19"/>
      <c r="I71" s="12"/>
    </row>
    <row r="72" ht="14.25" customHeight="1">
      <c r="C72" s="19"/>
      <c r="D72" s="19"/>
      <c r="I72" s="12"/>
    </row>
    <row r="73" ht="14.25" customHeight="1">
      <c r="C73" s="19"/>
      <c r="D73" s="19"/>
      <c r="I73" s="12"/>
    </row>
    <row r="74" ht="14.25" customHeight="1">
      <c r="C74" s="19"/>
      <c r="D74" s="19"/>
      <c r="I74" s="12"/>
    </row>
    <row r="75" ht="14.25" customHeight="1">
      <c r="C75" s="19"/>
      <c r="D75" s="19"/>
      <c r="I75" s="12"/>
    </row>
    <row r="76" ht="14.25" customHeight="1">
      <c r="C76" s="19"/>
      <c r="D76" s="19"/>
      <c r="I76" s="12"/>
    </row>
    <row r="77" ht="14.25" customHeight="1">
      <c r="C77" s="19"/>
      <c r="D77" s="19"/>
      <c r="I77" s="12"/>
    </row>
    <row r="78" ht="14.25" customHeight="1">
      <c r="C78" s="19"/>
      <c r="D78" s="19"/>
      <c r="I78" s="12"/>
    </row>
    <row r="79" ht="14.25" customHeight="1">
      <c r="C79" s="19"/>
      <c r="D79" s="19"/>
      <c r="I79" s="12"/>
    </row>
    <row r="80" ht="14.25" customHeight="1">
      <c r="C80" s="19"/>
      <c r="D80" s="19"/>
      <c r="I80" s="12"/>
    </row>
    <row r="81" ht="14.25" customHeight="1">
      <c r="C81" s="19"/>
      <c r="D81" s="19"/>
      <c r="I81" s="12"/>
    </row>
    <row r="82" ht="14.25" customHeight="1">
      <c r="C82" s="19"/>
      <c r="D82" s="19"/>
      <c r="I82" s="12"/>
    </row>
    <row r="83" ht="14.25" customHeight="1">
      <c r="C83" s="19"/>
      <c r="D83" s="19"/>
      <c r="I83" s="12"/>
    </row>
    <row r="84" ht="14.25" customHeight="1">
      <c r="C84" s="19"/>
      <c r="D84" s="19"/>
      <c r="I84" s="12"/>
    </row>
    <row r="85" ht="14.25" customHeight="1">
      <c r="C85" s="19"/>
      <c r="D85" s="19"/>
      <c r="I85" s="12"/>
    </row>
    <row r="86" ht="14.25" customHeight="1">
      <c r="C86" s="19"/>
      <c r="D86" s="19"/>
      <c r="I86" s="12"/>
    </row>
    <row r="87" ht="14.25" customHeight="1">
      <c r="C87" s="19"/>
      <c r="D87" s="19"/>
      <c r="I87" s="12"/>
    </row>
    <row r="88" ht="14.25" customHeight="1">
      <c r="C88" s="19"/>
      <c r="D88" s="19"/>
      <c r="I88" s="12"/>
    </row>
    <row r="89" ht="14.25" customHeight="1">
      <c r="C89" s="19"/>
      <c r="D89" s="19"/>
      <c r="I89" s="12"/>
    </row>
    <row r="90" ht="14.25" customHeight="1">
      <c r="C90" s="19"/>
      <c r="D90" s="19"/>
      <c r="I90" s="12"/>
    </row>
    <row r="91" ht="14.25" customHeight="1">
      <c r="C91" s="19"/>
      <c r="D91" s="19"/>
      <c r="I91" s="12"/>
    </row>
    <row r="92" ht="14.25" customHeight="1">
      <c r="C92" s="19"/>
      <c r="D92" s="19"/>
      <c r="I92" s="12"/>
    </row>
    <row r="93" ht="14.25" customHeight="1">
      <c r="C93" s="19"/>
      <c r="D93" s="19"/>
      <c r="I93" s="12"/>
    </row>
    <row r="94" ht="14.25" customHeight="1">
      <c r="C94" s="19"/>
      <c r="D94" s="19"/>
      <c r="I94" s="12"/>
    </row>
    <row r="95" ht="14.25" customHeight="1">
      <c r="C95" s="19"/>
      <c r="D95" s="19"/>
      <c r="I95" s="12"/>
    </row>
    <row r="96" ht="14.25" customHeight="1">
      <c r="C96" s="19"/>
      <c r="D96" s="19"/>
      <c r="I96" s="12"/>
    </row>
    <row r="97" ht="14.25" customHeight="1">
      <c r="C97" s="19"/>
      <c r="D97" s="19"/>
      <c r="I97" s="12"/>
    </row>
    <row r="98" ht="14.25" customHeight="1">
      <c r="C98" s="19"/>
      <c r="D98" s="19"/>
      <c r="I98" s="12"/>
    </row>
    <row r="99" ht="14.25" customHeight="1">
      <c r="C99" s="19"/>
      <c r="D99" s="19"/>
      <c r="I99" s="12"/>
    </row>
    <row r="100" ht="14.25" customHeight="1">
      <c r="C100" s="19"/>
      <c r="D100" s="19"/>
      <c r="I100" s="12"/>
    </row>
    <row r="101" ht="14.25" customHeight="1">
      <c r="C101" s="19"/>
      <c r="D101" s="19"/>
      <c r="I101" s="12"/>
    </row>
    <row r="102" ht="14.25" customHeight="1">
      <c r="C102" s="19"/>
      <c r="D102" s="19"/>
      <c r="I102" s="12"/>
    </row>
    <row r="103" ht="14.25" customHeight="1">
      <c r="C103" s="19"/>
      <c r="D103" s="19"/>
      <c r="I103" s="12"/>
    </row>
    <row r="104" ht="14.25" customHeight="1">
      <c r="C104" s="19"/>
      <c r="D104" s="19"/>
      <c r="I104" s="12"/>
    </row>
    <row r="105" ht="14.25" customHeight="1">
      <c r="C105" s="19"/>
      <c r="D105" s="19"/>
      <c r="I105" s="12"/>
    </row>
    <row r="106" ht="14.25" customHeight="1">
      <c r="C106" s="19"/>
      <c r="D106" s="19"/>
      <c r="I106" s="12"/>
    </row>
    <row r="107" ht="14.25" customHeight="1">
      <c r="C107" s="19"/>
      <c r="D107" s="19"/>
      <c r="I107" s="12"/>
    </row>
    <row r="108" ht="14.25" customHeight="1">
      <c r="C108" s="19"/>
      <c r="D108" s="19"/>
      <c r="I108" s="12"/>
    </row>
    <row r="109" ht="14.25" customHeight="1">
      <c r="C109" s="19"/>
      <c r="D109" s="19"/>
      <c r="I109" s="12"/>
    </row>
    <row r="110" ht="14.25" customHeight="1">
      <c r="C110" s="19"/>
      <c r="D110" s="19"/>
      <c r="I110" s="12"/>
    </row>
    <row r="111" ht="14.25" customHeight="1">
      <c r="C111" s="19"/>
      <c r="D111" s="19"/>
      <c r="I111" s="12"/>
    </row>
    <row r="112" ht="14.25" customHeight="1">
      <c r="C112" s="19"/>
      <c r="D112" s="19"/>
      <c r="I112" s="12"/>
    </row>
    <row r="113" ht="14.25" customHeight="1">
      <c r="C113" s="19"/>
      <c r="D113" s="19"/>
      <c r="I113" s="12"/>
    </row>
    <row r="114" ht="14.25" customHeight="1">
      <c r="C114" s="19"/>
      <c r="D114" s="19"/>
      <c r="I114" s="12"/>
    </row>
    <row r="115" ht="14.25" customHeight="1">
      <c r="C115" s="19"/>
      <c r="D115" s="19"/>
      <c r="I115" s="12"/>
    </row>
    <row r="116" ht="14.25" customHeight="1">
      <c r="C116" s="19"/>
      <c r="D116" s="19"/>
      <c r="I116" s="12"/>
    </row>
    <row r="117" ht="14.25" customHeight="1">
      <c r="C117" s="19"/>
      <c r="D117" s="19"/>
      <c r="I117" s="12"/>
    </row>
    <row r="118" ht="14.25" customHeight="1">
      <c r="C118" s="19"/>
      <c r="D118" s="19"/>
      <c r="I118" s="12"/>
    </row>
    <row r="119" ht="14.25" customHeight="1">
      <c r="C119" s="19"/>
      <c r="D119" s="19"/>
      <c r="I119" s="12"/>
    </row>
    <row r="120" ht="14.25" customHeight="1">
      <c r="C120" s="19"/>
      <c r="D120" s="19"/>
      <c r="I120" s="12"/>
    </row>
    <row r="121" ht="14.25" customHeight="1">
      <c r="C121" s="19"/>
      <c r="D121" s="19"/>
      <c r="I121" s="12"/>
    </row>
    <row r="122" ht="14.25" customHeight="1">
      <c r="C122" s="19"/>
      <c r="D122" s="19"/>
      <c r="I122" s="12"/>
    </row>
    <row r="123" ht="14.25" customHeight="1">
      <c r="C123" s="19"/>
      <c r="D123" s="19"/>
      <c r="I123" s="12"/>
    </row>
    <row r="124" ht="14.25" customHeight="1">
      <c r="C124" s="19"/>
      <c r="D124" s="19"/>
      <c r="I124" s="12"/>
    </row>
    <row r="125" ht="14.25" customHeight="1">
      <c r="C125" s="19"/>
      <c r="D125" s="19"/>
      <c r="I125" s="12"/>
    </row>
    <row r="126" ht="14.25" customHeight="1">
      <c r="C126" s="19"/>
      <c r="D126" s="19"/>
      <c r="I126" s="12"/>
    </row>
    <row r="127" ht="14.25" customHeight="1">
      <c r="C127" s="19"/>
      <c r="D127" s="19"/>
      <c r="I127" s="12"/>
    </row>
    <row r="128" ht="14.25" customHeight="1">
      <c r="C128" s="19"/>
      <c r="D128" s="19"/>
      <c r="I128" s="12"/>
    </row>
    <row r="129" ht="14.25" customHeight="1">
      <c r="C129" s="19"/>
      <c r="D129" s="19"/>
      <c r="I129" s="12"/>
    </row>
    <row r="130" ht="14.25" customHeight="1">
      <c r="C130" s="19"/>
      <c r="D130" s="19"/>
      <c r="I130" s="12"/>
    </row>
    <row r="131" ht="14.25" customHeight="1">
      <c r="C131" s="19"/>
      <c r="D131" s="19"/>
      <c r="I131" s="12"/>
    </row>
    <row r="132" ht="14.25" customHeight="1">
      <c r="C132" s="19"/>
      <c r="D132" s="19"/>
      <c r="I132" s="12"/>
    </row>
    <row r="133" ht="14.25" customHeight="1">
      <c r="C133" s="19"/>
      <c r="D133" s="19"/>
      <c r="I133" s="12"/>
    </row>
    <row r="134" ht="14.25" customHeight="1">
      <c r="C134" s="19"/>
      <c r="D134" s="19"/>
      <c r="I134" s="12"/>
    </row>
    <row r="135" ht="14.25" customHeight="1">
      <c r="C135" s="19"/>
      <c r="D135" s="19"/>
      <c r="I135" s="12"/>
    </row>
    <row r="136" ht="14.25" customHeight="1">
      <c r="C136" s="19"/>
      <c r="D136" s="19"/>
      <c r="I136" s="12"/>
    </row>
    <row r="137" ht="14.25" customHeight="1">
      <c r="C137" s="19"/>
      <c r="D137" s="19"/>
      <c r="I137" s="12"/>
    </row>
    <row r="138" ht="14.25" customHeight="1">
      <c r="C138" s="19"/>
      <c r="D138" s="19"/>
      <c r="I138" s="12"/>
    </row>
    <row r="139" ht="14.25" customHeight="1">
      <c r="C139" s="19"/>
      <c r="D139" s="19"/>
      <c r="I139" s="12"/>
    </row>
    <row r="140" ht="14.25" customHeight="1">
      <c r="C140" s="19"/>
      <c r="D140" s="19"/>
      <c r="I140" s="12"/>
    </row>
    <row r="141" ht="14.25" customHeight="1">
      <c r="C141" s="19"/>
      <c r="D141" s="19"/>
      <c r="I141" s="12"/>
    </row>
    <row r="142" ht="14.25" customHeight="1">
      <c r="C142" s="19"/>
      <c r="D142" s="19"/>
      <c r="I142" s="12"/>
    </row>
    <row r="143" ht="14.25" customHeight="1">
      <c r="C143" s="19"/>
      <c r="D143" s="19"/>
      <c r="I143" s="12"/>
    </row>
    <row r="144" ht="14.25" customHeight="1">
      <c r="C144" s="19"/>
      <c r="D144" s="19"/>
      <c r="I144" s="12"/>
    </row>
    <row r="145" ht="14.25" customHeight="1">
      <c r="C145" s="19"/>
      <c r="D145" s="19"/>
      <c r="I145" s="12"/>
    </row>
    <row r="146" ht="14.25" customHeight="1">
      <c r="C146" s="19"/>
      <c r="D146" s="19"/>
      <c r="I146" s="12"/>
    </row>
    <row r="147" ht="14.25" customHeight="1">
      <c r="C147" s="19"/>
      <c r="D147" s="19"/>
      <c r="I147" s="12"/>
    </row>
    <row r="148" ht="14.25" customHeight="1">
      <c r="C148" s="19"/>
      <c r="D148" s="19"/>
      <c r="I148" s="12"/>
    </row>
    <row r="149" ht="14.25" customHeight="1">
      <c r="C149" s="19"/>
      <c r="D149" s="19"/>
      <c r="I149" s="12"/>
    </row>
    <row r="150" ht="14.25" customHeight="1">
      <c r="C150" s="19"/>
      <c r="D150" s="19"/>
      <c r="I150" s="12"/>
    </row>
    <row r="151" ht="14.25" customHeight="1">
      <c r="C151" s="19"/>
      <c r="D151" s="19"/>
      <c r="I151" s="12"/>
    </row>
    <row r="152" ht="14.25" customHeight="1">
      <c r="C152" s="19"/>
      <c r="D152" s="19"/>
      <c r="I152" s="12"/>
    </row>
    <row r="153" ht="14.25" customHeight="1">
      <c r="C153" s="19"/>
      <c r="D153" s="19"/>
      <c r="I153" s="12"/>
    </row>
    <row r="154" ht="14.25" customHeight="1">
      <c r="C154" s="19"/>
      <c r="D154" s="19"/>
      <c r="I154" s="12"/>
    </row>
    <row r="155" ht="14.25" customHeight="1">
      <c r="C155" s="19"/>
      <c r="D155" s="19"/>
      <c r="I155" s="12"/>
    </row>
    <row r="156" ht="14.25" customHeight="1">
      <c r="C156" s="19"/>
      <c r="D156" s="19"/>
      <c r="I156" s="12"/>
    </row>
    <row r="157" ht="14.25" customHeight="1">
      <c r="C157" s="19"/>
      <c r="D157" s="19"/>
      <c r="I157" s="12"/>
    </row>
    <row r="158" ht="14.25" customHeight="1">
      <c r="C158" s="19"/>
      <c r="D158" s="19"/>
      <c r="I158" s="12"/>
    </row>
    <row r="159" ht="14.25" customHeight="1">
      <c r="C159" s="19"/>
      <c r="D159" s="19"/>
      <c r="I159" s="12"/>
    </row>
    <row r="160" ht="14.25" customHeight="1">
      <c r="C160" s="19"/>
      <c r="D160" s="19"/>
      <c r="I160" s="12"/>
    </row>
    <row r="161" ht="14.25" customHeight="1">
      <c r="C161" s="19"/>
      <c r="D161" s="19"/>
      <c r="I161" s="12"/>
    </row>
    <row r="162" ht="14.25" customHeight="1">
      <c r="C162" s="19"/>
      <c r="D162" s="19"/>
      <c r="I162" s="12"/>
    </row>
    <row r="163" ht="14.25" customHeight="1">
      <c r="C163" s="19"/>
      <c r="D163" s="19"/>
      <c r="I163" s="12"/>
    </row>
    <row r="164" ht="14.25" customHeight="1">
      <c r="C164" s="19"/>
      <c r="D164" s="19"/>
      <c r="I164" s="12"/>
    </row>
    <row r="165" ht="14.25" customHeight="1">
      <c r="C165" s="19"/>
      <c r="D165" s="19"/>
      <c r="I165" s="12"/>
    </row>
    <row r="166" ht="14.25" customHeight="1">
      <c r="C166" s="19"/>
      <c r="D166" s="19"/>
      <c r="I166" s="12"/>
    </row>
    <row r="167" ht="14.25" customHeight="1">
      <c r="C167" s="19"/>
      <c r="D167" s="19"/>
      <c r="I167" s="12"/>
    </row>
    <row r="168" ht="14.25" customHeight="1">
      <c r="C168" s="19"/>
      <c r="D168" s="19"/>
      <c r="I168" s="12"/>
    </row>
    <row r="169" ht="14.25" customHeight="1">
      <c r="C169" s="19"/>
      <c r="D169" s="19"/>
      <c r="I169" s="12"/>
    </row>
    <row r="170" ht="14.25" customHeight="1">
      <c r="C170" s="19"/>
      <c r="D170" s="19"/>
      <c r="I170" s="12"/>
    </row>
    <row r="171" ht="14.25" customHeight="1">
      <c r="C171" s="19"/>
      <c r="D171" s="19"/>
      <c r="I171" s="12"/>
    </row>
    <row r="172" ht="14.25" customHeight="1">
      <c r="C172" s="19"/>
      <c r="D172" s="19"/>
      <c r="I172" s="12"/>
    </row>
    <row r="173" ht="14.25" customHeight="1">
      <c r="C173" s="19"/>
      <c r="D173" s="19"/>
      <c r="I173" s="12"/>
    </row>
    <row r="174" ht="14.25" customHeight="1">
      <c r="C174" s="19"/>
      <c r="D174" s="19"/>
      <c r="I174" s="12"/>
    </row>
    <row r="175" ht="14.25" customHeight="1">
      <c r="C175" s="19"/>
      <c r="D175" s="19"/>
      <c r="I175" s="12"/>
    </row>
    <row r="176" ht="14.25" customHeight="1">
      <c r="C176" s="19"/>
      <c r="D176" s="19"/>
      <c r="I176" s="12"/>
    </row>
    <row r="177" ht="14.25" customHeight="1">
      <c r="C177" s="19"/>
      <c r="D177" s="19"/>
      <c r="I177" s="12"/>
    </row>
    <row r="178" ht="14.25" customHeight="1">
      <c r="C178" s="19"/>
      <c r="D178" s="19"/>
      <c r="I178" s="12"/>
    </row>
    <row r="179" ht="14.25" customHeight="1">
      <c r="C179" s="19"/>
      <c r="D179" s="19"/>
      <c r="I179" s="12"/>
    </row>
    <row r="180" ht="14.25" customHeight="1">
      <c r="C180" s="19"/>
      <c r="D180" s="19"/>
      <c r="I180" s="12"/>
    </row>
    <row r="181" ht="14.25" customHeight="1">
      <c r="C181" s="19"/>
      <c r="D181" s="19"/>
      <c r="I181" s="12"/>
    </row>
    <row r="182" ht="14.25" customHeight="1">
      <c r="C182" s="19"/>
      <c r="D182" s="19"/>
      <c r="I182" s="12"/>
    </row>
    <row r="183" ht="14.25" customHeight="1">
      <c r="C183" s="19"/>
      <c r="D183" s="19"/>
      <c r="I183" s="12"/>
    </row>
    <row r="184" ht="14.25" customHeight="1">
      <c r="C184" s="19"/>
      <c r="D184" s="19"/>
      <c r="I184" s="12"/>
    </row>
    <row r="185" ht="14.25" customHeight="1">
      <c r="C185" s="19"/>
      <c r="D185" s="19"/>
      <c r="I185" s="12"/>
    </row>
    <row r="186" ht="14.25" customHeight="1">
      <c r="C186" s="19"/>
      <c r="D186" s="19"/>
      <c r="I186" s="12"/>
    </row>
    <row r="187" ht="14.25" customHeight="1">
      <c r="C187" s="19"/>
      <c r="D187" s="19"/>
      <c r="I187" s="12"/>
    </row>
    <row r="188" ht="14.25" customHeight="1">
      <c r="C188" s="19"/>
      <c r="D188" s="19"/>
      <c r="I188" s="12"/>
    </row>
    <row r="189" ht="14.25" customHeight="1">
      <c r="C189" s="19"/>
      <c r="D189" s="19"/>
      <c r="I189" s="12"/>
    </row>
    <row r="190" ht="14.25" customHeight="1">
      <c r="C190" s="19"/>
      <c r="D190" s="19"/>
      <c r="I190" s="12"/>
    </row>
    <row r="191" ht="14.25" customHeight="1">
      <c r="C191" s="19"/>
      <c r="D191" s="19"/>
      <c r="I191" s="12"/>
    </row>
    <row r="192" ht="14.25" customHeight="1">
      <c r="C192" s="19"/>
      <c r="D192" s="19"/>
      <c r="I192" s="12"/>
    </row>
    <row r="193" ht="14.25" customHeight="1">
      <c r="C193" s="19"/>
      <c r="D193" s="19"/>
      <c r="I193" s="12"/>
    </row>
    <row r="194" ht="14.25" customHeight="1">
      <c r="C194" s="19"/>
      <c r="D194" s="19"/>
      <c r="I194" s="12"/>
    </row>
    <row r="195" ht="14.25" customHeight="1">
      <c r="C195" s="19"/>
      <c r="D195" s="19"/>
      <c r="I195" s="12"/>
    </row>
    <row r="196" ht="14.25" customHeight="1">
      <c r="C196" s="19"/>
      <c r="D196" s="19"/>
      <c r="I196" s="12"/>
    </row>
    <row r="197" ht="14.25" customHeight="1">
      <c r="C197" s="19"/>
      <c r="D197" s="19"/>
      <c r="I197" s="12"/>
    </row>
    <row r="198" ht="14.25" customHeight="1">
      <c r="C198" s="19"/>
      <c r="D198" s="19"/>
      <c r="I198" s="12"/>
    </row>
    <row r="199" ht="14.25" customHeight="1">
      <c r="C199" s="19"/>
      <c r="D199" s="19"/>
      <c r="I199" s="12"/>
    </row>
    <row r="200" ht="14.25" customHeight="1">
      <c r="C200" s="19"/>
      <c r="D200" s="19"/>
      <c r="I200" s="12"/>
    </row>
    <row r="201" ht="14.25" customHeight="1">
      <c r="C201" s="19"/>
      <c r="D201" s="19"/>
      <c r="I201" s="12"/>
    </row>
    <row r="202" ht="14.25" customHeight="1">
      <c r="C202" s="19"/>
      <c r="D202" s="19"/>
      <c r="I202" s="12"/>
    </row>
    <row r="203" ht="14.25" customHeight="1">
      <c r="C203" s="19"/>
      <c r="D203" s="19"/>
      <c r="I203" s="12"/>
    </row>
    <row r="204" ht="14.25" customHeight="1">
      <c r="C204" s="19"/>
      <c r="D204" s="19"/>
      <c r="I204" s="12"/>
    </row>
    <row r="205" ht="14.25" customHeight="1">
      <c r="C205" s="19"/>
      <c r="D205" s="19"/>
      <c r="I205" s="12"/>
    </row>
    <row r="206" ht="14.25" customHeight="1">
      <c r="C206" s="19"/>
      <c r="D206" s="19"/>
      <c r="I206" s="12"/>
    </row>
    <row r="207" ht="14.25" customHeight="1">
      <c r="C207" s="19"/>
      <c r="D207" s="19"/>
      <c r="I207" s="12"/>
    </row>
    <row r="208" ht="14.25" customHeight="1">
      <c r="C208" s="19"/>
      <c r="D208" s="19"/>
      <c r="I208" s="12"/>
    </row>
    <row r="209" ht="14.25" customHeight="1">
      <c r="C209" s="19"/>
      <c r="D209" s="19"/>
      <c r="I209" s="12"/>
    </row>
    <row r="210" ht="14.25" customHeight="1">
      <c r="C210" s="19"/>
      <c r="D210" s="19"/>
      <c r="I210" s="12"/>
    </row>
    <row r="211" ht="14.25" customHeight="1">
      <c r="C211" s="19"/>
      <c r="D211" s="19"/>
      <c r="I211" s="12"/>
    </row>
    <row r="212" ht="14.25" customHeight="1">
      <c r="C212" s="19"/>
      <c r="D212" s="19"/>
      <c r="I212" s="12"/>
    </row>
    <row r="213" ht="14.25" customHeight="1">
      <c r="C213" s="19"/>
      <c r="D213" s="19"/>
      <c r="I213" s="12"/>
    </row>
    <row r="214" ht="14.25" customHeight="1">
      <c r="C214" s="19"/>
      <c r="D214" s="19"/>
      <c r="I214" s="12"/>
    </row>
    <row r="215" ht="14.25" customHeight="1">
      <c r="C215" s="19"/>
      <c r="D215" s="19"/>
      <c r="I215" s="12"/>
    </row>
    <row r="216" ht="14.25" customHeight="1">
      <c r="C216" s="19"/>
      <c r="D216" s="19"/>
      <c r="I216" s="12"/>
    </row>
    <row r="217" ht="14.25" customHeight="1">
      <c r="C217" s="19"/>
      <c r="D217" s="19"/>
      <c r="I217" s="12"/>
    </row>
    <row r="218" ht="14.25" customHeight="1">
      <c r="C218" s="19"/>
      <c r="D218" s="19"/>
      <c r="I218" s="12"/>
    </row>
    <row r="219" ht="14.25" customHeight="1">
      <c r="C219" s="19"/>
      <c r="D219" s="19"/>
      <c r="I219" s="12"/>
    </row>
    <row r="220" ht="14.25" customHeight="1">
      <c r="C220" s="19"/>
      <c r="D220" s="19"/>
      <c r="I220" s="12"/>
    </row>
    <row r="221" ht="14.25" customHeight="1">
      <c r="C221" s="19"/>
      <c r="D221" s="19"/>
      <c r="I221" s="12"/>
    </row>
    <row r="222" ht="14.25" customHeight="1">
      <c r="C222" s="19"/>
      <c r="D222" s="19"/>
      <c r="I222" s="12"/>
    </row>
    <row r="223" ht="14.25" customHeight="1">
      <c r="C223" s="19"/>
      <c r="D223" s="19"/>
      <c r="I223" s="12"/>
    </row>
    <row r="224" ht="14.25" customHeight="1">
      <c r="C224" s="19"/>
      <c r="D224" s="19"/>
      <c r="I224" s="12"/>
    </row>
    <row r="225" ht="14.25" customHeight="1">
      <c r="C225" s="19"/>
      <c r="D225" s="19"/>
      <c r="I225" s="12"/>
    </row>
    <row r="226" ht="14.25" customHeight="1">
      <c r="C226" s="19"/>
      <c r="D226" s="19"/>
      <c r="I226" s="12"/>
    </row>
    <row r="227" ht="14.25" customHeight="1">
      <c r="C227" s="19"/>
      <c r="D227" s="19"/>
      <c r="I227" s="12"/>
    </row>
    <row r="228" ht="14.25" customHeight="1">
      <c r="C228" s="19"/>
      <c r="D228" s="19"/>
      <c r="I228" s="12"/>
    </row>
    <row r="229" ht="14.25" customHeight="1">
      <c r="C229" s="19"/>
      <c r="D229" s="19"/>
      <c r="I229" s="12"/>
    </row>
    <row r="230" ht="14.25" customHeight="1">
      <c r="C230" s="19"/>
      <c r="D230" s="19"/>
      <c r="I230" s="12"/>
    </row>
    <row r="231" ht="14.25" customHeight="1">
      <c r="C231" s="19"/>
      <c r="D231" s="19"/>
      <c r="I231" s="12"/>
    </row>
    <row r="232" ht="14.25" customHeight="1">
      <c r="C232" s="19"/>
      <c r="D232" s="19"/>
      <c r="I232" s="12"/>
    </row>
    <row r="233" ht="14.25" customHeight="1">
      <c r="C233" s="19"/>
      <c r="D233" s="19"/>
      <c r="I233" s="12"/>
    </row>
    <row r="234" ht="14.25" customHeight="1">
      <c r="C234" s="19"/>
      <c r="D234" s="19"/>
      <c r="I234" s="12"/>
    </row>
    <row r="235" ht="14.25" customHeight="1">
      <c r="C235" s="19"/>
      <c r="D235" s="19"/>
      <c r="I235" s="12"/>
    </row>
    <row r="236" ht="14.25" customHeight="1">
      <c r="C236" s="19"/>
      <c r="D236" s="19"/>
      <c r="I236" s="12"/>
    </row>
    <row r="237" ht="14.25" customHeight="1">
      <c r="C237" s="19"/>
      <c r="D237" s="19"/>
      <c r="I237" s="12"/>
    </row>
    <row r="238" ht="14.25" customHeight="1">
      <c r="C238" s="19"/>
      <c r="D238" s="19"/>
      <c r="I238" s="12"/>
    </row>
    <row r="239" ht="14.25" customHeight="1">
      <c r="C239" s="19"/>
      <c r="D239" s="19"/>
      <c r="I239" s="12"/>
    </row>
    <row r="240" ht="14.25" customHeight="1">
      <c r="C240" s="19"/>
      <c r="D240" s="19"/>
      <c r="I240" s="12"/>
    </row>
    <row r="241" ht="14.25" customHeight="1">
      <c r="C241" s="19"/>
      <c r="D241" s="19"/>
      <c r="I241" s="12"/>
    </row>
    <row r="242" ht="14.25" customHeight="1">
      <c r="C242" s="19"/>
      <c r="D242" s="19"/>
      <c r="I242" s="12"/>
    </row>
    <row r="243" ht="14.25" customHeight="1">
      <c r="C243" s="19"/>
      <c r="D243" s="19"/>
      <c r="I243" s="12"/>
    </row>
    <row r="244" ht="14.25" customHeight="1">
      <c r="C244" s="19"/>
      <c r="D244" s="19"/>
      <c r="I244" s="12"/>
    </row>
    <row r="245" ht="14.25" customHeight="1">
      <c r="C245" s="19"/>
      <c r="D245" s="19"/>
      <c r="I245" s="12"/>
    </row>
    <row r="246" ht="14.25" customHeight="1">
      <c r="C246" s="19"/>
      <c r="D246" s="19"/>
      <c r="I246" s="12"/>
    </row>
    <row r="247" ht="14.25" customHeight="1">
      <c r="C247" s="19"/>
      <c r="D247" s="19"/>
      <c r="I247" s="12"/>
    </row>
    <row r="248" ht="14.25" customHeight="1">
      <c r="C248" s="19"/>
      <c r="D248" s="19"/>
      <c r="I248" s="12"/>
    </row>
    <row r="249" ht="14.25" customHeight="1">
      <c r="C249" s="19"/>
      <c r="D249" s="19"/>
      <c r="I249" s="12"/>
    </row>
    <row r="250" ht="14.25" customHeight="1">
      <c r="C250" s="19"/>
      <c r="D250" s="19"/>
      <c r="I250" s="12"/>
    </row>
    <row r="251" ht="14.25" customHeight="1">
      <c r="C251" s="19"/>
      <c r="D251" s="19"/>
      <c r="I251" s="12"/>
    </row>
    <row r="252" ht="14.25" customHeight="1">
      <c r="C252" s="19"/>
      <c r="D252" s="19"/>
      <c r="I252" s="12"/>
    </row>
    <row r="253" ht="14.25" customHeight="1">
      <c r="C253" s="19"/>
      <c r="D253" s="19"/>
      <c r="I253" s="12"/>
    </row>
    <row r="254" ht="14.25" customHeight="1">
      <c r="C254" s="19"/>
      <c r="D254" s="19"/>
      <c r="I254" s="12"/>
    </row>
    <row r="255" ht="14.25" customHeight="1">
      <c r="C255" s="19"/>
      <c r="D255" s="19"/>
      <c r="I255" s="12"/>
    </row>
    <row r="256" ht="14.25" customHeight="1">
      <c r="C256" s="19"/>
      <c r="D256" s="19"/>
      <c r="I256" s="12"/>
    </row>
    <row r="257" ht="14.25" customHeight="1">
      <c r="C257" s="19"/>
      <c r="D257" s="19"/>
      <c r="I257" s="12"/>
    </row>
    <row r="258" ht="14.25" customHeight="1">
      <c r="C258" s="19"/>
      <c r="D258" s="19"/>
      <c r="I258" s="12"/>
    </row>
    <row r="259" ht="14.25" customHeight="1">
      <c r="C259" s="19"/>
      <c r="D259" s="19"/>
      <c r="I259" s="12"/>
    </row>
    <row r="260" ht="14.25" customHeight="1">
      <c r="C260" s="19"/>
      <c r="D260" s="19"/>
      <c r="I260" s="12"/>
    </row>
    <row r="261" ht="14.25" customHeight="1">
      <c r="C261" s="19"/>
      <c r="D261" s="19"/>
      <c r="I261" s="12"/>
    </row>
    <row r="262" ht="14.25" customHeight="1">
      <c r="C262" s="19"/>
      <c r="D262" s="19"/>
      <c r="I262" s="12"/>
    </row>
    <row r="263" ht="14.25" customHeight="1">
      <c r="C263" s="19"/>
      <c r="D263" s="19"/>
      <c r="I263" s="12"/>
    </row>
    <row r="264" ht="14.25" customHeight="1">
      <c r="C264" s="19"/>
      <c r="D264" s="19"/>
      <c r="I264" s="12"/>
    </row>
    <row r="265" ht="14.25" customHeight="1">
      <c r="C265" s="19"/>
      <c r="D265" s="19"/>
      <c r="I265" s="12"/>
    </row>
    <row r="266" ht="14.25" customHeight="1">
      <c r="C266" s="19"/>
      <c r="D266" s="19"/>
      <c r="I266" s="12"/>
    </row>
    <row r="267" ht="14.25" customHeight="1">
      <c r="C267" s="19"/>
      <c r="D267" s="19"/>
      <c r="I267" s="12"/>
    </row>
    <row r="268" ht="14.25" customHeight="1">
      <c r="C268" s="19"/>
      <c r="D268" s="19"/>
      <c r="I268" s="12"/>
    </row>
    <row r="269" ht="14.25" customHeight="1">
      <c r="C269" s="19"/>
      <c r="D269" s="19"/>
      <c r="I269" s="12"/>
    </row>
    <row r="270" ht="14.25" customHeight="1">
      <c r="C270" s="19"/>
      <c r="D270" s="19"/>
      <c r="I270" s="12"/>
    </row>
    <row r="271" ht="14.25" customHeight="1">
      <c r="C271" s="19"/>
      <c r="D271" s="19"/>
      <c r="I271" s="12"/>
    </row>
    <row r="272" ht="14.25" customHeight="1">
      <c r="C272" s="19"/>
      <c r="D272" s="19"/>
      <c r="I272" s="12"/>
    </row>
    <row r="273" ht="14.25" customHeight="1">
      <c r="C273" s="19"/>
      <c r="D273" s="19"/>
      <c r="I273" s="12"/>
    </row>
    <row r="274" ht="14.25" customHeight="1">
      <c r="C274" s="19"/>
      <c r="D274" s="19"/>
      <c r="I274" s="12"/>
    </row>
    <row r="275" ht="14.25" customHeight="1">
      <c r="C275" s="19"/>
      <c r="D275" s="19"/>
      <c r="I275" s="12"/>
    </row>
    <row r="276" ht="14.25" customHeight="1">
      <c r="C276" s="19"/>
      <c r="D276" s="19"/>
      <c r="I276" s="12"/>
    </row>
    <row r="277" ht="14.25" customHeight="1">
      <c r="C277" s="19"/>
      <c r="D277" s="19"/>
      <c r="I277" s="12"/>
    </row>
    <row r="278" ht="14.25" customHeight="1">
      <c r="C278" s="19"/>
      <c r="D278" s="19"/>
      <c r="I278" s="12"/>
    </row>
    <row r="279" ht="14.25" customHeight="1">
      <c r="C279" s="19"/>
      <c r="D279" s="19"/>
      <c r="I279" s="12"/>
    </row>
    <row r="280" ht="14.25" customHeight="1">
      <c r="C280" s="19"/>
      <c r="D280" s="19"/>
      <c r="I280" s="12"/>
    </row>
    <row r="281" ht="14.25" customHeight="1">
      <c r="C281" s="19"/>
      <c r="D281" s="19"/>
      <c r="I281" s="12"/>
    </row>
    <row r="282" ht="14.25" customHeight="1">
      <c r="C282" s="19"/>
      <c r="D282" s="19"/>
      <c r="I282" s="12"/>
    </row>
    <row r="283" ht="14.25" customHeight="1">
      <c r="C283" s="19"/>
      <c r="D283" s="19"/>
      <c r="I283" s="12"/>
    </row>
    <row r="284" ht="14.25" customHeight="1">
      <c r="C284" s="19"/>
      <c r="D284" s="19"/>
      <c r="I284" s="12"/>
    </row>
    <row r="285" ht="14.25" customHeight="1">
      <c r="C285" s="19"/>
      <c r="D285" s="19"/>
      <c r="I285" s="12"/>
    </row>
    <row r="286" ht="14.25" customHeight="1">
      <c r="C286" s="19"/>
      <c r="D286" s="19"/>
      <c r="I286" s="12"/>
    </row>
    <row r="287" ht="14.25" customHeight="1">
      <c r="C287" s="19"/>
      <c r="D287" s="19"/>
      <c r="I287" s="12"/>
    </row>
    <row r="288" ht="14.25" customHeight="1">
      <c r="C288" s="19"/>
      <c r="D288" s="19"/>
      <c r="I288" s="12"/>
    </row>
    <row r="289" ht="14.25" customHeight="1">
      <c r="C289" s="19"/>
      <c r="D289" s="19"/>
      <c r="I289" s="12"/>
    </row>
    <row r="290" ht="14.25" customHeight="1">
      <c r="C290" s="19"/>
      <c r="D290" s="19"/>
      <c r="I290" s="12"/>
    </row>
    <row r="291" ht="14.25" customHeight="1">
      <c r="C291" s="19"/>
      <c r="D291" s="19"/>
      <c r="I291" s="12"/>
    </row>
    <row r="292" ht="14.25" customHeight="1">
      <c r="C292" s="19"/>
      <c r="D292" s="19"/>
      <c r="I292" s="12"/>
    </row>
    <row r="293" ht="14.25" customHeight="1">
      <c r="C293" s="19"/>
      <c r="D293" s="19"/>
      <c r="I293" s="12"/>
    </row>
    <row r="294" ht="14.25" customHeight="1">
      <c r="C294" s="19"/>
      <c r="D294" s="19"/>
      <c r="I294" s="12"/>
    </row>
    <row r="295" ht="14.25" customHeight="1">
      <c r="C295" s="19"/>
      <c r="D295" s="19"/>
      <c r="I295" s="12"/>
    </row>
    <row r="296" ht="14.25" customHeight="1">
      <c r="C296" s="19"/>
      <c r="D296" s="19"/>
      <c r="I296" s="12"/>
    </row>
    <row r="297" ht="14.25" customHeight="1">
      <c r="C297" s="19"/>
      <c r="D297" s="19"/>
      <c r="I297" s="12"/>
    </row>
    <row r="298" ht="14.25" customHeight="1">
      <c r="C298" s="19"/>
      <c r="D298" s="19"/>
      <c r="I298" s="12"/>
    </row>
    <row r="299" ht="14.25" customHeight="1">
      <c r="C299" s="19"/>
      <c r="D299" s="19"/>
      <c r="I299" s="12"/>
    </row>
    <row r="300" ht="14.25" customHeight="1">
      <c r="C300" s="19"/>
      <c r="D300" s="19"/>
      <c r="I300" s="12"/>
    </row>
    <row r="301" ht="14.25" customHeight="1">
      <c r="C301" s="19"/>
      <c r="D301" s="19"/>
      <c r="I301" s="12"/>
    </row>
    <row r="302" ht="14.25" customHeight="1">
      <c r="C302" s="19"/>
      <c r="D302" s="19"/>
      <c r="I302" s="12"/>
    </row>
    <row r="303" ht="14.25" customHeight="1">
      <c r="C303" s="19"/>
      <c r="D303" s="19"/>
      <c r="I303" s="12"/>
    </row>
    <row r="304" ht="14.25" customHeight="1">
      <c r="C304" s="19"/>
      <c r="D304" s="19"/>
      <c r="I304" s="12"/>
    </row>
    <row r="305" ht="14.25" customHeight="1">
      <c r="C305" s="19"/>
      <c r="D305" s="19"/>
      <c r="I305" s="12"/>
    </row>
    <row r="306" ht="14.25" customHeight="1">
      <c r="C306" s="19"/>
      <c r="D306" s="19"/>
      <c r="I306" s="12"/>
    </row>
    <row r="307" ht="14.25" customHeight="1">
      <c r="C307" s="19"/>
      <c r="D307" s="19"/>
      <c r="I307" s="12"/>
    </row>
    <row r="308" ht="14.25" customHeight="1">
      <c r="C308" s="19"/>
      <c r="D308" s="19"/>
      <c r="I308" s="12"/>
    </row>
    <row r="309" ht="14.25" customHeight="1">
      <c r="C309" s="19"/>
      <c r="D309" s="19"/>
      <c r="I309" s="12"/>
    </row>
    <row r="310" ht="14.25" customHeight="1">
      <c r="C310" s="19"/>
      <c r="D310" s="19"/>
      <c r="I310" s="12"/>
    </row>
    <row r="311" ht="14.25" customHeight="1">
      <c r="C311" s="19"/>
      <c r="D311" s="19"/>
      <c r="I311" s="12"/>
    </row>
    <row r="312" ht="14.25" customHeight="1">
      <c r="C312" s="19"/>
      <c r="D312" s="19"/>
      <c r="I312" s="12"/>
    </row>
    <row r="313" ht="14.25" customHeight="1">
      <c r="C313" s="19"/>
      <c r="D313" s="19"/>
      <c r="I313" s="12"/>
    </row>
    <row r="314" ht="14.25" customHeight="1">
      <c r="C314" s="19"/>
      <c r="D314" s="19"/>
      <c r="I314" s="12"/>
    </row>
    <row r="315" ht="14.25" customHeight="1">
      <c r="C315" s="19"/>
      <c r="D315" s="19"/>
      <c r="I315" s="12"/>
    </row>
    <row r="316" ht="14.25" customHeight="1">
      <c r="C316" s="19"/>
      <c r="D316" s="19"/>
      <c r="I316" s="12"/>
    </row>
    <row r="317" ht="14.25" customHeight="1">
      <c r="C317" s="19"/>
      <c r="D317" s="19"/>
      <c r="I317" s="12"/>
    </row>
    <row r="318" ht="14.25" customHeight="1">
      <c r="C318" s="19"/>
      <c r="D318" s="19"/>
      <c r="I318" s="12"/>
    </row>
    <row r="319" ht="14.25" customHeight="1">
      <c r="C319" s="19"/>
      <c r="D319" s="19"/>
      <c r="I319" s="12"/>
    </row>
    <row r="320" ht="14.25" customHeight="1">
      <c r="C320" s="19"/>
      <c r="D320" s="19"/>
      <c r="I320" s="12"/>
    </row>
    <row r="321" ht="14.25" customHeight="1">
      <c r="C321" s="19"/>
      <c r="D321" s="19"/>
      <c r="I321" s="12"/>
    </row>
    <row r="322" ht="14.25" customHeight="1">
      <c r="C322" s="19"/>
      <c r="D322" s="19"/>
      <c r="I322" s="12"/>
    </row>
    <row r="323" ht="14.25" customHeight="1">
      <c r="C323" s="19"/>
      <c r="D323" s="19"/>
      <c r="I323" s="12"/>
    </row>
    <row r="324" ht="14.25" customHeight="1">
      <c r="C324" s="19"/>
      <c r="D324" s="19"/>
      <c r="I324" s="12"/>
    </row>
    <row r="325" ht="14.25" customHeight="1">
      <c r="C325" s="19"/>
      <c r="D325" s="19"/>
      <c r="I325" s="12"/>
    </row>
    <row r="326" ht="14.25" customHeight="1">
      <c r="C326" s="19"/>
      <c r="D326" s="19"/>
      <c r="I326" s="12"/>
    </row>
    <row r="327" ht="14.25" customHeight="1">
      <c r="C327" s="19"/>
      <c r="D327" s="19"/>
      <c r="I327" s="12"/>
    </row>
    <row r="328" ht="14.25" customHeight="1">
      <c r="C328" s="19"/>
      <c r="D328" s="19"/>
      <c r="I328" s="12"/>
    </row>
    <row r="329" ht="14.25" customHeight="1">
      <c r="C329" s="19"/>
      <c r="D329" s="19"/>
      <c r="I329" s="12"/>
    </row>
    <row r="330" ht="14.25" customHeight="1">
      <c r="C330" s="19"/>
      <c r="D330" s="19"/>
      <c r="I330" s="12"/>
    </row>
    <row r="331" ht="14.25" customHeight="1">
      <c r="C331" s="19"/>
      <c r="D331" s="19"/>
      <c r="I331" s="12"/>
    </row>
    <row r="332" ht="14.25" customHeight="1">
      <c r="C332" s="19"/>
      <c r="D332" s="19"/>
      <c r="I332" s="12"/>
    </row>
    <row r="333" ht="14.25" customHeight="1">
      <c r="C333" s="19"/>
      <c r="D333" s="19"/>
      <c r="I333" s="12"/>
    </row>
    <row r="334" ht="14.25" customHeight="1">
      <c r="C334" s="19"/>
      <c r="D334" s="19"/>
      <c r="I334" s="12"/>
    </row>
    <row r="335" ht="14.25" customHeight="1">
      <c r="C335" s="19"/>
      <c r="D335" s="19"/>
      <c r="I335" s="12"/>
    </row>
    <row r="336" ht="14.25" customHeight="1">
      <c r="C336" s="19"/>
      <c r="D336" s="19"/>
      <c r="I336" s="12"/>
    </row>
    <row r="337" ht="14.25" customHeight="1">
      <c r="C337" s="19"/>
      <c r="D337" s="19"/>
      <c r="I337" s="12"/>
    </row>
    <row r="338" ht="14.25" customHeight="1">
      <c r="C338" s="19"/>
      <c r="D338" s="19"/>
      <c r="I338" s="12"/>
    </row>
    <row r="339" ht="14.25" customHeight="1">
      <c r="C339" s="19"/>
      <c r="D339" s="19"/>
      <c r="I339" s="12"/>
    </row>
    <row r="340" ht="14.25" customHeight="1">
      <c r="C340" s="19"/>
      <c r="D340" s="19"/>
      <c r="I340" s="12"/>
    </row>
    <row r="341" ht="14.25" customHeight="1">
      <c r="C341" s="19"/>
      <c r="D341" s="19"/>
      <c r="I341" s="12"/>
    </row>
    <row r="342" ht="14.25" customHeight="1">
      <c r="C342" s="19"/>
      <c r="D342" s="19"/>
      <c r="I342" s="12"/>
    </row>
    <row r="343" ht="14.25" customHeight="1">
      <c r="C343" s="19"/>
      <c r="D343" s="19"/>
      <c r="I343" s="12"/>
    </row>
    <row r="344" ht="14.25" customHeight="1">
      <c r="C344" s="19"/>
      <c r="D344" s="19"/>
      <c r="I344" s="12"/>
    </row>
    <row r="345" ht="14.25" customHeight="1">
      <c r="C345" s="19"/>
      <c r="D345" s="19"/>
      <c r="I345" s="12"/>
    </row>
    <row r="346" ht="14.25" customHeight="1">
      <c r="C346" s="19"/>
      <c r="D346" s="19"/>
      <c r="I346" s="12"/>
    </row>
    <row r="347" ht="14.25" customHeight="1">
      <c r="C347" s="19"/>
      <c r="D347" s="19"/>
      <c r="I347" s="12"/>
    </row>
    <row r="348" ht="14.25" customHeight="1">
      <c r="C348" s="19"/>
      <c r="D348" s="19"/>
      <c r="I348" s="12"/>
    </row>
    <row r="349" ht="14.25" customHeight="1">
      <c r="C349" s="19"/>
      <c r="D349" s="19"/>
      <c r="I349" s="12"/>
    </row>
    <row r="350" ht="14.25" customHeight="1">
      <c r="C350" s="19"/>
      <c r="D350" s="19"/>
      <c r="I350" s="12"/>
    </row>
    <row r="351" ht="14.25" customHeight="1">
      <c r="C351" s="19"/>
      <c r="D351" s="19"/>
      <c r="I351" s="12"/>
    </row>
    <row r="352" ht="14.25" customHeight="1">
      <c r="C352" s="19"/>
      <c r="D352" s="19"/>
      <c r="I352" s="12"/>
    </row>
    <row r="353" ht="14.25" customHeight="1">
      <c r="C353" s="19"/>
      <c r="D353" s="19"/>
      <c r="I353" s="12"/>
    </row>
    <row r="354" ht="14.25" customHeight="1">
      <c r="C354" s="19"/>
      <c r="D354" s="19"/>
      <c r="I354" s="12"/>
    </row>
    <row r="355" ht="14.25" customHeight="1">
      <c r="C355" s="19"/>
      <c r="D355" s="19"/>
      <c r="I355" s="12"/>
    </row>
    <row r="356" ht="14.25" customHeight="1">
      <c r="C356" s="19"/>
      <c r="D356" s="19"/>
      <c r="I356" s="12"/>
    </row>
    <row r="357" ht="14.25" customHeight="1">
      <c r="C357" s="19"/>
      <c r="D357" s="19"/>
      <c r="I357" s="12"/>
    </row>
    <row r="358" ht="14.25" customHeight="1">
      <c r="C358" s="19"/>
      <c r="D358" s="19"/>
      <c r="I358" s="12"/>
    </row>
    <row r="359" ht="14.25" customHeight="1">
      <c r="C359" s="19"/>
      <c r="D359" s="19"/>
      <c r="I359" s="12"/>
    </row>
    <row r="360" ht="14.25" customHeight="1">
      <c r="C360" s="19"/>
      <c r="D360" s="19"/>
      <c r="I360" s="12"/>
    </row>
    <row r="361" ht="14.25" customHeight="1">
      <c r="C361" s="19"/>
      <c r="D361" s="19"/>
      <c r="I361" s="12"/>
    </row>
    <row r="362" ht="14.25" customHeight="1">
      <c r="C362" s="19"/>
      <c r="D362" s="19"/>
      <c r="I362" s="12"/>
    </row>
    <row r="363" ht="14.25" customHeight="1">
      <c r="C363" s="19"/>
      <c r="D363" s="19"/>
      <c r="I363" s="12"/>
    </row>
    <row r="364" ht="14.25" customHeight="1">
      <c r="C364" s="19"/>
      <c r="D364" s="19"/>
      <c r="I364" s="12"/>
    </row>
    <row r="365" ht="14.25" customHeight="1">
      <c r="C365" s="19"/>
      <c r="D365" s="19"/>
      <c r="I365" s="12"/>
    </row>
    <row r="366" ht="14.25" customHeight="1">
      <c r="C366" s="19"/>
      <c r="D366" s="19"/>
      <c r="I366" s="12"/>
    </row>
    <row r="367" ht="14.25" customHeight="1">
      <c r="C367" s="19"/>
      <c r="D367" s="19"/>
      <c r="I367" s="12"/>
    </row>
    <row r="368" ht="14.25" customHeight="1">
      <c r="C368" s="19"/>
      <c r="D368" s="19"/>
      <c r="I368" s="12"/>
    </row>
    <row r="369" ht="14.25" customHeight="1">
      <c r="C369" s="19"/>
      <c r="D369" s="19"/>
      <c r="I369" s="12"/>
    </row>
    <row r="370" ht="14.25" customHeight="1">
      <c r="C370" s="19"/>
      <c r="D370" s="19"/>
      <c r="I370" s="12"/>
    </row>
    <row r="371" ht="14.25" customHeight="1">
      <c r="C371" s="19"/>
      <c r="D371" s="19"/>
      <c r="I371" s="12"/>
    </row>
    <row r="372" ht="14.25" customHeight="1">
      <c r="C372" s="19"/>
      <c r="D372" s="19"/>
      <c r="I372" s="12"/>
    </row>
    <row r="373" ht="14.25" customHeight="1">
      <c r="C373" s="19"/>
      <c r="D373" s="19"/>
      <c r="I373" s="12"/>
    </row>
    <row r="374" ht="14.25" customHeight="1">
      <c r="C374" s="19"/>
      <c r="D374" s="19"/>
      <c r="I374" s="12"/>
    </row>
    <row r="375" ht="14.25" customHeight="1">
      <c r="C375" s="19"/>
      <c r="D375" s="19"/>
      <c r="I375" s="12"/>
    </row>
    <row r="376" ht="14.25" customHeight="1">
      <c r="C376" s="19"/>
      <c r="D376" s="19"/>
      <c r="I376" s="12"/>
    </row>
    <row r="377" ht="14.25" customHeight="1">
      <c r="C377" s="19"/>
      <c r="D377" s="19"/>
      <c r="I377" s="12"/>
    </row>
    <row r="378" ht="14.25" customHeight="1">
      <c r="C378" s="19"/>
      <c r="D378" s="19"/>
      <c r="I378" s="12"/>
    </row>
    <row r="379" ht="14.25" customHeight="1">
      <c r="C379" s="19"/>
      <c r="D379" s="19"/>
      <c r="I379" s="12"/>
    </row>
    <row r="380" ht="14.25" customHeight="1">
      <c r="C380" s="19"/>
      <c r="D380" s="19"/>
      <c r="I380" s="12"/>
    </row>
    <row r="381" ht="14.25" customHeight="1">
      <c r="C381" s="19"/>
      <c r="D381" s="19"/>
      <c r="I381" s="12"/>
    </row>
    <row r="382" ht="14.25" customHeight="1">
      <c r="C382" s="19"/>
      <c r="D382" s="19"/>
      <c r="I382" s="12"/>
    </row>
    <row r="383" ht="14.25" customHeight="1">
      <c r="C383" s="19"/>
      <c r="D383" s="19"/>
      <c r="I383" s="12"/>
    </row>
    <row r="384" ht="14.25" customHeight="1">
      <c r="C384" s="19"/>
      <c r="D384" s="19"/>
      <c r="I384" s="12"/>
    </row>
    <row r="385" ht="14.25" customHeight="1">
      <c r="C385" s="19"/>
      <c r="D385" s="19"/>
      <c r="I385" s="12"/>
    </row>
    <row r="386" ht="14.25" customHeight="1">
      <c r="C386" s="19"/>
      <c r="D386" s="19"/>
      <c r="I386" s="12"/>
    </row>
    <row r="387" ht="14.25" customHeight="1">
      <c r="C387" s="19"/>
      <c r="D387" s="19"/>
      <c r="I387" s="12"/>
    </row>
    <row r="388" ht="14.25" customHeight="1">
      <c r="C388" s="19"/>
      <c r="D388" s="19"/>
      <c r="I388" s="12"/>
    </row>
    <row r="389" ht="14.25" customHeight="1">
      <c r="C389" s="19"/>
      <c r="D389" s="19"/>
      <c r="I389" s="12"/>
    </row>
    <row r="390" ht="14.25" customHeight="1">
      <c r="C390" s="19"/>
      <c r="D390" s="19"/>
      <c r="I390" s="12"/>
    </row>
    <row r="391" ht="14.25" customHeight="1">
      <c r="C391" s="19"/>
      <c r="D391" s="19"/>
      <c r="I391" s="12"/>
    </row>
    <row r="392" ht="14.25" customHeight="1">
      <c r="C392" s="19"/>
      <c r="D392" s="19"/>
      <c r="I392" s="12"/>
    </row>
    <row r="393" ht="14.25" customHeight="1">
      <c r="C393" s="19"/>
      <c r="D393" s="19"/>
      <c r="I393" s="12"/>
    </row>
    <row r="394" ht="14.25" customHeight="1">
      <c r="C394" s="19"/>
      <c r="D394" s="19"/>
      <c r="I394" s="12"/>
    </row>
    <row r="395" ht="14.25" customHeight="1">
      <c r="C395" s="19"/>
      <c r="D395" s="19"/>
      <c r="I395" s="12"/>
    </row>
    <row r="396" ht="14.25" customHeight="1">
      <c r="C396" s="19"/>
      <c r="D396" s="19"/>
      <c r="I396" s="12"/>
    </row>
    <row r="397" ht="14.25" customHeight="1">
      <c r="C397" s="19"/>
      <c r="D397" s="19"/>
      <c r="I397" s="12"/>
    </row>
    <row r="398" ht="14.25" customHeight="1">
      <c r="C398" s="19"/>
      <c r="D398" s="19"/>
      <c r="I398" s="12"/>
    </row>
    <row r="399" ht="14.25" customHeight="1">
      <c r="C399" s="19"/>
      <c r="D399" s="19"/>
      <c r="I399" s="12"/>
    </row>
    <row r="400" ht="14.25" customHeight="1">
      <c r="C400" s="19"/>
      <c r="D400" s="19"/>
      <c r="I400" s="12"/>
    </row>
    <row r="401" ht="14.25" customHeight="1">
      <c r="C401" s="19"/>
      <c r="D401" s="19"/>
      <c r="I401" s="12"/>
    </row>
    <row r="402" ht="14.25" customHeight="1">
      <c r="C402" s="19"/>
      <c r="D402" s="19"/>
      <c r="I402" s="12"/>
    </row>
    <row r="403" ht="14.25" customHeight="1">
      <c r="C403" s="19"/>
      <c r="D403" s="19"/>
      <c r="I403" s="12"/>
    </row>
    <row r="404" ht="14.25" customHeight="1">
      <c r="C404" s="19"/>
      <c r="D404" s="19"/>
      <c r="I404" s="12"/>
    </row>
    <row r="405" ht="14.25" customHeight="1">
      <c r="C405" s="19"/>
      <c r="D405" s="19"/>
      <c r="I405" s="12"/>
    </row>
    <row r="406" ht="14.25" customHeight="1">
      <c r="C406" s="19"/>
      <c r="D406" s="19"/>
      <c r="I406" s="12"/>
    </row>
    <row r="407" ht="14.25" customHeight="1">
      <c r="C407" s="19"/>
      <c r="D407" s="19"/>
      <c r="I407" s="12"/>
    </row>
    <row r="408" ht="14.25" customHeight="1">
      <c r="C408" s="19"/>
      <c r="D408" s="19"/>
      <c r="I408" s="12"/>
    </row>
    <row r="409" ht="14.25" customHeight="1">
      <c r="C409" s="19"/>
      <c r="D409" s="19"/>
      <c r="I409" s="12"/>
    </row>
    <row r="410" ht="14.25" customHeight="1">
      <c r="C410" s="19"/>
      <c r="D410" s="19"/>
      <c r="I410" s="12"/>
    </row>
    <row r="411" ht="14.25" customHeight="1">
      <c r="C411" s="19"/>
      <c r="D411" s="19"/>
      <c r="I411" s="12"/>
    </row>
    <row r="412" ht="14.25" customHeight="1">
      <c r="C412" s="19"/>
      <c r="D412" s="19"/>
      <c r="I412" s="12"/>
    </row>
    <row r="413" ht="14.25" customHeight="1">
      <c r="C413" s="19"/>
      <c r="D413" s="19"/>
      <c r="I413" s="12"/>
    </row>
    <row r="414" ht="14.25" customHeight="1">
      <c r="C414" s="19"/>
      <c r="D414" s="19"/>
      <c r="I414" s="12"/>
    </row>
    <row r="415" ht="14.25" customHeight="1">
      <c r="C415" s="19"/>
      <c r="D415" s="19"/>
      <c r="I415" s="12"/>
    </row>
    <row r="416" ht="14.25" customHeight="1">
      <c r="C416" s="19"/>
      <c r="D416" s="19"/>
      <c r="I416" s="12"/>
    </row>
    <row r="417" ht="14.25" customHeight="1">
      <c r="C417" s="19"/>
      <c r="D417" s="19"/>
      <c r="I417" s="12"/>
    </row>
    <row r="418" ht="14.25" customHeight="1">
      <c r="C418" s="19"/>
      <c r="D418" s="19"/>
      <c r="I418" s="12"/>
    </row>
    <row r="419" ht="14.25" customHeight="1">
      <c r="C419" s="19"/>
      <c r="D419" s="19"/>
      <c r="I419" s="12"/>
    </row>
    <row r="420" ht="14.25" customHeight="1">
      <c r="C420" s="19"/>
      <c r="D420" s="19"/>
      <c r="I420" s="12"/>
    </row>
    <row r="421" ht="14.25" customHeight="1">
      <c r="C421" s="19"/>
      <c r="D421" s="19"/>
      <c r="I421" s="12"/>
    </row>
    <row r="422" ht="14.25" customHeight="1">
      <c r="C422" s="19"/>
      <c r="D422" s="19"/>
      <c r="I422" s="12"/>
    </row>
    <row r="423" ht="14.25" customHeight="1">
      <c r="C423" s="19"/>
      <c r="D423" s="19"/>
      <c r="I423" s="12"/>
    </row>
    <row r="424" ht="14.25" customHeight="1">
      <c r="C424" s="19"/>
      <c r="D424" s="19"/>
      <c r="I424" s="12"/>
    </row>
    <row r="425" ht="14.25" customHeight="1">
      <c r="C425" s="19"/>
      <c r="D425" s="19"/>
      <c r="I425" s="12"/>
    </row>
    <row r="426" ht="14.25" customHeight="1">
      <c r="C426" s="19"/>
      <c r="D426" s="19"/>
      <c r="I426" s="12"/>
    </row>
    <row r="427" ht="14.25" customHeight="1">
      <c r="C427" s="19"/>
      <c r="D427" s="19"/>
      <c r="I427" s="12"/>
    </row>
    <row r="428" ht="14.25" customHeight="1">
      <c r="C428" s="19"/>
      <c r="D428" s="19"/>
      <c r="I428" s="12"/>
    </row>
    <row r="429" ht="14.25" customHeight="1">
      <c r="C429" s="19"/>
      <c r="D429" s="19"/>
      <c r="I429" s="12"/>
    </row>
    <row r="430" ht="14.25" customHeight="1">
      <c r="C430" s="19"/>
      <c r="D430" s="19"/>
      <c r="I430" s="12"/>
    </row>
    <row r="431" ht="14.25" customHeight="1">
      <c r="C431" s="19"/>
      <c r="D431" s="19"/>
      <c r="I431" s="12"/>
    </row>
    <row r="432" ht="14.25" customHeight="1">
      <c r="C432" s="19"/>
      <c r="D432" s="19"/>
      <c r="I432" s="12"/>
    </row>
    <row r="433" ht="14.25" customHeight="1">
      <c r="C433" s="19"/>
      <c r="D433" s="19"/>
      <c r="I433" s="12"/>
    </row>
    <row r="434" ht="14.25" customHeight="1">
      <c r="C434" s="19"/>
      <c r="D434" s="19"/>
      <c r="I434" s="12"/>
    </row>
    <row r="435" ht="14.25" customHeight="1">
      <c r="C435" s="19"/>
      <c r="D435" s="19"/>
      <c r="I435" s="12"/>
    </row>
    <row r="436" ht="14.25" customHeight="1">
      <c r="C436" s="19"/>
      <c r="D436" s="19"/>
      <c r="I436" s="12"/>
    </row>
    <row r="437" ht="14.25" customHeight="1">
      <c r="C437" s="19"/>
      <c r="D437" s="19"/>
      <c r="I437" s="12"/>
    </row>
    <row r="438" ht="14.25" customHeight="1">
      <c r="C438" s="19"/>
      <c r="D438" s="19"/>
      <c r="I438" s="12"/>
    </row>
    <row r="439" ht="14.25" customHeight="1">
      <c r="C439" s="19"/>
      <c r="D439" s="19"/>
      <c r="I439" s="12"/>
    </row>
    <row r="440" ht="14.25" customHeight="1">
      <c r="C440" s="19"/>
      <c r="D440" s="19"/>
      <c r="I440" s="12"/>
    </row>
    <row r="441" ht="14.25" customHeight="1">
      <c r="C441" s="19"/>
      <c r="D441" s="19"/>
      <c r="I441" s="12"/>
    </row>
    <row r="442" ht="14.25" customHeight="1">
      <c r="C442" s="19"/>
      <c r="D442" s="19"/>
      <c r="I442" s="12"/>
    </row>
    <row r="443" ht="14.25" customHeight="1">
      <c r="C443" s="19"/>
      <c r="D443" s="19"/>
      <c r="I443" s="12"/>
    </row>
    <row r="444" ht="14.25" customHeight="1">
      <c r="C444" s="19"/>
      <c r="D444" s="19"/>
      <c r="I444" s="12"/>
    </row>
    <row r="445" ht="14.25" customHeight="1">
      <c r="C445" s="19"/>
      <c r="D445" s="19"/>
      <c r="I445" s="12"/>
    </row>
    <row r="446" ht="14.25" customHeight="1">
      <c r="C446" s="19"/>
      <c r="D446" s="19"/>
      <c r="I446" s="12"/>
    </row>
    <row r="447" ht="14.25" customHeight="1">
      <c r="C447" s="19"/>
      <c r="D447" s="19"/>
      <c r="I447" s="12"/>
    </row>
    <row r="448" ht="14.25" customHeight="1">
      <c r="C448" s="19"/>
      <c r="D448" s="19"/>
      <c r="I448" s="12"/>
    </row>
    <row r="449" ht="14.25" customHeight="1">
      <c r="C449" s="19"/>
      <c r="D449" s="19"/>
      <c r="I449" s="12"/>
    </row>
    <row r="450" ht="14.25" customHeight="1">
      <c r="C450" s="19"/>
      <c r="D450" s="19"/>
      <c r="I450" s="12"/>
    </row>
    <row r="451" ht="14.25" customHeight="1">
      <c r="C451" s="19"/>
      <c r="D451" s="19"/>
      <c r="I451" s="12"/>
    </row>
    <row r="452" ht="14.25" customHeight="1">
      <c r="C452" s="19"/>
      <c r="D452" s="19"/>
      <c r="I452" s="12"/>
    </row>
    <row r="453" ht="14.25" customHeight="1">
      <c r="C453" s="19"/>
      <c r="D453" s="19"/>
      <c r="I453" s="12"/>
    </row>
    <row r="454" ht="14.25" customHeight="1">
      <c r="C454" s="19"/>
      <c r="D454" s="19"/>
      <c r="I454" s="12"/>
    </row>
    <row r="455" ht="14.25" customHeight="1">
      <c r="C455" s="19"/>
      <c r="D455" s="19"/>
      <c r="I455" s="12"/>
    </row>
    <row r="456" ht="14.25" customHeight="1">
      <c r="C456" s="19"/>
      <c r="D456" s="19"/>
      <c r="I456" s="12"/>
    </row>
    <row r="457" ht="14.25" customHeight="1">
      <c r="C457" s="19"/>
      <c r="D457" s="19"/>
      <c r="I457" s="12"/>
    </row>
    <row r="458" ht="14.25" customHeight="1">
      <c r="C458" s="19"/>
      <c r="D458" s="19"/>
      <c r="I458" s="12"/>
    </row>
    <row r="459" ht="14.25" customHeight="1">
      <c r="C459" s="19"/>
      <c r="D459" s="19"/>
      <c r="I459" s="12"/>
    </row>
    <row r="460" ht="14.25" customHeight="1">
      <c r="C460" s="19"/>
      <c r="D460" s="19"/>
      <c r="I460" s="12"/>
    </row>
    <row r="461" ht="14.25" customHeight="1">
      <c r="C461" s="19"/>
      <c r="D461" s="19"/>
      <c r="I461" s="12"/>
    </row>
    <row r="462" ht="14.25" customHeight="1">
      <c r="C462" s="19"/>
      <c r="D462" s="19"/>
      <c r="I462" s="12"/>
    </row>
    <row r="463" ht="14.25" customHeight="1">
      <c r="C463" s="19"/>
      <c r="D463" s="19"/>
      <c r="I463" s="12"/>
    </row>
    <row r="464" ht="14.25" customHeight="1">
      <c r="C464" s="19"/>
      <c r="D464" s="19"/>
      <c r="I464" s="12"/>
    </row>
    <row r="465" ht="14.25" customHeight="1">
      <c r="C465" s="19"/>
      <c r="D465" s="19"/>
      <c r="I465" s="12"/>
    </row>
    <row r="466" ht="14.25" customHeight="1">
      <c r="C466" s="19"/>
      <c r="D466" s="19"/>
      <c r="I466" s="12"/>
    </row>
    <row r="467" ht="14.25" customHeight="1">
      <c r="C467" s="19"/>
      <c r="D467" s="19"/>
      <c r="I467" s="12"/>
    </row>
    <row r="468" ht="14.25" customHeight="1">
      <c r="C468" s="19"/>
      <c r="D468" s="19"/>
      <c r="I468" s="12"/>
    </row>
    <row r="469" ht="14.25" customHeight="1">
      <c r="C469" s="19"/>
      <c r="D469" s="19"/>
      <c r="I469" s="12"/>
    </row>
    <row r="470" ht="14.25" customHeight="1">
      <c r="C470" s="19"/>
      <c r="D470" s="19"/>
      <c r="I470" s="12"/>
    </row>
    <row r="471" ht="14.25" customHeight="1">
      <c r="C471" s="19"/>
      <c r="D471" s="19"/>
      <c r="I471" s="12"/>
    </row>
    <row r="472" ht="14.25" customHeight="1">
      <c r="C472" s="19"/>
      <c r="D472" s="19"/>
      <c r="I472" s="12"/>
    </row>
    <row r="473" ht="14.25" customHeight="1">
      <c r="C473" s="19"/>
      <c r="D473" s="19"/>
      <c r="I473" s="12"/>
    </row>
    <row r="474" ht="14.25" customHeight="1">
      <c r="C474" s="19"/>
      <c r="D474" s="19"/>
      <c r="I474" s="12"/>
    </row>
    <row r="475" ht="14.25" customHeight="1">
      <c r="C475" s="19"/>
      <c r="D475" s="19"/>
      <c r="I475" s="12"/>
    </row>
    <row r="476" ht="14.25" customHeight="1">
      <c r="C476" s="19"/>
      <c r="D476" s="19"/>
      <c r="I476" s="12"/>
    </row>
    <row r="477" ht="14.25" customHeight="1">
      <c r="C477" s="19"/>
      <c r="D477" s="19"/>
      <c r="I477" s="12"/>
    </row>
    <row r="478" ht="14.25" customHeight="1">
      <c r="C478" s="19"/>
      <c r="D478" s="19"/>
      <c r="I478" s="12"/>
    </row>
    <row r="479" ht="14.25" customHeight="1">
      <c r="C479" s="19"/>
      <c r="D479" s="19"/>
      <c r="I479" s="12"/>
    </row>
    <row r="480" ht="14.25" customHeight="1">
      <c r="C480" s="19"/>
      <c r="D480" s="19"/>
      <c r="I480" s="12"/>
    </row>
    <row r="481" ht="14.25" customHeight="1">
      <c r="C481" s="19"/>
      <c r="D481" s="19"/>
      <c r="I481" s="12"/>
    </row>
    <row r="482" ht="14.25" customHeight="1">
      <c r="C482" s="19"/>
      <c r="D482" s="19"/>
      <c r="I482" s="12"/>
    </row>
    <row r="483" ht="14.25" customHeight="1">
      <c r="C483" s="19"/>
      <c r="D483" s="19"/>
      <c r="I483" s="12"/>
    </row>
    <row r="484" ht="14.25" customHeight="1">
      <c r="C484" s="19"/>
      <c r="D484" s="19"/>
      <c r="I484" s="12"/>
    </row>
    <row r="485" ht="14.25" customHeight="1">
      <c r="C485" s="19"/>
      <c r="D485" s="19"/>
      <c r="I485" s="12"/>
    </row>
    <row r="486" ht="14.25" customHeight="1">
      <c r="C486" s="19"/>
      <c r="D486" s="19"/>
      <c r="I486" s="12"/>
    </row>
    <row r="487" ht="14.25" customHeight="1">
      <c r="C487" s="19"/>
      <c r="D487" s="19"/>
      <c r="I487" s="12"/>
    </row>
    <row r="488" ht="14.25" customHeight="1">
      <c r="C488" s="19"/>
      <c r="D488" s="19"/>
      <c r="I488" s="12"/>
    </row>
    <row r="489" ht="14.25" customHeight="1">
      <c r="C489" s="19"/>
      <c r="D489" s="19"/>
      <c r="I489" s="12"/>
    </row>
    <row r="490" ht="14.25" customHeight="1">
      <c r="C490" s="19"/>
      <c r="D490" s="19"/>
      <c r="I490" s="12"/>
    </row>
    <row r="491" ht="14.25" customHeight="1">
      <c r="C491" s="19"/>
      <c r="D491" s="19"/>
      <c r="I491" s="12"/>
    </row>
    <row r="492" ht="14.25" customHeight="1">
      <c r="C492" s="19"/>
      <c r="D492" s="19"/>
      <c r="I492" s="12"/>
    </row>
    <row r="493" ht="14.25" customHeight="1">
      <c r="C493" s="19"/>
      <c r="D493" s="19"/>
      <c r="I493" s="12"/>
    </row>
    <row r="494" ht="14.25" customHeight="1">
      <c r="C494" s="19"/>
      <c r="D494" s="19"/>
      <c r="I494" s="12"/>
    </row>
    <row r="495" ht="14.25" customHeight="1">
      <c r="C495" s="19"/>
      <c r="D495" s="19"/>
      <c r="I495" s="12"/>
    </row>
    <row r="496" ht="14.25" customHeight="1">
      <c r="C496" s="19"/>
      <c r="D496" s="19"/>
      <c r="I496" s="12"/>
    </row>
    <row r="497" ht="14.25" customHeight="1">
      <c r="C497" s="19"/>
      <c r="D497" s="19"/>
      <c r="I497" s="12"/>
    </row>
    <row r="498" ht="14.25" customHeight="1">
      <c r="C498" s="19"/>
      <c r="D498" s="19"/>
      <c r="I498" s="12"/>
    </row>
    <row r="499" ht="14.25" customHeight="1">
      <c r="C499" s="19"/>
      <c r="D499" s="19"/>
      <c r="I499" s="12"/>
    </row>
    <row r="500" ht="14.25" customHeight="1">
      <c r="C500" s="19"/>
      <c r="D500" s="19"/>
      <c r="I500" s="12"/>
    </row>
    <row r="501" ht="14.25" customHeight="1">
      <c r="C501" s="19"/>
      <c r="D501" s="19"/>
      <c r="I501" s="12"/>
    </row>
    <row r="502" ht="14.25" customHeight="1">
      <c r="C502" s="19"/>
      <c r="D502" s="19"/>
      <c r="I502" s="12"/>
    </row>
    <row r="503" ht="14.25" customHeight="1">
      <c r="C503" s="19"/>
      <c r="D503" s="19"/>
      <c r="I503" s="12"/>
    </row>
    <row r="504" ht="14.25" customHeight="1">
      <c r="C504" s="19"/>
      <c r="D504" s="19"/>
      <c r="I504" s="12"/>
    </row>
    <row r="505" ht="14.25" customHeight="1">
      <c r="C505" s="19"/>
      <c r="D505" s="19"/>
      <c r="I505" s="12"/>
    </row>
    <row r="506" ht="14.25" customHeight="1">
      <c r="C506" s="19"/>
      <c r="D506" s="19"/>
      <c r="I506" s="12"/>
    </row>
    <row r="507" ht="14.25" customHeight="1">
      <c r="C507" s="19"/>
      <c r="D507" s="19"/>
      <c r="I507" s="12"/>
    </row>
    <row r="508" ht="14.25" customHeight="1">
      <c r="C508" s="19"/>
      <c r="D508" s="19"/>
      <c r="I508" s="12"/>
    </row>
    <row r="509" ht="14.25" customHeight="1">
      <c r="C509" s="19"/>
      <c r="D509" s="19"/>
      <c r="I509" s="12"/>
    </row>
    <row r="510" ht="14.25" customHeight="1">
      <c r="C510" s="19"/>
      <c r="D510" s="19"/>
      <c r="I510" s="12"/>
    </row>
    <row r="511" ht="14.25" customHeight="1">
      <c r="C511" s="19"/>
      <c r="D511" s="19"/>
      <c r="I511" s="12"/>
    </row>
    <row r="512" ht="14.25" customHeight="1">
      <c r="C512" s="19"/>
      <c r="D512" s="19"/>
      <c r="I512" s="12"/>
    </row>
    <row r="513" ht="14.25" customHeight="1">
      <c r="C513" s="19"/>
      <c r="D513" s="19"/>
      <c r="I513" s="12"/>
    </row>
    <row r="514" ht="14.25" customHeight="1">
      <c r="C514" s="19"/>
      <c r="D514" s="19"/>
      <c r="I514" s="12"/>
    </row>
    <row r="515" ht="14.25" customHeight="1">
      <c r="C515" s="19"/>
      <c r="D515" s="19"/>
      <c r="I515" s="12"/>
    </row>
    <row r="516" ht="14.25" customHeight="1">
      <c r="C516" s="19"/>
      <c r="D516" s="19"/>
      <c r="I516" s="12"/>
    </row>
    <row r="517" ht="14.25" customHeight="1">
      <c r="C517" s="19"/>
      <c r="D517" s="19"/>
      <c r="I517" s="12"/>
    </row>
    <row r="518" ht="14.25" customHeight="1">
      <c r="C518" s="19"/>
      <c r="D518" s="19"/>
      <c r="I518" s="12"/>
    </row>
    <row r="519" ht="14.25" customHeight="1">
      <c r="C519" s="19"/>
      <c r="D519" s="19"/>
      <c r="I519" s="12"/>
    </row>
    <row r="520" ht="14.25" customHeight="1">
      <c r="C520" s="19"/>
      <c r="D520" s="19"/>
      <c r="I520" s="12"/>
    </row>
    <row r="521" ht="14.25" customHeight="1">
      <c r="C521" s="19"/>
      <c r="D521" s="19"/>
      <c r="I521" s="12"/>
    </row>
    <row r="522" ht="14.25" customHeight="1">
      <c r="C522" s="19"/>
      <c r="D522" s="19"/>
      <c r="I522" s="12"/>
    </row>
    <row r="523" ht="14.25" customHeight="1">
      <c r="C523" s="19"/>
      <c r="D523" s="19"/>
      <c r="I523" s="12"/>
    </row>
    <row r="524" ht="14.25" customHeight="1">
      <c r="C524" s="19"/>
      <c r="D524" s="19"/>
      <c r="I524" s="12"/>
    </row>
    <row r="525" ht="14.25" customHeight="1">
      <c r="C525" s="19"/>
      <c r="D525" s="19"/>
      <c r="I525" s="12"/>
    </row>
    <row r="526" ht="14.25" customHeight="1">
      <c r="C526" s="19"/>
      <c r="D526" s="19"/>
      <c r="I526" s="12"/>
    </row>
    <row r="527" ht="14.25" customHeight="1">
      <c r="C527" s="19"/>
      <c r="D527" s="19"/>
      <c r="I527" s="12"/>
    </row>
    <row r="528" ht="14.25" customHeight="1">
      <c r="C528" s="19"/>
      <c r="D528" s="19"/>
      <c r="I528" s="12"/>
    </row>
    <row r="529" ht="14.25" customHeight="1">
      <c r="C529" s="19"/>
      <c r="D529" s="19"/>
      <c r="I529" s="12"/>
    </row>
    <row r="530" ht="14.25" customHeight="1">
      <c r="C530" s="19"/>
      <c r="D530" s="19"/>
      <c r="I530" s="12"/>
    </row>
    <row r="531" ht="14.25" customHeight="1">
      <c r="C531" s="19"/>
      <c r="D531" s="19"/>
      <c r="I531" s="12"/>
    </row>
    <row r="532" ht="14.25" customHeight="1">
      <c r="C532" s="19"/>
      <c r="D532" s="19"/>
      <c r="I532" s="12"/>
    </row>
    <row r="533" ht="14.25" customHeight="1">
      <c r="C533" s="19"/>
      <c r="D533" s="19"/>
      <c r="I533" s="12"/>
    </row>
    <row r="534" ht="14.25" customHeight="1">
      <c r="C534" s="19"/>
      <c r="D534" s="19"/>
      <c r="I534" s="12"/>
    </row>
    <row r="535" ht="14.25" customHeight="1">
      <c r="C535" s="19"/>
      <c r="D535" s="19"/>
      <c r="I535" s="12"/>
    </row>
    <row r="536" ht="14.25" customHeight="1">
      <c r="C536" s="19"/>
      <c r="D536" s="19"/>
      <c r="I536" s="12"/>
    </row>
    <row r="537" ht="14.25" customHeight="1">
      <c r="C537" s="19"/>
      <c r="D537" s="19"/>
      <c r="I537" s="12"/>
    </row>
    <row r="538" ht="14.25" customHeight="1">
      <c r="C538" s="19"/>
      <c r="D538" s="19"/>
      <c r="I538" s="12"/>
    </row>
    <row r="539" ht="14.25" customHeight="1">
      <c r="C539" s="19"/>
      <c r="D539" s="19"/>
      <c r="I539" s="12"/>
    </row>
    <row r="540" ht="14.25" customHeight="1">
      <c r="C540" s="19"/>
      <c r="D540" s="19"/>
      <c r="I540" s="12"/>
    </row>
    <row r="541" ht="14.25" customHeight="1">
      <c r="C541" s="19"/>
      <c r="D541" s="19"/>
      <c r="I541" s="12"/>
    </row>
    <row r="542" ht="14.25" customHeight="1">
      <c r="C542" s="19"/>
      <c r="D542" s="19"/>
      <c r="I542" s="12"/>
    </row>
    <row r="543" ht="14.25" customHeight="1">
      <c r="C543" s="19"/>
      <c r="D543" s="19"/>
      <c r="I543" s="12"/>
    </row>
    <row r="544" ht="14.25" customHeight="1">
      <c r="C544" s="19"/>
      <c r="D544" s="19"/>
      <c r="I544" s="12"/>
    </row>
    <row r="545" ht="14.25" customHeight="1">
      <c r="C545" s="19"/>
      <c r="D545" s="19"/>
      <c r="I545" s="12"/>
    </row>
    <row r="546" ht="14.25" customHeight="1">
      <c r="C546" s="19"/>
      <c r="D546" s="19"/>
      <c r="I546" s="12"/>
    </row>
    <row r="547" ht="14.25" customHeight="1">
      <c r="C547" s="19"/>
      <c r="D547" s="19"/>
      <c r="I547" s="12"/>
    </row>
    <row r="548" ht="14.25" customHeight="1">
      <c r="C548" s="19"/>
      <c r="D548" s="19"/>
      <c r="I548" s="12"/>
    </row>
    <row r="549" ht="14.25" customHeight="1">
      <c r="C549" s="19"/>
      <c r="D549" s="19"/>
      <c r="I549" s="12"/>
    </row>
    <row r="550" ht="14.25" customHeight="1">
      <c r="C550" s="19"/>
      <c r="D550" s="19"/>
      <c r="I550" s="12"/>
    </row>
    <row r="551" ht="14.25" customHeight="1">
      <c r="C551" s="19"/>
      <c r="D551" s="19"/>
      <c r="I551" s="12"/>
    </row>
    <row r="552" ht="14.25" customHeight="1">
      <c r="C552" s="19"/>
      <c r="D552" s="19"/>
      <c r="I552" s="12"/>
    </row>
    <row r="553" ht="14.25" customHeight="1">
      <c r="C553" s="19"/>
      <c r="D553" s="19"/>
      <c r="I553" s="12"/>
    </row>
    <row r="554" ht="14.25" customHeight="1">
      <c r="C554" s="19"/>
      <c r="D554" s="19"/>
      <c r="I554" s="12"/>
    </row>
    <row r="555" ht="14.25" customHeight="1">
      <c r="C555" s="19"/>
      <c r="D555" s="19"/>
      <c r="I555" s="12"/>
    </row>
    <row r="556" ht="14.25" customHeight="1">
      <c r="C556" s="19"/>
      <c r="D556" s="19"/>
      <c r="I556" s="12"/>
    </row>
    <row r="557" ht="14.25" customHeight="1">
      <c r="C557" s="19"/>
      <c r="D557" s="19"/>
      <c r="I557" s="12"/>
    </row>
    <row r="558" ht="14.25" customHeight="1">
      <c r="C558" s="19"/>
      <c r="D558" s="19"/>
      <c r="I558" s="12"/>
    </row>
    <row r="559" ht="14.25" customHeight="1">
      <c r="C559" s="19"/>
      <c r="D559" s="19"/>
      <c r="I559" s="12"/>
    </row>
    <row r="560" ht="14.25" customHeight="1">
      <c r="C560" s="19"/>
      <c r="D560" s="19"/>
      <c r="I560" s="12"/>
    </row>
    <row r="561" ht="14.25" customHeight="1">
      <c r="C561" s="19"/>
      <c r="D561" s="19"/>
      <c r="I561" s="12"/>
    </row>
    <row r="562" ht="14.25" customHeight="1">
      <c r="C562" s="19"/>
      <c r="D562" s="19"/>
      <c r="I562" s="12"/>
    </row>
    <row r="563" ht="14.25" customHeight="1">
      <c r="C563" s="19"/>
      <c r="D563" s="19"/>
      <c r="I563" s="12"/>
    </row>
    <row r="564" ht="14.25" customHeight="1">
      <c r="C564" s="19"/>
      <c r="D564" s="19"/>
      <c r="I564" s="12"/>
    </row>
    <row r="565" ht="14.25" customHeight="1">
      <c r="C565" s="19"/>
      <c r="D565" s="19"/>
      <c r="I565" s="12"/>
    </row>
    <row r="566" ht="14.25" customHeight="1">
      <c r="C566" s="19"/>
      <c r="D566" s="19"/>
      <c r="I566" s="12"/>
    </row>
    <row r="567" ht="14.25" customHeight="1">
      <c r="C567" s="19"/>
      <c r="D567" s="19"/>
      <c r="I567" s="12"/>
    </row>
    <row r="568" ht="14.25" customHeight="1">
      <c r="C568" s="19"/>
      <c r="D568" s="19"/>
      <c r="I568" s="12"/>
    </row>
    <row r="569" ht="14.25" customHeight="1">
      <c r="C569" s="19"/>
      <c r="D569" s="19"/>
      <c r="I569" s="12"/>
    </row>
    <row r="570" ht="14.25" customHeight="1">
      <c r="C570" s="19"/>
      <c r="D570" s="19"/>
      <c r="I570" s="12"/>
    </row>
    <row r="571" ht="14.25" customHeight="1">
      <c r="C571" s="19"/>
      <c r="D571" s="19"/>
      <c r="I571" s="12"/>
    </row>
    <row r="572" ht="14.25" customHeight="1">
      <c r="C572" s="19"/>
      <c r="D572" s="19"/>
      <c r="I572" s="12"/>
    </row>
    <row r="573" ht="14.25" customHeight="1">
      <c r="C573" s="19"/>
      <c r="D573" s="19"/>
      <c r="I573" s="12"/>
    </row>
    <row r="574" ht="14.25" customHeight="1">
      <c r="C574" s="19"/>
      <c r="D574" s="19"/>
      <c r="I574" s="12"/>
    </row>
    <row r="575" ht="14.25" customHeight="1">
      <c r="C575" s="19"/>
      <c r="D575" s="19"/>
      <c r="I575" s="12"/>
    </row>
    <row r="576" ht="14.25" customHeight="1">
      <c r="C576" s="19"/>
      <c r="D576" s="19"/>
      <c r="I576" s="12"/>
    </row>
    <row r="577" ht="14.25" customHeight="1">
      <c r="C577" s="19"/>
      <c r="D577" s="19"/>
      <c r="I577" s="12"/>
    </row>
    <row r="578" ht="14.25" customHeight="1">
      <c r="C578" s="19"/>
      <c r="D578" s="19"/>
      <c r="I578" s="12"/>
    </row>
    <row r="579" ht="14.25" customHeight="1">
      <c r="C579" s="19"/>
      <c r="D579" s="19"/>
      <c r="I579" s="12"/>
    </row>
    <row r="580" ht="14.25" customHeight="1">
      <c r="C580" s="19"/>
      <c r="D580" s="19"/>
      <c r="I580" s="12"/>
    </row>
    <row r="581" ht="14.25" customHeight="1">
      <c r="C581" s="19"/>
      <c r="D581" s="19"/>
      <c r="I581" s="12"/>
    </row>
    <row r="582" ht="14.25" customHeight="1">
      <c r="C582" s="19"/>
      <c r="D582" s="19"/>
      <c r="I582" s="12"/>
    </row>
    <row r="583" ht="14.25" customHeight="1">
      <c r="C583" s="19"/>
      <c r="D583" s="19"/>
      <c r="I583" s="12"/>
    </row>
    <row r="584" ht="14.25" customHeight="1">
      <c r="C584" s="19"/>
      <c r="D584" s="19"/>
      <c r="I584" s="12"/>
    </row>
    <row r="585" ht="14.25" customHeight="1">
      <c r="C585" s="19"/>
      <c r="D585" s="19"/>
      <c r="I585" s="12"/>
    </row>
    <row r="586" ht="14.25" customHeight="1">
      <c r="C586" s="19"/>
      <c r="D586" s="19"/>
      <c r="I586" s="12"/>
    </row>
    <row r="587" ht="14.25" customHeight="1">
      <c r="C587" s="19"/>
      <c r="D587" s="19"/>
      <c r="I587" s="12"/>
    </row>
    <row r="588" ht="14.25" customHeight="1">
      <c r="C588" s="19"/>
      <c r="D588" s="19"/>
      <c r="I588" s="12"/>
    </row>
    <row r="589" ht="14.25" customHeight="1">
      <c r="C589" s="19"/>
      <c r="D589" s="19"/>
      <c r="I589" s="12"/>
    </row>
    <row r="590" ht="14.25" customHeight="1">
      <c r="C590" s="19"/>
      <c r="D590" s="19"/>
      <c r="I590" s="12"/>
    </row>
    <row r="591" ht="14.25" customHeight="1">
      <c r="C591" s="19"/>
      <c r="D591" s="19"/>
      <c r="I591" s="12"/>
    </row>
    <row r="592" ht="14.25" customHeight="1">
      <c r="C592" s="19"/>
      <c r="D592" s="19"/>
      <c r="I592" s="12"/>
    </row>
    <row r="593" ht="14.25" customHeight="1">
      <c r="C593" s="19"/>
      <c r="D593" s="19"/>
      <c r="I593" s="12"/>
    </row>
    <row r="594" ht="14.25" customHeight="1">
      <c r="C594" s="19"/>
      <c r="D594" s="19"/>
      <c r="I594" s="12"/>
    </row>
    <row r="595" ht="14.25" customHeight="1">
      <c r="C595" s="19"/>
      <c r="D595" s="19"/>
      <c r="I595" s="12"/>
    </row>
    <row r="596" ht="14.25" customHeight="1">
      <c r="C596" s="19"/>
      <c r="D596" s="19"/>
      <c r="I596" s="12"/>
    </row>
    <row r="597" ht="14.25" customHeight="1">
      <c r="C597" s="19"/>
      <c r="D597" s="19"/>
      <c r="I597" s="12"/>
    </row>
    <row r="598" ht="14.25" customHeight="1">
      <c r="C598" s="19"/>
      <c r="D598" s="19"/>
      <c r="I598" s="12"/>
    </row>
    <row r="599" ht="14.25" customHeight="1">
      <c r="C599" s="19"/>
      <c r="D599" s="19"/>
      <c r="I599" s="12"/>
    </row>
    <row r="600" ht="14.25" customHeight="1">
      <c r="C600" s="19"/>
      <c r="D600" s="19"/>
      <c r="I600" s="12"/>
    </row>
    <row r="601" ht="14.25" customHeight="1">
      <c r="C601" s="19"/>
      <c r="D601" s="19"/>
      <c r="I601" s="12"/>
    </row>
    <row r="602" ht="14.25" customHeight="1">
      <c r="C602" s="19"/>
      <c r="D602" s="19"/>
      <c r="I602" s="12"/>
    </row>
    <row r="603" ht="14.25" customHeight="1">
      <c r="C603" s="19"/>
      <c r="D603" s="19"/>
      <c r="I603" s="12"/>
    </row>
    <row r="604" ht="14.25" customHeight="1">
      <c r="C604" s="19"/>
      <c r="D604" s="19"/>
      <c r="I604" s="12"/>
    </row>
    <row r="605" ht="14.25" customHeight="1">
      <c r="C605" s="19"/>
      <c r="D605" s="19"/>
      <c r="I605" s="12"/>
    </row>
    <row r="606" ht="14.25" customHeight="1">
      <c r="C606" s="19"/>
      <c r="D606" s="19"/>
      <c r="I606" s="12"/>
    </row>
    <row r="607" ht="14.25" customHeight="1">
      <c r="C607" s="19"/>
      <c r="D607" s="19"/>
      <c r="I607" s="12"/>
    </row>
    <row r="608" ht="14.25" customHeight="1">
      <c r="C608" s="19"/>
      <c r="D608" s="19"/>
      <c r="I608" s="12"/>
    </row>
    <row r="609" ht="14.25" customHeight="1">
      <c r="C609" s="19"/>
      <c r="D609" s="19"/>
      <c r="I609" s="12"/>
    </row>
    <row r="610" ht="14.25" customHeight="1">
      <c r="C610" s="19"/>
      <c r="D610" s="19"/>
      <c r="I610" s="12"/>
    </row>
    <row r="611" ht="14.25" customHeight="1">
      <c r="C611" s="19"/>
      <c r="D611" s="19"/>
      <c r="I611" s="12"/>
    </row>
    <row r="612" ht="14.25" customHeight="1">
      <c r="C612" s="19"/>
      <c r="D612" s="19"/>
      <c r="I612" s="12"/>
    </row>
    <row r="613" ht="14.25" customHeight="1">
      <c r="C613" s="19"/>
      <c r="D613" s="19"/>
      <c r="I613" s="12"/>
    </row>
    <row r="614" ht="14.25" customHeight="1">
      <c r="C614" s="19"/>
      <c r="D614" s="19"/>
      <c r="I614" s="12"/>
    </row>
    <row r="615" ht="14.25" customHeight="1">
      <c r="C615" s="19"/>
      <c r="D615" s="19"/>
      <c r="I615" s="12"/>
    </row>
    <row r="616" ht="14.25" customHeight="1">
      <c r="C616" s="19"/>
      <c r="D616" s="19"/>
      <c r="I616" s="12"/>
    </row>
    <row r="617" ht="14.25" customHeight="1">
      <c r="C617" s="19"/>
      <c r="D617" s="19"/>
      <c r="I617" s="12"/>
    </row>
    <row r="618" ht="14.25" customHeight="1">
      <c r="C618" s="19"/>
      <c r="D618" s="19"/>
      <c r="I618" s="12"/>
    </row>
    <row r="619" ht="14.25" customHeight="1">
      <c r="C619" s="19"/>
      <c r="D619" s="19"/>
      <c r="I619" s="12"/>
    </row>
    <row r="620" ht="14.25" customHeight="1">
      <c r="C620" s="19"/>
      <c r="D620" s="19"/>
      <c r="I620" s="12"/>
    </row>
    <row r="621" ht="14.25" customHeight="1">
      <c r="C621" s="19"/>
      <c r="D621" s="19"/>
      <c r="I621" s="12"/>
    </row>
    <row r="622" ht="14.25" customHeight="1">
      <c r="C622" s="19"/>
      <c r="D622" s="19"/>
      <c r="I622" s="12"/>
    </row>
    <row r="623" ht="14.25" customHeight="1">
      <c r="C623" s="19"/>
      <c r="D623" s="19"/>
      <c r="I623" s="12"/>
    </row>
    <row r="624" ht="14.25" customHeight="1">
      <c r="C624" s="19"/>
      <c r="D624" s="19"/>
      <c r="I624" s="12"/>
    </row>
    <row r="625" ht="14.25" customHeight="1">
      <c r="C625" s="19"/>
      <c r="D625" s="19"/>
      <c r="I625" s="12"/>
    </row>
    <row r="626" ht="14.25" customHeight="1">
      <c r="C626" s="19"/>
      <c r="D626" s="19"/>
      <c r="I626" s="12"/>
    </row>
    <row r="627" ht="14.25" customHeight="1">
      <c r="C627" s="19"/>
      <c r="D627" s="19"/>
      <c r="I627" s="12"/>
    </row>
    <row r="628" ht="14.25" customHeight="1">
      <c r="C628" s="19"/>
      <c r="D628" s="19"/>
      <c r="I628" s="12"/>
    </row>
    <row r="629" ht="14.25" customHeight="1">
      <c r="C629" s="19"/>
      <c r="D629" s="19"/>
      <c r="I629" s="12"/>
    </row>
    <row r="630" ht="14.25" customHeight="1">
      <c r="C630" s="19"/>
      <c r="D630" s="19"/>
      <c r="I630" s="12"/>
    </row>
    <row r="631" ht="14.25" customHeight="1">
      <c r="C631" s="19"/>
      <c r="D631" s="19"/>
      <c r="I631" s="12"/>
    </row>
    <row r="632" ht="14.25" customHeight="1">
      <c r="C632" s="19"/>
      <c r="D632" s="19"/>
      <c r="I632" s="12"/>
    </row>
    <row r="633" ht="14.25" customHeight="1">
      <c r="C633" s="19"/>
      <c r="D633" s="19"/>
      <c r="I633" s="12"/>
    </row>
    <row r="634" ht="14.25" customHeight="1">
      <c r="C634" s="19"/>
      <c r="D634" s="19"/>
      <c r="I634" s="12"/>
    </row>
    <row r="635" ht="14.25" customHeight="1">
      <c r="C635" s="19"/>
      <c r="D635" s="19"/>
      <c r="I635" s="12"/>
    </row>
    <row r="636" ht="14.25" customHeight="1">
      <c r="C636" s="19"/>
      <c r="D636" s="19"/>
      <c r="I636" s="12"/>
    </row>
    <row r="637" ht="14.25" customHeight="1">
      <c r="C637" s="19"/>
      <c r="D637" s="19"/>
      <c r="I637" s="12"/>
    </row>
    <row r="638" ht="14.25" customHeight="1">
      <c r="C638" s="19"/>
      <c r="D638" s="19"/>
      <c r="I638" s="12"/>
    </row>
    <row r="639" ht="14.25" customHeight="1">
      <c r="C639" s="19"/>
      <c r="D639" s="19"/>
      <c r="I639" s="12"/>
    </row>
    <row r="640" ht="14.25" customHeight="1">
      <c r="C640" s="19"/>
      <c r="D640" s="19"/>
      <c r="I640" s="12"/>
    </row>
    <row r="641" ht="14.25" customHeight="1">
      <c r="C641" s="19"/>
      <c r="D641" s="19"/>
      <c r="I641" s="12"/>
    </row>
    <row r="642" ht="14.25" customHeight="1">
      <c r="C642" s="19"/>
      <c r="D642" s="19"/>
      <c r="I642" s="12"/>
    </row>
    <row r="643" ht="14.25" customHeight="1">
      <c r="C643" s="19"/>
      <c r="D643" s="19"/>
      <c r="I643" s="12"/>
    </row>
    <row r="644" ht="14.25" customHeight="1">
      <c r="C644" s="19"/>
      <c r="D644" s="19"/>
      <c r="I644" s="12"/>
    </row>
    <row r="645" ht="14.25" customHeight="1">
      <c r="C645" s="19"/>
      <c r="D645" s="19"/>
      <c r="I645" s="12"/>
    </row>
    <row r="646" ht="14.25" customHeight="1">
      <c r="C646" s="19"/>
      <c r="D646" s="19"/>
      <c r="I646" s="12"/>
    </row>
    <row r="647" ht="14.25" customHeight="1">
      <c r="C647" s="19"/>
      <c r="D647" s="19"/>
      <c r="I647" s="12"/>
    </row>
    <row r="648" ht="14.25" customHeight="1">
      <c r="C648" s="19"/>
      <c r="D648" s="19"/>
      <c r="I648" s="12"/>
    </row>
    <row r="649" ht="14.25" customHeight="1">
      <c r="C649" s="19"/>
      <c r="D649" s="19"/>
      <c r="I649" s="12"/>
    </row>
    <row r="650" ht="14.25" customHeight="1">
      <c r="C650" s="19"/>
      <c r="D650" s="19"/>
      <c r="I650" s="12"/>
    </row>
    <row r="651" ht="14.25" customHeight="1">
      <c r="C651" s="19"/>
      <c r="D651" s="19"/>
      <c r="I651" s="12"/>
    </row>
    <row r="652" ht="14.25" customHeight="1">
      <c r="C652" s="19"/>
      <c r="D652" s="19"/>
      <c r="I652" s="12"/>
    </row>
    <row r="653" ht="14.25" customHeight="1">
      <c r="C653" s="19"/>
      <c r="D653" s="19"/>
      <c r="I653" s="12"/>
    </row>
    <row r="654" ht="14.25" customHeight="1">
      <c r="C654" s="19"/>
      <c r="D654" s="19"/>
      <c r="I654" s="12"/>
    </row>
    <row r="655" ht="14.25" customHeight="1">
      <c r="C655" s="19"/>
      <c r="D655" s="19"/>
      <c r="I655" s="12"/>
    </row>
    <row r="656" ht="14.25" customHeight="1">
      <c r="C656" s="19"/>
      <c r="D656" s="19"/>
      <c r="I656" s="12"/>
    </row>
    <row r="657" ht="14.25" customHeight="1">
      <c r="C657" s="19"/>
      <c r="D657" s="19"/>
      <c r="I657" s="12"/>
    </row>
    <row r="658" ht="14.25" customHeight="1">
      <c r="C658" s="19"/>
      <c r="D658" s="19"/>
      <c r="I658" s="12"/>
    </row>
    <row r="659" ht="14.25" customHeight="1">
      <c r="C659" s="19"/>
      <c r="D659" s="19"/>
      <c r="I659" s="12"/>
    </row>
    <row r="660" ht="14.25" customHeight="1">
      <c r="C660" s="19"/>
      <c r="D660" s="19"/>
      <c r="I660" s="12"/>
    </row>
    <row r="661" ht="14.25" customHeight="1">
      <c r="C661" s="19"/>
      <c r="D661" s="19"/>
      <c r="I661" s="12"/>
    </row>
    <row r="662" ht="14.25" customHeight="1">
      <c r="C662" s="19"/>
      <c r="D662" s="19"/>
      <c r="I662" s="12"/>
    </row>
    <row r="663" ht="14.25" customHeight="1">
      <c r="C663" s="19"/>
      <c r="D663" s="19"/>
      <c r="I663" s="12"/>
    </row>
    <row r="664" ht="14.25" customHeight="1">
      <c r="C664" s="19"/>
      <c r="D664" s="19"/>
      <c r="I664" s="12"/>
    </row>
    <row r="665" ht="14.25" customHeight="1">
      <c r="C665" s="19"/>
      <c r="D665" s="19"/>
      <c r="I665" s="12"/>
    </row>
    <row r="666" ht="14.25" customHeight="1">
      <c r="C666" s="19"/>
      <c r="D666" s="19"/>
      <c r="I666" s="12"/>
    </row>
    <row r="667" ht="14.25" customHeight="1">
      <c r="C667" s="19"/>
      <c r="D667" s="19"/>
      <c r="I667" s="12"/>
    </row>
    <row r="668" ht="14.25" customHeight="1">
      <c r="C668" s="19"/>
      <c r="D668" s="19"/>
      <c r="I668" s="12"/>
    </row>
    <row r="669" ht="14.25" customHeight="1">
      <c r="C669" s="19"/>
      <c r="D669" s="19"/>
      <c r="I669" s="12"/>
    </row>
    <row r="670" ht="14.25" customHeight="1">
      <c r="C670" s="19"/>
      <c r="D670" s="19"/>
      <c r="I670" s="12"/>
    </row>
    <row r="671" ht="14.25" customHeight="1">
      <c r="C671" s="19"/>
      <c r="D671" s="19"/>
      <c r="I671" s="12"/>
    </row>
    <row r="672" ht="14.25" customHeight="1">
      <c r="C672" s="19"/>
      <c r="D672" s="19"/>
      <c r="I672" s="12"/>
    </row>
    <row r="673" ht="14.25" customHeight="1">
      <c r="C673" s="19"/>
      <c r="D673" s="19"/>
      <c r="I673" s="12"/>
    </row>
    <row r="674" ht="14.25" customHeight="1">
      <c r="C674" s="19"/>
      <c r="D674" s="19"/>
      <c r="I674" s="12"/>
    </row>
    <row r="675" ht="14.25" customHeight="1">
      <c r="C675" s="19"/>
      <c r="D675" s="19"/>
      <c r="I675" s="12"/>
    </row>
    <row r="676" ht="14.25" customHeight="1">
      <c r="C676" s="19"/>
      <c r="D676" s="19"/>
      <c r="I676" s="12"/>
    </row>
    <row r="677" ht="14.25" customHeight="1">
      <c r="C677" s="19"/>
      <c r="D677" s="19"/>
      <c r="I677" s="12"/>
    </row>
    <row r="678" ht="14.25" customHeight="1">
      <c r="C678" s="19"/>
      <c r="D678" s="19"/>
      <c r="I678" s="12"/>
    </row>
    <row r="679" ht="14.25" customHeight="1">
      <c r="C679" s="19"/>
      <c r="D679" s="19"/>
      <c r="I679" s="12"/>
    </row>
    <row r="680" ht="14.25" customHeight="1">
      <c r="C680" s="19"/>
      <c r="D680" s="19"/>
      <c r="I680" s="12"/>
    </row>
    <row r="681" ht="14.25" customHeight="1">
      <c r="C681" s="19"/>
      <c r="D681" s="19"/>
      <c r="I681" s="12"/>
    </row>
    <row r="682" ht="14.25" customHeight="1">
      <c r="C682" s="19"/>
      <c r="D682" s="19"/>
      <c r="I682" s="12"/>
    </row>
    <row r="683" ht="14.25" customHeight="1">
      <c r="C683" s="19"/>
      <c r="D683" s="19"/>
      <c r="I683" s="12"/>
    </row>
    <row r="684" ht="14.25" customHeight="1">
      <c r="C684" s="19"/>
      <c r="D684" s="19"/>
      <c r="I684" s="12"/>
    </row>
    <row r="685" ht="14.25" customHeight="1">
      <c r="C685" s="19"/>
      <c r="D685" s="19"/>
      <c r="I685" s="12"/>
    </row>
    <row r="686" ht="14.25" customHeight="1">
      <c r="C686" s="19"/>
      <c r="D686" s="19"/>
      <c r="I686" s="12"/>
    </row>
    <row r="687" ht="14.25" customHeight="1">
      <c r="C687" s="19"/>
      <c r="D687" s="19"/>
      <c r="I687" s="12"/>
    </row>
    <row r="688" ht="14.25" customHeight="1">
      <c r="C688" s="19"/>
      <c r="D688" s="19"/>
      <c r="I688" s="12"/>
    </row>
    <row r="689" ht="14.25" customHeight="1">
      <c r="C689" s="19"/>
      <c r="D689" s="19"/>
      <c r="I689" s="12"/>
    </row>
    <row r="690" ht="14.25" customHeight="1">
      <c r="C690" s="19"/>
      <c r="D690" s="19"/>
      <c r="I690" s="12"/>
    </row>
    <row r="691" ht="14.25" customHeight="1">
      <c r="C691" s="19"/>
      <c r="D691" s="19"/>
      <c r="I691" s="12"/>
    </row>
    <row r="692" ht="14.25" customHeight="1">
      <c r="C692" s="19"/>
      <c r="D692" s="19"/>
      <c r="I692" s="12"/>
    </row>
    <row r="693" ht="14.25" customHeight="1">
      <c r="C693" s="19"/>
      <c r="D693" s="19"/>
      <c r="I693" s="12"/>
    </row>
    <row r="694" ht="14.25" customHeight="1">
      <c r="C694" s="19"/>
      <c r="D694" s="19"/>
      <c r="I694" s="12"/>
    </row>
    <row r="695" ht="14.25" customHeight="1">
      <c r="C695" s="19"/>
      <c r="D695" s="19"/>
      <c r="I695" s="12"/>
    </row>
    <row r="696" ht="14.25" customHeight="1">
      <c r="C696" s="19"/>
      <c r="D696" s="19"/>
      <c r="I696" s="12"/>
    </row>
    <row r="697" ht="14.25" customHeight="1">
      <c r="C697" s="19"/>
      <c r="D697" s="19"/>
      <c r="I697" s="12"/>
    </row>
    <row r="698" ht="14.25" customHeight="1">
      <c r="C698" s="19"/>
      <c r="D698" s="19"/>
      <c r="I698" s="12"/>
    </row>
    <row r="699" ht="14.25" customHeight="1">
      <c r="C699" s="19"/>
      <c r="D699" s="19"/>
      <c r="I699" s="12"/>
    </row>
    <row r="700" ht="14.25" customHeight="1">
      <c r="C700" s="19"/>
      <c r="D700" s="19"/>
      <c r="I700" s="12"/>
    </row>
    <row r="701" ht="14.25" customHeight="1">
      <c r="C701" s="19"/>
      <c r="D701" s="19"/>
      <c r="I701" s="12"/>
    </row>
    <row r="702" ht="14.25" customHeight="1">
      <c r="C702" s="19"/>
      <c r="D702" s="19"/>
      <c r="I702" s="12"/>
    </row>
    <row r="703" ht="14.25" customHeight="1">
      <c r="C703" s="19"/>
      <c r="D703" s="19"/>
      <c r="I703" s="12"/>
    </row>
    <row r="704" ht="14.25" customHeight="1">
      <c r="C704" s="19"/>
      <c r="D704" s="19"/>
      <c r="I704" s="12"/>
    </row>
    <row r="705" ht="14.25" customHeight="1">
      <c r="C705" s="19"/>
      <c r="D705" s="19"/>
      <c r="I705" s="12"/>
    </row>
    <row r="706" ht="14.25" customHeight="1">
      <c r="C706" s="19"/>
      <c r="D706" s="19"/>
      <c r="I706" s="12"/>
    </row>
    <row r="707" ht="14.25" customHeight="1">
      <c r="C707" s="19"/>
      <c r="D707" s="19"/>
      <c r="I707" s="12"/>
    </row>
    <row r="708" ht="14.25" customHeight="1">
      <c r="C708" s="19"/>
      <c r="D708" s="19"/>
      <c r="I708" s="12"/>
    </row>
    <row r="709" ht="14.25" customHeight="1">
      <c r="C709" s="19"/>
      <c r="D709" s="19"/>
      <c r="I709" s="12"/>
    </row>
    <row r="710" ht="14.25" customHeight="1">
      <c r="C710" s="19"/>
      <c r="D710" s="19"/>
      <c r="I710" s="12"/>
    </row>
    <row r="711" ht="14.25" customHeight="1">
      <c r="C711" s="19"/>
      <c r="D711" s="19"/>
      <c r="I711" s="12"/>
    </row>
    <row r="712" ht="14.25" customHeight="1">
      <c r="C712" s="19"/>
      <c r="D712" s="19"/>
      <c r="I712" s="12"/>
    </row>
    <row r="713" ht="14.25" customHeight="1">
      <c r="C713" s="19"/>
      <c r="D713" s="19"/>
      <c r="I713" s="12"/>
    </row>
    <row r="714" ht="14.25" customHeight="1">
      <c r="C714" s="19"/>
      <c r="D714" s="19"/>
      <c r="I714" s="12"/>
    </row>
    <row r="715" ht="14.25" customHeight="1">
      <c r="C715" s="19"/>
      <c r="D715" s="19"/>
      <c r="I715" s="12"/>
    </row>
    <row r="716" ht="14.25" customHeight="1">
      <c r="C716" s="19"/>
      <c r="D716" s="19"/>
      <c r="I716" s="12"/>
    </row>
    <row r="717" ht="14.25" customHeight="1">
      <c r="C717" s="19"/>
      <c r="D717" s="19"/>
      <c r="I717" s="12"/>
    </row>
    <row r="718" ht="14.25" customHeight="1">
      <c r="C718" s="19"/>
      <c r="D718" s="19"/>
      <c r="I718" s="12"/>
    </row>
    <row r="719" ht="14.25" customHeight="1">
      <c r="C719" s="19"/>
      <c r="D719" s="19"/>
      <c r="I719" s="12"/>
    </row>
    <row r="720" ht="14.25" customHeight="1">
      <c r="C720" s="19"/>
      <c r="D720" s="19"/>
      <c r="I720" s="12"/>
    </row>
    <row r="721" ht="14.25" customHeight="1">
      <c r="C721" s="19"/>
      <c r="D721" s="19"/>
      <c r="I721" s="12"/>
    </row>
    <row r="722" ht="14.25" customHeight="1">
      <c r="C722" s="19"/>
      <c r="D722" s="19"/>
      <c r="I722" s="12"/>
    </row>
    <row r="723" ht="14.25" customHeight="1">
      <c r="C723" s="19"/>
      <c r="D723" s="19"/>
      <c r="I723" s="12"/>
    </row>
    <row r="724" ht="14.25" customHeight="1">
      <c r="C724" s="19"/>
      <c r="D724" s="19"/>
      <c r="I724" s="12"/>
    </row>
    <row r="725" ht="14.25" customHeight="1">
      <c r="C725" s="19"/>
      <c r="D725" s="19"/>
      <c r="I725" s="12"/>
    </row>
    <row r="726" ht="14.25" customHeight="1">
      <c r="C726" s="19"/>
      <c r="D726" s="19"/>
      <c r="I726" s="12"/>
    </row>
    <row r="727" ht="14.25" customHeight="1">
      <c r="C727" s="19"/>
      <c r="D727" s="19"/>
      <c r="I727" s="12"/>
    </row>
    <row r="728" ht="14.25" customHeight="1">
      <c r="C728" s="19"/>
      <c r="D728" s="19"/>
      <c r="I728" s="12"/>
    </row>
    <row r="729" ht="14.25" customHeight="1">
      <c r="C729" s="19"/>
      <c r="D729" s="19"/>
      <c r="I729" s="12"/>
    </row>
    <row r="730" ht="14.25" customHeight="1">
      <c r="C730" s="19"/>
      <c r="D730" s="19"/>
      <c r="I730" s="12"/>
    </row>
    <row r="731" ht="14.25" customHeight="1">
      <c r="C731" s="19"/>
      <c r="D731" s="19"/>
      <c r="I731" s="12"/>
    </row>
    <row r="732" ht="14.25" customHeight="1">
      <c r="C732" s="19"/>
      <c r="D732" s="19"/>
      <c r="I732" s="12"/>
    </row>
    <row r="733" ht="14.25" customHeight="1">
      <c r="C733" s="19"/>
      <c r="D733" s="19"/>
      <c r="I733" s="12"/>
    </row>
    <row r="734" ht="14.25" customHeight="1">
      <c r="C734" s="19"/>
      <c r="D734" s="19"/>
      <c r="I734" s="12"/>
    </row>
    <row r="735" ht="14.25" customHeight="1">
      <c r="C735" s="19"/>
      <c r="D735" s="19"/>
      <c r="I735" s="12"/>
    </row>
    <row r="736" ht="14.25" customHeight="1">
      <c r="C736" s="19"/>
      <c r="D736" s="19"/>
      <c r="I736" s="12"/>
    </row>
    <row r="737" ht="14.25" customHeight="1">
      <c r="C737" s="19"/>
      <c r="D737" s="19"/>
      <c r="I737" s="12"/>
    </row>
    <row r="738" ht="14.25" customHeight="1">
      <c r="C738" s="19"/>
      <c r="D738" s="19"/>
      <c r="I738" s="12"/>
    </row>
    <row r="739" ht="14.25" customHeight="1">
      <c r="C739" s="19"/>
      <c r="D739" s="19"/>
      <c r="I739" s="12"/>
    </row>
    <row r="740" ht="14.25" customHeight="1">
      <c r="C740" s="19"/>
      <c r="D740" s="19"/>
      <c r="I740" s="12"/>
    </row>
    <row r="741" ht="14.25" customHeight="1">
      <c r="C741" s="19"/>
      <c r="D741" s="19"/>
      <c r="I741" s="12"/>
    </row>
    <row r="742" ht="14.25" customHeight="1">
      <c r="C742" s="19"/>
      <c r="D742" s="19"/>
      <c r="I742" s="12"/>
    </row>
    <row r="743" ht="14.25" customHeight="1">
      <c r="C743" s="19"/>
      <c r="D743" s="19"/>
      <c r="I743" s="12"/>
    </row>
    <row r="744" ht="14.25" customHeight="1">
      <c r="C744" s="19"/>
      <c r="D744" s="19"/>
      <c r="I744" s="12"/>
    </row>
    <row r="745" ht="14.25" customHeight="1">
      <c r="C745" s="19"/>
      <c r="D745" s="19"/>
      <c r="I745" s="12"/>
    </row>
    <row r="746" ht="14.25" customHeight="1">
      <c r="C746" s="19"/>
      <c r="D746" s="19"/>
      <c r="I746" s="12"/>
    </row>
    <row r="747" ht="14.25" customHeight="1">
      <c r="C747" s="19"/>
      <c r="D747" s="19"/>
      <c r="I747" s="12"/>
    </row>
    <row r="748" ht="14.25" customHeight="1">
      <c r="C748" s="19"/>
      <c r="D748" s="19"/>
      <c r="I748" s="12"/>
    </row>
    <row r="749" ht="14.25" customHeight="1">
      <c r="C749" s="19"/>
      <c r="D749" s="19"/>
      <c r="I749" s="12"/>
    </row>
    <row r="750" ht="14.25" customHeight="1">
      <c r="C750" s="19"/>
      <c r="D750" s="19"/>
      <c r="I750" s="12"/>
    </row>
    <row r="751" ht="14.25" customHeight="1">
      <c r="C751" s="19"/>
      <c r="D751" s="19"/>
      <c r="I751" s="12"/>
    </row>
    <row r="752" ht="14.25" customHeight="1">
      <c r="C752" s="19"/>
      <c r="D752" s="19"/>
      <c r="I752" s="12"/>
    </row>
    <row r="753" ht="14.25" customHeight="1">
      <c r="C753" s="19"/>
      <c r="D753" s="19"/>
      <c r="I753" s="12"/>
    </row>
    <row r="754" ht="14.25" customHeight="1">
      <c r="C754" s="19"/>
      <c r="D754" s="19"/>
      <c r="I754" s="12"/>
    </row>
    <row r="755" ht="14.25" customHeight="1">
      <c r="C755" s="19"/>
      <c r="D755" s="19"/>
      <c r="I755" s="12"/>
    </row>
    <row r="756" ht="14.25" customHeight="1">
      <c r="C756" s="19"/>
      <c r="D756" s="19"/>
      <c r="I756" s="12"/>
    </row>
    <row r="757" ht="14.25" customHeight="1">
      <c r="C757" s="19"/>
      <c r="D757" s="19"/>
      <c r="I757" s="12"/>
    </row>
    <row r="758" ht="14.25" customHeight="1">
      <c r="C758" s="19"/>
      <c r="D758" s="19"/>
      <c r="I758" s="12"/>
    </row>
    <row r="759" ht="14.25" customHeight="1">
      <c r="C759" s="19"/>
      <c r="D759" s="19"/>
      <c r="I759" s="12"/>
    </row>
    <row r="760" ht="14.25" customHeight="1">
      <c r="C760" s="19"/>
      <c r="D760" s="19"/>
      <c r="I760" s="12"/>
    </row>
    <row r="761" ht="14.25" customHeight="1">
      <c r="C761" s="19"/>
      <c r="D761" s="19"/>
      <c r="I761" s="12"/>
    </row>
    <row r="762" ht="14.25" customHeight="1">
      <c r="C762" s="19"/>
      <c r="D762" s="19"/>
      <c r="I762" s="12"/>
    </row>
    <row r="763" ht="14.25" customHeight="1">
      <c r="C763" s="19"/>
      <c r="D763" s="19"/>
      <c r="I763" s="12"/>
    </row>
    <row r="764" ht="14.25" customHeight="1">
      <c r="C764" s="19"/>
      <c r="D764" s="19"/>
      <c r="I764" s="12"/>
    </row>
    <row r="765" ht="14.25" customHeight="1">
      <c r="C765" s="19"/>
      <c r="D765" s="19"/>
      <c r="I765" s="12"/>
    </row>
    <row r="766" ht="14.25" customHeight="1">
      <c r="C766" s="19"/>
      <c r="D766" s="19"/>
      <c r="I766" s="12"/>
    </row>
    <row r="767" ht="14.25" customHeight="1">
      <c r="C767" s="19"/>
      <c r="D767" s="19"/>
      <c r="I767" s="12"/>
    </row>
    <row r="768" ht="14.25" customHeight="1">
      <c r="C768" s="19"/>
      <c r="D768" s="19"/>
      <c r="I768" s="12"/>
    </row>
    <row r="769" ht="14.25" customHeight="1">
      <c r="C769" s="19"/>
      <c r="D769" s="19"/>
      <c r="I769" s="12"/>
    </row>
    <row r="770" ht="14.25" customHeight="1">
      <c r="C770" s="19"/>
      <c r="D770" s="19"/>
      <c r="I770" s="12"/>
    </row>
    <row r="771" ht="14.25" customHeight="1">
      <c r="C771" s="19"/>
      <c r="D771" s="19"/>
      <c r="I771" s="12"/>
    </row>
    <row r="772" ht="14.25" customHeight="1">
      <c r="C772" s="19"/>
      <c r="D772" s="19"/>
      <c r="I772" s="12"/>
    </row>
    <row r="773" ht="14.25" customHeight="1">
      <c r="C773" s="19"/>
      <c r="D773" s="19"/>
      <c r="I773" s="12"/>
    </row>
    <row r="774" ht="14.25" customHeight="1">
      <c r="C774" s="19"/>
      <c r="D774" s="19"/>
      <c r="I774" s="12"/>
    </row>
    <row r="775" ht="14.25" customHeight="1">
      <c r="C775" s="19"/>
      <c r="D775" s="19"/>
      <c r="I775" s="12"/>
    </row>
    <row r="776" ht="14.25" customHeight="1">
      <c r="C776" s="19"/>
      <c r="D776" s="19"/>
      <c r="I776" s="12"/>
    </row>
    <row r="777" ht="14.25" customHeight="1">
      <c r="C777" s="19"/>
      <c r="D777" s="19"/>
      <c r="I777" s="12"/>
    </row>
    <row r="778" ht="14.25" customHeight="1">
      <c r="C778" s="19"/>
      <c r="D778" s="19"/>
      <c r="I778" s="12"/>
    </row>
    <row r="779" ht="14.25" customHeight="1">
      <c r="C779" s="19"/>
      <c r="D779" s="19"/>
      <c r="I779" s="12"/>
    </row>
    <row r="780" ht="14.25" customHeight="1">
      <c r="C780" s="19"/>
      <c r="D780" s="19"/>
      <c r="I780" s="12"/>
    </row>
    <row r="781" ht="14.25" customHeight="1">
      <c r="C781" s="19"/>
      <c r="D781" s="19"/>
      <c r="I781" s="12"/>
    </row>
    <row r="782" ht="14.25" customHeight="1">
      <c r="C782" s="19"/>
      <c r="D782" s="19"/>
      <c r="I782" s="12"/>
    </row>
    <row r="783" ht="14.25" customHeight="1">
      <c r="C783" s="19"/>
      <c r="D783" s="19"/>
      <c r="I783" s="12"/>
    </row>
    <row r="784" ht="14.25" customHeight="1">
      <c r="C784" s="19"/>
      <c r="D784" s="19"/>
      <c r="I784" s="12"/>
    </row>
    <row r="785" ht="14.25" customHeight="1">
      <c r="C785" s="19"/>
      <c r="D785" s="19"/>
      <c r="I785" s="12"/>
    </row>
    <row r="786" ht="14.25" customHeight="1">
      <c r="C786" s="19"/>
      <c r="D786" s="19"/>
      <c r="I786" s="12"/>
    </row>
    <row r="787" ht="14.25" customHeight="1">
      <c r="C787" s="19"/>
      <c r="D787" s="19"/>
      <c r="I787" s="12"/>
    </row>
    <row r="788" ht="14.25" customHeight="1">
      <c r="C788" s="19"/>
      <c r="D788" s="19"/>
      <c r="I788" s="12"/>
    </row>
    <row r="789" ht="14.25" customHeight="1">
      <c r="C789" s="19"/>
      <c r="D789" s="19"/>
      <c r="I789" s="12"/>
    </row>
    <row r="790" ht="14.25" customHeight="1">
      <c r="C790" s="19"/>
      <c r="D790" s="19"/>
      <c r="I790" s="12"/>
    </row>
    <row r="791" ht="14.25" customHeight="1">
      <c r="C791" s="19"/>
      <c r="D791" s="19"/>
      <c r="I791" s="12"/>
    </row>
    <row r="792" ht="14.25" customHeight="1">
      <c r="C792" s="19"/>
      <c r="D792" s="19"/>
      <c r="I792" s="12"/>
    </row>
    <row r="793" ht="14.25" customHeight="1">
      <c r="C793" s="19"/>
      <c r="D793" s="19"/>
      <c r="I793" s="12"/>
    </row>
    <row r="794" ht="14.25" customHeight="1">
      <c r="C794" s="19"/>
      <c r="D794" s="19"/>
      <c r="I794" s="12"/>
    </row>
    <row r="795" ht="14.25" customHeight="1">
      <c r="C795" s="19"/>
      <c r="D795" s="19"/>
      <c r="I795" s="12"/>
    </row>
    <row r="796" ht="14.25" customHeight="1">
      <c r="C796" s="19"/>
      <c r="D796" s="19"/>
      <c r="I796" s="12"/>
    </row>
    <row r="797" ht="14.25" customHeight="1">
      <c r="C797" s="19"/>
      <c r="D797" s="19"/>
      <c r="I797" s="12"/>
    </row>
    <row r="798" ht="14.25" customHeight="1">
      <c r="C798" s="19"/>
      <c r="D798" s="19"/>
      <c r="I798" s="12"/>
    </row>
    <row r="799" ht="14.25" customHeight="1">
      <c r="C799" s="19"/>
      <c r="D799" s="19"/>
      <c r="I799" s="12"/>
    </row>
    <row r="800" ht="14.25" customHeight="1">
      <c r="C800" s="19"/>
      <c r="D800" s="19"/>
      <c r="I800" s="12"/>
    </row>
    <row r="801" ht="14.25" customHeight="1">
      <c r="C801" s="19"/>
      <c r="D801" s="19"/>
      <c r="I801" s="12"/>
    </row>
    <row r="802" ht="14.25" customHeight="1">
      <c r="C802" s="19"/>
      <c r="D802" s="19"/>
      <c r="I802" s="12"/>
    </row>
    <row r="803" ht="14.25" customHeight="1">
      <c r="C803" s="19"/>
      <c r="D803" s="19"/>
      <c r="I803" s="12"/>
    </row>
    <row r="804" ht="14.25" customHeight="1">
      <c r="C804" s="19"/>
      <c r="D804" s="19"/>
      <c r="I804" s="12"/>
    </row>
    <row r="805" ht="14.25" customHeight="1">
      <c r="C805" s="19"/>
      <c r="D805" s="19"/>
      <c r="I805" s="12"/>
    </row>
    <row r="806" ht="14.25" customHeight="1">
      <c r="C806" s="19"/>
      <c r="D806" s="19"/>
      <c r="I806" s="12"/>
    </row>
    <row r="807" ht="14.25" customHeight="1">
      <c r="C807" s="19"/>
      <c r="D807" s="19"/>
      <c r="I807" s="12"/>
    </row>
    <row r="808" ht="14.25" customHeight="1">
      <c r="C808" s="19"/>
      <c r="D808" s="19"/>
      <c r="I808" s="12"/>
    </row>
    <row r="809" ht="14.25" customHeight="1">
      <c r="C809" s="19"/>
      <c r="D809" s="19"/>
      <c r="I809" s="12"/>
    </row>
    <row r="810" ht="14.25" customHeight="1">
      <c r="C810" s="19"/>
      <c r="D810" s="19"/>
      <c r="I810" s="12"/>
    </row>
    <row r="811" ht="14.25" customHeight="1">
      <c r="C811" s="19"/>
      <c r="D811" s="19"/>
      <c r="I811" s="12"/>
    </row>
    <row r="812" ht="14.25" customHeight="1">
      <c r="C812" s="19"/>
      <c r="D812" s="19"/>
      <c r="I812" s="12"/>
    </row>
    <row r="813" ht="14.25" customHeight="1">
      <c r="C813" s="19"/>
      <c r="D813" s="19"/>
      <c r="I813" s="12"/>
    </row>
    <row r="814" ht="14.25" customHeight="1">
      <c r="C814" s="19"/>
      <c r="D814" s="19"/>
      <c r="I814" s="12"/>
    </row>
    <row r="815" ht="14.25" customHeight="1">
      <c r="C815" s="19"/>
      <c r="D815" s="19"/>
      <c r="I815" s="12"/>
    </row>
    <row r="816" ht="14.25" customHeight="1">
      <c r="C816" s="19"/>
      <c r="D816" s="19"/>
      <c r="I816" s="12"/>
    </row>
    <row r="817" ht="14.25" customHeight="1">
      <c r="C817" s="19"/>
      <c r="D817" s="19"/>
      <c r="I817" s="12"/>
    </row>
    <row r="818" ht="14.25" customHeight="1">
      <c r="C818" s="19"/>
      <c r="D818" s="19"/>
      <c r="I818" s="12"/>
    </row>
    <row r="819" ht="14.25" customHeight="1">
      <c r="C819" s="19"/>
      <c r="D819" s="19"/>
      <c r="I819" s="12"/>
    </row>
    <row r="820" ht="14.25" customHeight="1">
      <c r="C820" s="19"/>
      <c r="D820" s="19"/>
      <c r="I820" s="12"/>
    </row>
    <row r="821" ht="14.25" customHeight="1">
      <c r="C821" s="19"/>
      <c r="D821" s="19"/>
      <c r="I821" s="12"/>
    </row>
    <row r="822" ht="14.25" customHeight="1">
      <c r="C822" s="19"/>
      <c r="D822" s="19"/>
      <c r="I822" s="12"/>
    </row>
    <row r="823" ht="14.25" customHeight="1">
      <c r="C823" s="19"/>
      <c r="D823" s="19"/>
      <c r="I823" s="12"/>
    </row>
    <row r="824" ht="14.25" customHeight="1">
      <c r="C824" s="19"/>
      <c r="D824" s="19"/>
      <c r="I824" s="12"/>
    </row>
    <row r="825" ht="14.25" customHeight="1">
      <c r="C825" s="19"/>
      <c r="D825" s="19"/>
      <c r="I825" s="12"/>
    </row>
    <row r="826" ht="14.25" customHeight="1">
      <c r="C826" s="19"/>
      <c r="D826" s="19"/>
      <c r="I826" s="12"/>
    </row>
    <row r="827" ht="14.25" customHeight="1">
      <c r="C827" s="19"/>
      <c r="D827" s="19"/>
      <c r="I827" s="12"/>
    </row>
    <row r="828" ht="14.25" customHeight="1">
      <c r="C828" s="19"/>
      <c r="D828" s="19"/>
      <c r="I828" s="12"/>
    </row>
    <row r="829" ht="14.25" customHeight="1">
      <c r="C829" s="19"/>
      <c r="D829" s="19"/>
      <c r="I829" s="12"/>
    </row>
    <row r="830" ht="14.25" customHeight="1">
      <c r="C830" s="19"/>
      <c r="D830" s="19"/>
      <c r="I830" s="12"/>
    </row>
    <row r="831" ht="14.25" customHeight="1">
      <c r="C831" s="19"/>
      <c r="D831" s="19"/>
      <c r="I831" s="12"/>
    </row>
    <row r="832" ht="14.25" customHeight="1">
      <c r="C832" s="19"/>
      <c r="D832" s="19"/>
      <c r="I832" s="12"/>
    </row>
    <row r="833" ht="14.25" customHeight="1">
      <c r="C833" s="19"/>
      <c r="D833" s="19"/>
      <c r="I833" s="12"/>
    </row>
    <row r="834" ht="14.25" customHeight="1">
      <c r="C834" s="19"/>
      <c r="D834" s="19"/>
      <c r="I834" s="12"/>
    </row>
    <row r="835" ht="14.25" customHeight="1">
      <c r="C835" s="19"/>
      <c r="D835" s="19"/>
      <c r="I835" s="12"/>
    </row>
    <row r="836" ht="14.25" customHeight="1">
      <c r="C836" s="19"/>
      <c r="D836" s="19"/>
      <c r="I836" s="12"/>
    </row>
    <row r="837" ht="14.25" customHeight="1">
      <c r="C837" s="19"/>
      <c r="D837" s="19"/>
      <c r="I837" s="12"/>
    </row>
    <row r="838" ht="14.25" customHeight="1">
      <c r="C838" s="19"/>
      <c r="D838" s="19"/>
      <c r="I838" s="12"/>
    </row>
    <row r="839" ht="14.25" customHeight="1">
      <c r="C839" s="19"/>
      <c r="D839" s="19"/>
      <c r="I839" s="12"/>
    </row>
    <row r="840" ht="14.25" customHeight="1">
      <c r="C840" s="19"/>
      <c r="D840" s="19"/>
      <c r="I840" s="12"/>
    </row>
    <row r="841" ht="14.25" customHeight="1">
      <c r="C841" s="19"/>
      <c r="D841" s="19"/>
      <c r="I841" s="12"/>
    </row>
    <row r="842" ht="14.25" customHeight="1">
      <c r="C842" s="19"/>
      <c r="D842" s="19"/>
      <c r="I842" s="12"/>
    </row>
    <row r="843" ht="14.25" customHeight="1">
      <c r="C843" s="19"/>
      <c r="D843" s="19"/>
      <c r="I843" s="12"/>
    </row>
    <row r="844" ht="14.25" customHeight="1">
      <c r="C844" s="19"/>
      <c r="D844" s="19"/>
      <c r="I844" s="12"/>
    </row>
    <row r="845" ht="14.25" customHeight="1">
      <c r="C845" s="19"/>
      <c r="D845" s="19"/>
      <c r="I845" s="12"/>
    </row>
    <row r="846" ht="14.25" customHeight="1">
      <c r="C846" s="19"/>
      <c r="D846" s="19"/>
      <c r="I846" s="12"/>
    </row>
    <row r="847" ht="14.25" customHeight="1">
      <c r="C847" s="19"/>
      <c r="D847" s="19"/>
      <c r="I847" s="12"/>
    </row>
    <row r="848" ht="14.25" customHeight="1">
      <c r="C848" s="19"/>
      <c r="D848" s="19"/>
      <c r="I848" s="12"/>
    </row>
    <row r="849" ht="14.25" customHeight="1">
      <c r="C849" s="19"/>
      <c r="D849" s="19"/>
      <c r="I849" s="12"/>
    </row>
    <row r="850" ht="14.25" customHeight="1">
      <c r="C850" s="19"/>
      <c r="D850" s="19"/>
      <c r="I850" s="12"/>
    </row>
    <row r="851" ht="14.25" customHeight="1">
      <c r="C851" s="19"/>
      <c r="D851" s="19"/>
      <c r="I851" s="12"/>
    </row>
    <row r="852" ht="14.25" customHeight="1">
      <c r="C852" s="19"/>
      <c r="D852" s="19"/>
      <c r="I852" s="12"/>
    </row>
    <row r="853" ht="14.25" customHeight="1">
      <c r="C853" s="19"/>
      <c r="D853" s="19"/>
      <c r="I853" s="12"/>
    </row>
    <row r="854" ht="14.25" customHeight="1">
      <c r="C854" s="19"/>
      <c r="D854" s="19"/>
      <c r="I854" s="12"/>
    </row>
    <row r="855" ht="14.25" customHeight="1">
      <c r="C855" s="19"/>
      <c r="D855" s="19"/>
      <c r="I855" s="12"/>
    </row>
    <row r="856" ht="14.25" customHeight="1">
      <c r="C856" s="19"/>
      <c r="D856" s="19"/>
      <c r="I856" s="12"/>
    </row>
    <row r="857" ht="14.25" customHeight="1">
      <c r="C857" s="19"/>
      <c r="D857" s="19"/>
      <c r="I857" s="12"/>
    </row>
    <row r="858" ht="14.25" customHeight="1">
      <c r="C858" s="19"/>
      <c r="D858" s="19"/>
      <c r="I858" s="12"/>
    </row>
    <row r="859" ht="14.25" customHeight="1">
      <c r="C859" s="19"/>
      <c r="D859" s="19"/>
      <c r="I859" s="12"/>
    </row>
    <row r="860" ht="14.25" customHeight="1">
      <c r="C860" s="19"/>
      <c r="D860" s="19"/>
      <c r="I860" s="12"/>
    </row>
    <row r="861" ht="14.25" customHeight="1">
      <c r="C861" s="19"/>
      <c r="D861" s="19"/>
      <c r="I861" s="12"/>
    </row>
    <row r="862" ht="14.25" customHeight="1">
      <c r="C862" s="19"/>
      <c r="D862" s="19"/>
      <c r="I862" s="12"/>
    </row>
    <row r="863" ht="14.25" customHeight="1">
      <c r="C863" s="19"/>
      <c r="D863" s="19"/>
      <c r="I863" s="12"/>
    </row>
    <row r="864" ht="14.25" customHeight="1">
      <c r="C864" s="19"/>
      <c r="D864" s="19"/>
      <c r="I864" s="12"/>
    </row>
    <row r="865" ht="14.25" customHeight="1">
      <c r="C865" s="19"/>
      <c r="D865" s="19"/>
      <c r="I865" s="12"/>
    </row>
    <row r="866" ht="14.25" customHeight="1">
      <c r="C866" s="19"/>
      <c r="D866" s="19"/>
      <c r="I866" s="12"/>
    </row>
    <row r="867" ht="14.25" customHeight="1">
      <c r="C867" s="19"/>
      <c r="D867" s="19"/>
      <c r="I867" s="12"/>
    </row>
    <row r="868" ht="14.25" customHeight="1">
      <c r="C868" s="19"/>
      <c r="D868" s="19"/>
      <c r="I868" s="12"/>
    </row>
    <row r="869" ht="14.25" customHeight="1">
      <c r="C869" s="19"/>
      <c r="D869" s="19"/>
      <c r="I869" s="12"/>
    </row>
    <row r="870" ht="14.25" customHeight="1">
      <c r="C870" s="19"/>
      <c r="D870" s="19"/>
      <c r="I870" s="12"/>
    </row>
    <row r="871" ht="14.25" customHeight="1">
      <c r="C871" s="19"/>
      <c r="D871" s="19"/>
      <c r="I871" s="12"/>
    </row>
    <row r="872" ht="14.25" customHeight="1">
      <c r="C872" s="19"/>
      <c r="D872" s="19"/>
      <c r="I872" s="12"/>
    </row>
    <row r="873" ht="14.25" customHeight="1">
      <c r="C873" s="19"/>
      <c r="D873" s="19"/>
      <c r="I873" s="12"/>
    </row>
    <row r="874" ht="14.25" customHeight="1">
      <c r="C874" s="19"/>
      <c r="D874" s="19"/>
      <c r="I874" s="12"/>
    </row>
    <row r="875" ht="14.25" customHeight="1">
      <c r="C875" s="19"/>
      <c r="D875" s="19"/>
      <c r="I875" s="12"/>
    </row>
    <row r="876" ht="14.25" customHeight="1">
      <c r="C876" s="19"/>
      <c r="D876" s="19"/>
      <c r="I876" s="12"/>
    </row>
    <row r="877" ht="14.25" customHeight="1">
      <c r="C877" s="19"/>
      <c r="D877" s="19"/>
      <c r="I877" s="12"/>
    </row>
    <row r="878" ht="14.25" customHeight="1">
      <c r="C878" s="19"/>
      <c r="D878" s="19"/>
      <c r="I878" s="12"/>
    </row>
    <row r="879" ht="14.25" customHeight="1">
      <c r="C879" s="19"/>
      <c r="D879" s="19"/>
      <c r="I879" s="12"/>
    </row>
    <row r="880" ht="14.25" customHeight="1">
      <c r="C880" s="19"/>
      <c r="D880" s="19"/>
      <c r="I880" s="12"/>
    </row>
    <row r="881" ht="14.25" customHeight="1">
      <c r="C881" s="19"/>
      <c r="D881" s="19"/>
      <c r="I881" s="12"/>
    </row>
    <row r="882" ht="14.25" customHeight="1">
      <c r="C882" s="19"/>
      <c r="D882" s="19"/>
      <c r="I882" s="12"/>
    </row>
    <row r="883" ht="14.25" customHeight="1">
      <c r="C883" s="19"/>
      <c r="D883" s="19"/>
      <c r="I883" s="12"/>
    </row>
    <row r="884" ht="14.25" customHeight="1">
      <c r="C884" s="19"/>
      <c r="D884" s="19"/>
      <c r="I884" s="12"/>
    </row>
    <row r="885" ht="14.25" customHeight="1">
      <c r="C885" s="19"/>
      <c r="D885" s="19"/>
      <c r="I885" s="12"/>
    </row>
    <row r="886" ht="14.25" customHeight="1">
      <c r="C886" s="19"/>
      <c r="D886" s="19"/>
      <c r="I886" s="12"/>
    </row>
    <row r="887" ht="14.25" customHeight="1">
      <c r="C887" s="19"/>
      <c r="D887" s="19"/>
      <c r="I887" s="12"/>
    </row>
    <row r="888" ht="14.25" customHeight="1">
      <c r="C888" s="19"/>
      <c r="D888" s="19"/>
      <c r="I888" s="12"/>
    </row>
    <row r="889" ht="14.25" customHeight="1">
      <c r="C889" s="19"/>
      <c r="D889" s="19"/>
      <c r="I889" s="12"/>
    </row>
    <row r="890" ht="14.25" customHeight="1">
      <c r="C890" s="19"/>
      <c r="D890" s="19"/>
      <c r="I890" s="12"/>
    </row>
    <row r="891" ht="14.25" customHeight="1">
      <c r="C891" s="19"/>
      <c r="D891" s="19"/>
      <c r="I891" s="12"/>
    </row>
    <row r="892" ht="14.25" customHeight="1">
      <c r="C892" s="19"/>
      <c r="D892" s="19"/>
      <c r="I892" s="12"/>
    </row>
    <row r="893" ht="14.25" customHeight="1">
      <c r="C893" s="19"/>
      <c r="D893" s="19"/>
      <c r="I893" s="12"/>
    </row>
    <row r="894" ht="14.25" customHeight="1">
      <c r="C894" s="19"/>
      <c r="D894" s="19"/>
      <c r="I894" s="12"/>
    </row>
    <row r="895" ht="14.25" customHeight="1">
      <c r="C895" s="19"/>
      <c r="D895" s="19"/>
      <c r="I895" s="12"/>
    </row>
    <row r="896" ht="14.25" customHeight="1">
      <c r="C896" s="19"/>
      <c r="D896" s="19"/>
      <c r="I896" s="12"/>
    </row>
    <row r="897" ht="14.25" customHeight="1">
      <c r="C897" s="19"/>
      <c r="D897" s="19"/>
      <c r="I897" s="12"/>
    </row>
    <row r="898" ht="14.25" customHeight="1">
      <c r="C898" s="19"/>
      <c r="D898" s="19"/>
      <c r="I898" s="12"/>
    </row>
    <row r="899" ht="14.25" customHeight="1">
      <c r="C899" s="19"/>
      <c r="D899" s="19"/>
      <c r="I899" s="12"/>
    </row>
    <row r="900" ht="14.25" customHeight="1">
      <c r="C900" s="19"/>
      <c r="D900" s="19"/>
      <c r="I900" s="12"/>
    </row>
    <row r="901" ht="14.25" customHeight="1">
      <c r="C901" s="19"/>
      <c r="D901" s="19"/>
      <c r="I901" s="12"/>
    </row>
    <row r="902" ht="14.25" customHeight="1">
      <c r="C902" s="19"/>
      <c r="D902" s="19"/>
      <c r="I902" s="12"/>
    </row>
    <row r="903" ht="14.25" customHeight="1">
      <c r="C903" s="19"/>
      <c r="D903" s="19"/>
      <c r="I903" s="12"/>
    </row>
    <row r="904" ht="14.25" customHeight="1">
      <c r="C904" s="19"/>
      <c r="D904" s="19"/>
      <c r="I904" s="12"/>
    </row>
    <row r="905" ht="14.25" customHeight="1">
      <c r="C905" s="19"/>
      <c r="D905" s="19"/>
      <c r="I905" s="12"/>
    </row>
    <row r="906" ht="14.25" customHeight="1">
      <c r="C906" s="19"/>
      <c r="D906" s="19"/>
      <c r="I906" s="12"/>
    </row>
    <row r="907" ht="14.25" customHeight="1">
      <c r="C907" s="19"/>
      <c r="D907" s="19"/>
      <c r="I907" s="12"/>
    </row>
    <row r="908" ht="14.25" customHeight="1">
      <c r="C908" s="19"/>
      <c r="D908" s="19"/>
      <c r="I908" s="12"/>
    </row>
    <row r="909" ht="14.25" customHeight="1">
      <c r="C909" s="19"/>
      <c r="D909" s="19"/>
      <c r="I909" s="12"/>
    </row>
    <row r="910" ht="14.25" customHeight="1">
      <c r="C910" s="19"/>
      <c r="D910" s="19"/>
      <c r="I910" s="12"/>
    </row>
    <row r="911" ht="14.25" customHeight="1">
      <c r="C911" s="19"/>
      <c r="D911" s="19"/>
      <c r="I911" s="12"/>
    </row>
    <row r="912" ht="14.25" customHeight="1">
      <c r="C912" s="19"/>
      <c r="D912" s="19"/>
      <c r="I912" s="12"/>
    </row>
    <row r="913" ht="14.25" customHeight="1">
      <c r="C913" s="19"/>
      <c r="D913" s="19"/>
      <c r="I913" s="12"/>
    </row>
    <row r="914" ht="14.25" customHeight="1">
      <c r="C914" s="19"/>
      <c r="D914" s="19"/>
      <c r="I914" s="12"/>
    </row>
    <row r="915" ht="14.25" customHeight="1">
      <c r="C915" s="19"/>
      <c r="D915" s="19"/>
      <c r="I915" s="12"/>
    </row>
    <row r="916" ht="14.25" customHeight="1">
      <c r="C916" s="19"/>
      <c r="D916" s="19"/>
      <c r="I916" s="12"/>
    </row>
    <row r="917" ht="14.25" customHeight="1">
      <c r="C917" s="19"/>
      <c r="D917" s="19"/>
      <c r="I917" s="12"/>
    </row>
    <row r="918" ht="14.25" customHeight="1">
      <c r="C918" s="19"/>
      <c r="D918" s="19"/>
      <c r="I918" s="12"/>
    </row>
    <row r="919" ht="14.25" customHeight="1">
      <c r="C919" s="19"/>
      <c r="D919" s="19"/>
      <c r="I919" s="12"/>
    </row>
    <row r="920" ht="14.25" customHeight="1">
      <c r="C920" s="19"/>
      <c r="D920" s="19"/>
      <c r="I920" s="12"/>
    </row>
    <row r="921" ht="14.25" customHeight="1">
      <c r="C921" s="19"/>
      <c r="D921" s="19"/>
      <c r="I921" s="12"/>
    </row>
    <row r="922" ht="14.25" customHeight="1">
      <c r="C922" s="19"/>
      <c r="D922" s="19"/>
      <c r="I922" s="12"/>
    </row>
    <row r="923" ht="14.25" customHeight="1">
      <c r="C923" s="19"/>
      <c r="D923" s="19"/>
      <c r="I923" s="12"/>
    </row>
    <row r="924" ht="14.25" customHeight="1">
      <c r="C924" s="19"/>
      <c r="D924" s="19"/>
      <c r="I924" s="12"/>
    </row>
    <row r="925" ht="14.25" customHeight="1">
      <c r="C925" s="19"/>
      <c r="D925" s="19"/>
      <c r="I925" s="12"/>
    </row>
    <row r="926" ht="14.25" customHeight="1">
      <c r="C926" s="19"/>
      <c r="D926" s="19"/>
      <c r="I926" s="12"/>
    </row>
    <row r="927" ht="14.25" customHeight="1">
      <c r="C927" s="19"/>
      <c r="D927" s="19"/>
      <c r="I927" s="12"/>
    </row>
    <row r="928" ht="14.25" customHeight="1">
      <c r="C928" s="19"/>
      <c r="D928" s="19"/>
      <c r="I928" s="12"/>
    </row>
    <row r="929" ht="14.25" customHeight="1">
      <c r="C929" s="19"/>
      <c r="D929" s="19"/>
      <c r="I929" s="12"/>
    </row>
    <row r="930" ht="14.25" customHeight="1">
      <c r="C930" s="19"/>
      <c r="D930" s="19"/>
      <c r="I930" s="12"/>
    </row>
    <row r="931" ht="14.25" customHeight="1">
      <c r="C931" s="19"/>
      <c r="D931" s="19"/>
      <c r="I931" s="12"/>
    </row>
    <row r="932" ht="14.25" customHeight="1">
      <c r="C932" s="19"/>
      <c r="D932" s="19"/>
      <c r="I932" s="12"/>
    </row>
    <row r="933" ht="14.25" customHeight="1">
      <c r="C933" s="19"/>
      <c r="D933" s="19"/>
      <c r="I933" s="12"/>
    </row>
    <row r="934" ht="14.25" customHeight="1">
      <c r="C934" s="19"/>
      <c r="D934" s="19"/>
      <c r="I934" s="12"/>
    </row>
    <row r="935" ht="14.25" customHeight="1">
      <c r="C935" s="19"/>
      <c r="D935" s="19"/>
      <c r="I935" s="12"/>
    </row>
    <row r="936" ht="14.25" customHeight="1">
      <c r="C936" s="19"/>
      <c r="D936" s="19"/>
      <c r="I936" s="12"/>
    </row>
    <row r="937" ht="14.25" customHeight="1">
      <c r="C937" s="19"/>
      <c r="D937" s="19"/>
      <c r="I937" s="12"/>
    </row>
    <row r="938" ht="14.25" customHeight="1">
      <c r="C938" s="19"/>
      <c r="D938" s="19"/>
      <c r="I938" s="12"/>
    </row>
    <row r="939" ht="14.25" customHeight="1">
      <c r="C939" s="19"/>
      <c r="D939" s="19"/>
      <c r="I939" s="12"/>
    </row>
    <row r="940" ht="14.25" customHeight="1">
      <c r="C940" s="19"/>
      <c r="D940" s="19"/>
      <c r="I940" s="12"/>
    </row>
    <row r="941" ht="14.25" customHeight="1">
      <c r="C941" s="19"/>
      <c r="D941" s="19"/>
      <c r="I941" s="12"/>
    </row>
    <row r="942" ht="14.25" customHeight="1">
      <c r="C942" s="19"/>
      <c r="D942" s="19"/>
      <c r="I942" s="12"/>
    </row>
    <row r="943" ht="14.25" customHeight="1">
      <c r="C943" s="19"/>
      <c r="D943" s="19"/>
      <c r="I943" s="12"/>
    </row>
    <row r="944" ht="14.25" customHeight="1">
      <c r="C944" s="19"/>
      <c r="D944" s="19"/>
      <c r="I944" s="12"/>
    </row>
    <row r="945" ht="14.25" customHeight="1">
      <c r="C945" s="19"/>
      <c r="D945" s="19"/>
      <c r="I945" s="12"/>
    </row>
    <row r="946" ht="14.25" customHeight="1">
      <c r="C946" s="19"/>
      <c r="D946" s="19"/>
      <c r="I946" s="12"/>
    </row>
    <row r="947" ht="14.25" customHeight="1">
      <c r="C947" s="19"/>
      <c r="D947" s="19"/>
      <c r="I947" s="12"/>
    </row>
    <row r="948" ht="14.25" customHeight="1">
      <c r="C948" s="19"/>
      <c r="D948" s="19"/>
      <c r="I948" s="12"/>
    </row>
    <row r="949" ht="14.25" customHeight="1">
      <c r="C949" s="19"/>
      <c r="D949" s="19"/>
      <c r="I949" s="12"/>
    </row>
    <row r="950" ht="14.25" customHeight="1">
      <c r="C950" s="19"/>
      <c r="D950" s="19"/>
      <c r="I950" s="12"/>
    </row>
    <row r="951" ht="14.25" customHeight="1">
      <c r="C951" s="19"/>
      <c r="D951" s="19"/>
      <c r="I951" s="12"/>
    </row>
    <row r="952" ht="14.25" customHeight="1">
      <c r="C952" s="19"/>
      <c r="D952" s="19"/>
      <c r="I952" s="12"/>
    </row>
    <row r="953" ht="14.25" customHeight="1">
      <c r="C953" s="19"/>
      <c r="D953" s="19"/>
      <c r="I953" s="12"/>
    </row>
    <row r="954" ht="14.25" customHeight="1">
      <c r="C954" s="19"/>
      <c r="D954" s="19"/>
      <c r="I954" s="12"/>
    </row>
    <row r="955" ht="14.25" customHeight="1">
      <c r="C955" s="19"/>
      <c r="D955" s="19"/>
      <c r="I955" s="12"/>
    </row>
    <row r="956" ht="14.25" customHeight="1">
      <c r="C956" s="19"/>
      <c r="D956" s="19"/>
      <c r="I956" s="12"/>
    </row>
    <row r="957" ht="14.25" customHeight="1">
      <c r="C957" s="19"/>
      <c r="D957" s="19"/>
      <c r="I957" s="12"/>
    </row>
    <row r="958" ht="14.25" customHeight="1">
      <c r="C958" s="19"/>
      <c r="D958" s="19"/>
      <c r="I958" s="12"/>
    </row>
    <row r="959" ht="14.25" customHeight="1">
      <c r="C959" s="19"/>
      <c r="D959" s="19"/>
      <c r="I959" s="12"/>
    </row>
    <row r="960" ht="14.25" customHeight="1">
      <c r="C960" s="19"/>
      <c r="D960" s="19"/>
      <c r="I960" s="12"/>
    </row>
    <row r="961" ht="14.25" customHeight="1">
      <c r="C961" s="19"/>
      <c r="D961" s="19"/>
      <c r="I961" s="12"/>
    </row>
    <row r="962" ht="14.25" customHeight="1">
      <c r="C962" s="19"/>
      <c r="D962" s="19"/>
      <c r="I962" s="12"/>
    </row>
    <row r="963" ht="14.25" customHeight="1">
      <c r="C963" s="19"/>
      <c r="D963" s="19"/>
      <c r="I963" s="12"/>
    </row>
    <row r="964" ht="14.25" customHeight="1">
      <c r="C964" s="19"/>
      <c r="D964" s="19"/>
      <c r="I964" s="12"/>
    </row>
    <row r="965" ht="14.25" customHeight="1">
      <c r="C965" s="19"/>
      <c r="D965" s="19"/>
      <c r="I965" s="12"/>
    </row>
    <row r="966" ht="14.25" customHeight="1">
      <c r="C966" s="19"/>
      <c r="D966" s="19"/>
      <c r="I966" s="12"/>
    </row>
    <row r="967" ht="14.25" customHeight="1">
      <c r="C967" s="19"/>
      <c r="D967" s="19"/>
      <c r="I967" s="12"/>
    </row>
    <row r="968" ht="14.25" customHeight="1">
      <c r="C968" s="19"/>
      <c r="D968" s="19"/>
      <c r="I968" s="12"/>
    </row>
    <row r="969" ht="14.25" customHeight="1">
      <c r="C969" s="19"/>
      <c r="D969" s="19"/>
      <c r="I969" s="12"/>
    </row>
    <row r="970" ht="14.25" customHeight="1">
      <c r="C970" s="19"/>
      <c r="D970" s="19"/>
      <c r="I970" s="12"/>
    </row>
    <row r="971" ht="14.25" customHeight="1">
      <c r="C971" s="19"/>
      <c r="D971" s="19"/>
      <c r="I971" s="12"/>
    </row>
    <row r="972" ht="14.25" customHeight="1">
      <c r="C972" s="19"/>
      <c r="D972" s="19"/>
      <c r="I972" s="12"/>
    </row>
    <row r="973" ht="14.25" customHeight="1">
      <c r="C973" s="19"/>
      <c r="D973" s="19"/>
      <c r="I973" s="12"/>
    </row>
    <row r="974" ht="14.25" customHeight="1">
      <c r="C974" s="19"/>
      <c r="D974" s="19"/>
      <c r="I974" s="12"/>
    </row>
    <row r="975" ht="14.25" customHeight="1">
      <c r="C975" s="19"/>
      <c r="D975" s="19"/>
      <c r="I975" s="12"/>
    </row>
    <row r="976" ht="14.25" customHeight="1">
      <c r="C976" s="19"/>
      <c r="D976" s="19"/>
      <c r="I976" s="12"/>
    </row>
    <row r="977" ht="14.25" customHeight="1">
      <c r="C977" s="19"/>
      <c r="D977" s="19"/>
      <c r="I977" s="12"/>
    </row>
    <row r="978" ht="14.25" customHeight="1">
      <c r="C978" s="19"/>
      <c r="D978" s="19"/>
      <c r="I978" s="12"/>
    </row>
    <row r="979" ht="14.25" customHeight="1">
      <c r="C979" s="19"/>
      <c r="D979" s="19"/>
      <c r="I979" s="12"/>
    </row>
    <row r="980" ht="14.25" customHeight="1">
      <c r="C980" s="19"/>
      <c r="D980" s="19"/>
      <c r="I980" s="12"/>
    </row>
    <row r="981" ht="14.25" customHeight="1">
      <c r="C981" s="19"/>
      <c r="D981" s="19"/>
      <c r="I981" s="12"/>
    </row>
    <row r="982" ht="14.25" customHeight="1">
      <c r="C982" s="19"/>
      <c r="D982" s="19"/>
      <c r="I982" s="12"/>
    </row>
    <row r="983" ht="14.25" customHeight="1">
      <c r="C983" s="19"/>
      <c r="D983" s="19"/>
      <c r="I983" s="12"/>
    </row>
    <row r="984" ht="14.25" customHeight="1">
      <c r="C984" s="19"/>
      <c r="D984" s="19"/>
      <c r="I984" s="12"/>
    </row>
    <row r="985" ht="14.25" customHeight="1">
      <c r="C985" s="19"/>
      <c r="D985" s="19"/>
      <c r="I985" s="12"/>
    </row>
    <row r="986" ht="14.25" customHeight="1">
      <c r="C986" s="19"/>
      <c r="D986" s="19"/>
      <c r="I986" s="12"/>
    </row>
    <row r="987" ht="14.25" customHeight="1">
      <c r="C987" s="19"/>
      <c r="D987" s="19"/>
      <c r="I987" s="12"/>
    </row>
    <row r="988" ht="14.25" customHeight="1">
      <c r="C988" s="19"/>
      <c r="D988" s="19"/>
      <c r="I988" s="12"/>
    </row>
    <row r="989" ht="14.25" customHeight="1">
      <c r="C989" s="19"/>
      <c r="D989" s="19"/>
      <c r="I989" s="12"/>
    </row>
    <row r="990" ht="14.25" customHeight="1">
      <c r="C990" s="19"/>
      <c r="D990" s="19"/>
      <c r="I990" s="12"/>
    </row>
    <row r="991" ht="14.25" customHeight="1">
      <c r="C991" s="19"/>
      <c r="D991" s="19"/>
      <c r="I991" s="12"/>
    </row>
    <row r="992" ht="14.25" customHeight="1">
      <c r="C992" s="19"/>
      <c r="D992" s="19"/>
      <c r="I992" s="12"/>
    </row>
    <row r="993" ht="14.25" customHeight="1">
      <c r="C993" s="19"/>
      <c r="D993" s="19"/>
      <c r="I993" s="12"/>
    </row>
    <row r="994" ht="14.25" customHeight="1">
      <c r="C994" s="19"/>
      <c r="D994" s="19"/>
      <c r="I994" s="12"/>
    </row>
    <row r="995" ht="14.25" customHeight="1">
      <c r="C995" s="19"/>
      <c r="D995" s="19"/>
      <c r="I995" s="12"/>
    </row>
    <row r="996" ht="14.25" customHeight="1">
      <c r="C996" s="19"/>
      <c r="D996" s="19"/>
      <c r="I996" s="12"/>
    </row>
    <row r="997" ht="14.25" customHeight="1">
      <c r="C997" s="19"/>
      <c r="D997" s="19"/>
      <c r="I997" s="12"/>
    </row>
    <row r="998" ht="14.25" customHeight="1">
      <c r="C998" s="19"/>
      <c r="D998" s="19"/>
      <c r="I998" s="12"/>
    </row>
    <row r="999" ht="14.25" customHeight="1">
      <c r="C999" s="19"/>
      <c r="D999" s="19"/>
      <c r="I999" s="12"/>
    </row>
    <row r="1000" ht="14.25" customHeight="1">
      <c r="C1000" s="19"/>
      <c r="D1000" s="19"/>
      <c r="I1000" s="12"/>
    </row>
  </sheetData>
  <mergeCells count="11">
    <mergeCell ref="B5:E5"/>
    <mergeCell ref="B6:E6"/>
    <mergeCell ref="G6:H6"/>
    <mergeCell ref="G32:J32"/>
    <mergeCell ref="A1:H1"/>
    <mergeCell ref="D2:E2"/>
    <mergeCell ref="B3:E3"/>
    <mergeCell ref="G3:H3"/>
    <mergeCell ref="B4:E4"/>
    <mergeCell ref="G4:H4"/>
    <mergeCell ref="G5:H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6.43"/>
    <col customWidth="1" min="7" max="7" width="23.29"/>
    <col customWidth="1" min="8" max="8" width="15.71"/>
    <col customWidth="1" min="9" max="28" width="8.71"/>
  </cols>
  <sheetData>
    <row r="1" ht="31.5" customHeight="1">
      <c r="A1" s="11" t="s">
        <v>42</v>
      </c>
      <c r="H1" s="12"/>
    </row>
    <row r="2" ht="30.0" customHeight="1">
      <c r="B2" s="19"/>
      <c r="C2" s="159" t="s">
        <v>43</v>
      </c>
      <c r="G2" s="55"/>
      <c r="H2" s="12"/>
    </row>
    <row r="3" ht="14.25" customHeight="1">
      <c r="A3" s="14" t="s">
        <v>44</v>
      </c>
      <c r="B3" s="56" t="s">
        <v>24</v>
      </c>
      <c r="E3" s="14" t="s">
        <v>46</v>
      </c>
      <c r="F3" s="56" t="s">
        <v>461</v>
      </c>
      <c r="H3" s="12"/>
    </row>
    <row r="4" ht="14.25" customHeight="1">
      <c r="H4" s="12"/>
    </row>
    <row r="5" ht="14.25" customHeight="1">
      <c r="A5" s="167" t="s">
        <v>8</v>
      </c>
      <c r="B5" s="56" t="s">
        <v>462</v>
      </c>
      <c r="E5" s="14" t="s">
        <v>105</v>
      </c>
      <c r="F5" s="56">
        <v>5.610116100224E12</v>
      </c>
      <c r="H5" s="12"/>
    </row>
    <row r="6" ht="14.25" customHeight="1">
      <c r="A6" s="14" t="s">
        <v>51</v>
      </c>
      <c r="B6" s="56" t="s">
        <v>231</v>
      </c>
      <c r="E6" s="167" t="s">
        <v>53</v>
      </c>
      <c r="F6" s="56" t="s">
        <v>463</v>
      </c>
      <c r="H6" s="12"/>
    </row>
    <row r="7" ht="14.25" customHeight="1">
      <c r="A7" s="14" t="s">
        <v>54</v>
      </c>
      <c r="B7" s="56" t="s">
        <v>464</v>
      </c>
      <c r="E7" s="167" t="s">
        <v>55</v>
      </c>
      <c r="F7" s="56">
        <v>6.2103866961E10</v>
      </c>
      <c r="H7" s="12"/>
    </row>
    <row r="8" ht="14.25" customHeight="1">
      <c r="B8" s="19"/>
      <c r="G8" s="55"/>
      <c r="H8" s="12"/>
    </row>
    <row r="9" ht="14.25" customHeight="1">
      <c r="A9" s="167" t="s">
        <v>8</v>
      </c>
      <c r="B9" s="155" t="s">
        <v>465</v>
      </c>
      <c r="E9" s="167" t="s">
        <v>53</v>
      </c>
      <c r="G9" s="55"/>
      <c r="H9" s="12"/>
    </row>
    <row r="10" ht="14.25" customHeight="1">
      <c r="A10" s="14" t="s">
        <v>51</v>
      </c>
      <c r="B10" s="155" t="s">
        <v>466</v>
      </c>
      <c r="E10" s="167" t="s">
        <v>55</v>
      </c>
      <c r="F10" s="2">
        <v>5.1000510169E10</v>
      </c>
      <c r="G10" s="55"/>
      <c r="H10" s="12"/>
    </row>
    <row r="11" ht="14.25" customHeight="1">
      <c r="B11" s="19"/>
      <c r="G11" s="55"/>
      <c r="H11" s="12"/>
    </row>
    <row r="12" ht="14.25" customHeight="1">
      <c r="A12" s="20" t="s">
        <v>56</v>
      </c>
      <c r="B12" s="21" t="s">
        <v>107</v>
      </c>
      <c r="C12" s="160" t="s">
        <v>58</v>
      </c>
      <c r="D12" s="20" t="s">
        <v>59</v>
      </c>
      <c r="E12" s="20" t="s">
        <v>60</v>
      </c>
      <c r="F12" s="20" t="s">
        <v>61</v>
      </c>
      <c r="G12" s="58" t="s">
        <v>62</v>
      </c>
      <c r="H12" s="22" t="s">
        <v>63</v>
      </c>
      <c r="I12" s="20" t="s">
        <v>64</v>
      </c>
    </row>
    <row r="13" ht="14.25" customHeight="1">
      <c r="A13" s="82" t="s">
        <v>467</v>
      </c>
      <c r="B13" s="168"/>
      <c r="C13" s="62"/>
      <c r="D13" s="62"/>
      <c r="E13" s="62"/>
      <c r="F13" s="63">
        <v>1.0</v>
      </c>
      <c r="G13" s="63">
        <v>1.0</v>
      </c>
      <c r="H13" s="27">
        <f t="shared" ref="H13:H47" si="1">G13*200</f>
        <v>200</v>
      </c>
      <c r="I13" s="23"/>
    </row>
    <row r="14" ht="14.25" customHeight="1">
      <c r="A14" s="85" t="s">
        <v>468</v>
      </c>
      <c r="B14" s="85">
        <v>7.8178387E7</v>
      </c>
      <c r="C14" s="162"/>
      <c r="D14" s="62"/>
      <c r="E14" s="62"/>
      <c r="F14" s="60">
        <v>1.0</v>
      </c>
      <c r="G14" s="60">
        <v>1.0</v>
      </c>
      <c r="H14" s="27">
        <f t="shared" si="1"/>
        <v>200</v>
      </c>
      <c r="I14" s="23"/>
    </row>
    <row r="15" ht="14.25" customHeight="1">
      <c r="A15" s="85" t="s">
        <v>469</v>
      </c>
      <c r="B15" s="85">
        <v>7.6281974E7</v>
      </c>
      <c r="C15" s="162"/>
      <c r="D15" s="62"/>
      <c r="E15" s="62"/>
      <c r="F15" s="60">
        <v>2.0</v>
      </c>
      <c r="G15" s="60">
        <v>2.0</v>
      </c>
      <c r="H15" s="27">
        <f t="shared" si="1"/>
        <v>400</v>
      </c>
      <c r="I15" s="23"/>
    </row>
    <row r="16" ht="14.25" customHeight="1">
      <c r="A16" s="87" t="s">
        <v>470</v>
      </c>
      <c r="B16" s="87">
        <v>7.66747E7</v>
      </c>
      <c r="C16" s="162"/>
      <c r="D16" s="62"/>
      <c r="E16" s="62"/>
      <c r="F16" s="60">
        <v>1.0</v>
      </c>
      <c r="G16" s="60">
        <v>1.0</v>
      </c>
      <c r="H16" s="27">
        <f t="shared" si="1"/>
        <v>200</v>
      </c>
      <c r="I16" s="23"/>
    </row>
    <row r="17" ht="14.25" customHeight="1">
      <c r="A17" s="85" t="s">
        <v>471</v>
      </c>
      <c r="B17" s="85">
        <v>7.6574982E7</v>
      </c>
      <c r="C17" s="162"/>
      <c r="D17" s="62"/>
      <c r="E17" s="62"/>
      <c r="F17" s="60">
        <v>1.0</v>
      </c>
      <c r="G17" s="60">
        <v>1.0</v>
      </c>
      <c r="H17" s="27">
        <f t="shared" si="1"/>
        <v>200</v>
      </c>
      <c r="I17" s="23"/>
    </row>
    <row r="18" ht="14.25" customHeight="1">
      <c r="A18" s="85" t="s">
        <v>472</v>
      </c>
      <c r="B18" s="91"/>
      <c r="C18" s="162"/>
      <c r="D18" s="62"/>
      <c r="E18" s="62"/>
      <c r="F18" s="60">
        <v>2.0</v>
      </c>
      <c r="G18" s="60">
        <v>2.0</v>
      </c>
      <c r="H18" s="27">
        <f t="shared" si="1"/>
        <v>400</v>
      </c>
      <c r="I18" s="23"/>
    </row>
    <row r="19" ht="14.25" customHeight="1">
      <c r="A19" s="87" t="s">
        <v>473</v>
      </c>
      <c r="B19" s="87">
        <v>7.6225689E7</v>
      </c>
      <c r="C19" s="162"/>
      <c r="D19" s="62"/>
      <c r="E19" s="62"/>
      <c r="F19" s="69">
        <v>2.0</v>
      </c>
      <c r="G19" s="69">
        <v>2.0</v>
      </c>
      <c r="H19" s="27">
        <f t="shared" si="1"/>
        <v>400</v>
      </c>
      <c r="I19" s="23"/>
    </row>
    <row r="20" ht="14.25" customHeight="1">
      <c r="A20" s="85" t="s">
        <v>474</v>
      </c>
      <c r="B20" s="85">
        <v>7.8430977E7</v>
      </c>
      <c r="C20" s="162"/>
      <c r="D20" s="62"/>
      <c r="E20" s="62"/>
      <c r="F20" s="60">
        <v>1.0</v>
      </c>
      <c r="G20" s="60">
        <v>1.0</v>
      </c>
      <c r="H20" s="27">
        <f t="shared" si="1"/>
        <v>200</v>
      </c>
      <c r="I20" s="23"/>
    </row>
    <row r="21" ht="14.25" customHeight="1">
      <c r="A21" s="87" t="s">
        <v>475</v>
      </c>
      <c r="B21" s="67">
        <v>7.8380967E7</v>
      </c>
      <c r="C21" s="162"/>
      <c r="D21" s="62"/>
      <c r="E21" s="62"/>
      <c r="F21" s="60">
        <v>2.0</v>
      </c>
      <c r="G21" s="60">
        <v>2.0</v>
      </c>
      <c r="H21" s="27">
        <f t="shared" si="1"/>
        <v>400</v>
      </c>
      <c r="I21" s="23"/>
    </row>
    <row r="22" ht="14.25" customHeight="1">
      <c r="A22" s="85" t="s">
        <v>476</v>
      </c>
      <c r="B22" s="67">
        <v>7.6048313E7</v>
      </c>
      <c r="C22" s="162"/>
      <c r="D22" s="62"/>
      <c r="E22" s="62"/>
      <c r="F22" s="60">
        <v>1.0</v>
      </c>
      <c r="G22" s="60">
        <v>1.0</v>
      </c>
      <c r="H22" s="27">
        <f t="shared" si="1"/>
        <v>200</v>
      </c>
      <c r="I22" s="23"/>
    </row>
    <row r="23" ht="14.25" customHeight="1">
      <c r="A23" s="87" t="s">
        <v>477</v>
      </c>
      <c r="B23" s="87">
        <v>7.6540688E7</v>
      </c>
      <c r="C23" s="162"/>
      <c r="D23" s="62"/>
      <c r="E23" s="62"/>
      <c r="F23" s="69">
        <v>1.0</v>
      </c>
      <c r="G23" s="69">
        <v>1.0</v>
      </c>
      <c r="H23" s="27">
        <f t="shared" si="1"/>
        <v>200</v>
      </c>
      <c r="I23" s="23"/>
    </row>
    <row r="24" ht="14.25" customHeight="1">
      <c r="A24" s="85" t="s">
        <v>478</v>
      </c>
      <c r="B24" s="85">
        <v>7.68220088E8</v>
      </c>
      <c r="C24" s="162"/>
      <c r="D24" s="62"/>
      <c r="E24" s="62"/>
      <c r="F24" s="60">
        <v>1.0</v>
      </c>
      <c r="G24" s="60">
        <v>1.0</v>
      </c>
      <c r="H24" s="27">
        <f t="shared" si="1"/>
        <v>200</v>
      </c>
      <c r="I24" s="23"/>
    </row>
    <row r="25" ht="14.25" customHeight="1">
      <c r="A25" s="85" t="s">
        <v>479</v>
      </c>
      <c r="B25" s="67">
        <v>7.8390315E7</v>
      </c>
      <c r="C25" s="162"/>
      <c r="D25" s="62"/>
      <c r="E25" s="62"/>
      <c r="F25" s="60">
        <v>2.0</v>
      </c>
      <c r="G25" s="60">
        <v>2.0</v>
      </c>
      <c r="H25" s="27">
        <f t="shared" si="1"/>
        <v>400</v>
      </c>
      <c r="I25" s="23"/>
    </row>
    <row r="26" ht="14.25" customHeight="1">
      <c r="A26" s="85" t="s">
        <v>480</v>
      </c>
      <c r="B26" s="85">
        <v>7.6575692E7</v>
      </c>
      <c r="C26" s="162"/>
      <c r="D26" s="62"/>
      <c r="E26" s="62"/>
      <c r="F26" s="60">
        <v>1.0</v>
      </c>
      <c r="G26" s="60">
        <v>1.0</v>
      </c>
      <c r="H26" s="27">
        <f t="shared" si="1"/>
        <v>200</v>
      </c>
      <c r="I26" s="23"/>
    </row>
    <row r="27" ht="14.25" customHeight="1">
      <c r="A27" s="87" t="s">
        <v>481</v>
      </c>
      <c r="B27" s="67">
        <v>7.8366374E7</v>
      </c>
      <c r="C27" s="162"/>
      <c r="D27" s="62"/>
      <c r="E27" s="62"/>
      <c r="F27" s="60">
        <v>1.0</v>
      </c>
      <c r="G27" s="60">
        <v>1.0</v>
      </c>
      <c r="H27" s="27">
        <f t="shared" si="1"/>
        <v>200</v>
      </c>
      <c r="I27" s="23"/>
    </row>
    <row r="28" ht="14.25" customHeight="1">
      <c r="A28" s="85" t="s">
        <v>482</v>
      </c>
      <c r="B28" s="85">
        <v>7.6468465E7</v>
      </c>
      <c r="C28" s="162"/>
      <c r="D28" s="62"/>
      <c r="E28" s="62"/>
      <c r="F28" s="60">
        <v>1.0</v>
      </c>
      <c r="G28" s="60">
        <v>1.0</v>
      </c>
      <c r="H28" s="27">
        <f t="shared" si="1"/>
        <v>200</v>
      </c>
      <c r="I28" s="23"/>
    </row>
    <row r="29" ht="14.25" customHeight="1">
      <c r="A29" s="85" t="s">
        <v>483</v>
      </c>
      <c r="B29" s="85">
        <v>7.8219643E7</v>
      </c>
      <c r="C29" s="162"/>
      <c r="D29" s="62"/>
      <c r="E29" s="62"/>
      <c r="F29" s="60">
        <v>1.0</v>
      </c>
      <c r="G29" s="60">
        <v>1.0</v>
      </c>
      <c r="H29" s="27">
        <f t="shared" si="1"/>
        <v>200</v>
      </c>
      <c r="I29" s="23"/>
    </row>
    <row r="30" ht="14.25" customHeight="1">
      <c r="A30" s="85" t="s">
        <v>484</v>
      </c>
      <c r="B30" s="85">
        <v>7.8366394E7</v>
      </c>
      <c r="C30" s="162"/>
      <c r="D30" s="62"/>
      <c r="E30" s="62"/>
      <c r="F30" s="60">
        <v>2.0</v>
      </c>
      <c r="G30" s="60">
        <v>2.0</v>
      </c>
      <c r="H30" s="27">
        <f t="shared" si="1"/>
        <v>400</v>
      </c>
      <c r="I30" s="23"/>
    </row>
    <row r="31" ht="14.25" customHeight="1">
      <c r="A31" s="85" t="s">
        <v>485</v>
      </c>
      <c r="B31" s="85">
        <v>7.6586314E7</v>
      </c>
      <c r="C31" s="162"/>
      <c r="D31" s="62"/>
      <c r="E31" s="62"/>
      <c r="F31" s="60">
        <v>1.0</v>
      </c>
      <c r="G31" s="60">
        <v>1.0</v>
      </c>
      <c r="H31" s="27">
        <f t="shared" si="1"/>
        <v>200</v>
      </c>
      <c r="I31" s="23"/>
    </row>
    <row r="32" ht="14.25" customHeight="1">
      <c r="A32" s="85" t="s">
        <v>486</v>
      </c>
      <c r="B32" s="85">
        <v>7.6793001E7</v>
      </c>
      <c r="C32" s="162"/>
      <c r="D32" s="62"/>
      <c r="E32" s="62"/>
      <c r="F32" s="60">
        <v>2.0</v>
      </c>
      <c r="G32" s="60">
        <v>2.0</v>
      </c>
      <c r="H32" s="27">
        <f t="shared" si="1"/>
        <v>400</v>
      </c>
      <c r="I32" s="23"/>
    </row>
    <row r="33" ht="14.25" customHeight="1">
      <c r="A33" s="85" t="s">
        <v>487</v>
      </c>
      <c r="B33" s="164"/>
      <c r="C33" s="162"/>
      <c r="D33" s="62"/>
      <c r="E33" s="62"/>
      <c r="F33" s="60">
        <v>1.0</v>
      </c>
      <c r="G33" s="60">
        <v>1.0</v>
      </c>
      <c r="H33" s="27">
        <f t="shared" si="1"/>
        <v>200</v>
      </c>
      <c r="I33" s="23"/>
    </row>
    <row r="34" ht="14.25" customHeight="1">
      <c r="A34" s="85" t="s">
        <v>488</v>
      </c>
      <c r="B34" s="85">
        <v>7.8654142E7</v>
      </c>
      <c r="C34" s="162"/>
      <c r="D34" s="62"/>
      <c r="E34" s="62"/>
      <c r="F34" s="60">
        <v>1.0</v>
      </c>
      <c r="G34" s="60">
        <v>1.0</v>
      </c>
      <c r="H34" s="27">
        <f t="shared" si="1"/>
        <v>200</v>
      </c>
      <c r="I34" s="23"/>
    </row>
    <row r="35" ht="14.25" customHeight="1">
      <c r="A35" s="87" t="s">
        <v>489</v>
      </c>
      <c r="B35" s="87">
        <v>7.8054646E7</v>
      </c>
      <c r="C35" s="162"/>
      <c r="D35" s="62"/>
      <c r="E35" s="62"/>
      <c r="F35" s="60">
        <v>1.0</v>
      </c>
      <c r="G35" s="30">
        <v>1.0</v>
      </c>
      <c r="H35" s="27">
        <f t="shared" si="1"/>
        <v>200</v>
      </c>
      <c r="I35" s="23"/>
    </row>
    <row r="36" ht="14.25" customHeight="1">
      <c r="A36" s="87" t="s">
        <v>490</v>
      </c>
      <c r="B36" s="87">
        <v>7.6173476E7</v>
      </c>
      <c r="C36" s="165"/>
      <c r="D36" s="23"/>
      <c r="E36" s="23"/>
      <c r="F36" s="63">
        <v>2.0</v>
      </c>
      <c r="G36" s="30">
        <v>2.0</v>
      </c>
      <c r="H36" s="27">
        <f t="shared" si="1"/>
        <v>400</v>
      </c>
      <c r="I36" s="23"/>
    </row>
    <row r="37" ht="14.25" customHeight="1">
      <c r="A37" s="87" t="s">
        <v>491</v>
      </c>
      <c r="B37" s="169"/>
      <c r="C37" s="165"/>
      <c r="D37" s="23"/>
      <c r="E37" s="23"/>
      <c r="F37" s="63">
        <v>2.0</v>
      </c>
      <c r="G37" s="30">
        <v>2.0</v>
      </c>
      <c r="H37" s="27">
        <f t="shared" si="1"/>
        <v>400</v>
      </c>
      <c r="I37" s="23"/>
    </row>
    <row r="38" ht="14.25" customHeight="1">
      <c r="A38" s="85" t="s">
        <v>492</v>
      </c>
      <c r="B38" s="85">
        <v>7.6338875E7</v>
      </c>
      <c r="C38" s="165"/>
      <c r="D38" s="23"/>
      <c r="E38" s="23"/>
      <c r="F38" s="63">
        <v>2.0</v>
      </c>
      <c r="G38" s="30">
        <v>2.0</v>
      </c>
      <c r="H38" s="27">
        <f t="shared" si="1"/>
        <v>400</v>
      </c>
      <c r="I38" s="23"/>
    </row>
    <row r="39" ht="14.25" customHeight="1">
      <c r="A39" s="87" t="s">
        <v>493</v>
      </c>
      <c r="B39" s="87">
        <v>7.6744242E7</v>
      </c>
      <c r="C39" s="165"/>
      <c r="D39" s="23"/>
      <c r="E39" s="23"/>
      <c r="F39" s="63">
        <v>2.0</v>
      </c>
      <c r="G39" s="30">
        <v>2.0</v>
      </c>
      <c r="H39" s="27">
        <f t="shared" si="1"/>
        <v>400</v>
      </c>
      <c r="I39" s="23"/>
    </row>
    <row r="40" ht="14.25" customHeight="1">
      <c r="A40" s="85" t="s">
        <v>494</v>
      </c>
      <c r="B40" s="85">
        <v>7.6447995E7</v>
      </c>
      <c r="C40" s="165"/>
      <c r="D40" s="23"/>
      <c r="E40" s="23"/>
      <c r="F40" s="63">
        <v>2.0</v>
      </c>
      <c r="G40" s="30">
        <v>2.0</v>
      </c>
      <c r="H40" s="27">
        <f t="shared" si="1"/>
        <v>400</v>
      </c>
      <c r="I40" s="23"/>
    </row>
    <row r="41" ht="14.25" customHeight="1">
      <c r="A41" s="85" t="s">
        <v>495</v>
      </c>
      <c r="B41" s="85">
        <v>7.6958554E7</v>
      </c>
      <c r="C41" s="165"/>
      <c r="D41" s="23"/>
      <c r="E41" s="23"/>
      <c r="F41" s="63">
        <v>2.0</v>
      </c>
      <c r="G41" s="30">
        <v>2.0</v>
      </c>
      <c r="H41" s="27">
        <f t="shared" si="1"/>
        <v>400</v>
      </c>
      <c r="I41" s="23"/>
    </row>
    <row r="42" ht="14.25" customHeight="1">
      <c r="A42" s="85" t="s">
        <v>496</v>
      </c>
      <c r="B42" s="85">
        <v>7.6314853E7</v>
      </c>
      <c r="C42" s="165"/>
      <c r="D42" s="23"/>
      <c r="E42" s="23"/>
      <c r="F42" s="63">
        <v>2.0</v>
      </c>
      <c r="G42" s="30">
        <v>2.0</v>
      </c>
      <c r="H42" s="27">
        <f t="shared" si="1"/>
        <v>400</v>
      </c>
      <c r="I42" s="23"/>
    </row>
    <row r="43" ht="14.25" customHeight="1">
      <c r="A43" s="85" t="s">
        <v>497</v>
      </c>
      <c r="B43" s="91"/>
      <c r="C43" s="165"/>
      <c r="D43" s="23"/>
      <c r="E43" s="23"/>
      <c r="F43" s="63">
        <v>1.0</v>
      </c>
      <c r="G43" s="30">
        <v>1.0</v>
      </c>
      <c r="H43" s="27">
        <f t="shared" si="1"/>
        <v>200</v>
      </c>
      <c r="I43" s="23"/>
    </row>
    <row r="44" ht="14.25" customHeight="1">
      <c r="A44" s="85" t="s">
        <v>498</v>
      </c>
      <c r="B44" s="85">
        <v>7.640419E7</v>
      </c>
      <c r="C44" s="165"/>
      <c r="D44" s="23"/>
      <c r="E44" s="23"/>
      <c r="F44" s="63">
        <v>1.0</v>
      </c>
      <c r="G44" s="30">
        <v>1.0</v>
      </c>
      <c r="H44" s="27">
        <f t="shared" si="1"/>
        <v>200</v>
      </c>
      <c r="I44" s="23"/>
    </row>
    <row r="45" ht="14.25" customHeight="1">
      <c r="A45" s="85" t="s">
        <v>499</v>
      </c>
      <c r="B45" s="91"/>
      <c r="C45" s="165"/>
      <c r="D45" s="23"/>
      <c r="E45" s="23"/>
      <c r="F45" s="63">
        <v>1.0</v>
      </c>
      <c r="G45" s="30">
        <v>1.0</v>
      </c>
      <c r="H45" s="27">
        <f t="shared" si="1"/>
        <v>200</v>
      </c>
      <c r="I45" s="23"/>
    </row>
    <row r="46" ht="14.25" customHeight="1">
      <c r="A46" s="85" t="s">
        <v>500</v>
      </c>
      <c r="B46" s="91"/>
      <c r="C46" s="165"/>
      <c r="D46" s="23"/>
      <c r="E46" s="23"/>
      <c r="F46" s="63">
        <v>1.0</v>
      </c>
      <c r="G46" s="30">
        <v>1.0</v>
      </c>
      <c r="H46" s="27">
        <f t="shared" si="1"/>
        <v>200</v>
      </c>
      <c r="I46" s="23"/>
    </row>
    <row r="47" ht="14.25" customHeight="1">
      <c r="A47" s="85" t="s">
        <v>501</v>
      </c>
      <c r="B47" s="85">
        <v>7.8637271E7</v>
      </c>
      <c r="C47" s="165"/>
      <c r="D47" s="23"/>
      <c r="E47" s="23"/>
      <c r="F47" s="63">
        <v>2.0</v>
      </c>
      <c r="G47" s="30">
        <v>2.0</v>
      </c>
      <c r="H47" s="27">
        <f t="shared" si="1"/>
        <v>400</v>
      </c>
      <c r="I47" s="23"/>
    </row>
    <row r="48" ht="21.75" customHeight="1">
      <c r="A48" s="91"/>
      <c r="B48" s="92"/>
      <c r="C48" s="165"/>
      <c r="D48" s="23"/>
      <c r="E48" s="73" t="s">
        <v>41</v>
      </c>
      <c r="F48" s="40">
        <f>SUM(F12:F47)</f>
        <v>50</v>
      </c>
      <c r="G48" s="40">
        <f>SUM(G1:G47)</f>
        <v>50</v>
      </c>
      <c r="H48" s="74">
        <f>SUM(H12:H47)</f>
        <v>10000</v>
      </c>
      <c r="I48" s="42"/>
    </row>
    <row r="49" ht="23.25" customHeight="1">
      <c r="A49" s="73"/>
      <c r="B49" s="75"/>
      <c r="C49" s="73"/>
      <c r="D49" s="73"/>
      <c r="E49" s="76" t="s">
        <v>100</v>
      </c>
      <c r="F49" s="46">
        <f>COUNT(F13:F47)</f>
        <v>35</v>
      </c>
      <c r="G49" s="47"/>
      <c r="H49" s="47"/>
      <c r="I49" s="48"/>
    </row>
    <row r="50" ht="14.25" customHeight="1">
      <c r="B50" s="19"/>
      <c r="G50" s="55"/>
      <c r="H50" s="12"/>
    </row>
    <row r="51" ht="14.25" customHeight="1">
      <c r="B51" s="19"/>
      <c r="D51" s="49" t="s">
        <v>101</v>
      </c>
      <c r="E51" s="50"/>
      <c r="G51" s="55"/>
      <c r="H51" s="12"/>
    </row>
    <row r="52" ht="14.25" customHeight="1">
      <c r="B52" s="19"/>
      <c r="G52" s="55"/>
      <c r="H52" s="12"/>
    </row>
    <row r="53" ht="14.25" customHeight="1">
      <c r="B53" s="19"/>
      <c r="D53" s="51" t="s">
        <v>102</v>
      </c>
      <c r="E53" s="50"/>
      <c r="G53" s="55"/>
      <c r="H53" s="12"/>
    </row>
    <row r="54" ht="14.25" customHeight="1">
      <c r="B54" s="19"/>
      <c r="G54" s="55"/>
      <c r="H54" s="12"/>
    </row>
    <row r="55" ht="14.25" customHeight="1">
      <c r="B55" s="19"/>
      <c r="D55" s="52" t="s">
        <v>58</v>
      </c>
      <c r="E55" s="53"/>
      <c r="G55" s="55"/>
      <c r="H55" s="12"/>
    </row>
    <row r="56" ht="14.25" customHeight="1">
      <c r="B56" s="19"/>
      <c r="G56" s="55"/>
      <c r="H56" s="12"/>
    </row>
    <row r="57" ht="14.25" customHeight="1">
      <c r="B57" s="19"/>
      <c r="G57" s="55"/>
      <c r="H57" s="12"/>
    </row>
    <row r="58" ht="14.25" customHeight="1">
      <c r="B58" s="19"/>
      <c r="G58" s="55"/>
      <c r="H58" s="12"/>
    </row>
    <row r="59" ht="14.25" customHeight="1">
      <c r="B59" s="19"/>
      <c r="G59" s="55"/>
      <c r="H59" s="12"/>
    </row>
    <row r="60" ht="14.25" customHeight="1">
      <c r="B60" s="19"/>
      <c r="G60" s="55"/>
      <c r="H60" s="12"/>
    </row>
    <row r="61" ht="14.25" customHeight="1">
      <c r="B61" s="19"/>
      <c r="G61" s="55"/>
      <c r="H61" s="12"/>
    </row>
    <row r="62" ht="14.25" customHeight="1">
      <c r="B62" s="19"/>
      <c r="G62" s="55"/>
      <c r="H62" s="12"/>
    </row>
    <row r="63" ht="14.25" customHeight="1">
      <c r="B63" s="19"/>
      <c r="G63" s="55"/>
      <c r="H63" s="12"/>
    </row>
    <row r="64" ht="14.25" customHeight="1">
      <c r="B64" s="19"/>
      <c r="G64" s="55"/>
      <c r="H64" s="12"/>
    </row>
    <row r="65" ht="14.25" customHeight="1">
      <c r="B65" s="19"/>
      <c r="G65" s="55"/>
      <c r="H65" s="12"/>
    </row>
    <row r="66" ht="14.25" customHeight="1">
      <c r="B66" s="19"/>
      <c r="G66" s="55"/>
      <c r="H66" s="12"/>
    </row>
    <row r="67" ht="14.25" customHeight="1">
      <c r="B67" s="19"/>
      <c r="G67" s="55"/>
      <c r="H67" s="12"/>
    </row>
    <row r="68" ht="14.25" customHeight="1">
      <c r="B68" s="19"/>
      <c r="G68" s="55"/>
      <c r="H68" s="12"/>
    </row>
    <row r="69" ht="14.25" customHeight="1">
      <c r="B69" s="19"/>
      <c r="G69" s="55"/>
      <c r="H69" s="12"/>
    </row>
    <row r="70" ht="14.25" customHeight="1">
      <c r="B70" s="19"/>
      <c r="G70" s="55"/>
      <c r="H70" s="12"/>
    </row>
    <row r="71" ht="14.25" customHeight="1">
      <c r="B71" s="19"/>
      <c r="G71" s="55"/>
      <c r="H71" s="12"/>
    </row>
    <row r="72" ht="14.25" customHeight="1">
      <c r="B72" s="19"/>
      <c r="G72" s="55"/>
      <c r="H72" s="12"/>
    </row>
    <row r="73" ht="14.25" customHeight="1">
      <c r="B73" s="19"/>
      <c r="G73" s="55"/>
      <c r="H73" s="12"/>
    </row>
    <row r="74" ht="14.25" customHeight="1">
      <c r="B74" s="19"/>
      <c r="G74" s="55"/>
      <c r="H74" s="12"/>
    </row>
    <row r="75" ht="14.25" customHeight="1">
      <c r="B75" s="19"/>
      <c r="G75" s="55"/>
      <c r="H75" s="12"/>
    </row>
    <row r="76" ht="14.25" customHeight="1">
      <c r="B76" s="19"/>
      <c r="G76" s="55"/>
      <c r="H76" s="12"/>
    </row>
    <row r="77" ht="14.25" customHeight="1">
      <c r="B77" s="19"/>
      <c r="G77" s="55"/>
      <c r="H77" s="12"/>
    </row>
    <row r="78" ht="14.25" customHeight="1">
      <c r="B78" s="19"/>
      <c r="G78" s="55"/>
      <c r="H78" s="12"/>
    </row>
    <row r="79" ht="14.25" customHeight="1">
      <c r="B79" s="19"/>
      <c r="G79" s="55"/>
      <c r="H79" s="12"/>
    </row>
    <row r="80" ht="14.25" customHeight="1">
      <c r="B80" s="19"/>
      <c r="G80" s="55"/>
      <c r="H80" s="12"/>
    </row>
    <row r="81" ht="14.25" customHeight="1">
      <c r="B81" s="19"/>
      <c r="G81" s="55"/>
      <c r="H81" s="12"/>
    </row>
    <row r="82" ht="14.25" customHeight="1">
      <c r="B82" s="19"/>
      <c r="G82" s="55"/>
      <c r="H82" s="12"/>
    </row>
    <row r="83" ht="14.25" customHeight="1">
      <c r="B83" s="19"/>
      <c r="G83" s="55"/>
      <c r="H83" s="12"/>
    </row>
    <row r="84" ht="14.25" customHeight="1">
      <c r="B84" s="19"/>
      <c r="G84" s="55"/>
      <c r="H84" s="12"/>
    </row>
    <row r="85" ht="14.25" customHeight="1">
      <c r="B85" s="19"/>
      <c r="G85" s="55"/>
      <c r="H85" s="12"/>
    </row>
    <row r="86" ht="14.25" customHeight="1">
      <c r="B86" s="19"/>
      <c r="G86" s="55"/>
      <c r="H86" s="12"/>
    </row>
    <row r="87" ht="14.25" customHeight="1">
      <c r="B87" s="19"/>
      <c r="G87" s="55"/>
      <c r="H87" s="12"/>
    </row>
    <row r="88" ht="14.25" customHeight="1">
      <c r="B88" s="19"/>
      <c r="G88" s="55"/>
      <c r="H88" s="12"/>
    </row>
    <row r="89" ht="14.25" customHeight="1">
      <c r="B89" s="19"/>
      <c r="G89" s="55"/>
      <c r="H89" s="12"/>
    </row>
    <row r="90" ht="14.25" customHeight="1">
      <c r="B90" s="19"/>
      <c r="G90" s="55"/>
      <c r="H90" s="12"/>
    </row>
    <row r="91" ht="14.25" customHeight="1">
      <c r="B91" s="19"/>
      <c r="G91" s="55"/>
      <c r="H91" s="12"/>
    </row>
    <row r="92" ht="14.25" customHeight="1">
      <c r="B92" s="19"/>
      <c r="G92" s="55"/>
      <c r="H92" s="12"/>
    </row>
    <row r="93" ht="14.25" customHeight="1">
      <c r="B93" s="19"/>
      <c r="G93" s="55"/>
      <c r="H93" s="12"/>
    </row>
    <row r="94" ht="14.25" customHeight="1">
      <c r="B94" s="19"/>
      <c r="G94" s="55"/>
      <c r="H94" s="12"/>
    </row>
    <row r="95" ht="14.25" customHeight="1">
      <c r="B95" s="19"/>
      <c r="G95" s="55"/>
      <c r="H95" s="12"/>
    </row>
    <row r="96" ht="14.25" customHeight="1">
      <c r="B96" s="19"/>
      <c r="G96" s="55"/>
      <c r="H96" s="12"/>
    </row>
    <row r="97" ht="14.25" customHeight="1">
      <c r="B97" s="19"/>
      <c r="G97" s="55"/>
      <c r="H97" s="12"/>
    </row>
    <row r="98" ht="14.25" customHeight="1">
      <c r="B98" s="19"/>
      <c r="G98" s="55"/>
      <c r="H98" s="12"/>
    </row>
    <row r="99" ht="14.25" customHeight="1">
      <c r="B99" s="19"/>
      <c r="G99" s="55"/>
      <c r="H99" s="12"/>
    </row>
    <row r="100" ht="14.25" customHeight="1">
      <c r="B100" s="19"/>
      <c r="G100" s="55"/>
      <c r="H100" s="12"/>
    </row>
    <row r="101" ht="14.25" customHeight="1">
      <c r="B101" s="19"/>
      <c r="G101" s="55"/>
      <c r="H101" s="12"/>
    </row>
    <row r="102" ht="14.25" customHeight="1">
      <c r="B102" s="19"/>
      <c r="G102" s="55"/>
      <c r="H102" s="12"/>
    </row>
    <row r="103" ht="14.25" customHeight="1">
      <c r="B103" s="19"/>
      <c r="G103" s="55"/>
      <c r="H103" s="12"/>
    </row>
    <row r="104" ht="14.25" customHeight="1">
      <c r="B104" s="19"/>
      <c r="G104" s="55"/>
      <c r="H104" s="12"/>
    </row>
    <row r="105" ht="14.25" customHeight="1">
      <c r="B105" s="19"/>
      <c r="G105" s="55"/>
      <c r="H105" s="12"/>
    </row>
    <row r="106" ht="14.25" customHeight="1">
      <c r="B106" s="19"/>
      <c r="G106" s="55"/>
      <c r="H106" s="12"/>
    </row>
    <row r="107" ht="14.25" customHeight="1">
      <c r="B107" s="19"/>
      <c r="G107" s="55"/>
      <c r="H107" s="12"/>
    </row>
    <row r="108" ht="14.25" customHeight="1">
      <c r="B108" s="19"/>
      <c r="G108" s="55"/>
      <c r="H108" s="12"/>
    </row>
    <row r="109" ht="14.25" customHeight="1">
      <c r="B109" s="19"/>
      <c r="G109" s="55"/>
      <c r="H109" s="12"/>
    </row>
    <row r="110" ht="14.25" customHeight="1">
      <c r="B110" s="19"/>
      <c r="G110" s="55"/>
      <c r="H110" s="12"/>
    </row>
    <row r="111" ht="14.25" customHeight="1">
      <c r="B111" s="19"/>
      <c r="G111" s="55"/>
      <c r="H111" s="12"/>
    </row>
    <row r="112" ht="14.25" customHeight="1">
      <c r="B112" s="19"/>
      <c r="G112" s="55"/>
      <c r="H112" s="12"/>
    </row>
    <row r="113" ht="14.25" customHeight="1">
      <c r="B113" s="19"/>
      <c r="G113" s="55"/>
      <c r="H113" s="12"/>
    </row>
    <row r="114" ht="14.25" customHeight="1">
      <c r="B114" s="19"/>
      <c r="G114" s="55"/>
      <c r="H114" s="12"/>
    </row>
    <row r="115" ht="14.25" customHeight="1">
      <c r="B115" s="19"/>
      <c r="G115" s="55"/>
      <c r="H115" s="12"/>
    </row>
    <row r="116" ht="14.25" customHeight="1">
      <c r="B116" s="19"/>
      <c r="G116" s="55"/>
      <c r="H116" s="12"/>
    </row>
    <row r="117" ht="14.25" customHeight="1">
      <c r="B117" s="19"/>
      <c r="G117" s="55"/>
      <c r="H117" s="12"/>
    </row>
    <row r="118" ht="14.25" customHeight="1">
      <c r="B118" s="19"/>
      <c r="G118" s="55"/>
      <c r="H118" s="12"/>
    </row>
    <row r="119" ht="14.25" customHeight="1">
      <c r="B119" s="19"/>
      <c r="G119" s="55"/>
      <c r="H119" s="12"/>
    </row>
    <row r="120" ht="14.25" customHeight="1">
      <c r="B120" s="19"/>
      <c r="G120" s="55"/>
      <c r="H120" s="12"/>
    </row>
    <row r="121" ht="14.25" customHeight="1">
      <c r="B121" s="19"/>
      <c r="G121" s="55"/>
      <c r="H121" s="12"/>
    </row>
    <row r="122" ht="14.25" customHeight="1">
      <c r="B122" s="19"/>
      <c r="G122" s="55"/>
      <c r="H122" s="12"/>
    </row>
    <row r="123" ht="14.25" customHeight="1">
      <c r="B123" s="19"/>
      <c r="G123" s="55"/>
      <c r="H123" s="12"/>
    </row>
    <row r="124" ht="14.25" customHeight="1">
      <c r="B124" s="19"/>
      <c r="G124" s="55"/>
      <c r="H124" s="12"/>
    </row>
    <row r="125" ht="14.25" customHeight="1">
      <c r="B125" s="19"/>
      <c r="G125" s="55"/>
      <c r="H125" s="12"/>
    </row>
    <row r="126" ht="14.25" customHeight="1">
      <c r="B126" s="19"/>
      <c r="G126" s="55"/>
      <c r="H126" s="12"/>
    </row>
    <row r="127" ht="14.25" customHeight="1">
      <c r="B127" s="19"/>
      <c r="G127" s="55"/>
      <c r="H127" s="12"/>
    </row>
    <row r="128" ht="14.25" customHeight="1">
      <c r="B128" s="19"/>
      <c r="G128" s="55"/>
      <c r="H128" s="12"/>
    </row>
    <row r="129" ht="14.25" customHeight="1">
      <c r="B129" s="19"/>
      <c r="G129" s="55"/>
      <c r="H129" s="12"/>
    </row>
    <row r="130" ht="14.25" customHeight="1">
      <c r="B130" s="19"/>
      <c r="G130" s="55"/>
      <c r="H130" s="12"/>
    </row>
    <row r="131" ht="14.25" customHeight="1">
      <c r="B131" s="19"/>
      <c r="G131" s="55"/>
      <c r="H131" s="12"/>
    </row>
    <row r="132" ht="14.25" customHeight="1">
      <c r="B132" s="19"/>
      <c r="G132" s="55"/>
      <c r="H132" s="12"/>
    </row>
    <row r="133" ht="14.25" customHeight="1">
      <c r="B133" s="19"/>
      <c r="G133" s="55"/>
      <c r="H133" s="12"/>
    </row>
    <row r="134" ht="14.25" customHeight="1">
      <c r="B134" s="19"/>
      <c r="G134" s="55"/>
      <c r="H134" s="12"/>
    </row>
    <row r="135" ht="14.25" customHeight="1">
      <c r="B135" s="19"/>
      <c r="G135" s="55"/>
      <c r="H135" s="12"/>
    </row>
    <row r="136" ht="14.25" customHeight="1">
      <c r="B136" s="19"/>
      <c r="G136" s="55"/>
      <c r="H136" s="12"/>
    </row>
    <row r="137" ht="14.25" customHeight="1">
      <c r="B137" s="19"/>
      <c r="G137" s="55"/>
      <c r="H137" s="12"/>
    </row>
    <row r="138" ht="14.25" customHeight="1">
      <c r="B138" s="19"/>
      <c r="G138" s="55"/>
      <c r="H138" s="12"/>
    </row>
    <row r="139" ht="14.25" customHeight="1">
      <c r="B139" s="19"/>
      <c r="G139" s="55"/>
      <c r="H139" s="12"/>
    </row>
    <row r="140" ht="14.25" customHeight="1">
      <c r="B140" s="19"/>
      <c r="G140" s="55"/>
      <c r="H140" s="12"/>
    </row>
    <row r="141" ht="14.25" customHeight="1">
      <c r="B141" s="19"/>
      <c r="G141" s="55"/>
      <c r="H141" s="12"/>
    </row>
    <row r="142" ht="14.25" customHeight="1">
      <c r="B142" s="19"/>
      <c r="G142" s="55"/>
      <c r="H142" s="12"/>
    </row>
    <row r="143" ht="14.25" customHeight="1">
      <c r="B143" s="19"/>
      <c r="G143" s="55"/>
      <c r="H143" s="12"/>
    </row>
    <row r="144" ht="14.25" customHeight="1">
      <c r="B144" s="19"/>
      <c r="G144" s="55"/>
      <c r="H144" s="12"/>
    </row>
    <row r="145" ht="14.25" customHeight="1">
      <c r="B145" s="19"/>
      <c r="G145" s="55"/>
      <c r="H145" s="12"/>
    </row>
    <row r="146" ht="14.25" customHeight="1">
      <c r="B146" s="19"/>
      <c r="G146" s="55"/>
      <c r="H146" s="12"/>
    </row>
    <row r="147" ht="14.25" customHeight="1">
      <c r="B147" s="19"/>
      <c r="G147" s="55"/>
      <c r="H147" s="12"/>
    </row>
    <row r="148" ht="14.25" customHeight="1">
      <c r="B148" s="19"/>
      <c r="G148" s="55"/>
      <c r="H148" s="12"/>
    </row>
    <row r="149" ht="14.25" customHeight="1">
      <c r="B149" s="19"/>
      <c r="G149" s="55"/>
      <c r="H149" s="12"/>
    </row>
    <row r="150" ht="14.25" customHeight="1">
      <c r="B150" s="19"/>
      <c r="G150" s="55"/>
      <c r="H150" s="12"/>
    </row>
    <row r="151" ht="14.25" customHeight="1">
      <c r="B151" s="19"/>
      <c r="G151" s="55"/>
      <c r="H151" s="12"/>
    </row>
    <row r="152" ht="14.25" customHeight="1">
      <c r="B152" s="19"/>
      <c r="G152" s="55"/>
      <c r="H152" s="12"/>
    </row>
    <row r="153" ht="14.25" customHeight="1">
      <c r="B153" s="19"/>
      <c r="G153" s="55"/>
      <c r="H153" s="12"/>
    </row>
    <row r="154" ht="14.25" customHeight="1">
      <c r="B154" s="19"/>
      <c r="G154" s="55"/>
      <c r="H154" s="12"/>
    </row>
    <row r="155" ht="14.25" customHeight="1">
      <c r="B155" s="19"/>
      <c r="G155" s="55"/>
      <c r="H155" s="12"/>
    </row>
    <row r="156" ht="14.25" customHeight="1">
      <c r="B156" s="19"/>
      <c r="G156" s="55"/>
      <c r="H156" s="12"/>
    </row>
    <row r="157" ht="14.25" customHeight="1">
      <c r="B157" s="19"/>
      <c r="G157" s="55"/>
      <c r="H157" s="12"/>
    </row>
    <row r="158" ht="14.25" customHeight="1">
      <c r="B158" s="19"/>
      <c r="G158" s="55"/>
      <c r="H158" s="12"/>
    </row>
    <row r="159" ht="14.25" customHeight="1">
      <c r="B159" s="19"/>
      <c r="G159" s="55"/>
      <c r="H159" s="12"/>
    </row>
    <row r="160" ht="14.25" customHeight="1">
      <c r="B160" s="19"/>
      <c r="G160" s="55"/>
      <c r="H160" s="12"/>
    </row>
    <row r="161" ht="14.25" customHeight="1">
      <c r="B161" s="19"/>
      <c r="G161" s="55"/>
      <c r="H161" s="12"/>
    </row>
    <row r="162" ht="14.25" customHeight="1">
      <c r="B162" s="19"/>
      <c r="G162" s="55"/>
      <c r="H162" s="12"/>
    </row>
    <row r="163" ht="14.25" customHeight="1">
      <c r="B163" s="19"/>
      <c r="G163" s="55"/>
      <c r="H163" s="12"/>
    </row>
    <row r="164" ht="14.25" customHeight="1">
      <c r="B164" s="19"/>
      <c r="G164" s="55"/>
      <c r="H164" s="12"/>
    </row>
    <row r="165" ht="14.25" customHeight="1">
      <c r="B165" s="19"/>
      <c r="G165" s="55"/>
      <c r="H165" s="12"/>
    </row>
    <row r="166" ht="14.25" customHeight="1">
      <c r="B166" s="19"/>
      <c r="G166" s="55"/>
      <c r="H166" s="12"/>
    </row>
    <row r="167" ht="14.25" customHeight="1">
      <c r="B167" s="19"/>
      <c r="G167" s="55"/>
      <c r="H167" s="12"/>
    </row>
    <row r="168" ht="14.25" customHeight="1">
      <c r="B168" s="19"/>
      <c r="G168" s="55"/>
      <c r="H168" s="12"/>
    </row>
    <row r="169" ht="14.25" customHeight="1">
      <c r="B169" s="19"/>
      <c r="G169" s="55"/>
      <c r="H169" s="12"/>
    </row>
    <row r="170" ht="14.25" customHeight="1">
      <c r="B170" s="19"/>
      <c r="G170" s="55"/>
      <c r="H170" s="12"/>
    </row>
    <row r="171" ht="14.25" customHeight="1">
      <c r="B171" s="19"/>
      <c r="G171" s="55"/>
      <c r="H171" s="12"/>
    </row>
    <row r="172" ht="14.25" customHeight="1">
      <c r="B172" s="19"/>
      <c r="G172" s="55"/>
      <c r="H172" s="12"/>
    </row>
    <row r="173" ht="14.25" customHeight="1">
      <c r="B173" s="19"/>
      <c r="G173" s="55"/>
      <c r="H173" s="12"/>
    </row>
    <row r="174" ht="14.25" customHeight="1">
      <c r="B174" s="19"/>
      <c r="G174" s="55"/>
      <c r="H174" s="12"/>
    </row>
    <row r="175" ht="14.25" customHeight="1">
      <c r="B175" s="19"/>
      <c r="G175" s="55"/>
      <c r="H175" s="12"/>
    </row>
    <row r="176" ht="14.25" customHeight="1">
      <c r="B176" s="19"/>
      <c r="G176" s="55"/>
      <c r="H176" s="12"/>
    </row>
    <row r="177" ht="14.25" customHeight="1">
      <c r="B177" s="19"/>
      <c r="G177" s="55"/>
      <c r="H177" s="12"/>
    </row>
    <row r="178" ht="14.25" customHeight="1">
      <c r="B178" s="19"/>
      <c r="G178" s="55"/>
      <c r="H178" s="12"/>
    </row>
    <row r="179" ht="14.25" customHeight="1">
      <c r="B179" s="19"/>
      <c r="G179" s="55"/>
      <c r="H179" s="12"/>
    </row>
    <row r="180" ht="14.25" customHeight="1">
      <c r="B180" s="19"/>
      <c r="G180" s="55"/>
      <c r="H180" s="12"/>
    </row>
    <row r="181" ht="14.25" customHeight="1">
      <c r="B181" s="19"/>
      <c r="G181" s="55"/>
      <c r="H181" s="12"/>
    </row>
    <row r="182" ht="14.25" customHeight="1">
      <c r="B182" s="19"/>
      <c r="G182" s="55"/>
      <c r="H182" s="12"/>
    </row>
    <row r="183" ht="14.25" customHeight="1">
      <c r="B183" s="19"/>
      <c r="G183" s="55"/>
      <c r="H183" s="12"/>
    </row>
    <row r="184" ht="14.25" customHeight="1">
      <c r="B184" s="19"/>
      <c r="G184" s="55"/>
      <c r="H184" s="12"/>
    </row>
    <row r="185" ht="14.25" customHeight="1">
      <c r="B185" s="19"/>
      <c r="G185" s="55"/>
      <c r="H185" s="12"/>
    </row>
    <row r="186" ht="14.25" customHeight="1">
      <c r="B186" s="19"/>
      <c r="G186" s="55"/>
      <c r="H186" s="12"/>
    </row>
    <row r="187" ht="14.25" customHeight="1">
      <c r="B187" s="19"/>
      <c r="G187" s="55"/>
      <c r="H187" s="12"/>
    </row>
    <row r="188" ht="14.25" customHeight="1">
      <c r="B188" s="19"/>
      <c r="G188" s="55"/>
      <c r="H188" s="12"/>
    </row>
    <row r="189" ht="14.25" customHeight="1">
      <c r="B189" s="19"/>
      <c r="G189" s="55"/>
      <c r="H189" s="12"/>
    </row>
    <row r="190" ht="14.25" customHeight="1">
      <c r="B190" s="19"/>
      <c r="G190" s="55"/>
      <c r="H190" s="12"/>
    </row>
    <row r="191" ht="14.25" customHeight="1">
      <c r="B191" s="19"/>
      <c r="G191" s="55"/>
      <c r="H191" s="12"/>
    </row>
    <row r="192" ht="14.25" customHeight="1">
      <c r="B192" s="19"/>
      <c r="G192" s="55"/>
      <c r="H192" s="12"/>
    </row>
    <row r="193" ht="14.25" customHeight="1">
      <c r="B193" s="19"/>
      <c r="G193" s="55"/>
      <c r="H193" s="12"/>
    </row>
    <row r="194" ht="14.25" customHeight="1">
      <c r="B194" s="19"/>
      <c r="G194" s="55"/>
      <c r="H194" s="12"/>
    </row>
    <row r="195" ht="14.25" customHeight="1">
      <c r="B195" s="19"/>
      <c r="G195" s="55"/>
      <c r="H195" s="12"/>
    </row>
    <row r="196" ht="14.25" customHeight="1">
      <c r="B196" s="19"/>
      <c r="G196" s="55"/>
      <c r="H196" s="12"/>
    </row>
    <row r="197" ht="14.25" customHeight="1">
      <c r="B197" s="19"/>
      <c r="G197" s="55"/>
      <c r="H197" s="12"/>
    </row>
    <row r="198" ht="14.25" customHeight="1">
      <c r="B198" s="19"/>
      <c r="G198" s="55"/>
      <c r="H198" s="12"/>
    </row>
    <row r="199" ht="14.25" customHeight="1">
      <c r="B199" s="19"/>
      <c r="G199" s="55"/>
      <c r="H199" s="12"/>
    </row>
    <row r="200" ht="14.25" customHeight="1">
      <c r="B200" s="19"/>
      <c r="G200" s="55"/>
      <c r="H200" s="12"/>
    </row>
    <row r="201" ht="14.25" customHeight="1">
      <c r="B201" s="19"/>
      <c r="G201" s="55"/>
      <c r="H201" s="12"/>
    </row>
    <row r="202" ht="14.25" customHeight="1">
      <c r="B202" s="19"/>
      <c r="G202" s="55"/>
      <c r="H202" s="12"/>
    </row>
    <row r="203" ht="14.25" customHeight="1">
      <c r="B203" s="19"/>
      <c r="G203" s="55"/>
      <c r="H203" s="12"/>
    </row>
    <row r="204" ht="14.25" customHeight="1">
      <c r="B204" s="19"/>
      <c r="G204" s="55"/>
      <c r="H204" s="12"/>
    </row>
    <row r="205" ht="14.25" customHeight="1">
      <c r="B205" s="19"/>
      <c r="G205" s="55"/>
      <c r="H205" s="12"/>
    </row>
    <row r="206" ht="14.25" customHeight="1">
      <c r="B206" s="19"/>
      <c r="G206" s="55"/>
      <c r="H206" s="12"/>
    </row>
    <row r="207" ht="14.25" customHeight="1">
      <c r="B207" s="19"/>
      <c r="G207" s="55"/>
      <c r="H207" s="12"/>
    </row>
    <row r="208" ht="14.25" customHeight="1">
      <c r="B208" s="19"/>
      <c r="G208" s="55"/>
      <c r="H208" s="12"/>
    </row>
    <row r="209" ht="14.25" customHeight="1">
      <c r="B209" s="19"/>
      <c r="G209" s="55"/>
      <c r="H209" s="12"/>
    </row>
    <row r="210" ht="14.25" customHeight="1">
      <c r="B210" s="19"/>
      <c r="G210" s="55"/>
      <c r="H210" s="12"/>
    </row>
    <row r="211" ht="14.25" customHeight="1">
      <c r="B211" s="19"/>
      <c r="G211" s="55"/>
      <c r="H211" s="12"/>
    </row>
    <row r="212" ht="14.25" customHeight="1">
      <c r="B212" s="19"/>
      <c r="G212" s="55"/>
      <c r="H212" s="12"/>
    </row>
    <row r="213" ht="14.25" customHeight="1">
      <c r="B213" s="19"/>
      <c r="G213" s="55"/>
      <c r="H213" s="12"/>
    </row>
    <row r="214" ht="14.25" customHeight="1">
      <c r="B214" s="19"/>
      <c r="G214" s="55"/>
      <c r="H214" s="12"/>
    </row>
    <row r="215" ht="14.25" customHeight="1">
      <c r="B215" s="19"/>
      <c r="G215" s="55"/>
      <c r="H215" s="12"/>
    </row>
    <row r="216" ht="14.25" customHeight="1">
      <c r="B216" s="19"/>
      <c r="G216" s="55"/>
      <c r="H216" s="12"/>
    </row>
    <row r="217" ht="14.25" customHeight="1">
      <c r="B217" s="19"/>
      <c r="G217" s="55"/>
      <c r="H217" s="12"/>
    </row>
    <row r="218" ht="14.25" customHeight="1">
      <c r="B218" s="19"/>
      <c r="G218" s="55"/>
      <c r="H218" s="12"/>
    </row>
    <row r="219" ht="14.25" customHeight="1">
      <c r="B219" s="19"/>
      <c r="G219" s="55"/>
      <c r="H219" s="12"/>
    </row>
    <row r="220" ht="14.25" customHeight="1">
      <c r="B220" s="19"/>
      <c r="G220" s="55"/>
      <c r="H220" s="12"/>
    </row>
    <row r="221" ht="14.25" customHeight="1">
      <c r="B221" s="19"/>
      <c r="G221" s="55"/>
      <c r="H221" s="12"/>
    </row>
    <row r="222" ht="14.25" customHeight="1">
      <c r="B222" s="19"/>
      <c r="G222" s="55"/>
      <c r="H222" s="12"/>
    </row>
    <row r="223" ht="14.25" customHeight="1">
      <c r="B223" s="19"/>
      <c r="G223" s="55"/>
      <c r="H223" s="12"/>
    </row>
    <row r="224" ht="14.25" customHeight="1">
      <c r="B224" s="19"/>
      <c r="G224" s="55"/>
      <c r="H224" s="12"/>
    </row>
    <row r="225" ht="14.25" customHeight="1">
      <c r="B225" s="19"/>
      <c r="G225" s="55"/>
      <c r="H225" s="12"/>
    </row>
    <row r="226" ht="14.25" customHeight="1">
      <c r="B226" s="19"/>
      <c r="G226" s="55"/>
      <c r="H226" s="12"/>
    </row>
    <row r="227" ht="14.25" customHeight="1">
      <c r="B227" s="19"/>
      <c r="G227" s="55"/>
      <c r="H227" s="12"/>
    </row>
    <row r="228" ht="14.25" customHeight="1">
      <c r="B228" s="19"/>
      <c r="G228" s="55"/>
      <c r="H228" s="12"/>
    </row>
    <row r="229" ht="14.25" customHeight="1">
      <c r="B229" s="19"/>
      <c r="G229" s="55"/>
      <c r="H229" s="12"/>
    </row>
    <row r="230" ht="14.25" customHeight="1">
      <c r="B230" s="19"/>
      <c r="G230" s="55"/>
      <c r="H230" s="12"/>
    </row>
    <row r="231" ht="14.25" customHeight="1">
      <c r="B231" s="19"/>
      <c r="G231" s="55"/>
      <c r="H231" s="12"/>
    </row>
    <row r="232" ht="14.25" customHeight="1">
      <c r="B232" s="19"/>
      <c r="G232" s="55"/>
      <c r="H232" s="12"/>
    </row>
    <row r="233" ht="14.25" customHeight="1">
      <c r="B233" s="19"/>
      <c r="G233" s="55"/>
      <c r="H233" s="12"/>
    </row>
    <row r="234" ht="14.25" customHeight="1">
      <c r="B234" s="19"/>
      <c r="G234" s="55"/>
      <c r="H234" s="12"/>
    </row>
    <row r="235" ht="14.25" customHeight="1">
      <c r="B235" s="19"/>
      <c r="G235" s="55"/>
      <c r="H235" s="12"/>
    </row>
    <row r="236" ht="14.25" customHeight="1">
      <c r="B236" s="19"/>
      <c r="G236" s="55"/>
      <c r="H236" s="12"/>
    </row>
    <row r="237" ht="14.25" customHeight="1">
      <c r="B237" s="19"/>
      <c r="G237" s="55"/>
      <c r="H237" s="12"/>
    </row>
    <row r="238" ht="14.25" customHeight="1">
      <c r="B238" s="19"/>
      <c r="G238" s="55"/>
      <c r="H238" s="12"/>
    </row>
    <row r="239" ht="14.25" customHeight="1">
      <c r="B239" s="19"/>
      <c r="G239" s="55"/>
      <c r="H239" s="12"/>
    </row>
    <row r="240" ht="14.25" customHeight="1">
      <c r="B240" s="19"/>
      <c r="G240" s="55"/>
      <c r="H240" s="12"/>
    </row>
    <row r="241" ht="14.25" customHeight="1">
      <c r="B241" s="19"/>
      <c r="G241" s="55"/>
      <c r="H241" s="12"/>
    </row>
    <row r="242" ht="14.25" customHeight="1">
      <c r="B242" s="19"/>
      <c r="G242" s="55"/>
      <c r="H242" s="12"/>
    </row>
    <row r="243" ht="14.25" customHeight="1">
      <c r="B243" s="19"/>
      <c r="G243" s="55"/>
      <c r="H243" s="12"/>
    </row>
    <row r="244" ht="14.25" customHeight="1">
      <c r="B244" s="19"/>
      <c r="G244" s="55"/>
      <c r="H244" s="12"/>
    </row>
    <row r="245" ht="14.25" customHeight="1">
      <c r="B245" s="19"/>
      <c r="G245" s="55"/>
      <c r="H245" s="12"/>
    </row>
    <row r="246" ht="14.25" customHeight="1">
      <c r="B246" s="19"/>
      <c r="G246" s="55"/>
      <c r="H246" s="12"/>
    </row>
    <row r="247" ht="14.25" customHeight="1">
      <c r="B247" s="19"/>
      <c r="G247" s="55"/>
      <c r="H247" s="12"/>
    </row>
    <row r="248" ht="14.25" customHeight="1">
      <c r="B248" s="19"/>
      <c r="G248" s="55"/>
      <c r="H248" s="12"/>
    </row>
    <row r="249" ht="14.25" customHeight="1">
      <c r="B249" s="19"/>
      <c r="G249" s="55"/>
      <c r="H249" s="12"/>
    </row>
    <row r="250" ht="14.25" customHeight="1">
      <c r="B250" s="19"/>
      <c r="G250" s="55"/>
      <c r="H250" s="12"/>
    </row>
    <row r="251" ht="14.25" customHeight="1">
      <c r="B251" s="19"/>
      <c r="G251" s="55"/>
      <c r="H251" s="12"/>
    </row>
    <row r="252" ht="14.25" customHeight="1">
      <c r="B252" s="19"/>
      <c r="G252" s="55"/>
      <c r="H252" s="12"/>
    </row>
    <row r="253" ht="14.25" customHeight="1">
      <c r="B253" s="19"/>
      <c r="G253" s="55"/>
      <c r="H253" s="12"/>
    </row>
    <row r="254" ht="14.25" customHeight="1">
      <c r="B254" s="19"/>
      <c r="G254" s="55"/>
      <c r="H254" s="12"/>
    </row>
    <row r="255" ht="14.25" customHeight="1">
      <c r="B255" s="19"/>
      <c r="G255" s="55"/>
      <c r="H255" s="12"/>
    </row>
    <row r="256" ht="14.25" customHeight="1">
      <c r="B256" s="19"/>
      <c r="G256" s="55"/>
      <c r="H256" s="12"/>
    </row>
    <row r="257" ht="14.25" customHeight="1">
      <c r="B257" s="19"/>
      <c r="G257" s="55"/>
      <c r="H257" s="12"/>
    </row>
    <row r="258" ht="14.25" customHeight="1">
      <c r="B258" s="19"/>
      <c r="G258" s="55"/>
      <c r="H258" s="12"/>
    </row>
    <row r="259" ht="14.25" customHeight="1">
      <c r="B259" s="19"/>
      <c r="G259" s="55"/>
      <c r="H259" s="12"/>
    </row>
    <row r="260" ht="14.25" customHeight="1">
      <c r="B260" s="19"/>
      <c r="G260" s="55"/>
      <c r="H260" s="12"/>
    </row>
    <row r="261" ht="14.25" customHeight="1">
      <c r="B261" s="19"/>
      <c r="G261" s="55"/>
      <c r="H261" s="12"/>
    </row>
    <row r="262" ht="14.25" customHeight="1">
      <c r="B262" s="19"/>
      <c r="G262" s="55"/>
      <c r="H262" s="12"/>
    </row>
    <row r="263" ht="14.25" customHeight="1">
      <c r="B263" s="19"/>
      <c r="G263" s="55"/>
      <c r="H263" s="12"/>
    </row>
    <row r="264" ht="14.25" customHeight="1">
      <c r="B264" s="19"/>
      <c r="G264" s="55"/>
      <c r="H264" s="12"/>
    </row>
    <row r="265" ht="14.25" customHeight="1">
      <c r="B265" s="19"/>
      <c r="G265" s="55"/>
      <c r="H265" s="12"/>
    </row>
    <row r="266" ht="14.25" customHeight="1">
      <c r="B266" s="19"/>
      <c r="G266" s="55"/>
      <c r="H266" s="12"/>
    </row>
    <row r="267" ht="14.25" customHeight="1">
      <c r="B267" s="19"/>
      <c r="G267" s="55"/>
      <c r="H267" s="12"/>
    </row>
    <row r="268" ht="14.25" customHeight="1">
      <c r="B268" s="19"/>
      <c r="G268" s="55"/>
      <c r="H268" s="12"/>
    </row>
    <row r="269" ht="14.25" customHeight="1">
      <c r="B269" s="19"/>
      <c r="G269" s="55"/>
      <c r="H269" s="12"/>
    </row>
    <row r="270" ht="14.25" customHeight="1">
      <c r="B270" s="19"/>
      <c r="G270" s="55"/>
      <c r="H270" s="12"/>
    </row>
    <row r="271" ht="14.25" customHeight="1">
      <c r="B271" s="19"/>
      <c r="G271" s="55"/>
      <c r="H271" s="12"/>
    </row>
    <row r="272" ht="14.25" customHeight="1">
      <c r="B272" s="19"/>
      <c r="G272" s="55"/>
      <c r="H272" s="12"/>
    </row>
    <row r="273" ht="14.25" customHeight="1">
      <c r="B273" s="19"/>
      <c r="G273" s="55"/>
      <c r="H273" s="12"/>
    </row>
    <row r="274" ht="14.25" customHeight="1">
      <c r="B274" s="19"/>
      <c r="G274" s="55"/>
      <c r="H274" s="12"/>
    </row>
    <row r="275" ht="14.25" customHeight="1">
      <c r="B275" s="19"/>
      <c r="G275" s="55"/>
      <c r="H275" s="12"/>
    </row>
    <row r="276" ht="14.25" customHeight="1">
      <c r="B276" s="19"/>
      <c r="G276" s="55"/>
      <c r="H276" s="12"/>
    </row>
    <row r="277" ht="14.25" customHeight="1">
      <c r="B277" s="19"/>
      <c r="G277" s="55"/>
      <c r="H277" s="12"/>
    </row>
    <row r="278" ht="14.25" customHeight="1">
      <c r="B278" s="19"/>
      <c r="G278" s="55"/>
      <c r="H278" s="12"/>
    </row>
    <row r="279" ht="14.25" customHeight="1">
      <c r="B279" s="19"/>
      <c r="G279" s="55"/>
      <c r="H279" s="12"/>
    </row>
    <row r="280" ht="14.25" customHeight="1">
      <c r="B280" s="19"/>
      <c r="G280" s="55"/>
      <c r="H280" s="12"/>
    </row>
    <row r="281" ht="14.25" customHeight="1">
      <c r="B281" s="19"/>
      <c r="G281" s="55"/>
      <c r="H281" s="12"/>
    </row>
    <row r="282" ht="14.25" customHeight="1">
      <c r="B282" s="19"/>
      <c r="G282" s="55"/>
      <c r="H282" s="12"/>
    </row>
    <row r="283" ht="14.25" customHeight="1">
      <c r="B283" s="19"/>
      <c r="G283" s="55"/>
      <c r="H283" s="12"/>
    </row>
    <row r="284" ht="14.25" customHeight="1">
      <c r="B284" s="19"/>
      <c r="G284" s="55"/>
      <c r="H284" s="12"/>
    </row>
    <row r="285" ht="14.25" customHeight="1">
      <c r="B285" s="19"/>
      <c r="G285" s="55"/>
      <c r="H285" s="12"/>
    </row>
    <row r="286" ht="14.25" customHeight="1">
      <c r="B286" s="19"/>
      <c r="G286" s="55"/>
      <c r="H286" s="12"/>
    </row>
    <row r="287" ht="14.25" customHeight="1">
      <c r="B287" s="19"/>
      <c r="G287" s="55"/>
      <c r="H287" s="12"/>
    </row>
    <row r="288" ht="14.25" customHeight="1">
      <c r="B288" s="19"/>
      <c r="G288" s="55"/>
      <c r="H288" s="12"/>
    </row>
    <row r="289" ht="14.25" customHeight="1">
      <c r="B289" s="19"/>
      <c r="G289" s="55"/>
      <c r="H289" s="12"/>
    </row>
    <row r="290" ht="14.25" customHeight="1">
      <c r="B290" s="19"/>
      <c r="G290" s="55"/>
      <c r="H290" s="12"/>
    </row>
    <row r="291" ht="14.25" customHeight="1">
      <c r="B291" s="19"/>
      <c r="G291" s="55"/>
      <c r="H291" s="12"/>
    </row>
    <row r="292" ht="14.25" customHeight="1">
      <c r="B292" s="19"/>
      <c r="G292" s="55"/>
      <c r="H292" s="12"/>
    </row>
    <row r="293" ht="14.25" customHeight="1">
      <c r="B293" s="19"/>
      <c r="G293" s="55"/>
      <c r="H293" s="12"/>
    </row>
    <row r="294" ht="14.25" customHeight="1">
      <c r="B294" s="19"/>
      <c r="G294" s="55"/>
      <c r="H294" s="12"/>
    </row>
    <row r="295" ht="14.25" customHeight="1">
      <c r="B295" s="19"/>
      <c r="G295" s="55"/>
      <c r="H295" s="12"/>
    </row>
    <row r="296" ht="14.25" customHeight="1">
      <c r="B296" s="19"/>
      <c r="G296" s="55"/>
      <c r="H296" s="12"/>
    </row>
    <row r="297" ht="14.25" customHeight="1">
      <c r="B297" s="19"/>
      <c r="G297" s="55"/>
      <c r="H297" s="12"/>
    </row>
    <row r="298" ht="14.25" customHeight="1">
      <c r="B298" s="19"/>
      <c r="G298" s="55"/>
      <c r="H298" s="12"/>
    </row>
    <row r="299" ht="14.25" customHeight="1">
      <c r="B299" s="19"/>
      <c r="G299" s="55"/>
      <c r="H299" s="12"/>
    </row>
    <row r="300" ht="14.25" customHeight="1">
      <c r="B300" s="19"/>
      <c r="G300" s="55"/>
      <c r="H300" s="12"/>
    </row>
    <row r="301" ht="14.25" customHeight="1">
      <c r="B301" s="19"/>
      <c r="G301" s="55"/>
      <c r="H301" s="12"/>
    </row>
    <row r="302" ht="14.25" customHeight="1">
      <c r="B302" s="19"/>
      <c r="G302" s="55"/>
      <c r="H302" s="12"/>
    </row>
    <row r="303" ht="14.25" customHeight="1">
      <c r="B303" s="19"/>
      <c r="G303" s="55"/>
      <c r="H303" s="12"/>
    </row>
    <row r="304" ht="14.25" customHeight="1">
      <c r="B304" s="19"/>
      <c r="G304" s="55"/>
      <c r="H304" s="12"/>
    </row>
    <row r="305" ht="14.25" customHeight="1">
      <c r="B305" s="19"/>
      <c r="G305" s="55"/>
      <c r="H305" s="12"/>
    </row>
    <row r="306" ht="14.25" customHeight="1">
      <c r="B306" s="19"/>
      <c r="G306" s="55"/>
      <c r="H306" s="12"/>
    </row>
    <row r="307" ht="14.25" customHeight="1">
      <c r="B307" s="19"/>
      <c r="G307" s="55"/>
      <c r="H307" s="12"/>
    </row>
    <row r="308" ht="14.25" customHeight="1">
      <c r="B308" s="19"/>
      <c r="G308" s="55"/>
      <c r="H308" s="12"/>
    </row>
    <row r="309" ht="14.25" customHeight="1">
      <c r="B309" s="19"/>
      <c r="G309" s="55"/>
      <c r="H309" s="12"/>
    </row>
    <row r="310" ht="14.25" customHeight="1">
      <c r="B310" s="19"/>
      <c r="G310" s="55"/>
      <c r="H310" s="12"/>
    </row>
    <row r="311" ht="14.25" customHeight="1">
      <c r="B311" s="19"/>
      <c r="G311" s="55"/>
      <c r="H311" s="12"/>
    </row>
    <row r="312" ht="14.25" customHeight="1">
      <c r="B312" s="19"/>
      <c r="G312" s="55"/>
      <c r="H312" s="12"/>
    </row>
    <row r="313" ht="14.25" customHeight="1">
      <c r="B313" s="19"/>
      <c r="G313" s="55"/>
      <c r="H313" s="12"/>
    </row>
    <row r="314" ht="14.25" customHeight="1">
      <c r="B314" s="19"/>
      <c r="G314" s="55"/>
      <c r="H314" s="12"/>
    </row>
    <row r="315" ht="14.25" customHeight="1">
      <c r="B315" s="19"/>
      <c r="G315" s="55"/>
      <c r="H315" s="12"/>
    </row>
    <row r="316" ht="14.25" customHeight="1">
      <c r="B316" s="19"/>
      <c r="G316" s="55"/>
      <c r="H316" s="12"/>
    </row>
    <row r="317" ht="14.25" customHeight="1">
      <c r="B317" s="19"/>
      <c r="G317" s="55"/>
      <c r="H317" s="12"/>
    </row>
    <row r="318" ht="14.25" customHeight="1">
      <c r="B318" s="19"/>
      <c r="G318" s="55"/>
      <c r="H318" s="12"/>
    </row>
    <row r="319" ht="14.25" customHeight="1">
      <c r="B319" s="19"/>
      <c r="G319" s="55"/>
      <c r="H319" s="12"/>
    </row>
    <row r="320" ht="14.25" customHeight="1">
      <c r="B320" s="19"/>
      <c r="G320" s="55"/>
      <c r="H320" s="12"/>
    </row>
    <row r="321" ht="14.25" customHeight="1">
      <c r="B321" s="19"/>
      <c r="G321" s="55"/>
      <c r="H321" s="12"/>
    </row>
    <row r="322" ht="14.25" customHeight="1">
      <c r="B322" s="19"/>
      <c r="G322" s="55"/>
      <c r="H322" s="12"/>
    </row>
    <row r="323" ht="14.25" customHeight="1">
      <c r="B323" s="19"/>
      <c r="G323" s="55"/>
      <c r="H323" s="12"/>
    </row>
    <row r="324" ht="14.25" customHeight="1">
      <c r="B324" s="19"/>
      <c r="G324" s="55"/>
      <c r="H324" s="12"/>
    </row>
    <row r="325" ht="14.25" customHeight="1">
      <c r="B325" s="19"/>
      <c r="G325" s="55"/>
      <c r="H325" s="12"/>
    </row>
    <row r="326" ht="14.25" customHeight="1">
      <c r="B326" s="19"/>
      <c r="G326" s="55"/>
      <c r="H326" s="12"/>
    </row>
    <row r="327" ht="14.25" customHeight="1">
      <c r="B327" s="19"/>
      <c r="G327" s="55"/>
      <c r="H327" s="12"/>
    </row>
    <row r="328" ht="14.25" customHeight="1">
      <c r="B328" s="19"/>
      <c r="G328" s="55"/>
      <c r="H328" s="12"/>
    </row>
    <row r="329" ht="14.25" customHeight="1">
      <c r="B329" s="19"/>
      <c r="G329" s="55"/>
      <c r="H329" s="12"/>
    </row>
    <row r="330" ht="14.25" customHeight="1">
      <c r="B330" s="19"/>
      <c r="G330" s="55"/>
      <c r="H330" s="12"/>
    </row>
    <row r="331" ht="14.25" customHeight="1">
      <c r="B331" s="19"/>
      <c r="G331" s="55"/>
      <c r="H331" s="12"/>
    </row>
    <row r="332" ht="14.25" customHeight="1">
      <c r="B332" s="19"/>
      <c r="G332" s="55"/>
      <c r="H332" s="12"/>
    </row>
    <row r="333" ht="14.25" customHeight="1">
      <c r="B333" s="19"/>
      <c r="G333" s="55"/>
      <c r="H333" s="12"/>
    </row>
    <row r="334" ht="14.25" customHeight="1">
      <c r="B334" s="19"/>
      <c r="G334" s="55"/>
      <c r="H334" s="12"/>
    </row>
    <row r="335" ht="14.25" customHeight="1">
      <c r="B335" s="19"/>
      <c r="G335" s="55"/>
      <c r="H335" s="12"/>
    </row>
    <row r="336" ht="14.25" customHeight="1">
      <c r="B336" s="19"/>
      <c r="G336" s="55"/>
      <c r="H336" s="12"/>
    </row>
    <row r="337" ht="14.25" customHeight="1">
      <c r="B337" s="19"/>
      <c r="G337" s="55"/>
      <c r="H337" s="12"/>
    </row>
    <row r="338" ht="14.25" customHeight="1">
      <c r="B338" s="19"/>
      <c r="G338" s="55"/>
      <c r="H338" s="12"/>
    </row>
    <row r="339" ht="14.25" customHeight="1">
      <c r="B339" s="19"/>
      <c r="G339" s="55"/>
      <c r="H339" s="12"/>
    </row>
    <row r="340" ht="14.25" customHeight="1">
      <c r="B340" s="19"/>
      <c r="G340" s="55"/>
      <c r="H340" s="12"/>
    </row>
    <row r="341" ht="14.25" customHeight="1">
      <c r="B341" s="19"/>
      <c r="G341" s="55"/>
      <c r="H341" s="12"/>
    </row>
    <row r="342" ht="14.25" customHeight="1">
      <c r="B342" s="19"/>
      <c r="G342" s="55"/>
      <c r="H342" s="12"/>
    </row>
    <row r="343" ht="14.25" customHeight="1">
      <c r="B343" s="19"/>
      <c r="G343" s="55"/>
      <c r="H343" s="12"/>
    </row>
    <row r="344" ht="14.25" customHeight="1">
      <c r="B344" s="19"/>
      <c r="G344" s="55"/>
      <c r="H344" s="12"/>
    </row>
    <row r="345" ht="14.25" customHeight="1">
      <c r="B345" s="19"/>
      <c r="G345" s="55"/>
      <c r="H345" s="12"/>
    </row>
    <row r="346" ht="14.25" customHeight="1">
      <c r="B346" s="19"/>
      <c r="G346" s="55"/>
      <c r="H346" s="12"/>
    </row>
    <row r="347" ht="14.25" customHeight="1">
      <c r="B347" s="19"/>
      <c r="G347" s="55"/>
      <c r="H347" s="12"/>
    </row>
    <row r="348" ht="14.25" customHeight="1">
      <c r="B348" s="19"/>
      <c r="G348" s="55"/>
      <c r="H348" s="12"/>
    </row>
    <row r="349" ht="14.25" customHeight="1">
      <c r="B349" s="19"/>
      <c r="G349" s="55"/>
      <c r="H349" s="12"/>
    </row>
    <row r="350" ht="14.25" customHeight="1">
      <c r="B350" s="19"/>
      <c r="G350" s="55"/>
      <c r="H350" s="12"/>
    </row>
    <row r="351" ht="14.25" customHeight="1">
      <c r="B351" s="19"/>
      <c r="G351" s="55"/>
      <c r="H351" s="12"/>
    </row>
    <row r="352" ht="14.25" customHeight="1">
      <c r="B352" s="19"/>
      <c r="G352" s="55"/>
      <c r="H352" s="12"/>
    </row>
    <row r="353" ht="14.25" customHeight="1">
      <c r="B353" s="19"/>
      <c r="G353" s="55"/>
      <c r="H353" s="12"/>
    </row>
    <row r="354" ht="14.25" customHeight="1">
      <c r="B354" s="19"/>
      <c r="G354" s="55"/>
      <c r="H354" s="12"/>
    </row>
    <row r="355" ht="14.25" customHeight="1">
      <c r="B355" s="19"/>
      <c r="G355" s="55"/>
      <c r="H355" s="12"/>
    </row>
    <row r="356" ht="14.25" customHeight="1">
      <c r="B356" s="19"/>
      <c r="G356" s="55"/>
      <c r="H356" s="12"/>
    </row>
    <row r="357" ht="14.25" customHeight="1">
      <c r="B357" s="19"/>
      <c r="G357" s="55"/>
      <c r="H357" s="12"/>
    </row>
    <row r="358" ht="14.25" customHeight="1">
      <c r="B358" s="19"/>
      <c r="G358" s="55"/>
      <c r="H358" s="12"/>
    </row>
    <row r="359" ht="14.25" customHeight="1">
      <c r="B359" s="19"/>
      <c r="G359" s="55"/>
      <c r="H359" s="12"/>
    </row>
    <row r="360" ht="14.25" customHeight="1">
      <c r="B360" s="19"/>
      <c r="G360" s="55"/>
      <c r="H360" s="12"/>
    </row>
    <row r="361" ht="14.25" customHeight="1">
      <c r="B361" s="19"/>
      <c r="G361" s="55"/>
      <c r="H361" s="12"/>
    </row>
    <row r="362" ht="14.25" customHeight="1">
      <c r="B362" s="19"/>
      <c r="G362" s="55"/>
      <c r="H362" s="12"/>
    </row>
    <row r="363" ht="14.25" customHeight="1">
      <c r="B363" s="19"/>
      <c r="G363" s="55"/>
      <c r="H363" s="12"/>
    </row>
    <row r="364" ht="14.25" customHeight="1">
      <c r="B364" s="19"/>
      <c r="G364" s="55"/>
      <c r="H364" s="12"/>
    </row>
    <row r="365" ht="14.25" customHeight="1">
      <c r="B365" s="19"/>
      <c r="G365" s="55"/>
      <c r="H365" s="12"/>
    </row>
    <row r="366" ht="14.25" customHeight="1">
      <c r="B366" s="19"/>
      <c r="G366" s="55"/>
      <c r="H366" s="12"/>
    </row>
    <row r="367" ht="14.25" customHeight="1">
      <c r="B367" s="19"/>
      <c r="G367" s="55"/>
      <c r="H367" s="12"/>
    </row>
    <row r="368" ht="14.25" customHeight="1">
      <c r="B368" s="19"/>
      <c r="G368" s="55"/>
      <c r="H368" s="12"/>
    </row>
    <row r="369" ht="14.25" customHeight="1">
      <c r="B369" s="19"/>
      <c r="G369" s="55"/>
      <c r="H369" s="12"/>
    </row>
    <row r="370" ht="14.25" customHeight="1">
      <c r="B370" s="19"/>
      <c r="G370" s="55"/>
      <c r="H370" s="12"/>
    </row>
    <row r="371" ht="14.25" customHeight="1">
      <c r="B371" s="19"/>
      <c r="G371" s="55"/>
      <c r="H371" s="12"/>
    </row>
    <row r="372" ht="14.25" customHeight="1">
      <c r="B372" s="19"/>
      <c r="G372" s="55"/>
      <c r="H372" s="12"/>
    </row>
    <row r="373" ht="14.25" customHeight="1">
      <c r="B373" s="19"/>
      <c r="G373" s="55"/>
      <c r="H373" s="12"/>
    </row>
    <row r="374" ht="14.25" customHeight="1">
      <c r="B374" s="19"/>
      <c r="G374" s="55"/>
      <c r="H374" s="12"/>
    </row>
    <row r="375" ht="14.25" customHeight="1">
      <c r="B375" s="19"/>
      <c r="G375" s="55"/>
      <c r="H375" s="12"/>
    </row>
    <row r="376" ht="14.25" customHeight="1">
      <c r="B376" s="19"/>
      <c r="G376" s="55"/>
      <c r="H376" s="12"/>
    </row>
    <row r="377" ht="14.25" customHeight="1">
      <c r="B377" s="19"/>
      <c r="G377" s="55"/>
      <c r="H377" s="12"/>
    </row>
    <row r="378" ht="14.25" customHeight="1">
      <c r="B378" s="19"/>
      <c r="G378" s="55"/>
      <c r="H378" s="12"/>
    </row>
    <row r="379" ht="14.25" customHeight="1">
      <c r="B379" s="19"/>
      <c r="G379" s="55"/>
      <c r="H379" s="12"/>
    </row>
    <row r="380" ht="14.25" customHeight="1">
      <c r="B380" s="19"/>
      <c r="G380" s="55"/>
      <c r="H380" s="12"/>
    </row>
    <row r="381" ht="14.25" customHeight="1">
      <c r="B381" s="19"/>
      <c r="G381" s="55"/>
      <c r="H381" s="12"/>
    </row>
    <row r="382" ht="14.25" customHeight="1">
      <c r="B382" s="19"/>
      <c r="G382" s="55"/>
      <c r="H382" s="12"/>
    </row>
    <row r="383" ht="14.25" customHeight="1">
      <c r="B383" s="19"/>
      <c r="G383" s="55"/>
      <c r="H383" s="12"/>
    </row>
    <row r="384" ht="14.25" customHeight="1">
      <c r="B384" s="19"/>
      <c r="G384" s="55"/>
      <c r="H384" s="12"/>
    </row>
    <row r="385" ht="14.25" customHeight="1">
      <c r="B385" s="19"/>
      <c r="G385" s="55"/>
      <c r="H385" s="12"/>
    </row>
    <row r="386" ht="14.25" customHeight="1">
      <c r="B386" s="19"/>
      <c r="G386" s="55"/>
      <c r="H386" s="12"/>
    </row>
    <row r="387" ht="14.25" customHeight="1">
      <c r="B387" s="19"/>
      <c r="G387" s="55"/>
      <c r="H387" s="12"/>
    </row>
    <row r="388" ht="14.25" customHeight="1">
      <c r="B388" s="19"/>
      <c r="G388" s="55"/>
      <c r="H388" s="12"/>
    </row>
    <row r="389" ht="14.25" customHeight="1">
      <c r="B389" s="19"/>
      <c r="G389" s="55"/>
      <c r="H389" s="12"/>
    </row>
    <row r="390" ht="14.25" customHeight="1">
      <c r="B390" s="19"/>
      <c r="G390" s="55"/>
      <c r="H390" s="12"/>
    </row>
    <row r="391" ht="14.25" customHeight="1">
      <c r="B391" s="19"/>
      <c r="G391" s="55"/>
      <c r="H391" s="12"/>
    </row>
    <row r="392" ht="14.25" customHeight="1">
      <c r="B392" s="19"/>
      <c r="G392" s="55"/>
      <c r="H392" s="12"/>
    </row>
    <row r="393" ht="14.25" customHeight="1">
      <c r="B393" s="19"/>
      <c r="G393" s="55"/>
      <c r="H393" s="12"/>
    </row>
    <row r="394" ht="14.25" customHeight="1">
      <c r="B394" s="19"/>
      <c r="G394" s="55"/>
      <c r="H394" s="12"/>
    </row>
    <row r="395" ht="14.25" customHeight="1">
      <c r="B395" s="19"/>
      <c r="G395" s="55"/>
      <c r="H395" s="12"/>
    </row>
    <row r="396" ht="14.25" customHeight="1">
      <c r="B396" s="19"/>
      <c r="G396" s="55"/>
      <c r="H396" s="12"/>
    </row>
    <row r="397" ht="14.25" customHeight="1">
      <c r="B397" s="19"/>
      <c r="G397" s="55"/>
      <c r="H397" s="12"/>
    </row>
    <row r="398" ht="14.25" customHeight="1">
      <c r="B398" s="19"/>
      <c r="G398" s="55"/>
      <c r="H398" s="12"/>
    </row>
    <row r="399" ht="14.25" customHeight="1">
      <c r="B399" s="19"/>
      <c r="G399" s="55"/>
      <c r="H399" s="12"/>
    </row>
    <row r="400" ht="14.25" customHeight="1">
      <c r="B400" s="19"/>
      <c r="G400" s="55"/>
      <c r="H400" s="12"/>
    </row>
    <row r="401" ht="14.25" customHeight="1">
      <c r="B401" s="19"/>
      <c r="G401" s="55"/>
      <c r="H401" s="12"/>
    </row>
    <row r="402" ht="14.25" customHeight="1">
      <c r="B402" s="19"/>
      <c r="G402" s="55"/>
      <c r="H402" s="12"/>
    </row>
    <row r="403" ht="14.25" customHeight="1">
      <c r="B403" s="19"/>
      <c r="G403" s="55"/>
      <c r="H403" s="12"/>
    </row>
    <row r="404" ht="14.25" customHeight="1">
      <c r="B404" s="19"/>
      <c r="G404" s="55"/>
      <c r="H404" s="12"/>
    </row>
    <row r="405" ht="14.25" customHeight="1">
      <c r="B405" s="19"/>
      <c r="G405" s="55"/>
      <c r="H405" s="12"/>
    </row>
    <row r="406" ht="14.25" customHeight="1">
      <c r="B406" s="19"/>
      <c r="G406" s="55"/>
      <c r="H406" s="12"/>
    </row>
    <row r="407" ht="14.25" customHeight="1">
      <c r="B407" s="19"/>
      <c r="G407" s="55"/>
      <c r="H407" s="12"/>
    </row>
    <row r="408" ht="14.25" customHeight="1">
      <c r="B408" s="19"/>
      <c r="G408" s="55"/>
      <c r="H408" s="12"/>
    </row>
    <row r="409" ht="14.25" customHeight="1">
      <c r="B409" s="19"/>
      <c r="G409" s="55"/>
      <c r="H409" s="12"/>
    </row>
    <row r="410" ht="14.25" customHeight="1">
      <c r="B410" s="19"/>
      <c r="G410" s="55"/>
      <c r="H410" s="12"/>
    </row>
    <row r="411" ht="14.25" customHeight="1">
      <c r="B411" s="19"/>
      <c r="G411" s="55"/>
      <c r="H411" s="12"/>
    </row>
    <row r="412" ht="14.25" customHeight="1">
      <c r="B412" s="19"/>
      <c r="G412" s="55"/>
      <c r="H412" s="12"/>
    </row>
    <row r="413" ht="14.25" customHeight="1">
      <c r="B413" s="19"/>
      <c r="G413" s="55"/>
      <c r="H413" s="12"/>
    </row>
    <row r="414" ht="14.25" customHeight="1">
      <c r="B414" s="19"/>
      <c r="G414" s="55"/>
      <c r="H414" s="12"/>
    </row>
    <row r="415" ht="14.25" customHeight="1">
      <c r="B415" s="19"/>
      <c r="G415" s="55"/>
      <c r="H415" s="12"/>
    </row>
    <row r="416" ht="14.25" customHeight="1">
      <c r="B416" s="19"/>
      <c r="G416" s="55"/>
      <c r="H416" s="12"/>
    </row>
    <row r="417" ht="14.25" customHeight="1">
      <c r="B417" s="19"/>
      <c r="G417" s="55"/>
      <c r="H417" s="12"/>
    </row>
    <row r="418" ht="14.25" customHeight="1">
      <c r="B418" s="19"/>
      <c r="G418" s="55"/>
      <c r="H418" s="12"/>
    </row>
    <row r="419" ht="14.25" customHeight="1">
      <c r="B419" s="19"/>
      <c r="G419" s="55"/>
      <c r="H419" s="12"/>
    </row>
    <row r="420" ht="14.25" customHeight="1">
      <c r="B420" s="19"/>
      <c r="G420" s="55"/>
      <c r="H420" s="12"/>
    </row>
    <row r="421" ht="14.25" customHeight="1">
      <c r="B421" s="19"/>
      <c r="G421" s="55"/>
      <c r="H421" s="12"/>
    </row>
    <row r="422" ht="14.25" customHeight="1">
      <c r="B422" s="19"/>
      <c r="G422" s="55"/>
      <c r="H422" s="12"/>
    </row>
    <row r="423" ht="14.25" customHeight="1">
      <c r="B423" s="19"/>
      <c r="G423" s="55"/>
      <c r="H423" s="12"/>
    </row>
    <row r="424" ht="14.25" customHeight="1">
      <c r="B424" s="19"/>
      <c r="G424" s="55"/>
      <c r="H424" s="12"/>
    </row>
    <row r="425" ht="14.25" customHeight="1">
      <c r="B425" s="19"/>
      <c r="G425" s="55"/>
      <c r="H425" s="12"/>
    </row>
    <row r="426" ht="14.25" customHeight="1">
      <c r="B426" s="19"/>
      <c r="G426" s="55"/>
      <c r="H426" s="12"/>
    </row>
    <row r="427" ht="14.25" customHeight="1">
      <c r="B427" s="19"/>
      <c r="G427" s="55"/>
      <c r="H427" s="12"/>
    </row>
    <row r="428" ht="14.25" customHeight="1">
      <c r="B428" s="19"/>
      <c r="G428" s="55"/>
      <c r="H428" s="12"/>
    </row>
    <row r="429" ht="14.25" customHeight="1">
      <c r="B429" s="19"/>
      <c r="G429" s="55"/>
      <c r="H429" s="12"/>
    </row>
    <row r="430" ht="14.25" customHeight="1">
      <c r="B430" s="19"/>
      <c r="G430" s="55"/>
      <c r="H430" s="12"/>
    </row>
    <row r="431" ht="14.25" customHeight="1">
      <c r="B431" s="19"/>
      <c r="G431" s="55"/>
      <c r="H431" s="12"/>
    </row>
    <row r="432" ht="14.25" customHeight="1">
      <c r="B432" s="19"/>
      <c r="G432" s="55"/>
      <c r="H432" s="12"/>
    </row>
    <row r="433" ht="14.25" customHeight="1">
      <c r="B433" s="19"/>
      <c r="G433" s="55"/>
      <c r="H433" s="12"/>
    </row>
    <row r="434" ht="14.25" customHeight="1">
      <c r="B434" s="19"/>
      <c r="G434" s="55"/>
      <c r="H434" s="12"/>
    </row>
    <row r="435" ht="14.25" customHeight="1">
      <c r="B435" s="19"/>
      <c r="G435" s="55"/>
      <c r="H435" s="12"/>
    </row>
    <row r="436" ht="14.25" customHeight="1">
      <c r="B436" s="19"/>
      <c r="G436" s="55"/>
      <c r="H436" s="12"/>
    </row>
    <row r="437" ht="14.25" customHeight="1">
      <c r="B437" s="19"/>
      <c r="G437" s="55"/>
      <c r="H437" s="12"/>
    </row>
    <row r="438" ht="14.25" customHeight="1">
      <c r="B438" s="19"/>
      <c r="G438" s="55"/>
      <c r="H438" s="12"/>
    </row>
    <row r="439" ht="14.25" customHeight="1">
      <c r="B439" s="19"/>
      <c r="G439" s="55"/>
      <c r="H439" s="12"/>
    </row>
    <row r="440" ht="14.25" customHeight="1">
      <c r="B440" s="19"/>
      <c r="G440" s="55"/>
      <c r="H440" s="12"/>
    </row>
    <row r="441" ht="14.25" customHeight="1">
      <c r="B441" s="19"/>
      <c r="G441" s="55"/>
      <c r="H441" s="12"/>
    </row>
    <row r="442" ht="14.25" customHeight="1">
      <c r="B442" s="19"/>
      <c r="G442" s="55"/>
      <c r="H442" s="12"/>
    </row>
    <row r="443" ht="14.25" customHeight="1">
      <c r="B443" s="19"/>
      <c r="G443" s="55"/>
      <c r="H443" s="12"/>
    </row>
    <row r="444" ht="14.25" customHeight="1">
      <c r="B444" s="19"/>
      <c r="G444" s="55"/>
      <c r="H444" s="12"/>
    </row>
    <row r="445" ht="14.25" customHeight="1">
      <c r="B445" s="19"/>
      <c r="G445" s="55"/>
      <c r="H445" s="12"/>
    </row>
    <row r="446" ht="14.25" customHeight="1">
      <c r="B446" s="19"/>
      <c r="G446" s="55"/>
      <c r="H446" s="12"/>
    </row>
    <row r="447" ht="14.25" customHeight="1">
      <c r="B447" s="19"/>
      <c r="G447" s="55"/>
      <c r="H447" s="12"/>
    </row>
    <row r="448" ht="14.25" customHeight="1">
      <c r="B448" s="19"/>
      <c r="G448" s="55"/>
      <c r="H448" s="12"/>
    </row>
    <row r="449" ht="14.25" customHeight="1">
      <c r="B449" s="19"/>
      <c r="G449" s="55"/>
      <c r="H449" s="12"/>
    </row>
    <row r="450" ht="14.25" customHeight="1">
      <c r="B450" s="19"/>
      <c r="G450" s="55"/>
      <c r="H450" s="12"/>
    </row>
    <row r="451" ht="14.25" customHeight="1">
      <c r="B451" s="19"/>
      <c r="G451" s="55"/>
      <c r="H451" s="12"/>
    </row>
    <row r="452" ht="14.25" customHeight="1">
      <c r="B452" s="19"/>
      <c r="G452" s="55"/>
      <c r="H452" s="12"/>
    </row>
    <row r="453" ht="14.25" customHeight="1">
      <c r="B453" s="19"/>
      <c r="G453" s="55"/>
      <c r="H453" s="12"/>
    </row>
    <row r="454" ht="14.25" customHeight="1">
      <c r="B454" s="19"/>
      <c r="G454" s="55"/>
      <c r="H454" s="12"/>
    </row>
    <row r="455" ht="14.25" customHeight="1">
      <c r="B455" s="19"/>
      <c r="G455" s="55"/>
      <c r="H455" s="12"/>
    </row>
    <row r="456" ht="14.25" customHeight="1">
      <c r="B456" s="19"/>
      <c r="G456" s="55"/>
      <c r="H456" s="12"/>
    </row>
    <row r="457" ht="14.25" customHeight="1">
      <c r="B457" s="19"/>
      <c r="G457" s="55"/>
      <c r="H457" s="12"/>
    </row>
    <row r="458" ht="14.25" customHeight="1">
      <c r="B458" s="19"/>
      <c r="G458" s="55"/>
      <c r="H458" s="12"/>
    </row>
    <row r="459" ht="14.25" customHeight="1">
      <c r="B459" s="19"/>
      <c r="G459" s="55"/>
      <c r="H459" s="12"/>
    </row>
    <row r="460" ht="14.25" customHeight="1">
      <c r="B460" s="19"/>
      <c r="G460" s="55"/>
      <c r="H460" s="12"/>
    </row>
    <row r="461" ht="14.25" customHeight="1">
      <c r="B461" s="19"/>
      <c r="G461" s="55"/>
      <c r="H461" s="12"/>
    </row>
    <row r="462" ht="14.25" customHeight="1">
      <c r="B462" s="19"/>
      <c r="G462" s="55"/>
      <c r="H462" s="12"/>
    </row>
    <row r="463" ht="14.25" customHeight="1">
      <c r="B463" s="19"/>
      <c r="G463" s="55"/>
      <c r="H463" s="12"/>
    </row>
    <row r="464" ht="14.25" customHeight="1">
      <c r="B464" s="19"/>
      <c r="G464" s="55"/>
      <c r="H464" s="12"/>
    </row>
    <row r="465" ht="14.25" customHeight="1">
      <c r="B465" s="19"/>
      <c r="G465" s="55"/>
      <c r="H465" s="12"/>
    </row>
    <row r="466" ht="14.25" customHeight="1">
      <c r="B466" s="19"/>
      <c r="G466" s="55"/>
      <c r="H466" s="12"/>
    </row>
    <row r="467" ht="14.25" customHeight="1">
      <c r="B467" s="19"/>
      <c r="G467" s="55"/>
      <c r="H467" s="12"/>
    </row>
    <row r="468" ht="14.25" customHeight="1">
      <c r="B468" s="19"/>
      <c r="G468" s="55"/>
      <c r="H468" s="12"/>
    </row>
    <row r="469" ht="14.25" customHeight="1">
      <c r="B469" s="19"/>
      <c r="G469" s="55"/>
      <c r="H469" s="12"/>
    </row>
    <row r="470" ht="14.25" customHeight="1">
      <c r="B470" s="19"/>
      <c r="G470" s="55"/>
      <c r="H470" s="12"/>
    </row>
    <row r="471" ht="14.25" customHeight="1">
      <c r="B471" s="19"/>
      <c r="G471" s="55"/>
      <c r="H471" s="12"/>
    </row>
    <row r="472" ht="14.25" customHeight="1">
      <c r="B472" s="19"/>
      <c r="G472" s="55"/>
      <c r="H472" s="12"/>
    </row>
    <row r="473" ht="14.25" customHeight="1">
      <c r="B473" s="19"/>
      <c r="G473" s="55"/>
      <c r="H473" s="12"/>
    </row>
    <row r="474" ht="14.25" customHeight="1">
      <c r="B474" s="19"/>
      <c r="G474" s="55"/>
      <c r="H474" s="12"/>
    </row>
    <row r="475" ht="14.25" customHeight="1">
      <c r="B475" s="19"/>
      <c r="G475" s="55"/>
      <c r="H475" s="12"/>
    </row>
    <row r="476" ht="14.25" customHeight="1">
      <c r="B476" s="19"/>
      <c r="G476" s="55"/>
      <c r="H476" s="12"/>
    </row>
    <row r="477" ht="14.25" customHeight="1">
      <c r="B477" s="19"/>
      <c r="G477" s="55"/>
      <c r="H477" s="12"/>
    </row>
    <row r="478" ht="14.25" customHeight="1">
      <c r="B478" s="19"/>
      <c r="G478" s="55"/>
      <c r="H478" s="12"/>
    </row>
    <row r="479" ht="14.25" customHeight="1">
      <c r="B479" s="19"/>
      <c r="G479" s="55"/>
      <c r="H479" s="12"/>
    </row>
    <row r="480" ht="14.25" customHeight="1">
      <c r="B480" s="19"/>
      <c r="G480" s="55"/>
      <c r="H480" s="12"/>
    </row>
    <row r="481" ht="14.25" customHeight="1">
      <c r="B481" s="19"/>
      <c r="G481" s="55"/>
      <c r="H481" s="12"/>
    </row>
    <row r="482" ht="14.25" customHeight="1">
      <c r="B482" s="19"/>
      <c r="G482" s="55"/>
      <c r="H482" s="12"/>
    </row>
    <row r="483" ht="14.25" customHeight="1">
      <c r="B483" s="19"/>
      <c r="G483" s="55"/>
      <c r="H483" s="12"/>
    </row>
    <row r="484" ht="14.25" customHeight="1">
      <c r="B484" s="19"/>
      <c r="G484" s="55"/>
      <c r="H484" s="12"/>
    </row>
    <row r="485" ht="14.25" customHeight="1">
      <c r="B485" s="19"/>
      <c r="G485" s="55"/>
      <c r="H485" s="12"/>
    </row>
    <row r="486" ht="14.25" customHeight="1">
      <c r="B486" s="19"/>
      <c r="G486" s="55"/>
      <c r="H486" s="12"/>
    </row>
    <row r="487" ht="14.25" customHeight="1">
      <c r="B487" s="19"/>
      <c r="G487" s="55"/>
      <c r="H487" s="12"/>
    </row>
    <row r="488" ht="14.25" customHeight="1">
      <c r="B488" s="19"/>
      <c r="G488" s="55"/>
      <c r="H488" s="12"/>
    </row>
    <row r="489" ht="14.25" customHeight="1">
      <c r="B489" s="19"/>
      <c r="G489" s="55"/>
      <c r="H489" s="12"/>
    </row>
    <row r="490" ht="14.25" customHeight="1">
      <c r="B490" s="19"/>
      <c r="G490" s="55"/>
      <c r="H490" s="12"/>
    </row>
    <row r="491" ht="14.25" customHeight="1">
      <c r="B491" s="19"/>
      <c r="G491" s="55"/>
      <c r="H491" s="12"/>
    </row>
    <row r="492" ht="14.25" customHeight="1">
      <c r="B492" s="19"/>
      <c r="G492" s="55"/>
      <c r="H492" s="12"/>
    </row>
    <row r="493" ht="14.25" customHeight="1">
      <c r="B493" s="19"/>
      <c r="G493" s="55"/>
      <c r="H493" s="12"/>
    </row>
    <row r="494" ht="14.25" customHeight="1">
      <c r="B494" s="19"/>
      <c r="G494" s="55"/>
      <c r="H494" s="12"/>
    </row>
    <row r="495" ht="14.25" customHeight="1">
      <c r="B495" s="19"/>
      <c r="G495" s="55"/>
      <c r="H495" s="12"/>
    </row>
    <row r="496" ht="14.25" customHeight="1">
      <c r="B496" s="19"/>
      <c r="G496" s="55"/>
      <c r="H496" s="12"/>
    </row>
    <row r="497" ht="14.25" customHeight="1">
      <c r="B497" s="19"/>
      <c r="G497" s="55"/>
      <c r="H497" s="12"/>
    </row>
    <row r="498" ht="14.25" customHeight="1">
      <c r="B498" s="19"/>
      <c r="G498" s="55"/>
      <c r="H498" s="12"/>
    </row>
    <row r="499" ht="14.25" customHeight="1">
      <c r="B499" s="19"/>
      <c r="G499" s="55"/>
      <c r="H499" s="12"/>
    </row>
    <row r="500" ht="14.25" customHeight="1">
      <c r="B500" s="19"/>
      <c r="G500" s="55"/>
      <c r="H500" s="12"/>
    </row>
    <row r="501" ht="14.25" customHeight="1">
      <c r="B501" s="19"/>
      <c r="G501" s="55"/>
      <c r="H501" s="12"/>
    </row>
    <row r="502" ht="14.25" customHeight="1">
      <c r="B502" s="19"/>
      <c r="G502" s="55"/>
      <c r="H502" s="12"/>
    </row>
    <row r="503" ht="14.25" customHeight="1">
      <c r="B503" s="19"/>
      <c r="G503" s="55"/>
      <c r="H503" s="12"/>
    </row>
    <row r="504" ht="14.25" customHeight="1">
      <c r="B504" s="19"/>
      <c r="G504" s="55"/>
      <c r="H504" s="12"/>
    </row>
    <row r="505" ht="14.25" customHeight="1">
      <c r="B505" s="19"/>
      <c r="G505" s="55"/>
      <c r="H505" s="12"/>
    </row>
    <row r="506" ht="14.25" customHeight="1">
      <c r="B506" s="19"/>
      <c r="G506" s="55"/>
      <c r="H506" s="12"/>
    </row>
    <row r="507" ht="14.25" customHeight="1">
      <c r="B507" s="19"/>
      <c r="G507" s="55"/>
      <c r="H507" s="12"/>
    </row>
    <row r="508" ht="14.25" customHeight="1">
      <c r="B508" s="19"/>
      <c r="G508" s="55"/>
      <c r="H508" s="12"/>
    </row>
    <row r="509" ht="14.25" customHeight="1">
      <c r="B509" s="19"/>
      <c r="G509" s="55"/>
      <c r="H509" s="12"/>
    </row>
    <row r="510" ht="14.25" customHeight="1">
      <c r="B510" s="19"/>
      <c r="G510" s="55"/>
      <c r="H510" s="12"/>
    </row>
    <row r="511" ht="14.25" customHeight="1">
      <c r="B511" s="19"/>
      <c r="G511" s="55"/>
      <c r="H511" s="12"/>
    </row>
    <row r="512" ht="14.25" customHeight="1">
      <c r="B512" s="19"/>
      <c r="G512" s="55"/>
      <c r="H512" s="12"/>
    </row>
    <row r="513" ht="14.25" customHeight="1">
      <c r="B513" s="19"/>
      <c r="G513" s="55"/>
      <c r="H513" s="12"/>
    </row>
    <row r="514" ht="14.25" customHeight="1">
      <c r="B514" s="19"/>
      <c r="G514" s="55"/>
      <c r="H514" s="12"/>
    </row>
    <row r="515" ht="14.25" customHeight="1">
      <c r="B515" s="19"/>
      <c r="G515" s="55"/>
      <c r="H515" s="12"/>
    </row>
    <row r="516" ht="14.25" customHeight="1">
      <c r="B516" s="19"/>
      <c r="G516" s="55"/>
      <c r="H516" s="12"/>
    </row>
    <row r="517" ht="14.25" customHeight="1">
      <c r="B517" s="19"/>
      <c r="G517" s="55"/>
      <c r="H517" s="12"/>
    </row>
    <row r="518" ht="14.25" customHeight="1">
      <c r="B518" s="19"/>
      <c r="G518" s="55"/>
      <c r="H518" s="12"/>
    </row>
    <row r="519" ht="14.25" customHeight="1">
      <c r="B519" s="19"/>
      <c r="G519" s="55"/>
      <c r="H519" s="12"/>
    </row>
    <row r="520" ht="14.25" customHeight="1">
      <c r="B520" s="19"/>
      <c r="G520" s="55"/>
      <c r="H520" s="12"/>
    </row>
    <row r="521" ht="14.25" customHeight="1">
      <c r="B521" s="19"/>
      <c r="G521" s="55"/>
      <c r="H521" s="12"/>
    </row>
    <row r="522" ht="14.25" customHeight="1">
      <c r="B522" s="19"/>
      <c r="G522" s="55"/>
      <c r="H522" s="12"/>
    </row>
    <row r="523" ht="14.25" customHeight="1">
      <c r="B523" s="19"/>
      <c r="G523" s="55"/>
      <c r="H523" s="12"/>
    </row>
    <row r="524" ht="14.25" customHeight="1">
      <c r="B524" s="19"/>
      <c r="G524" s="55"/>
      <c r="H524" s="12"/>
    </row>
    <row r="525" ht="14.25" customHeight="1">
      <c r="B525" s="19"/>
      <c r="G525" s="55"/>
      <c r="H525" s="12"/>
    </row>
    <row r="526" ht="14.25" customHeight="1">
      <c r="B526" s="19"/>
      <c r="G526" s="55"/>
      <c r="H526" s="12"/>
    </row>
    <row r="527" ht="14.25" customHeight="1">
      <c r="B527" s="19"/>
      <c r="G527" s="55"/>
      <c r="H527" s="12"/>
    </row>
    <row r="528" ht="14.25" customHeight="1">
      <c r="B528" s="19"/>
      <c r="G528" s="55"/>
      <c r="H528" s="12"/>
    </row>
    <row r="529" ht="14.25" customHeight="1">
      <c r="B529" s="19"/>
      <c r="G529" s="55"/>
      <c r="H529" s="12"/>
    </row>
    <row r="530" ht="14.25" customHeight="1">
      <c r="B530" s="19"/>
      <c r="G530" s="55"/>
      <c r="H530" s="12"/>
    </row>
    <row r="531" ht="14.25" customHeight="1">
      <c r="B531" s="19"/>
      <c r="G531" s="55"/>
      <c r="H531" s="12"/>
    </row>
    <row r="532" ht="14.25" customHeight="1">
      <c r="B532" s="19"/>
      <c r="G532" s="55"/>
      <c r="H532" s="12"/>
    </row>
    <row r="533" ht="14.25" customHeight="1">
      <c r="B533" s="19"/>
      <c r="G533" s="55"/>
      <c r="H533" s="12"/>
    </row>
    <row r="534" ht="14.25" customHeight="1">
      <c r="B534" s="19"/>
      <c r="G534" s="55"/>
      <c r="H534" s="12"/>
    </row>
    <row r="535" ht="14.25" customHeight="1">
      <c r="B535" s="19"/>
      <c r="G535" s="55"/>
      <c r="H535" s="12"/>
    </row>
    <row r="536" ht="14.25" customHeight="1">
      <c r="B536" s="19"/>
      <c r="G536" s="55"/>
      <c r="H536" s="12"/>
    </row>
    <row r="537" ht="14.25" customHeight="1">
      <c r="B537" s="19"/>
      <c r="G537" s="55"/>
      <c r="H537" s="12"/>
    </row>
    <row r="538" ht="14.25" customHeight="1">
      <c r="B538" s="19"/>
      <c r="G538" s="55"/>
      <c r="H538" s="12"/>
    </row>
    <row r="539" ht="14.25" customHeight="1">
      <c r="B539" s="19"/>
      <c r="G539" s="55"/>
      <c r="H539" s="12"/>
    </row>
    <row r="540" ht="14.25" customHeight="1">
      <c r="B540" s="19"/>
      <c r="G540" s="55"/>
      <c r="H540" s="12"/>
    </row>
    <row r="541" ht="14.25" customHeight="1">
      <c r="B541" s="19"/>
      <c r="G541" s="55"/>
      <c r="H541" s="12"/>
    </row>
    <row r="542" ht="14.25" customHeight="1">
      <c r="B542" s="19"/>
      <c r="G542" s="55"/>
      <c r="H542" s="12"/>
    </row>
    <row r="543" ht="14.25" customHeight="1">
      <c r="B543" s="19"/>
      <c r="G543" s="55"/>
      <c r="H543" s="12"/>
    </row>
    <row r="544" ht="14.25" customHeight="1">
      <c r="B544" s="19"/>
      <c r="G544" s="55"/>
      <c r="H544" s="12"/>
    </row>
    <row r="545" ht="14.25" customHeight="1">
      <c r="B545" s="19"/>
      <c r="G545" s="55"/>
      <c r="H545" s="12"/>
    </row>
    <row r="546" ht="14.25" customHeight="1">
      <c r="B546" s="19"/>
      <c r="G546" s="55"/>
      <c r="H546" s="12"/>
    </row>
    <row r="547" ht="14.25" customHeight="1">
      <c r="B547" s="19"/>
      <c r="G547" s="55"/>
      <c r="H547" s="12"/>
    </row>
    <row r="548" ht="14.25" customHeight="1">
      <c r="B548" s="19"/>
      <c r="G548" s="55"/>
      <c r="H548" s="12"/>
    </row>
    <row r="549" ht="14.25" customHeight="1">
      <c r="B549" s="19"/>
      <c r="G549" s="55"/>
      <c r="H549" s="12"/>
    </row>
    <row r="550" ht="14.25" customHeight="1">
      <c r="B550" s="19"/>
      <c r="G550" s="55"/>
      <c r="H550" s="12"/>
    </row>
    <row r="551" ht="14.25" customHeight="1">
      <c r="B551" s="19"/>
      <c r="G551" s="55"/>
      <c r="H551" s="12"/>
    </row>
    <row r="552" ht="14.25" customHeight="1">
      <c r="B552" s="19"/>
      <c r="G552" s="55"/>
      <c r="H552" s="12"/>
    </row>
    <row r="553" ht="14.25" customHeight="1">
      <c r="B553" s="19"/>
      <c r="G553" s="55"/>
      <c r="H553" s="12"/>
    </row>
    <row r="554" ht="14.25" customHeight="1">
      <c r="B554" s="19"/>
      <c r="G554" s="55"/>
      <c r="H554" s="12"/>
    </row>
    <row r="555" ht="14.25" customHeight="1">
      <c r="B555" s="19"/>
      <c r="G555" s="55"/>
      <c r="H555" s="12"/>
    </row>
    <row r="556" ht="14.25" customHeight="1">
      <c r="B556" s="19"/>
      <c r="G556" s="55"/>
      <c r="H556" s="12"/>
    </row>
    <row r="557" ht="14.25" customHeight="1">
      <c r="B557" s="19"/>
      <c r="G557" s="55"/>
      <c r="H557" s="12"/>
    </row>
    <row r="558" ht="14.25" customHeight="1">
      <c r="B558" s="19"/>
      <c r="G558" s="55"/>
      <c r="H558" s="12"/>
    </row>
    <row r="559" ht="14.25" customHeight="1">
      <c r="B559" s="19"/>
      <c r="G559" s="55"/>
      <c r="H559" s="12"/>
    </row>
    <row r="560" ht="14.25" customHeight="1">
      <c r="B560" s="19"/>
      <c r="G560" s="55"/>
      <c r="H560" s="12"/>
    </row>
    <row r="561" ht="14.25" customHeight="1">
      <c r="B561" s="19"/>
      <c r="G561" s="55"/>
      <c r="H561" s="12"/>
    </row>
    <row r="562" ht="14.25" customHeight="1">
      <c r="B562" s="19"/>
      <c r="G562" s="55"/>
      <c r="H562" s="12"/>
    </row>
    <row r="563" ht="14.25" customHeight="1">
      <c r="B563" s="19"/>
      <c r="G563" s="55"/>
      <c r="H563" s="12"/>
    </row>
    <row r="564" ht="14.25" customHeight="1">
      <c r="B564" s="19"/>
      <c r="G564" s="55"/>
      <c r="H564" s="12"/>
    </row>
    <row r="565" ht="14.25" customHeight="1">
      <c r="B565" s="19"/>
      <c r="G565" s="55"/>
      <c r="H565" s="12"/>
    </row>
    <row r="566" ht="14.25" customHeight="1">
      <c r="B566" s="19"/>
      <c r="G566" s="55"/>
      <c r="H566" s="12"/>
    </row>
    <row r="567" ht="14.25" customHeight="1">
      <c r="B567" s="19"/>
      <c r="G567" s="55"/>
      <c r="H567" s="12"/>
    </row>
    <row r="568" ht="14.25" customHeight="1">
      <c r="B568" s="19"/>
      <c r="G568" s="55"/>
      <c r="H568" s="12"/>
    </row>
    <row r="569" ht="14.25" customHeight="1">
      <c r="B569" s="19"/>
      <c r="G569" s="55"/>
      <c r="H569" s="12"/>
    </row>
    <row r="570" ht="14.25" customHeight="1">
      <c r="B570" s="19"/>
      <c r="G570" s="55"/>
      <c r="H570" s="12"/>
    </row>
    <row r="571" ht="14.25" customHeight="1">
      <c r="B571" s="19"/>
      <c r="G571" s="55"/>
      <c r="H571" s="12"/>
    </row>
    <row r="572" ht="14.25" customHeight="1">
      <c r="B572" s="19"/>
      <c r="G572" s="55"/>
      <c r="H572" s="12"/>
    </row>
    <row r="573" ht="14.25" customHeight="1">
      <c r="B573" s="19"/>
      <c r="G573" s="55"/>
      <c r="H573" s="12"/>
    </row>
    <row r="574" ht="14.25" customHeight="1">
      <c r="B574" s="19"/>
      <c r="G574" s="55"/>
      <c r="H574" s="12"/>
    </row>
    <row r="575" ht="14.25" customHeight="1">
      <c r="B575" s="19"/>
      <c r="G575" s="55"/>
      <c r="H575" s="12"/>
    </row>
    <row r="576" ht="14.25" customHeight="1">
      <c r="B576" s="19"/>
      <c r="G576" s="55"/>
      <c r="H576" s="12"/>
    </row>
    <row r="577" ht="14.25" customHeight="1">
      <c r="B577" s="19"/>
      <c r="G577" s="55"/>
      <c r="H577" s="12"/>
    </row>
    <row r="578" ht="14.25" customHeight="1">
      <c r="B578" s="19"/>
      <c r="G578" s="55"/>
      <c r="H578" s="12"/>
    </row>
    <row r="579" ht="14.25" customHeight="1">
      <c r="B579" s="19"/>
      <c r="G579" s="55"/>
      <c r="H579" s="12"/>
    </row>
    <row r="580" ht="14.25" customHeight="1">
      <c r="B580" s="19"/>
      <c r="G580" s="55"/>
      <c r="H580" s="12"/>
    </row>
    <row r="581" ht="14.25" customHeight="1">
      <c r="B581" s="19"/>
      <c r="G581" s="55"/>
      <c r="H581" s="12"/>
    </row>
    <row r="582" ht="14.25" customHeight="1">
      <c r="B582" s="19"/>
      <c r="G582" s="55"/>
      <c r="H582" s="12"/>
    </row>
    <row r="583" ht="14.25" customHeight="1">
      <c r="B583" s="19"/>
      <c r="G583" s="55"/>
      <c r="H583" s="12"/>
    </row>
    <row r="584" ht="14.25" customHeight="1">
      <c r="B584" s="19"/>
      <c r="G584" s="55"/>
      <c r="H584" s="12"/>
    </row>
    <row r="585" ht="14.25" customHeight="1">
      <c r="B585" s="19"/>
      <c r="G585" s="55"/>
      <c r="H585" s="12"/>
    </row>
    <row r="586" ht="14.25" customHeight="1">
      <c r="B586" s="19"/>
      <c r="G586" s="55"/>
      <c r="H586" s="12"/>
    </row>
    <row r="587" ht="14.25" customHeight="1">
      <c r="B587" s="19"/>
      <c r="G587" s="55"/>
      <c r="H587" s="12"/>
    </row>
    <row r="588" ht="14.25" customHeight="1">
      <c r="B588" s="19"/>
      <c r="G588" s="55"/>
      <c r="H588" s="12"/>
    </row>
    <row r="589" ht="14.25" customHeight="1">
      <c r="B589" s="19"/>
      <c r="G589" s="55"/>
      <c r="H589" s="12"/>
    </row>
    <row r="590" ht="14.25" customHeight="1">
      <c r="B590" s="19"/>
      <c r="G590" s="55"/>
      <c r="H590" s="12"/>
    </row>
    <row r="591" ht="14.25" customHeight="1">
      <c r="B591" s="19"/>
      <c r="G591" s="55"/>
      <c r="H591" s="12"/>
    </row>
    <row r="592" ht="14.25" customHeight="1">
      <c r="B592" s="19"/>
      <c r="G592" s="55"/>
      <c r="H592" s="12"/>
    </row>
    <row r="593" ht="14.25" customHeight="1">
      <c r="B593" s="19"/>
      <c r="G593" s="55"/>
      <c r="H593" s="12"/>
    </row>
    <row r="594" ht="14.25" customHeight="1">
      <c r="B594" s="19"/>
      <c r="G594" s="55"/>
      <c r="H594" s="12"/>
    </row>
    <row r="595" ht="14.25" customHeight="1">
      <c r="B595" s="19"/>
      <c r="G595" s="55"/>
      <c r="H595" s="12"/>
    </row>
    <row r="596" ht="14.25" customHeight="1">
      <c r="B596" s="19"/>
      <c r="G596" s="55"/>
      <c r="H596" s="12"/>
    </row>
    <row r="597" ht="14.25" customHeight="1">
      <c r="B597" s="19"/>
      <c r="G597" s="55"/>
      <c r="H597" s="12"/>
    </row>
    <row r="598" ht="14.25" customHeight="1">
      <c r="B598" s="19"/>
      <c r="G598" s="55"/>
      <c r="H598" s="12"/>
    </row>
    <row r="599" ht="14.25" customHeight="1">
      <c r="B599" s="19"/>
      <c r="G599" s="55"/>
      <c r="H599" s="12"/>
    </row>
    <row r="600" ht="14.25" customHeight="1">
      <c r="B600" s="19"/>
      <c r="G600" s="55"/>
      <c r="H600" s="12"/>
    </row>
    <row r="601" ht="14.25" customHeight="1">
      <c r="B601" s="19"/>
      <c r="G601" s="55"/>
      <c r="H601" s="12"/>
    </row>
    <row r="602" ht="14.25" customHeight="1">
      <c r="B602" s="19"/>
      <c r="G602" s="55"/>
      <c r="H602" s="12"/>
    </row>
    <row r="603" ht="14.25" customHeight="1">
      <c r="B603" s="19"/>
      <c r="G603" s="55"/>
      <c r="H603" s="12"/>
    </row>
    <row r="604" ht="14.25" customHeight="1">
      <c r="B604" s="19"/>
      <c r="G604" s="55"/>
      <c r="H604" s="12"/>
    </row>
    <row r="605" ht="14.25" customHeight="1">
      <c r="B605" s="19"/>
      <c r="G605" s="55"/>
      <c r="H605" s="12"/>
    </row>
    <row r="606" ht="14.25" customHeight="1">
      <c r="B606" s="19"/>
      <c r="G606" s="55"/>
      <c r="H606" s="12"/>
    </row>
    <row r="607" ht="14.25" customHeight="1">
      <c r="B607" s="19"/>
      <c r="G607" s="55"/>
      <c r="H607" s="12"/>
    </row>
    <row r="608" ht="14.25" customHeight="1">
      <c r="B608" s="19"/>
      <c r="G608" s="55"/>
      <c r="H608" s="12"/>
    </row>
    <row r="609" ht="14.25" customHeight="1">
      <c r="B609" s="19"/>
      <c r="G609" s="55"/>
      <c r="H609" s="12"/>
    </row>
    <row r="610" ht="14.25" customHeight="1">
      <c r="B610" s="19"/>
      <c r="G610" s="55"/>
      <c r="H610" s="12"/>
    </row>
    <row r="611" ht="14.25" customHeight="1">
      <c r="B611" s="19"/>
      <c r="G611" s="55"/>
      <c r="H611" s="12"/>
    </row>
    <row r="612" ht="14.25" customHeight="1">
      <c r="B612" s="19"/>
      <c r="G612" s="55"/>
      <c r="H612" s="12"/>
    </row>
    <row r="613" ht="14.25" customHeight="1">
      <c r="B613" s="19"/>
      <c r="G613" s="55"/>
      <c r="H613" s="12"/>
    </row>
    <row r="614" ht="14.25" customHeight="1">
      <c r="B614" s="19"/>
      <c r="G614" s="55"/>
      <c r="H614" s="12"/>
    </row>
    <row r="615" ht="14.25" customHeight="1">
      <c r="B615" s="19"/>
      <c r="G615" s="55"/>
      <c r="H615" s="12"/>
    </row>
    <row r="616" ht="14.25" customHeight="1">
      <c r="B616" s="19"/>
      <c r="G616" s="55"/>
      <c r="H616" s="12"/>
    </row>
    <row r="617" ht="14.25" customHeight="1">
      <c r="B617" s="19"/>
      <c r="G617" s="55"/>
      <c r="H617" s="12"/>
    </row>
    <row r="618" ht="14.25" customHeight="1">
      <c r="B618" s="19"/>
      <c r="G618" s="55"/>
      <c r="H618" s="12"/>
    </row>
    <row r="619" ht="14.25" customHeight="1">
      <c r="B619" s="19"/>
      <c r="G619" s="55"/>
      <c r="H619" s="12"/>
    </row>
    <row r="620" ht="14.25" customHeight="1">
      <c r="B620" s="19"/>
      <c r="G620" s="55"/>
      <c r="H620" s="12"/>
    </row>
    <row r="621" ht="14.25" customHeight="1">
      <c r="B621" s="19"/>
      <c r="G621" s="55"/>
      <c r="H621" s="12"/>
    </row>
    <row r="622" ht="14.25" customHeight="1">
      <c r="B622" s="19"/>
      <c r="G622" s="55"/>
      <c r="H622" s="12"/>
    </row>
    <row r="623" ht="14.25" customHeight="1">
      <c r="B623" s="19"/>
      <c r="G623" s="55"/>
      <c r="H623" s="12"/>
    </row>
    <row r="624" ht="14.25" customHeight="1">
      <c r="B624" s="19"/>
      <c r="G624" s="55"/>
      <c r="H624" s="12"/>
    </row>
    <row r="625" ht="14.25" customHeight="1">
      <c r="B625" s="19"/>
      <c r="G625" s="55"/>
      <c r="H625" s="12"/>
    </row>
    <row r="626" ht="14.25" customHeight="1">
      <c r="B626" s="19"/>
      <c r="G626" s="55"/>
      <c r="H626" s="12"/>
    </row>
    <row r="627" ht="14.25" customHeight="1">
      <c r="B627" s="19"/>
      <c r="G627" s="55"/>
      <c r="H627" s="12"/>
    </row>
    <row r="628" ht="14.25" customHeight="1">
      <c r="B628" s="19"/>
      <c r="G628" s="55"/>
      <c r="H628" s="12"/>
    </row>
    <row r="629" ht="14.25" customHeight="1">
      <c r="B629" s="19"/>
      <c r="G629" s="55"/>
      <c r="H629" s="12"/>
    </row>
    <row r="630" ht="14.25" customHeight="1">
      <c r="B630" s="19"/>
      <c r="G630" s="55"/>
      <c r="H630" s="12"/>
    </row>
    <row r="631" ht="14.25" customHeight="1">
      <c r="B631" s="19"/>
      <c r="G631" s="55"/>
      <c r="H631" s="12"/>
    </row>
    <row r="632" ht="14.25" customHeight="1">
      <c r="B632" s="19"/>
      <c r="G632" s="55"/>
      <c r="H632" s="12"/>
    </row>
    <row r="633" ht="14.25" customHeight="1">
      <c r="B633" s="19"/>
      <c r="G633" s="55"/>
      <c r="H633" s="12"/>
    </row>
    <row r="634" ht="14.25" customHeight="1">
      <c r="B634" s="19"/>
      <c r="G634" s="55"/>
      <c r="H634" s="12"/>
    </row>
    <row r="635" ht="14.25" customHeight="1">
      <c r="B635" s="19"/>
      <c r="G635" s="55"/>
      <c r="H635" s="12"/>
    </row>
    <row r="636" ht="14.25" customHeight="1">
      <c r="B636" s="19"/>
      <c r="G636" s="55"/>
      <c r="H636" s="12"/>
    </row>
    <row r="637" ht="14.25" customHeight="1">
      <c r="B637" s="19"/>
      <c r="G637" s="55"/>
      <c r="H637" s="12"/>
    </row>
    <row r="638" ht="14.25" customHeight="1">
      <c r="B638" s="19"/>
      <c r="G638" s="55"/>
      <c r="H638" s="12"/>
    </row>
    <row r="639" ht="14.25" customHeight="1">
      <c r="B639" s="19"/>
      <c r="G639" s="55"/>
      <c r="H639" s="12"/>
    </row>
    <row r="640" ht="14.25" customHeight="1">
      <c r="B640" s="19"/>
      <c r="G640" s="55"/>
      <c r="H640" s="12"/>
    </row>
    <row r="641" ht="14.25" customHeight="1">
      <c r="B641" s="19"/>
      <c r="G641" s="55"/>
      <c r="H641" s="12"/>
    </row>
    <row r="642" ht="14.25" customHeight="1">
      <c r="B642" s="19"/>
      <c r="G642" s="55"/>
      <c r="H642" s="12"/>
    </row>
    <row r="643" ht="14.25" customHeight="1">
      <c r="B643" s="19"/>
      <c r="G643" s="55"/>
      <c r="H643" s="12"/>
    </row>
    <row r="644" ht="14.25" customHeight="1">
      <c r="B644" s="19"/>
      <c r="G644" s="55"/>
      <c r="H644" s="12"/>
    </row>
    <row r="645" ht="14.25" customHeight="1">
      <c r="B645" s="19"/>
      <c r="G645" s="55"/>
      <c r="H645" s="12"/>
    </row>
    <row r="646" ht="14.25" customHeight="1">
      <c r="B646" s="19"/>
      <c r="G646" s="55"/>
      <c r="H646" s="12"/>
    </row>
    <row r="647" ht="14.25" customHeight="1">
      <c r="B647" s="19"/>
      <c r="G647" s="55"/>
      <c r="H647" s="12"/>
    </row>
    <row r="648" ht="14.25" customHeight="1">
      <c r="B648" s="19"/>
      <c r="G648" s="55"/>
      <c r="H648" s="12"/>
    </row>
    <row r="649" ht="14.25" customHeight="1">
      <c r="B649" s="19"/>
      <c r="G649" s="55"/>
      <c r="H649" s="12"/>
    </row>
    <row r="650" ht="14.25" customHeight="1">
      <c r="B650" s="19"/>
      <c r="G650" s="55"/>
      <c r="H650" s="12"/>
    </row>
    <row r="651" ht="14.25" customHeight="1">
      <c r="B651" s="19"/>
      <c r="G651" s="55"/>
      <c r="H651" s="12"/>
    </row>
    <row r="652" ht="14.25" customHeight="1">
      <c r="B652" s="19"/>
      <c r="G652" s="55"/>
      <c r="H652" s="12"/>
    </row>
    <row r="653" ht="14.25" customHeight="1">
      <c r="B653" s="19"/>
      <c r="G653" s="55"/>
      <c r="H653" s="12"/>
    </row>
    <row r="654" ht="14.25" customHeight="1">
      <c r="B654" s="19"/>
      <c r="G654" s="55"/>
      <c r="H654" s="12"/>
    </row>
    <row r="655" ht="14.25" customHeight="1">
      <c r="B655" s="19"/>
      <c r="G655" s="55"/>
      <c r="H655" s="12"/>
    </row>
    <row r="656" ht="14.25" customHeight="1">
      <c r="B656" s="19"/>
      <c r="G656" s="55"/>
      <c r="H656" s="12"/>
    </row>
    <row r="657" ht="14.25" customHeight="1">
      <c r="B657" s="19"/>
      <c r="G657" s="55"/>
      <c r="H657" s="12"/>
    </row>
    <row r="658" ht="14.25" customHeight="1">
      <c r="B658" s="19"/>
      <c r="G658" s="55"/>
      <c r="H658" s="12"/>
    </row>
    <row r="659" ht="14.25" customHeight="1">
      <c r="B659" s="19"/>
      <c r="G659" s="55"/>
      <c r="H659" s="12"/>
    </row>
    <row r="660" ht="14.25" customHeight="1">
      <c r="B660" s="19"/>
      <c r="G660" s="55"/>
      <c r="H660" s="12"/>
    </row>
    <row r="661" ht="14.25" customHeight="1">
      <c r="B661" s="19"/>
      <c r="G661" s="55"/>
      <c r="H661" s="12"/>
    </row>
    <row r="662" ht="14.25" customHeight="1">
      <c r="B662" s="19"/>
      <c r="G662" s="55"/>
      <c r="H662" s="12"/>
    </row>
    <row r="663" ht="14.25" customHeight="1">
      <c r="B663" s="19"/>
      <c r="G663" s="55"/>
      <c r="H663" s="12"/>
    </row>
    <row r="664" ht="14.25" customHeight="1">
      <c r="B664" s="19"/>
      <c r="G664" s="55"/>
      <c r="H664" s="12"/>
    </row>
    <row r="665" ht="14.25" customHeight="1">
      <c r="B665" s="19"/>
      <c r="G665" s="55"/>
      <c r="H665" s="12"/>
    </row>
    <row r="666" ht="14.25" customHeight="1">
      <c r="B666" s="19"/>
      <c r="G666" s="55"/>
      <c r="H666" s="12"/>
    </row>
    <row r="667" ht="14.25" customHeight="1">
      <c r="B667" s="19"/>
      <c r="G667" s="55"/>
      <c r="H667" s="12"/>
    </row>
    <row r="668" ht="14.25" customHeight="1">
      <c r="B668" s="19"/>
      <c r="G668" s="55"/>
      <c r="H668" s="12"/>
    </row>
    <row r="669" ht="14.25" customHeight="1">
      <c r="B669" s="19"/>
      <c r="G669" s="55"/>
      <c r="H669" s="12"/>
    </row>
    <row r="670" ht="14.25" customHeight="1">
      <c r="B670" s="19"/>
      <c r="G670" s="55"/>
      <c r="H670" s="12"/>
    </row>
    <row r="671" ht="14.25" customHeight="1">
      <c r="B671" s="19"/>
      <c r="G671" s="55"/>
      <c r="H671" s="12"/>
    </row>
    <row r="672" ht="14.25" customHeight="1">
      <c r="B672" s="19"/>
      <c r="G672" s="55"/>
      <c r="H672" s="12"/>
    </row>
    <row r="673" ht="14.25" customHeight="1">
      <c r="B673" s="19"/>
      <c r="G673" s="55"/>
      <c r="H673" s="12"/>
    </row>
    <row r="674" ht="14.25" customHeight="1">
      <c r="B674" s="19"/>
      <c r="G674" s="55"/>
      <c r="H674" s="12"/>
    </row>
    <row r="675" ht="14.25" customHeight="1">
      <c r="B675" s="19"/>
      <c r="G675" s="55"/>
      <c r="H675" s="12"/>
    </row>
    <row r="676" ht="14.25" customHeight="1">
      <c r="B676" s="19"/>
      <c r="G676" s="55"/>
      <c r="H676" s="12"/>
    </row>
    <row r="677" ht="14.25" customHeight="1">
      <c r="B677" s="19"/>
      <c r="G677" s="55"/>
      <c r="H677" s="12"/>
    </row>
    <row r="678" ht="14.25" customHeight="1">
      <c r="B678" s="19"/>
      <c r="G678" s="55"/>
      <c r="H678" s="12"/>
    </row>
    <row r="679" ht="14.25" customHeight="1">
      <c r="B679" s="19"/>
      <c r="G679" s="55"/>
      <c r="H679" s="12"/>
    </row>
    <row r="680" ht="14.25" customHeight="1">
      <c r="B680" s="19"/>
      <c r="G680" s="55"/>
      <c r="H680" s="12"/>
    </row>
    <row r="681" ht="14.25" customHeight="1">
      <c r="B681" s="19"/>
      <c r="G681" s="55"/>
      <c r="H681" s="12"/>
    </row>
    <row r="682" ht="14.25" customHeight="1">
      <c r="B682" s="19"/>
      <c r="G682" s="55"/>
      <c r="H682" s="12"/>
    </row>
    <row r="683" ht="14.25" customHeight="1">
      <c r="B683" s="19"/>
      <c r="G683" s="55"/>
      <c r="H683" s="12"/>
    </row>
    <row r="684" ht="14.25" customHeight="1">
      <c r="B684" s="19"/>
      <c r="G684" s="55"/>
      <c r="H684" s="12"/>
    </row>
    <row r="685" ht="14.25" customHeight="1">
      <c r="B685" s="19"/>
      <c r="G685" s="55"/>
      <c r="H685" s="12"/>
    </row>
    <row r="686" ht="14.25" customHeight="1">
      <c r="B686" s="19"/>
      <c r="G686" s="55"/>
      <c r="H686" s="12"/>
    </row>
    <row r="687" ht="14.25" customHeight="1">
      <c r="B687" s="19"/>
      <c r="G687" s="55"/>
      <c r="H687" s="12"/>
    </row>
    <row r="688" ht="14.25" customHeight="1">
      <c r="B688" s="19"/>
      <c r="G688" s="55"/>
      <c r="H688" s="12"/>
    </row>
    <row r="689" ht="14.25" customHeight="1">
      <c r="B689" s="19"/>
      <c r="G689" s="55"/>
      <c r="H689" s="12"/>
    </row>
    <row r="690" ht="14.25" customHeight="1">
      <c r="B690" s="19"/>
      <c r="G690" s="55"/>
      <c r="H690" s="12"/>
    </row>
    <row r="691" ht="14.25" customHeight="1">
      <c r="B691" s="19"/>
      <c r="G691" s="55"/>
      <c r="H691" s="12"/>
    </row>
    <row r="692" ht="14.25" customHeight="1">
      <c r="B692" s="19"/>
      <c r="G692" s="55"/>
      <c r="H692" s="12"/>
    </row>
    <row r="693" ht="14.25" customHeight="1">
      <c r="B693" s="19"/>
      <c r="G693" s="55"/>
      <c r="H693" s="12"/>
    </row>
    <row r="694" ht="14.25" customHeight="1">
      <c r="B694" s="19"/>
      <c r="G694" s="55"/>
      <c r="H694" s="12"/>
    </row>
    <row r="695" ht="14.25" customHeight="1">
      <c r="B695" s="19"/>
      <c r="G695" s="55"/>
      <c r="H695" s="12"/>
    </row>
    <row r="696" ht="14.25" customHeight="1">
      <c r="B696" s="19"/>
      <c r="G696" s="55"/>
      <c r="H696" s="12"/>
    </row>
    <row r="697" ht="14.25" customHeight="1">
      <c r="B697" s="19"/>
      <c r="G697" s="55"/>
      <c r="H697" s="12"/>
    </row>
    <row r="698" ht="14.25" customHeight="1">
      <c r="B698" s="19"/>
      <c r="G698" s="55"/>
      <c r="H698" s="12"/>
    </row>
    <row r="699" ht="14.25" customHeight="1">
      <c r="B699" s="19"/>
      <c r="G699" s="55"/>
      <c r="H699" s="12"/>
    </row>
    <row r="700" ht="14.25" customHeight="1">
      <c r="B700" s="19"/>
      <c r="G700" s="55"/>
      <c r="H700" s="12"/>
    </row>
    <row r="701" ht="14.25" customHeight="1">
      <c r="B701" s="19"/>
      <c r="G701" s="55"/>
      <c r="H701" s="12"/>
    </row>
    <row r="702" ht="14.25" customHeight="1">
      <c r="B702" s="19"/>
      <c r="G702" s="55"/>
      <c r="H702" s="12"/>
    </row>
    <row r="703" ht="14.25" customHeight="1">
      <c r="B703" s="19"/>
      <c r="G703" s="55"/>
      <c r="H703" s="12"/>
    </row>
    <row r="704" ht="14.25" customHeight="1">
      <c r="B704" s="19"/>
      <c r="G704" s="55"/>
      <c r="H704" s="12"/>
    </row>
    <row r="705" ht="14.25" customHeight="1">
      <c r="B705" s="19"/>
      <c r="G705" s="55"/>
      <c r="H705" s="12"/>
    </row>
    <row r="706" ht="14.25" customHeight="1">
      <c r="B706" s="19"/>
      <c r="G706" s="55"/>
      <c r="H706" s="12"/>
    </row>
    <row r="707" ht="14.25" customHeight="1">
      <c r="B707" s="19"/>
      <c r="G707" s="55"/>
      <c r="H707" s="12"/>
    </row>
    <row r="708" ht="14.25" customHeight="1">
      <c r="B708" s="19"/>
      <c r="G708" s="55"/>
      <c r="H708" s="12"/>
    </row>
    <row r="709" ht="14.25" customHeight="1">
      <c r="B709" s="19"/>
      <c r="G709" s="55"/>
      <c r="H709" s="12"/>
    </row>
    <row r="710" ht="14.25" customHeight="1">
      <c r="B710" s="19"/>
      <c r="G710" s="55"/>
      <c r="H710" s="12"/>
    </row>
    <row r="711" ht="14.25" customHeight="1">
      <c r="B711" s="19"/>
      <c r="G711" s="55"/>
      <c r="H711" s="12"/>
    </row>
    <row r="712" ht="14.25" customHeight="1">
      <c r="B712" s="19"/>
      <c r="G712" s="55"/>
      <c r="H712" s="12"/>
    </row>
    <row r="713" ht="14.25" customHeight="1">
      <c r="B713" s="19"/>
      <c r="G713" s="55"/>
      <c r="H713" s="12"/>
    </row>
    <row r="714" ht="14.25" customHeight="1">
      <c r="B714" s="19"/>
      <c r="G714" s="55"/>
      <c r="H714" s="12"/>
    </row>
    <row r="715" ht="14.25" customHeight="1">
      <c r="B715" s="19"/>
      <c r="G715" s="55"/>
      <c r="H715" s="12"/>
    </row>
    <row r="716" ht="14.25" customHeight="1">
      <c r="B716" s="19"/>
      <c r="G716" s="55"/>
      <c r="H716" s="12"/>
    </row>
    <row r="717" ht="14.25" customHeight="1">
      <c r="B717" s="19"/>
      <c r="G717" s="55"/>
      <c r="H717" s="12"/>
    </row>
    <row r="718" ht="14.25" customHeight="1">
      <c r="B718" s="19"/>
      <c r="G718" s="55"/>
      <c r="H718" s="12"/>
    </row>
    <row r="719" ht="14.25" customHeight="1">
      <c r="B719" s="19"/>
      <c r="G719" s="55"/>
      <c r="H719" s="12"/>
    </row>
    <row r="720" ht="14.25" customHeight="1">
      <c r="B720" s="19"/>
      <c r="G720" s="55"/>
      <c r="H720" s="12"/>
    </row>
    <row r="721" ht="14.25" customHeight="1">
      <c r="B721" s="19"/>
      <c r="G721" s="55"/>
      <c r="H721" s="12"/>
    </row>
    <row r="722" ht="14.25" customHeight="1">
      <c r="B722" s="19"/>
      <c r="G722" s="55"/>
      <c r="H722" s="12"/>
    </row>
    <row r="723" ht="14.25" customHeight="1">
      <c r="B723" s="19"/>
      <c r="G723" s="55"/>
      <c r="H723" s="12"/>
    </row>
    <row r="724" ht="14.25" customHeight="1">
      <c r="B724" s="19"/>
      <c r="G724" s="55"/>
      <c r="H724" s="12"/>
    </row>
    <row r="725" ht="14.25" customHeight="1">
      <c r="B725" s="19"/>
      <c r="G725" s="55"/>
      <c r="H725" s="12"/>
    </row>
    <row r="726" ht="14.25" customHeight="1">
      <c r="B726" s="19"/>
      <c r="G726" s="55"/>
      <c r="H726" s="12"/>
    </row>
    <row r="727" ht="14.25" customHeight="1">
      <c r="B727" s="19"/>
      <c r="G727" s="55"/>
      <c r="H727" s="12"/>
    </row>
    <row r="728" ht="14.25" customHeight="1">
      <c r="B728" s="19"/>
      <c r="G728" s="55"/>
      <c r="H728" s="12"/>
    </row>
    <row r="729" ht="14.25" customHeight="1">
      <c r="B729" s="19"/>
      <c r="G729" s="55"/>
      <c r="H729" s="12"/>
    </row>
    <row r="730" ht="14.25" customHeight="1">
      <c r="B730" s="19"/>
      <c r="G730" s="55"/>
      <c r="H730" s="12"/>
    </row>
    <row r="731" ht="14.25" customHeight="1">
      <c r="B731" s="19"/>
      <c r="G731" s="55"/>
      <c r="H731" s="12"/>
    </row>
    <row r="732" ht="14.25" customHeight="1">
      <c r="B732" s="19"/>
      <c r="G732" s="55"/>
      <c r="H732" s="12"/>
    </row>
    <row r="733" ht="14.25" customHeight="1">
      <c r="B733" s="19"/>
      <c r="G733" s="55"/>
      <c r="H733" s="12"/>
    </row>
    <row r="734" ht="14.25" customHeight="1">
      <c r="B734" s="19"/>
      <c r="G734" s="55"/>
      <c r="H734" s="12"/>
    </row>
    <row r="735" ht="14.25" customHeight="1">
      <c r="B735" s="19"/>
      <c r="G735" s="55"/>
      <c r="H735" s="12"/>
    </row>
    <row r="736" ht="14.25" customHeight="1">
      <c r="B736" s="19"/>
      <c r="G736" s="55"/>
      <c r="H736" s="12"/>
    </row>
    <row r="737" ht="14.25" customHeight="1">
      <c r="B737" s="19"/>
      <c r="G737" s="55"/>
      <c r="H737" s="12"/>
    </row>
    <row r="738" ht="14.25" customHeight="1">
      <c r="B738" s="19"/>
      <c r="G738" s="55"/>
      <c r="H738" s="12"/>
    </row>
    <row r="739" ht="14.25" customHeight="1">
      <c r="B739" s="19"/>
      <c r="G739" s="55"/>
      <c r="H739" s="12"/>
    </row>
    <row r="740" ht="14.25" customHeight="1">
      <c r="B740" s="19"/>
      <c r="G740" s="55"/>
      <c r="H740" s="12"/>
    </row>
    <row r="741" ht="14.25" customHeight="1">
      <c r="B741" s="19"/>
      <c r="G741" s="55"/>
      <c r="H741" s="12"/>
    </row>
    <row r="742" ht="14.25" customHeight="1">
      <c r="B742" s="19"/>
      <c r="G742" s="55"/>
      <c r="H742" s="12"/>
    </row>
    <row r="743" ht="14.25" customHeight="1">
      <c r="B743" s="19"/>
      <c r="G743" s="55"/>
      <c r="H743" s="12"/>
    </row>
    <row r="744" ht="14.25" customHeight="1">
      <c r="B744" s="19"/>
      <c r="G744" s="55"/>
      <c r="H744" s="12"/>
    </row>
    <row r="745" ht="14.25" customHeight="1">
      <c r="B745" s="19"/>
      <c r="G745" s="55"/>
      <c r="H745" s="12"/>
    </row>
    <row r="746" ht="14.25" customHeight="1">
      <c r="B746" s="19"/>
      <c r="G746" s="55"/>
      <c r="H746" s="12"/>
    </row>
    <row r="747" ht="14.25" customHeight="1">
      <c r="B747" s="19"/>
      <c r="G747" s="55"/>
      <c r="H747" s="12"/>
    </row>
    <row r="748" ht="14.25" customHeight="1">
      <c r="B748" s="19"/>
      <c r="G748" s="55"/>
      <c r="H748" s="12"/>
    </row>
    <row r="749" ht="14.25" customHeight="1">
      <c r="B749" s="19"/>
      <c r="G749" s="55"/>
      <c r="H749" s="12"/>
    </row>
    <row r="750" ht="14.25" customHeight="1">
      <c r="B750" s="19"/>
      <c r="G750" s="55"/>
      <c r="H750" s="12"/>
    </row>
    <row r="751" ht="14.25" customHeight="1">
      <c r="B751" s="19"/>
      <c r="G751" s="55"/>
      <c r="H751" s="12"/>
    </row>
    <row r="752" ht="14.25" customHeight="1">
      <c r="B752" s="19"/>
      <c r="G752" s="55"/>
      <c r="H752" s="12"/>
    </row>
    <row r="753" ht="14.25" customHeight="1">
      <c r="B753" s="19"/>
      <c r="G753" s="55"/>
      <c r="H753" s="12"/>
    </row>
    <row r="754" ht="14.25" customHeight="1">
      <c r="B754" s="19"/>
      <c r="G754" s="55"/>
      <c r="H754" s="12"/>
    </row>
    <row r="755" ht="14.25" customHeight="1">
      <c r="B755" s="19"/>
      <c r="G755" s="55"/>
      <c r="H755" s="12"/>
    </row>
    <row r="756" ht="14.25" customHeight="1">
      <c r="B756" s="19"/>
      <c r="G756" s="55"/>
      <c r="H756" s="12"/>
    </row>
    <row r="757" ht="14.25" customHeight="1">
      <c r="B757" s="19"/>
      <c r="G757" s="55"/>
      <c r="H757" s="12"/>
    </row>
    <row r="758" ht="14.25" customHeight="1">
      <c r="B758" s="19"/>
      <c r="G758" s="55"/>
      <c r="H758" s="12"/>
    </row>
    <row r="759" ht="14.25" customHeight="1">
      <c r="B759" s="19"/>
      <c r="G759" s="55"/>
      <c r="H759" s="12"/>
    </row>
    <row r="760" ht="14.25" customHeight="1">
      <c r="B760" s="19"/>
      <c r="G760" s="55"/>
      <c r="H760" s="12"/>
    </row>
    <row r="761" ht="14.25" customHeight="1">
      <c r="B761" s="19"/>
      <c r="G761" s="55"/>
      <c r="H761" s="12"/>
    </row>
    <row r="762" ht="14.25" customHeight="1">
      <c r="B762" s="19"/>
      <c r="G762" s="55"/>
      <c r="H762" s="12"/>
    </row>
    <row r="763" ht="14.25" customHeight="1">
      <c r="B763" s="19"/>
      <c r="G763" s="55"/>
      <c r="H763" s="12"/>
    </row>
    <row r="764" ht="14.25" customHeight="1">
      <c r="B764" s="19"/>
      <c r="G764" s="55"/>
      <c r="H764" s="12"/>
    </row>
    <row r="765" ht="14.25" customHeight="1">
      <c r="B765" s="19"/>
      <c r="G765" s="55"/>
      <c r="H765" s="12"/>
    </row>
    <row r="766" ht="14.25" customHeight="1">
      <c r="B766" s="19"/>
      <c r="G766" s="55"/>
      <c r="H766" s="12"/>
    </row>
    <row r="767" ht="14.25" customHeight="1">
      <c r="B767" s="19"/>
      <c r="G767" s="55"/>
      <c r="H767" s="12"/>
    </row>
    <row r="768" ht="14.25" customHeight="1">
      <c r="B768" s="19"/>
      <c r="G768" s="55"/>
      <c r="H768" s="12"/>
    </row>
    <row r="769" ht="14.25" customHeight="1">
      <c r="B769" s="19"/>
      <c r="G769" s="55"/>
      <c r="H769" s="12"/>
    </row>
    <row r="770" ht="14.25" customHeight="1">
      <c r="B770" s="19"/>
      <c r="G770" s="55"/>
      <c r="H770" s="12"/>
    </row>
    <row r="771" ht="14.25" customHeight="1">
      <c r="B771" s="19"/>
      <c r="G771" s="55"/>
      <c r="H771" s="12"/>
    </row>
    <row r="772" ht="14.25" customHeight="1">
      <c r="B772" s="19"/>
      <c r="G772" s="55"/>
      <c r="H772" s="12"/>
    </row>
    <row r="773" ht="14.25" customHeight="1">
      <c r="B773" s="19"/>
      <c r="G773" s="55"/>
      <c r="H773" s="12"/>
    </row>
    <row r="774" ht="14.25" customHeight="1">
      <c r="B774" s="19"/>
      <c r="G774" s="55"/>
      <c r="H774" s="12"/>
    </row>
    <row r="775" ht="14.25" customHeight="1">
      <c r="B775" s="19"/>
      <c r="G775" s="55"/>
      <c r="H775" s="12"/>
    </row>
    <row r="776" ht="14.25" customHeight="1">
      <c r="B776" s="19"/>
      <c r="G776" s="55"/>
      <c r="H776" s="12"/>
    </row>
    <row r="777" ht="14.25" customHeight="1">
      <c r="B777" s="19"/>
      <c r="G777" s="55"/>
      <c r="H777" s="12"/>
    </row>
    <row r="778" ht="14.25" customHeight="1">
      <c r="B778" s="19"/>
      <c r="G778" s="55"/>
      <c r="H778" s="12"/>
    </row>
    <row r="779" ht="14.25" customHeight="1">
      <c r="B779" s="19"/>
      <c r="G779" s="55"/>
      <c r="H779" s="12"/>
    </row>
    <row r="780" ht="14.25" customHeight="1">
      <c r="B780" s="19"/>
      <c r="G780" s="55"/>
      <c r="H780" s="12"/>
    </row>
    <row r="781" ht="14.25" customHeight="1">
      <c r="B781" s="19"/>
      <c r="G781" s="55"/>
      <c r="H781" s="12"/>
    </row>
    <row r="782" ht="14.25" customHeight="1">
      <c r="B782" s="19"/>
      <c r="G782" s="55"/>
      <c r="H782" s="12"/>
    </row>
    <row r="783" ht="14.25" customHeight="1">
      <c r="B783" s="19"/>
      <c r="G783" s="55"/>
      <c r="H783" s="12"/>
    </row>
    <row r="784" ht="14.25" customHeight="1">
      <c r="B784" s="19"/>
      <c r="G784" s="55"/>
      <c r="H784" s="12"/>
    </row>
    <row r="785" ht="14.25" customHeight="1">
      <c r="B785" s="19"/>
      <c r="G785" s="55"/>
      <c r="H785" s="12"/>
    </row>
    <row r="786" ht="14.25" customHeight="1">
      <c r="B786" s="19"/>
      <c r="G786" s="55"/>
      <c r="H786" s="12"/>
    </row>
    <row r="787" ht="14.25" customHeight="1">
      <c r="B787" s="19"/>
      <c r="G787" s="55"/>
      <c r="H787" s="12"/>
    </row>
    <row r="788" ht="14.25" customHeight="1">
      <c r="B788" s="19"/>
      <c r="G788" s="55"/>
      <c r="H788" s="12"/>
    </row>
    <row r="789" ht="14.25" customHeight="1">
      <c r="B789" s="19"/>
      <c r="G789" s="55"/>
      <c r="H789" s="12"/>
    </row>
    <row r="790" ht="14.25" customHeight="1">
      <c r="B790" s="19"/>
      <c r="G790" s="55"/>
      <c r="H790" s="12"/>
    </row>
    <row r="791" ht="14.25" customHeight="1">
      <c r="B791" s="19"/>
      <c r="G791" s="55"/>
      <c r="H791" s="12"/>
    </row>
    <row r="792" ht="14.25" customHeight="1">
      <c r="B792" s="19"/>
      <c r="G792" s="55"/>
      <c r="H792" s="12"/>
    </row>
    <row r="793" ht="14.25" customHeight="1">
      <c r="B793" s="19"/>
      <c r="G793" s="55"/>
      <c r="H793" s="12"/>
    </row>
    <row r="794" ht="14.25" customHeight="1">
      <c r="B794" s="19"/>
      <c r="G794" s="55"/>
      <c r="H794" s="12"/>
    </row>
    <row r="795" ht="14.25" customHeight="1">
      <c r="B795" s="19"/>
      <c r="G795" s="55"/>
      <c r="H795" s="12"/>
    </row>
    <row r="796" ht="14.25" customHeight="1">
      <c r="B796" s="19"/>
      <c r="G796" s="55"/>
      <c r="H796" s="12"/>
    </row>
    <row r="797" ht="14.25" customHeight="1">
      <c r="B797" s="19"/>
      <c r="G797" s="55"/>
      <c r="H797" s="12"/>
    </row>
    <row r="798" ht="14.25" customHeight="1">
      <c r="B798" s="19"/>
      <c r="G798" s="55"/>
      <c r="H798" s="12"/>
    </row>
    <row r="799" ht="14.25" customHeight="1">
      <c r="B799" s="19"/>
      <c r="G799" s="55"/>
      <c r="H799" s="12"/>
    </row>
    <row r="800" ht="14.25" customHeight="1">
      <c r="B800" s="19"/>
      <c r="G800" s="55"/>
      <c r="H800" s="12"/>
    </row>
    <row r="801" ht="14.25" customHeight="1">
      <c r="B801" s="19"/>
      <c r="G801" s="55"/>
      <c r="H801" s="12"/>
    </row>
    <row r="802" ht="14.25" customHeight="1">
      <c r="B802" s="19"/>
      <c r="G802" s="55"/>
      <c r="H802" s="12"/>
    </row>
    <row r="803" ht="14.25" customHeight="1">
      <c r="B803" s="19"/>
      <c r="G803" s="55"/>
      <c r="H803" s="12"/>
    </row>
    <row r="804" ht="14.25" customHeight="1">
      <c r="B804" s="19"/>
      <c r="G804" s="55"/>
      <c r="H804" s="12"/>
    </row>
    <row r="805" ht="14.25" customHeight="1">
      <c r="B805" s="19"/>
      <c r="G805" s="55"/>
      <c r="H805" s="12"/>
    </row>
    <row r="806" ht="14.25" customHeight="1">
      <c r="B806" s="19"/>
      <c r="G806" s="55"/>
      <c r="H806" s="12"/>
    </row>
    <row r="807" ht="14.25" customHeight="1">
      <c r="B807" s="19"/>
      <c r="G807" s="55"/>
      <c r="H807" s="12"/>
    </row>
    <row r="808" ht="14.25" customHeight="1">
      <c r="B808" s="19"/>
      <c r="G808" s="55"/>
      <c r="H808" s="12"/>
    </row>
    <row r="809" ht="14.25" customHeight="1">
      <c r="B809" s="19"/>
      <c r="G809" s="55"/>
      <c r="H809" s="12"/>
    </row>
    <row r="810" ht="14.25" customHeight="1">
      <c r="B810" s="19"/>
      <c r="G810" s="55"/>
      <c r="H810" s="12"/>
    </row>
    <row r="811" ht="14.25" customHeight="1">
      <c r="B811" s="19"/>
      <c r="G811" s="55"/>
      <c r="H811" s="12"/>
    </row>
    <row r="812" ht="14.25" customHeight="1">
      <c r="B812" s="19"/>
      <c r="G812" s="55"/>
      <c r="H812" s="12"/>
    </row>
    <row r="813" ht="14.25" customHeight="1">
      <c r="B813" s="19"/>
      <c r="G813" s="55"/>
      <c r="H813" s="12"/>
    </row>
    <row r="814" ht="14.25" customHeight="1">
      <c r="B814" s="19"/>
      <c r="G814" s="55"/>
      <c r="H814" s="12"/>
    </row>
    <row r="815" ht="14.25" customHeight="1">
      <c r="B815" s="19"/>
      <c r="G815" s="55"/>
      <c r="H815" s="12"/>
    </row>
    <row r="816" ht="14.25" customHeight="1">
      <c r="B816" s="19"/>
      <c r="G816" s="55"/>
      <c r="H816" s="12"/>
    </row>
    <row r="817" ht="14.25" customHeight="1">
      <c r="B817" s="19"/>
      <c r="G817" s="55"/>
      <c r="H817" s="12"/>
    </row>
    <row r="818" ht="14.25" customHeight="1">
      <c r="B818" s="19"/>
      <c r="G818" s="55"/>
      <c r="H818" s="12"/>
    </row>
    <row r="819" ht="14.25" customHeight="1">
      <c r="B819" s="19"/>
      <c r="G819" s="55"/>
      <c r="H819" s="12"/>
    </row>
    <row r="820" ht="14.25" customHeight="1">
      <c r="B820" s="19"/>
      <c r="G820" s="55"/>
      <c r="H820" s="12"/>
    </row>
    <row r="821" ht="14.25" customHeight="1">
      <c r="B821" s="19"/>
      <c r="G821" s="55"/>
      <c r="H821" s="12"/>
    </row>
    <row r="822" ht="14.25" customHeight="1">
      <c r="B822" s="19"/>
      <c r="G822" s="55"/>
      <c r="H822" s="12"/>
    </row>
    <row r="823" ht="14.25" customHeight="1">
      <c r="B823" s="19"/>
      <c r="G823" s="55"/>
      <c r="H823" s="12"/>
    </row>
    <row r="824" ht="14.25" customHeight="1">
      <c r="B824" s="19"/>
      <c r="G824" s="55"/>
      <c r="H824" s="12"/>
    </row>
    <row r="825" ht="14.25" customHeight="1">
      <c r="B825" s="19"/>
      <c r="G825" s="55"/>
      <c r="H825" s="12"/>
    </row>
    <row r="826" ht="14.25" customHeight="1">
      <c r="B826" s="19"/>
      <c r="G826" s="55"/>
      <c r="H826" s="12"/>
    </row>
    <row r="827" ht="14.25" customHeight="1">
      <c r="B827" s="19"/>
      <c r="G827" s="55"/>
      <c r="H827" s="12"/>
    </row>
    <row r="828" ht="14.25" customHeight="1">
      <c r="B828" s="19"/>
      <c r="G828" s="55"/>
      <c r="H828" s="12"/>
    </row>
    <row r="829" ht="14.25" customHeight="1">
      <c r="B829" s="19"/>
      <c r="G829" s="55"/>
      <c r="H829" s="12"/>
    </row>
    <row r="830" ht="14.25" customHeight="1">
      <c r="B830" s="19"/>
      <c r="G830" s="55"/>
      <c r="H830" s="12"/>
    </row>
    <row r="831" ht="14.25" customHeight="1">
      <c r="B831" s="19"/>
      <c r="G831" s="55"/>
      <c r="H831" s="12"/>
    </row>
    <row r="832" ht="14.25" customHeight="1">
      <c r="B832" s="19"/>
      <c r="G832" s="55"/>
      <c r="H832" s="12"/>
    </row>
    <row r="833" ht="14.25" customHeight="1">
      <c r="B833" s="19"/>
      <c r="G833" s="55"/>
      <c r="H833" s="12"/>
    </row>
    <row r="834" ht="14.25" customHeight="1">
      <c r="B834" s="19"/>
      <c r="G834" s="55"/>
      <c r="H834" s="12"/>
    </row>
    <row r="835" ht="14.25" customHeight="1">
      <c r="B835" s="19"/>
      <c r="G835" s="55"/>
      <c r="H835" s="12"/>
    </row>
    <row r="836" ht="14.25" customHeight="1">
      <c r="B836" s="19"/>
      <c r="G836" s="55"/>
      <c r="H836" s="12"/>
    </row>
    <row r="837" ht="14.25" customHeight="1">
      <c r="B837" s="19"/>
      <c r="G837" s="55"/>
      <c r="H837" s="12"/>
    </row>
    <row r="838" ht="14.25" customHeight="1">
      <c r="B838" s="19"/>
      <c r="G838" s="55"/>
      <c r="H838" s="12"/>
    </row>
    <row r="839" ht="14.25" customHeight="1">
      <c r="B839" s="19"/>
      <c r="G839" s="55"/>
      <c r="H839" s="12"/>
    </row>
    <row r="840" ht="14.25" customHeight="1">
      <c r="B840" s="19"/>
      <c r="G840" s="55"/>
      <c r="H840" s="12"/>
    </row>
    <row r="841" ht="14.25" customHeight="1">
      <c r="B841" s="19"/>
      <c r="G841" s="55"/>
      <c r="H841" s="12"/>
    </row>
    <row r="842" ht="14.25" customHeight="1">
      <c r="B842" s="19"/>
      <c r="G842" s="55"/>
      <c r="H842" s="12"/>
    </row>
    <row r="843" ht="14.25" customHeight="1">
      <c r="B843" s="19"/>
      <c r="G843" s="55"/>
      <c r="H843" s="12"/>
    </row>
    <row r="844" ht="14.25" customHeight="1">
      <c r="B844" s="19"/>
      <c r="G844" s="55"/>
      <c r="H844" s="12"/>
    </row>
    <row r="845" ht="14.25" customHeight="1">
      <c r="B845" s="19"/>
      <c r="G845" s="55"/>
      <c r="H845" s="12"/>
    </row>
    <row r="846" ht="14.25" customHeight="1">
      <c r="B846" s="19"/>
      <c r="G846" s="55"/>
      <c r="H846" s="12"/>
    </row>
    <row r="847" ht="14.25" customHeight="1">
      <c r="B847" s="19"/>
      <c r="G847" s="55"/>
      <c r="H847" s="12"/>
    </row>
    <row r="848" ht="14.25" customHeight="1">
      <c r="B848" s="19"/>
      <c r="G848" s="55"/>
      <c r="H848" s="12"/>
    </row>
    <row r="849" ht="14.25" customHeight="1">
      <c r="B849" s="19"/>
      <c r="G849" s="55"/>
      <c r="H849" s="12"/>
    </row>
    <row r="850" ht="14.25" customHeight="1">
      <c r="B850" s="19"/>
      <c r="G850" s="55"/>
      <c r="H850" s="12"/>
    </row>
    <row r="851" ht="14.25" customHeight="1">
      <c r="B851" s="19"/>
      <c r="G851" s="55"/>
      <c r="H851" s="12"/>
    </row>
    <row r="852" ht="14.25" customHeight="1">
      <c r="B852" s="19"/>
      <c r="G852" s="55"/>
      <c r="H852" s="12"/>
    </row>
    <row r="853" ht="14.25" customHeight="1">
      <c r="B853" s="19"/>
      <c r="G853" s="55"/>
      <c r="H853" s="12"/>
    </row>
    <row r="854" ht="14.25" customHeight="1">
      <c r="B854" s="19"/>
      <c r="G854" s="55"/>
      <c r="H854" s="12"/>
    </row>
    <row r="855" ht="14.25" customHeight="1">
      <c r="B855" s="19"/>
      <c r="G855" s="55"/>
      <c r="H855" s="12"/>
    </row>
    <row r="856" ht="14.25" customHeight="1">
      <c r="B856" s="19"/>
      <c r="G856" s="55"/>
      <c r="H856" s="12"/>
    </row>
    <row r="857" ht="14.25" customHeight="1">
      <c r="B857" s="19"/>
      <c r="G857" s="55"/>
      <c r="H857" s="12"/>
    </row>
    <row r="858" ht="14.25" customHeight="1">
      <c r="B858" s="19"/>
      <c r="G858" s="55"/>
      <c r="H858" s="12"/>
    </row>
    <row r="859" ht="14.25" customHeight="1">
      <c r="B859" s="19"/>
      <c r="G859" s="55"/>
      <c r="H859" s="12"/>
    </row>
    <row r="860" ht="14.25" customHeight="1">
      <c r="B860" s="19"/>
      <c r="G860" s="55"/>
      <c r="H860" s="12"/>
    </row>
    <row r="861" ht="14.25" customHeight="1">
      <c r="B861" s="19"/>
      <c r="G861" s="55"/>
      <c r="H861" s="12"/>
    </row>
    <row r="862" ht="14.25" customHeight="1">
      <c r="B862" s="19"/>
      <c r="G862" s="55"/>
      <c r="H862" s="12"/>
    </row>
    <row r="863" ht="14.25" customHeight="1">
      <c r="B863" s="19"/>
      <c r="G863" s="55"/>
      <c r="H863" s="12"/>
    </row>
    <row r="864" ht="14.25" customHeight="1">
      <c r="B864" s="19"/>
      <c r="G864" s="55"/>
      <c r="H864" s="12"/>
    </row>
    <row r="865" ht="14.25" customHeight="1">
      <c r="B865" s="19"/>
      <c r="G865" s="55"/>
      <c r="H865" s="12"/>
    </row>
    <row r="866" ht="14.25" customHeight="1">
      <c r="B866" s="19"/>
      <c r="G866" s="55"/>
      <c r="H866" s="12"/>
    </row>
    <row r="867" ht="14.25" customHeight="1">
      <c r="B867" s="19"/>
      <c r="G867" s="55"/>
      <c r="H867" s="12"/>
    </row>
    <row r="868" ht="14.25" customHeight="1">
      <c r="B868" s="19"/>
      <c r="G868" s="55"/>
      <c r="H868" s="12"/>
    </row>
    <row r="869" ht="14.25" customHeight="1">
      <c r="B869" s="19"/>
      <c r="G869" s="55"/>
      <c r="H869" s="12"/>
    </row>
    <row r="870" ht="14.25" customHeight="1">
      <c r="B870" s="19"/>
      <c r="G870" s="55"/>
      <c r="H870" s="12"/>
    </row>
    <row r="871" ht="14.25" customHeight="1">
      <c r="B871" s="19"/>
      <c r="G871" s="55"/>
      <c r="H871" s="12"/>
    </row>
    <row r="872" ht="14.25" customHeight="1">
      <c r="B872" s="19"/>
      <c r="G872" s="55"/>
      <c r="H872" s="12"/>
    </row>
    <row r="873" ht="14.25" customHeight="1">
      <c r="B873" s="19"/>
      <c r="G873" s="55"/>
      <c r="H873" s="12"/>
    </row>
    <row r="874" ht="14.25" customHeight="1">
      <c r="B874" s="19"/>
      <c r="G874" s="55"/>
      <c r="H874" s="12"/>
    </row>
    <row r="875" ht="14.25" customHeight="1">
      <c r="B875" s="19"/>
      <c r="G875" s="55"/>
      <c r="H875" s="12"/>
    </row>
    <row r="876" ht="14.25" customHeight="1">
      <c r="B876" s="19"/>
      <c r="G876" s="55"/>
      <c r="H876" s="12"/>
    </row>
    <row r="877" ht="14.25" customHeight="1">
      <c r="B877" s="19"/>
      <c r="G877" s="55"/>
      <c r="H877" s="12"/>
    </row>
    <row r="878" ht="14.25" customHeight="1">
      <c r="B878" s="19"/>
      <c r="G878" s="55"/>
      <c r="H878" s="12"/>
    </row>
    <row r="879" ht="14.25" customHeight="1">
      <c r="B879" s="19"/>
      <c r="G879" s="55"/>
      <c r="H879" s="12"/>
    </row>
    <row r="880" ht="14.25" customHeight="1">
      <c r="B880" s="19"/>
      <c r="G880" s="55"/>
      <c r="H880" s="12"/>
    </row>
    <row r="881" ht="14.25" customHeight="1">
      <c r="B881" s="19"/>
      <c r="G881" s="55"/>
      <c r="H881" s="12"/>
    </row>
    <row r="882" ht="14.25" customHeight="1">
      <c r="B882" s="19"/>
      <c r="G882" s="55"/>
      <c r="H882" s="12"/>
    </row>
    <row r="883" ht="14.25" customHeight="1">
      <c r="B883" s="19"/>
      <c r="G883" s="55"/>
      <c r="H883" s="12"/>
    </row>
    <row r="884" ht="14.25" customHeight="1">
      <c r="B884" s="19"/>
      <c r="G884" s="55"/>
      <c r="H884" s="12"/>
    </row>
    <row r="885" ht="14.25" customHeight="1">
      <c r="B885" s="19"/>
      <c r="G885" s="55"/>
      <c r="H885" s="12"/>
    </row>
    <row r="886" ht="14.25" customHeight="1">
      <c r="B886" s="19"/>
      <c r="G886" s="55"/>
      <c r="H886" s="12"/>
    </row>
    <row r="887" ht="14.25" customHeight="1">
      <c r="B887" s="19"/>
      <c r="G887" s="55"/>
      <c r="H887" s="12"/>
    </row>
    <row r="888" ht="14.25" customHeight="1">
      <c r="B888" s="19"/>
      <c r="G888" s="55"/>
      <c r="H888" s="12"/>
    </row>
    <row r="889" ht="14.25" customHeight="1">
      <c r="B889" s="19"/>
      <c r="G889" s="55"/>
      <c r="H889" s="12"/>
    </row>
    <row r="890" ht="14.25" customHeight="1">
      <c r="B890" s="19"/>
      <c r="G890" s="55"/>
      <c r="H890" s="12"/>
    </row>
    <row r="891" ht="14.25" customHeight="1">
      <c r="B891" s="19"/>
      <c r="G891" s="55"/>
      <c r="H891" s="12"/>
    </row>
    <row r="892" ht="14.25" customHeight="1">
      <c r="B892" s="19"/>
      <c r="G892" s="55"/>
      <c r="H892" s="12"/>
    </row>
    <row r="893" ht="14.25" customHeight="1">
      <c r="B893" s="19"/>
      <c r="G893" s="55"/>
      <c r="H893" s="12"/>
    </row>
    <row r="894" ht="14.25" customHeight="1">
      <c r="B894" s="19"/>
      <c r="G894" s="55"/>
      <c r="H894" s="12"/>
    </row>
    <row r="895" ht="14.25" customHeight="1">
      <c r="B895" s="19"/>
      <c r="G895" s="55"/>
      <c r="H895" s="12"/>
    </row>
    <row r="896" ht="14.25" customHeight="1">
      <c r="B896" s="19"/>
      <c r="G896" s="55"/>
      <c r="H896" s="12"/>
    </row>
    <row r="897" ht="14.25" customHeight="1">
      <c r="B897" s="19"/>
      <c r="G897" s="55"/>
      <c r="H897" s="12"/>
    </row>
    <row r="898" ht="14.25" customHeight="1">
      <c r="B898" s="19"/>
      <c r="G898" s="55"/>
      <c r="H898" s="12"/>
    </row>
    <row r="899" ht="14.25" customHeight="1">
      <c r="B899" s="19"/>
      <c r="G899" s="55"/>
      <c r="H899" s="12"/>
    </row>
    <row r="900" ht="14.25" customHeight="1">
      <c r="B900" s="19"/>
      <c r="G900" s="55"/>
      <c r="H900" s="12"/>
    </row>
    <row r="901" ht="14.25" customHeight="1">
      <c r="B901" s="19"/>
      <c r="G901" s="55"/>
      <c r="H901" s="12"/>
    </row>
    <row r="902" ht="14.25" customHeight="1">
      <c r="B902" s="19"/>
      <c r="G902" s="55"/>
      <c r="H902" s="12"/>
    </row>
    <row r="903" ht="14.25" customHeight="1">
      <c r="B903" s="19"/>
      <c r="G903" s="55"/>
      <c r="H903" s="12"/>
    </row>
    <row r="904" ht="14.25" customHeight="1">
      <c r="B904" s="19"/>
      <c r="G904" s="55"/>
      <c r="H904" s="12"/>
    </row>
    <row r="905" ht="14.25" customHeight="1">
      <c r="B905" s="19"/>
      <c r="G905" s="55"/>
      <c r="H905" s="12"/>
    </row>
    <row r="906" ht="14.25" customHeight="1">
      <c r="B906" s="19"/>
      <c r="G906" s="55"/>
      <c r="H906" s="12"/>
    </row>
    <row r="907" ht="14.25" customHeight="1">
      <c r="B907" s="19"/>
      <c r="G907" s="55"/>
      <c r="H907" s="12"/>
    </row>
    <row r="908" ht="14.25" customHeight="1">
      <c r="B908" s="19"/>
      <c r="G908" s="55"/>
      <c r="H908" s="12"/>
    </row>
    <row r="909" ht="14.25" customHeight="1">
      <c r="B909" s="19"/>
      <c r="G909" s="55"/>
      <c r="H909" s="12"/>
    </row>
    <row r="910" ht="14.25" customHeight="1">
      <c r="B910" s="19"/>
      <c r="G910" s="55"/>
      <c r="H910" s="12"/>
    </row>
    <row r="911" ht="14.25" customHeight="1">
      <c r="B911" s="19"/>
      <c r="G911" s="55"/>
      <c r="H911" s="12"/>
    </row>
    <row r="912" ht="14.25" customHeight="1">
      <c r="B912" s="19"/>
      <c r="G912" s="55"/>
      <c r="H912" s="12"/>
    </row>
    <row r="913" ht="14.25" customHeight="1">
      <c r="B913" s="19"/>
      <c r="G913" s="55"/>
      <c r="H913" s="12"/>
    </row>
    <row r="914" ht="14.25" customHeight="1">
      <c r="B914" s="19"/>
      <c r="G914" s="55"/>
      <c r="H914" s="12"/>
    </row>
    <row r="915" ht="14.25" customHeight="1">
      <c r="B915" s="19"/>
      <c r="G915" s="55"/>
      <c r="H915" s="12"/>
    </row>
    <row r="916" ht="14.25" customHeight="1">
      <c r="B916" s="19"/>
      <c r="G916" s="55"/>
      <c r="H916" s="12"/>
    </row>
    <row r="917" ht="14.25" customHeight="1">
      <c r="B917" s="19"/>
      <c r="G917" s="55"/>
      <c r="H917" s="12"/>
    </row>
    <row r="918" ht="14.25" customHeight="1">
      <c r="B918" s="19"/>
      <c r="G918" s="55"/>
      <c r="H918" s="12"/>
    </row>
    <row r="919" ht="14.25" customHeight="1">
      <c r="B919" s="19"/>
      <c r="G919" s="55"/>
      <c r="H919" s="12"/>
    </row>
    <row r="920" ht="14.25" customHeight="1">
      <c r="B920" s="19"/>
      <c r="G920" s="55"/>
      <c r="H920" s="12"/>
    </row>
    <row r="921" ht="14.25" customHeight="1">
      <c r="B921" s="19"/>
      <c r="G921" s="55"/>
      <c r="H921" s="12"/>
    </row>
    <row r="922" ht="14.25" customHeight="1">
      <c r="B922" s="19"/>
      <c r="G922" s="55"/>
      <c r="H922" s="12"/>
    </row>
    <row r="923" ht="14.25" customHeight="1">
      <c r="B923" s="19"/>
      <c r="G923" s="55"/>
      <c r="H923" s="12"/>
    </row>
    <row r="924" ht="14.25" customHeight="1">
      <c r="B924" s="19"/>
      <c r="G924" s="55"/>
      <c r="H924" s="12"/>
    </row>
    <row r="925" ht="14.25" customHeight="1">
      <c r="B925" s="19"/>
      <c r="G925" s="55"/>
      <c r="H925" s="12"/>
    </row>
    <row r="926" ht="14.25" customHeight="1">
      <c r="B926" s="19"/>
      <c r="G926" s="55"/>
      <c r="H926" s="12"/>
    </row>
    <row r="927" ht="14.25" customHeight="1">
      <c r="B927" s="19"/>
      <c r="G927" s="55"/>
      <c r="H927" s="12"/>
    </row>
    <row r="928" ht="14.25" customHeight="1">
      <c r="B928" s="19"/>
      <c r="G928" s="55"/>
      <c r="H928" s="12"/>
    </row>
    <row r="929" ht="14.25" customHeight="1">
      <c r="B929" s="19"/>
      <c r="G929" s="55"/>
      <c r="H929" s="12"/>
    </row>
    <row r="930" ht="14.25" customHeight="1">
      <c r="B930" s="19"/>
      <c r="G930" s="55"/>
      <c r="H930" s="12"/>
    </row>
    <row r="931" ht="14.25" customHeight="1">
      <c r="B931" s="19"/>
      <c r="G931" s="55"/>
      <c r="H931" s="12"/>
    </row>
    <row r="932" ht="14.25" customHeight="1">
      <c r="B932" s="19"/>
      <c r="G932" s="55"/>
      <c r="H932" s="12"/>
    </row>
    <row r="933" ht="14.25" customHeight="1">
      <c r="B933" s="19"/>
      <c r="G933" s="55"/>
      <c r="H933" s="12"/>
    </row>
    <row r="934" ht="14.25" customHeight="1">
      <c r="B934" s="19"/>
      <c r="G934" s="55"/>
      <c r="H934" s="12"/>
    </row>
    <row r="935" ht="14.25" customHeight="1">
      <c r="B935" s="19"/>
      <c r="G935" s="55"/>
      <c r="H935" s="12"/>
    </row>
    <row r="936" ht="14.25" customHeight="1">
      <c r="B936" s="19"/>
      <c r="G936" s="55"/>
      <c r="H936" s="12"/>
    </row>
    <row r="937" ht="14.25" customHeight="1">
      <c r="B937" s="19"/>
      <c r="G937" s="55"/>
      <c r="H937" s="12"/>
    </row>
    <row r="938" ht="14.25" customHeight="1">
      <c r="B938" s="19"/>
      <c r="G938" s="55"/>
      <c r="H938" s="12"/>
    </row>
    <row r="939" ht="14.25" customHeight="1">
      <c r="B939" s="19"/>
      <c r="G939" s="55"/>
      <c r="H939" s="12"/>
    </row>
    <row r="940" ht="14.25" customHeight="1">
      <c r="B940" s="19"/>
      <c r="G940" s="55"/>
      <c r="H940" s="12"/>
    </row>
    <row r="941" ht="14.25" customHeight="1">
      <c r="B941" s="19"/>
      <c r="G941" s="55"/>
      <c r="H941" s="12"/>
    </row>
    <row r="942" ht="14.25" customHeight="1">
      <c r="B942" s="19"/>
      <c r="G942" s="55"/>
      <c r="H942" s="12"/>
    </row>
    <row r="943" ht="14.25" customHeight="1">
      <c r="B943" s="19"/>
      <c r="G943" s="55"/>
      <c r="H943" s="12"/>
    </row>
    <row r="944" ht="14.25" customHeight="1">
      <c r="B944" s="19"/>
      <c r="G944" s="55"/>
      <c r="H944" s="12"/>
    </row>
    <row r="945" ht="14.25" customHeight="1">
      <c r="B945" s="19"/>
      <c r="G945" s="55"/>
      <c r="H945" s="12"/>
    </row>
    <row r="946" ht="14.25" customHeight="1">
      <c r="B946" s="19"/>
      <c r="G946" s="55"/>
      <c r="H946" s="12"/>
    </row>
    <row r="947" ht="14.25" customHeight="1">
      <c r="B947" s="19"/>
      <c r="G947" s="55"/>
      <c r="H947" s="12"/>
    </row>
    <row r="948" ht="14.25" customHeight="1">
      <c r="B948" s="19"/>
      <c r="G948" s="55"/>
      <c r="H948" s="12"/>
    </row>
    <row r="949" ht="14.25" customHeight="1">
      <c r="B949" s="19"/>
      <c r="G949" s="55"/>
      <c r="H949" s="12"/>
    </row>
    <row r="950" ht="14.25" customHeight="1">
      <c r="B950" s="19"/>
      <c r="G950" s="55"/>
      <c r="H950" s="12"/>
    </row>
    <row r="951" ht="14.25" customHeight="1">
      <c r="B951" s="19"/>
      <c r="G951" s="55"/>
      <c r="H951" s="12"/>
    </row>
    <row r="952" ht="14.25" customHeight="1">
      <c r="B952" s="19"/>
      <c r="G952" s="55"/>
      <c r="H952" s="12"/>
    </row>
    <row r="953" ht="14.25" customHeight="1">
      <c r="B953" s="19"/>
      <c r="G953" s="55"/>
      <c r="H953" s="12"/>
    </row>
    <row r="954" ht="14.25" customHeight="1">
      <c r="B954" s="19"/>
      <c r="G954" s="55"/>
      <c r="H954" s="12"/>
    </row>
    <row r="955" ht="14.25" customHeight="1">
      <c r="B955" s="19"/>
      <c r="G955" s="55"/>
      <c r="H955" s="12"/>
    </row>
    <row r="956" ht="14.25" customHeight="1">
      <c r="B956" s="19"/>
      <c r="G956" s="55"/>
      <c r="H956" s="12"/>
    </row>
    <row r="957" ht="14.25" customHeight="1">
      <c r="B957" s="19"/>
      <c r="G957" s="55"/>
      <c r="H957" s="12"/>
    </row>
    <row r="958" ht="14.25" customHeight="1">
      <c r="B958" s="19"/>
      <c r="G958" s="55"/>
      <c r="H958" s="12"/>
    </row>
    <row r="959" ht="14.25" customHeight="1">
      <c r="B959" s="19"/>
      <c r="G959" s="55"/>
      <c r="H959" s="12"/>
    </row>
    <row r="960" ht="14.25" customHeight="1">
      <c r="B960" s="19"/>
      <c r="G960" s="55"/>
      <c r="H960" s="12"/>
    </row>
    <row r="961" ht="14.25" customHeight="1">
      <c r="B961" s="19"/>
      <c r="G961" s="55"/>
      <c r="H961" s="12"/>
    </row>
    <row r="962" ht="14.25" customHeight="1">
      <c r="B962" s="19"/>
      <c r="G962" s="55"/>
      <c r="H962" s="12"/>
    </row>
    <row r="963" ht="14.25" customHeight="1">
      <c r="B963" s="19"/>
      <c r="G963" s="55"/>
      <c r="H963" s="12"/>
    </row>
    <row r="964" ht="14.25" customHeight="1">
      <c r="B964" s="19"/>
      <c r="G964" s="55"/>
      <c r="H964" s="12"/>
    </row>
    <row r="965" ht="14.25" customHeight="1">
      <c r="B965" s="19"/>
      <c r="G965" s="55"/>
      <c r="H965" s="12"/>
    </row>
    <row r="966" ht="14.25" customHeight="1">
      <c r="B966" s="19"/>
      <c r="G966" s="55"/>
      <c r="H966" s="12"/>
    </row>
    <row r="967" ht="14.25" customHeight="1">
      <c r="B967" s="19"/>
      <c r="G967" s="55"/>
      <c r="H967" s="12"/>
    </row>
    <row r="968" ht="14.25" customHeight="1">
      <c r="B968" s="19"/>
      <c r="G968" s="55"/>
      <c r="H968" s="12"/>
    </row>
    <row r="969" ht="14.25" customHeight="1">
      <c r="B969" s="19"/>
      <c r="G969" s="55"/>
      <c r="H969" s="12"/>
    </row>
    <row r="970" ht="14.25" customHeight="1">
      <c r="B970" s="19"/>
      <c r="G970" s="55"/>
      <c r="H970" s="12"/>
    </row>
    <row r="971" ht="14.25" customHeight="1">
      <c r="B971" s="19"/>
      <c r="G971" s="55"/>
      <c r="H971" s="12"/>
    </row>
    <row r="972" ht="14.25" customHeight="1">
      <c r="B972" s="19"/>
      <c r="G972" s="55"/>
      <c r="H972" s="12"/>
    </row>
    <row r="973" ht="14.25" customHeight="1">
      <c r="B973" s="19"/>
      <c r="G973" s="55"/>
      <c r="H973" s="12"/>
    </row>
    <row r="974" ht="14.25" customHeight="1">
      <c r="B974" s="19"/>
      <c r="G974" s="55"/>
      <c r="H974" s="12"/>
    </row>
    <row r="975" ht="14.25" customHeight="1">
      <c r="B975" s="19"/>
      <c r="G975" s="55"/>
      <c r="H975" s="12"/>
    </row>
    <row r="976" ht="14.25" customHeight="1">
      <c r="B976" s="19"/>
      <c r="G976" s="55"/>
      <c r="H976" s="12"/>
    </row>
    <row r="977" ht="14.25" customHeight="1">
      <c r="B977" s="19"/>
      <c r="G977" s="55"/>
      <c r="H977" s="12"/>
    </row>
    <row r="978" ht="14.25" customHeight="1">
      <c r="B978" s="19"/>
      <c r="G978" s="55"/>
      <c r="H978" s="12"/>
    </row>
    <row r="979" ht="14.25" customHeight="1">
      <c r="B979" s="19"/>
      <c r="G979" s="55"/>
      <c r="H979" s="12"/>
    </row>
    <row r="980" ht="14.25" customHeight="1">
      <c r="B980" s="19"/>
      <c r="G980" s="55"/>
      <c r="H980" s="12"/>
    </row>
    <row r="981" ht="14.25" customHeight="1">
      <c r="B981" s="19"/>
      <c r="G981" s="55"/>
      <c r="H981" s="12"/>
    </row>
    <row r="982" ht="14.25" customHeight="1">
      <c r="B982" s="19"/>
      <c r="G982" s="55"/>
      <c r="H982" s="12"/>
    </row>
    <row r="983" ht="14.25" customHeight="1">
      <c r="B983" s="19"/>
      <c r="G983" s="55"/>
      <c r="H983" s="12"/>
    </row>
    <row r="984" ht="14.25" customHeight="1">
      <c r="B984" s="19"/>
      <c r="G984" s="55"/>
      <c r="H984" s="12"/>
    </row>
    <row r="985" ht="14.25" customHeight="1">
      <c r="B985" s="19"/>
      <c r="G985" s="55"/>
      <c r="H985" s="12"/>
    </row>
    <row r="986" ht="14.25" customHeight="1">
      <c r="B986" s="19"/>
      <c r="G986" s="55"/>
      <c r="H986" s="12"/>
    </row>
    <row r="987" ht="14.25" customHeight="1">
      <c r="B987" s="19"/>
      <c r="G987" s="55"/>
      <c r="H987" s="12"/>
    </row>
    <row r="988" ht="14.25" customHeight="1">
      <c r="B988" s="19"/>
      <c r="G988" s="55"/>
      <c r="H988" s="12"/>
    </row>
    <row r="989" ht="14.25" customHeight="1">
      <c r="B989" s="19"/>
      <c r="G989" s="55"/>
      <c r="H989" s="12"/>
    </row>
    <row r="990" ht="14.25" customHeight="1">
      <c r="B990" s="19"/>
      <c r="G990" s="55"/>
      <c r="H990" s="12"/>
    </row>
    <row r="991" ht="14.25" customHeight="1">
      <c r="B991" s="19"/>
      <c r="G991" s="55"/>
      <c r="H991" s="12"/>
    </row>
    <row r="992" ht="14.25" customHeight="1">
      <c r="B992" s="19"/>
      <c r="G992" s="55"/>
      <c r="H992" s="12"/>
    </row>
    <row r="993" ht="14.25" customHeight="1">
      <c r="B993" s="19"/>
      <c r="G993" s="55"/>
      <c r="H993" s="12"/>
    </row>
    <row r="994" ht="14.25" customHeight="1">
      <c r="B994" s="19"/>
      <c r="G994" s="55"/>
      <c r="H994" s="12"/>
    </row>
    <row r="995" ht="14.25" customHeight="1">
      <c r="B995" s="19"/>
      <c r="G995" s="55"/>
      <c r="H995" s="12"/>
    </row>
    <row r="996" ht="14.25" customHeight="1">
      <c r="B996" s="19"/>
      <c r="G996" s="55"/>
      <c r="H996" s="12"/>
    </row>
    <row r="997" ht="14.25" customHeight="1">
      <c r="B997" s="19"/>
      <c r="G997" s="55"/>
      <c r="H997" s="12"/>
    </row>
    <row r="998" ht="14.25" customHeight="1">
      <c r="B998" s="19"/>
      <c r="G998" s="55"/>
      <c r="H998" s="12"/>
    </row>
    <row r="999" ht="14.25" customHeight="1">
      <c r="B999" s="19"/>
      <c r="G999" s="55"/>
      <c r="H999" s="12"/>
    </row>
    <row r="1000" ht="14.25" customHeight="1">
      <c r="B1000" s="19"/>
      <c r="G1000" s="55"/>
      <c r="H1000" s="12"/>
    </row>
    <row r="1001" ht="14.25" customHeight="1">
      <c r="B1001" s="19"/>
      <c r="G1001" s="55"/>
      <c r="H1001" s="12"/>
    </row>
    <row r="1002" ht="14.25" customHeight="1">
      <c r="B1002" s="19"/>
      <c r="G1002" s="55"/>
      <c r="H1002" s="12"/>
    </row>
    <row r="1003" ht="14.25" customHeight="1">
      <c r="B1003" s="19"/>
      <c r="G1003" s="55"/>
      <c r="H1003" s="12"/>
    </row>
    <row r="1004" ht="14.25" customHeight="1">
      <c r="B1004" s="19"/>
      <c r="G1004" s="55"/>
      <c r="H1004" s="12"/>
    </row>
    <row r="1005" ht="14.25" customHeight="1">
      <c r="B1005" s="19"/>
      <c r="G1005" s="55"/>
      <c r="H1005" s="12"/>
    </row>
    <row r="1006" ht="14.25" customHeight="1">
      <c r="B1006" s="19"/>
      <c r="G1006" s="55"/>
      <c r="H1006" s="12"/>
    </row>
    <row r="1007" ht="14.25" customHeight="1">
      <c r="B1007" s="19"/>
      <c r="G1007" s="55"/>
      <c r="H1007" s="12"/>
    </row>
    <row r="1008" ht="14.25" customHeight="1">
      <c r="B1008" s="19"/>
      <c r="G1008" s="55"/>
      <c r="H1008" s="12"/>
    </row>
    <row r="1009" ht="14.25" customHeight="1">
      <c r="B1009" s="19"/>
      <c r="G1009" s="55"/>
      <c r="H1009" s="12"/>
    </row>
  </sheetData>
  <mergeCells count="11">
    <mergeCell ref="B6:D6"/>
    <mergeCell ref="B7:D7"/>
    <mergeCell ref="F7:G7"/>
    <mergeCell ref="F49:I49"/>
    <mergeCell ref="A1:G1"/>
    <mergeCell ref="C2:E2"/>
    <mergeCell ref="B3:D3"/>
    <mergeCell ref="F3:G3"/>
    <mergeCell ref="B5:D5"/>
    <mergeCell ref="F5:G5"/>
    <mergeCell ref="F6:G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57"/>
    <col customWidth="1" min="6" max="6" width="16.86"/>
    <col customWidth="1" min="7" max="7" width="25.29"/>
    <col customWidth="1" min="8" max="8" width="14.86"/>
    <col customWidth="1" min="9" max="9" width="12.29"/>
    <col customWidth="1" min="10" max="28" width="8.71"/>
  </cols>
  <sheetData>
    <row r="1" ht="33.75" customHeight="1">
      <c r="A1" s="105" t="s">
        <v>42</v>
      </c>
      <c r="H1" s="170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 ht="31.5" customHeight="1">
      <c r="A2" s="171"/>
      <c r="B2" s="172"/>
      <c r="C2" s="159" t="s">
        <v>43</v>
      </c>
      <c r="F2" s="171"/>
      <c r="G2" s="173"/>
      <c r="H2" s="170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4.25" customHeight="1">
      <c r="A3" s="174" t="s">
        <v>44</v>
      </c>
      <c r="B3" s="175" t="s">
        <v>26</v>
      </c>
      <c r="E3" s="176" t="s">
        <v>46</v>
      </c>
      <c r="F3" s="175" t="s">
        <v>502</v>
      </c>
      <c r="H3" s="170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</row>
    <row r="4" ht="14.25" customHeight="1">
      <c r="A4" s="174" t="s">
        <v>48</v>
      </c>
      <c r="B4" s="175" t="s">
        <v>503</v>
      </c>
      <c r="E4" s="176" t="s">
        <v>105</v>
      </c>
      <c r="F4" s="175">
        <v>8.010151100022E12</v>
      </c>
      <c r="H4" s="170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</row>
    <row r="5" ht="14.25" customHeight="1">
      <c r="A5" s="174" t="s">
        <v>51</v>
      </c>
      <c r="B5" s="175" t="s">
        <v>154</v>
      </c>
      <c r="E5" s="176" t="s">
        <v>53</v>
      </c>
      <c r="F5" s="175" t="s">
        <v>503</v>
      </c>
      <c r="H5" s="170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</row>
    <row r="6" ht="14.25" customHeight="1">
      <c r="A6" s="174" t="s">
        <v>54</v>
      </c>
      <c r="B6" s="175" t="s">
        <v>504</v>
      </c>
      <c r="E6" s="176" t="s">
        <v>55</v>
      </c>
      <c r="F6" s="175">
        <v>6.0000004866E10</v>
      </c>
      <c r="H6" s="170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</row>
    <row r="7" ht="14.25" customHeight="1">
      <c r="A7" s="171"/>
      <c r="B7" s="172"/>
      <c r="C7" s="171"/>
      <c r="D7" s="78"/>
      <c r="E7" s="78"/>
      <c r="F7" s="171"/>
      <c r="G7" s="173"/>
      <c r="H7" s="170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ht="14.25" customHeight="1">
      <c r="A8" s="171"/>
      <c r="B8" s="172"/>
      <c r="C8" s="171"/>
      <c r="D8" s="78"/>
      <c r="E8" s="78"/>
      <c r="F8" s="171"/>
      <c r="G8" s="173"/>
      <c r="H8" s="170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ht="14.25" customHeight="1">
      <c r="A9" s="107" t="s">
        <v>56</v>
      </c>
      <c r="B9" s="108" t="s">
        <v>107</v>
      </c>
      <c r="C9" s="177" t="s">
        <v>58</v>
      </c>
      <c r="D9" s="178" t="s">
        <v>59</v>
      </c>
      <c r="E9" s="178" t="s">
        <v>60</v>
      </c>
      <c r="F9" s="107" t="s">
        <v>61</v>
      </c>
      <c r="G9" s="110" t="s">
        <v>62</v>
      </c>
      <c r="H9" s="111" t="s">
        <v>63</v>
      </c>
      <c r="I9" s="107" t="s">
        <v>64</v>
      </c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ht="14.25" customHeight="1">
      <c r="A10" s="112" t="s">
        <v>505</v>
      </c>
      <c r="B10" s="112">
        <v>7.6438848E7</v>
      </c>
      <c r="C10" s="179" t="s">
        <v>506</v>
      </c>
      <c r="D10" s="180">
        <v>0.1736111111111111</v>
      </c>
      <c r="E10" s="180">
        <v>0.25555555555555554</v>
      </c>
      <c r="F10" s="116">
        <v>2.0</v>
      </c>
      <c r="G10" s="117">
        <v>2.0</v>
      </c>
      <c r="H10" s="181">
        <f t="shared" ref="H10:H42" si="1">G10*200</f>
        <v>400</v>
      </c>
      <c r="I10" s="119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 ht="14.25" customHeight="1">
      <c r="A11" s="135" t="s">
        <v>507</v>
      </c>
      <c r="B11" s="135">
        <v>7.8681925E7</v>
      </c>
      <c r="C11" s="179" t="s">
        <v>506</v>
      </c>
      <c r="D11" s="180">
        <v>0.2604166666666667</v>
      </c>
      <c r="E11" s="180">
        <v>0.34444444444444444</v>
      </c>
      <c r="F11" s="121">
        <v>2.0</v>
      </c>
      <c r="G11" s="117">
        <v>2.0</v>
      </c>
      <c r="H11" s="181">
        <f t="shared" si="1"/>
        <v>400</v>
      </c>
      <c r="I11" s="119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ht="14.25" customHeight="1">
      <c r="A12" s="135" t="s">
        <v>508</v>
      </c>
      <c r="B12" s="135">
        <v>7.8572174E7</v>
      </c>
      <c r="C12" s="179" t="s">
        <v>506</v>
      </c>
      <c r="D12" s="180">
        <v>0.3472222222222222</v>
      </c>
      <c r="E12" s="180">
        <v>0.3888888888888889</v>
      </c>
      <c r="F12" s="121">
        <v>1.0</v>
      </c>
      <c r="G12" s="117">
        <v>1.0</v>
      </c>
      <c r="H12" s="181">
        <f t="shared" si="1"/>
        <v>200</v>
      </c>
      <c r="I12" s="119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ht="14.25" customHeight="1">
      <c r="A13" s="137" t="s">
        <v>509</v>
      </c>
      <c r="B13" s="137">
        <v>7.6939343E7</v>
      </c>
      <c r="C13" s="179" t="s">
        <v>506</v>
      </c>
      <c r="D13" s="180">
        <v>0.3909722222222222</v>
      </c>
      <c r="E13" s="180">
        <v>0.4305555555555556</v>
      </c>
      <c r="F13" s="121">
        <v>1.0</v>
      </c>
      <c r="G13" s="117">
        <v>1.0</v>
      </c>
      <c r="H13" s="181">
        <f t="shared" si="1"/>
        <v>200</v>
      </c>
      <c r="I13" s="119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ht="14.25" customHeight="1">
      <c r="A14" s="135" t="s">
        <v>510</v>
      </c>
      <c r="B14" s="135">
        <v>7.6378703E7</v>
      </c>
      <c r="C14" s="179" t="s">
        <v>506</v>
      </c>
      <c r="D14" s="180">
        <v>0.4375</v>
      </c>
      <c r="E14" s="180">
        <v>0.49930555555555556</v>
      </c>
      <c r="F14" s="121">
        <v>1.0</v>
      </c>
      <c r="G14" s="117">
        <v>1.0</v>
      </c>
      <c r="H14" s="181">
        <f t="shared" si="1"/>
        <v>200</v>
      </c>
      <c r="I14" s="119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</row>
    <row r="15" ht="14.25" customHeight="1">
      <c r="A15" s="135" t="s">
        <v>511</v>
      </c>
      <c r="B15" s="135">
        <v>7.6809559E7</v>
      </c>
      <c r="C15" s="179" t="s">
        <v>506</v>
      </c>
      <c r="D15" s="180">
        <v>0.5034722222222222</v>
      </c>
      <c r="E15" s="180">
        <v>0.5458333333333333</v>
      </c>
      <c r="F15" s="121">
        <v>1.0</v>
      </c>
      <c r="G15" s="117">
        <v>1.0</v>
      </c>
      <c r="H15" s="181">
        <f t="shared" si="1"/>
        <v>200</v>
      </c>
      <c r="I15" s="119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</row>
    <row r="16" ht="14.25" customHeight="1">
      <c r="A16" s="135" t="s">
        <v>502</v>
      </c>
      <c r="B16" s="135">
        <v>7.6785885E7</v>
      </c>
      <c r="C16" s="179" t="s">
        <v>506</v>
      </c>
      <c r="D16" s="180">
        <v>0.5486111111111112</v>
      </c>
      <c r="E16" s="180">
        <v>0.6736111111111112</v>
      </c>
      <c r="F16" s="121">
        <v>3.0</v>
      </c>
      <c r="G16" s="117">
        <v>3.0</v>
      </c>
      <c r="H16" s="181">
        <f t="shared" si="1"/>
        <v>600</v>
      </c>
      <c r="I16" s="119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ht="14.25" customHeight="1">
      <c r="A17" s="137" t="s">
        <v>512</v>
      </c>
      <c r="B17" s="137">
        <v>7.8257988E7</v>
      </c>
      <c r="C17" s="179" t="s">
        <v>506</v>
      </c>
      <c r="D17" s="180">
        <v>0.2152777777777778</v>
      </c>
      <c r="E17" s="180">
        <v>0.2569444444444444</v>
      </c>
      <c r="F17" s="126">
        <v>1.0</v>
      </c>
      <c r="G17" s="117">
        <v>1.0</v>
      </c>
      <c r="H17" s="181">
        <f t="shared" si="1"/>
        <v>200</v>
      </c>
      <c r="I17" s="119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ht="14.25" customHeight="1">
      <c r="A18" s="135" t="s">
        <v>513</v>
      </c>
      <c r="B18" s="135">
        <v>7.6673744E7</v>
      </c>
      <c r="C18" s="179" t="s">
        <v>506</v>
      </c>
      <c r="D18" s="180">
        <v>0.2638888888888889</v>
      </c>
      <c r="E18" s="182">
        <v>0.3055555555555556</v>
      </c>
      <c r="F18" s="121">
        <v>1.0</v>
      </c>
      <c r="G18" s="117">
        <v>1.0</v>
      </c>
      <c r="H18" s="181">
        <f t="shared" si="1"/>
        <v>200</v>
      </c>
      <c r="I18" s="119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</row>
    <row r="19" ht="14.25" customHeight="1">
      <c r="A19" s="135" t="s">
        <v>514</v>
      </c>
      <c r="B19" s="135">
        <v>7.6445265E7</v>
      </c>
      <c r="C19" s="179" t="s">
        <v>506</v>
      </c>
      <c r="D19" s="180">
        <v>0.30694444444444446</v>
      </c>
      <c r="E19" s="183">
        <v>0.3888888888888889</v>
      </c>
      <c r="F19" s="121">
        <v>2.0</v>
      </c>
      <c r="G19" s="117">
        <v>2.0</v>
      </c>
      <c r="H19" s="181">
        <f t="shared" si="1"/>
        <v>400</v>
      </c>
      <c r="I19" s="119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</row>
    <row r="20" ht="14.25" customHeight="1">
      <c r="A20" s="137" t="s">
        <v>515</v>
      </c>
      <c r="B20" s="136">
        <v>7.6296333E7</v>
      </c>
      <c r="C20" s="179" t="s">
        <v>506</v>
      </c>
      <c r="D20" s="180">
        <v>0.4027777777777778</v>
      </c>
      <c r="E20" s="180">
        <v>0.4861111111111111</v>
      </c>
      <c r="F20" s="121">
        <v>2.0</v>
      </c>
      <c r="G20" s="117">
        <v>2.0</v>
      </c>
      <c r="H20" s="181">
        <f t="shared" si="1"/>
        <v>400</v>
      </c>
      <c r="I20" s="119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</row>
    <row r="21" ht="14.25" customHeight="1">
      <c r="A21" s="135" t="s">
        <v>516</v>
      </c>
      <c r="B21" s="136">
        <v>7.6675231E7</v>
      </c>
      <c r="C21" s="179" t="s">
        <v>506</v>
      </c>
      <c r="D21" s="180">
        <v>0.4895833333333333</v>
      </c>
      <c r="E21" s="180">
        <v>0.5729166666666666</v>
      </c>
      <c r="F21" s="121">
        <v>2.0</v>
      </c>
      <c r="G21" s="117">
        <v>2.0</v>
      </c>
      <c r="H21" s="181">
        <f t="shared" si="1"/>
        <v>400</v>
      </c>
      <c r="I21" s="119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</row>
    <row r="22" ht="14.25" customHeight="1">
      <c r="A22" s="137" t="s">
        <v>517</v>
      </c>
      <c r="B22" s="137">
        <v>7.8158504E7</v>
      </c>
      <c r="C22" s="179" t="s">
        <v>506</v>
      </c>
      <c r="D22" s="184">
        <v>0.5736111111111111</v>
      </c>
      <c r="E22" s="180">
        <v>0.6111111111111112</v>
      </c>
      <c r="F22" s="126">
        <v>1.0</v>
      </c>
      <c r="G22" s="117">
        <v>1.0</v>
      </c>
      <c r="H22" s="181">
        <f t="shared" si="1"/>
        <v>200</v>
      </c>
      <c r="I22" s="119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</row>
    <row r="23" ht="14.25" customHeight="1">
      <c r="A23" s="135" t="s">
        <v>518</v>
      </c>
      <c r="B23" s="135">
        <v>7.6192818E7</v>
      </c>
      <c r="C23" s="179" t="s">
        <v>506</v>
      </c>
      <c r="D23" s="180">
        <v>0.6125</v>
      </c>
      <c r="E23" s="180">
        <v>0.6555555555555556</v>
      </c>
      <c r="F23" s="121">
        <v>1.0</v>
      </c>
      <c r="G23" s="117">
        <v>1.0</v>
      </c>
      <c r="H23" s="181">
        <f t="shared" si="1"/>
        <v>200</v>
      </c>
      <c r="I23" s="119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</row>
    <row r="24" ht="14.25" customHeight="1">
      <c r="A24" s="135" t="s">
        <v>519</v>
      </c>
      <c r="B24" s="136">
        <v>7.8444616E7</v>
      </c>
      <c r="C24" s="179" t="s">
        <v>506</v>
      </c>
      <c r="D24" s="180">
        <v>0.6597222222222222</v>
      </c>
      <c r="E24" s="180">
        <v>0.7430555555555556</v>
      </c>
      <c r="F24" s="121">
        <v>2.0</v>
      </c>
      <c r="G24" s="117">
        <v>2.0</v>
      </c>
      <c r="H24" s="181">
        <f t="shared" si="1"/>
        <v>400</v>
      </c>
      <c r="I24" s="119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</row>
    <row r="25" ht="14.25" customHeight="1">
      <c r="A25" s="135" t="s">
        <v>520</v>
      </c>
      <c r="B25" s="135">
        <v>7.6483675E7</v>
      </c>
      <c r="C25" s="179" t="s">
        <v>521</v>
      </c>
      <c r="D25" s="180">
        <v>0.20833333333333334</v>
      </c>
      <c r="E25" s="180">
        <v>0.25</v>
      </c>
      <c r="F25" s="121">
        <v>1.0</v>
      </c>
      <c r="G25" s="117">
        <v>1.0</v>
      </c>
      <c r="H25" s="181">
        <f t="shared" si="1"/>
        <v>200</v>
      </c>
      <c r="I25" s="119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</row>
    <row r="26" ht="14.25" customHeight="1">
      <c r="A26" s="137" t="s">
        <v>522</v>
      </c>
      <c r="B26" s="135">
        <v>7.8483675E7</v>
      </c>
      <c r="C26" s="179" t="s">
        <v>521</v>
      </c>
      <c r="D26" s="180">
        <v>0.2569444444444444</v>
      </c>
      <c r="E26" s="180">
        <v>0.2986111111111111</v>
      </c>
      <c r="F26" s="121">
        <v>1.0</v>
      </c>
      <c r="G26" s="117">
        <v>1.0</v>
      </c>
      <c r="H26" s="181">
        <f t="shared" si="1"/>
        <v>200</v>
      </c>
      <c r="I26" s="119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</row>
    <row r="27" ht="14.25" customHeight="1">
      <c r="A27" s="137" t="s">
        <v>523</v>
      </c>
      <c r="B27" s="135">
        <v>7.6338245E7</v>
      </c>
      <c r="C27" s="179" t="s">
        <v>521</v>
      </c>
      <c r="D27" s="180">
        <v>0.3020833333333333</v>
      </c>
      <c r="E27" s="180">
        <v>0.34444444444444444</v>
      </c>
      <c r="F27" s="121">
        <v>1.0</v>
      </c>
      <c r="G27" s="117">
        <v>1.0</v>
      </c>
      <c r="H27" s="181">
        <f t="shared" si="1"/>
        <v>200</v>
      </c>
      <c r="I27" s="119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</row>
    <row r="28" ht="14.25" customHeight="1">
      <c r="A28" s="137" t="s">
        <v>524</v>
      </c>
      <c r="B28" s="135">
        <v>7.6452061E7</v>
      </c>
      <c r="C28" s="179" t="s">
        <v>521</v>
      </c>
      <c r="D28" s="180">
        <v>0.3472222222222222</v>
      </c>
      <c r="E28" s="180">
        <v>0.3875</v>
      </c>
      <c r="F28" s="121">
        <v>1.0</v>
      </c>
      <c r="G28" s="121">
        <v>1.0</v>
      </c>
      <c r="H28" s="181">
        <f t="shared" si="1"/>
        <v>200</v>
      </c>
      <c r="I28" s="119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</row>
    <row r="29" ht="14.25" customHeight="1">
      <c r="A29" s="137" t="s">
        <v>525</v>
      </c>
      <c r="B29" s="135">
        <v>7.8368737E7</v>
      </c>
      <c r="C29" s="179" t="s">
        <v>521</v>
      </c>
      <c r="D29" s="180">
        <v>0.3958333333333333</v>
      </c>
      <c r="E29" s="180">
        <v>0.4375</v>
      </c>
      <c r="F29" s="121">
        <v>1.0</v>
      </c>
      <c r="G29" s="117">
        <v>1.0</v>
      </c>
      <c r="H29" s="181">
        <f t="shared" si="1"/>
        <v>200</v>
      </c>
      <c r="I29" s="119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</row>
    <row r="30" ht="14.25" customHeight="1">
      <c r="A30" s="137" t="s">
        <v>526</v>
      </c>
      <c r="B30" s="135">
        <v>7.6994005E7</v>
      </c>
      <c r="C30" s="179" t="s">
        <v>521</v>
      </c>
      <c r="D30" s="180">
        <v>0.4479166666666667</v>
      </c>
      <c r="E30" s="180">
        <v>0.4895833333333333</v>
      </c>
      <c r="F30" s="121">
        <v>1.0</v>
      </c>
      <c r="G30" s="117">
        <v>1.0</v>
      </c>
      <c r="H30" s="181">
        <f t="shared" si="1"/>
        <v>200</v>
      </c>
      <c r="I30" s="119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</row>
    <row r="31" ht="14.25" customHeight="1">
      <c r="A31" s="137" t="s">
        <v>527</v>
      </c>
      <c r="B31" s="135">
        <v>7.654247E7</v>
      </c>
      <c r="C31" s="179" t="s">
        <v>521</v>
      </c>
      <c r="D31" s="180">
        <v>0.5</v>
      </c>
      <c r="E31" s="180">
        <v>0.5416666666666666</v>
      </c>
      <c r="F31" s="121">
        <v>1.0</v>
      </c>
      <c r="G31" s="117">
        <v>1.0</v>
      </c>
      <c r="H31" s="181">
        <f t="shared" si="1"/>
        <v>200</v>
      </c>
      <c r="I31" s="119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</row>
    <row r="32" ht="14.25" customHeight="1">
      <c r="A32" s="137" t="s">
        <v>528</v>
      </c>
      <c r="B32" s="135">
        <v>7.6289123E7</v>
      </c>
      <c r="C32" s="179" t="s">
        <v>521</v>
      </c>
      <c r="D32" s="180">
        <v>0.5479166666666667</v>
      </c>
      <c r="E32" s="180">
        <v>0.5833333333333334</v>
      </c>
      <c r="F32" s="121">
        <v>1.0</v>
      </c>
      <c r="G32" s="117">
        <v>1.0</v>
      </c>
      <c r="H32" s="181">
        <f t="shared" si="1"/>
        <v>200</v>
      </c>
      <c r="I32" s="119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</row>
    <row r="33" ht="14.25" customHeight="1">
      <c r="A33" s="137" t="s">
        <v>529</v>
      </c>
      <c r="B33" s="135">
        <v>7.6978969E7</v>
      </c>
      <c r="C33" s="179" t="s">
        <v>521</v>
      </c>
      <c r="D33" s="180">
        <v>0.5902777777777778</v>
      </c>
      <c r="E33" s="180">
        <v>0.6736111111111112</v>
      </c>
      <c r="F33" s="121">
        <v>2.0</v>
      </c>
      <c r="G33" s="117">
        <v>2.0</v>
      </c>
      <c r="H33" s="181">
        <f t="shared" si="1"/>
        <v>400</v>
      </c>
      <c r="I33" s="119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</row>
    <row r="34" ht="14.25" customHeight="1">
      <c r="A34" s="137" t="s">
        <v>530</v>
      </c>
      <c r="B34" s="135">
        <v>7.8386598E7</v>
      </c>
      <c r="C34" s="179" t="s">
        <v>521</v>
      </c>
      <c r="D34" s="180">
        <v>0.6770833333333334</v>
      </c>
      <c r="E34" s="180">
        <v>0.71875</v>
      </c>
      <c r="F34" s="121">
        <v>1.0</v>
      </c>
      <c r="G34" s="117">
        <v>1.0</v>
      </c>
      <c r="H34" s="181">
        <f t="shared" si="1"/>
        <v>200</v>
      </c>
      <c r="I34" s="119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</row>
    <row r="35" ht="14.25" customHeight="1">
      <c r="A35" s="137" t="s">
        <v>531</v>
      </c>
      <c r="B35" s="135">
        <v>7.8715987E7</v>
      </c>
      <c r="C35" s="179" t="s">
        <v>532</v>
      </c>
      <c r="D35" s="180">
        <v>0.20833333333333334</v>
      </c>
      <c r="E35" s="180">
        <v>0.3333333333333333</v>
      </c>
      <c r="F35" s="121">
        <v>3.0</v>
      </c>
      <c r="G35" s="117">
        <v>3.0</v>
      </c>
      <c r="H35" s="181">
        <f t="shared" si="1"/>
        <v>600</v>
      </c>
      <c r="I35" s="119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</row>
    <row r="36" ht="14.25" customHeight="1">
      <c r="A36" s="137" t="s">
        <v>533</v>
      </c>
      <c r="B36" s="135">
        <v>7.6244839E7</v>
      </c>
      <c r="C36" s="179" t="s">
        <v>532</v>
      </c>
      <c r="D36" s="180">
        <v>0.34375</v>
      </c>
      <c r="E36" s="180">
        <v>0.4270833333333333</v>
      </c>
      <c r="F36" s="121">
        <v>2.0</v>
      </c>
      <c r="G36" s="117">
        <v>2.0</v>
      </c>
      <c r="H36" s="181">
        <f t="shared" si="1"/>
        <v>400</v>
      </c>
      <c r="I36" s="119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</row>
    <row r="37" ht="14.25" customHeight="1">
      <c r="A37" s="137" t="s">
        <v>534</v>
      </c>
      <c r="B37" s="135">
        <v>7.6516663E7</v>
      </c>
      <c r="C37" s="179" t="s">
        <v>532</v>
      </c>
      <c r="D37" s="180">
        <v>0.4305555555555556</v>
      </c>
      <c r="E37" s="180">
        <v>0.5138888888888888</v>
      </c>
      <c r="F37" s="121">
        <v>2.0</v>
      </c>
      <c r="G37" s="117">
        <v>2.0</v>
      </c>
      <c r="H37" s="181">
        <f t="shared" si="1"/>
        <v>400</v>
      </c>
      <c r="I37" s="119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</row>
    <row r="38" ht="14.25" customHeight="1">
      <c r="A38" s="137" t="s">
        <v>535</v>
      </c>
      <c r="B38" s="135">
        <v>7.8184574E7</v>
      </c>
      <c r="C38" s="179" t="s">
        <v>532</v>
      </c>
      <c r="D38" s="180">
        <v>0.5208333333333334</v>
      </c>
      <c r="E38" s="180">
        <v>0.5625</v>
      </c>
      <c r="F38" s="121">
        <v>1.0</v>
      </c>
      <c r="G38" s="117">
        <v>1.0</v>
      </c>
      <c r="H38" s="181">
        <f t="shared" si="1"/>
        <v>200</v>
      </c>
      <c r="I38" s="119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</row>
    <row r="39" ht="14.25" customHeight="1">
      <c r="A39" s="137" t="s">
        <v>536</v>
      </c>
      <c r="B39" s="135">
        <v>7.660004E7</v>
      </c>
      <c r="C39" s="179" t="s">
        <v>532</v>
      </c>
      <c r="D39" s="180">
        <v>0.5833333333333334</v>
      </c>
      <c r="E39" s="180">
        <v>0.625</v>
      </c>
      <c r="F39" s="121">
        <v>1.0</v>
      </c>
      <c r="G39" s="117">
        <v>1.0</v>
      </c>
      <c r="H39" s="181">
        <f t="shared" si="1"/>
        <v>200</v>
      </c>
      <c r="I39" s="119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</row>
    <row r="40" ht="14.25" customHeight="1">
      <c r="A40" s="137" t="s">
        <v>537</v>
      </c>
      <c r="B40" s="135">
        <v>7.6371901E7</v>
      </c>
      <c r="C40" s="179" t="s">
        <v>532</v>
      </c>
      <c r="D40" s="180">
        <v>0.6354166666666666</v>
      </c>
      <c r="E40" s="180">
        <v>0.71875</v>
      </c>
      <c r="F40" s="121">
        <v>2.0</v>
      </c>
      <c r="G40" s="117">
        <v>2.0</v>
      </c>
      <c r="H40" s="181">
        <f t="shared" si="1"/>
        <v>400</v>
      </c>
      <c r="I40" s="119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</row>
    <row r="41" ht="14.25" customHeight="1">
      <c r="A41" s="137" t="s">
        <v>538</v>
      </c>
      <c r="B41" s="135">
        <v>7.6261459E7</v>
      </c>
      <c r="C41" s="179" t="s">
        <v>539</v>
      </c>
      <c r="D41" s="180">
        <v>0.25</v>
      </c>
      <c r="E41" s="180">
        <v>0.375</v>
      </c>
      <c r="F41" s="121">
        <v>3.0</v>
      </c>
      <c r="G41" s="117">
        <v>3.0</v>
      </c>
      <c r="H41" s="181">
        <f t="shared" si="1"/>
        <v>600</v>
      </c>
      <c r="I41" s="119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</row>
    <row r="42" ht="14.25" customHeight="1">
      <c r="A42" s="137" t="s">
        <v>540</v>
      </c>
      <c r="B42" s="135">
        <v>7.6662135E7</v>
      </c>
      <c r="C42" s="179" t="s">
        <v>539</v>
      </c>
      <c r="D42" s="180">
        <v>0.3784722222222222</v>
      </c>
      <c r="E42" s="180">
        <v>0.4583333333333333</v>
      </c>
      <c r="F42" s="121">
        <v>2.0</v>
      </c>
      <c r="G42" s="117">
        <v>2.0</v>
      </c>
      <c r="H42" s="181">
        <f t="shared" si="1"/>
        <v>400</v>
      </c>
      <c r="I42" s="119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</row>
    <row r="43" ht="19.5" customHeight="1">
      <c r="A43" s="185"/>
      <c r="B43" s="186"/>
      <c r="C43" s="187"/>
      <c r="D43" s="188"/>
      <c r="E43" s="189" t="s">
        <v>41</v>
      </c>
      <c r="F43" s="142">
        <f t="shared" ref="F43:H43" si="2">SUM(F9:F42)</f>
        <v>50</v>
      </c>
      <c r="G43" s="142">
        <f t="shared" si="2"/>
        <v>50</v>
      </c>
      <c r="H43" s="190">
        <f t="shared" si="2"/>
        <v>10000</v>
      </c>
      <c r="I43" s="19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</row>
    <row r="44" ht="18.0" customHeight="1">
      <c r="A44" s="141"/>
      <c r="B44" s="140"/>
      <c r="C44" s="141"/>
      <c r="D44" s="189"/>
      <c r="E44" s="192" t="s">
        <v>100</v>
      </c>
      <c r="F44" s="147">
        <f>COUNT(F10:F42)</f>
        <v>33</v>
      </c>
      <c r="G44" s="47"/>
      <c r="H44" s="47"/>
      <c r="I44" s="48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</row>
    <row r="45" ht="14.25" customHeight="1">
      <c r="A45" s="171"/>
      <c r="B45" s="172"/>
      <c r="C45" s="171"/>
      <c r="D45" s="78"/>
      <c r="E45" s="78"/>
      <c r="F45" s="171"/>
      <c r="G45" s="173"/>
      <c r="H45" s="170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</row>
    <row r="46" ht="14.25" customHeight="1">
      <c r="A46" s="171"/>
      <c r="B46" s="172"/>
      <c r="C46" s="171"/>
      <c r="D46" s="49" t="s">
        <v>101</v>
      </c>
      <c r="E46" s="50"/>
      <c r="F46" s="171"/>
      <c r="G46" s="173"/>
      <c r="H46" s="170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</row>
    <row r="47" ht="14.25" customHeight="1">
      <c r="A47" s="171"/>
      <c r="B47" s="172"/>
      <c r="C47" s="171"/>
      <c r="D47" s="51" t="s">
        <v>102</v>
      </c>
      <c r="E47" s="50"/>
      <c r="F47" s="171"/>
      <c r="G47" s="173"/>
      <c r="H47" s="170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</row>
    <row r="48" ht="14.25" customHeight="1">
      <c r="A48" s="171"/>
      <c r="B48" s="172"/>
      <c r="C48" s="171"/>
      <c r="D48" s="52" t="s">
        <v>58</v>
      </c>
      <c r="E48" s="53"/>
      <c r="F48" s="171"/>
      <c r="G48" s="173"/>
      <c r="H48" s="170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</row>
    <row r="49" ht="14.25" customHeight="1">
      <c r="A49" s="171"/>
      <c r="B49" s="172"/>
      <c r="C49" s="171"/>
      <c r="D49" s="78"/>
      <c r="E49" s="78"/>
      <c r="F49" s="171"/>
      <c r="G49" s="173"/>
      <c r="H49" s="170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</row>
    <row r="50" ht="14.25" customHeight="1">
      <c r="A50" s="171"/>
      <c r="B50" s="172"/>
      <c r="C50" s="171"/>
      <c r="D50" s="78"/>
      <c r="E50" s="78"/>
      <c r="F50" s="171"/>
      <c r="G50" s="173"/>
      <c r="H50" s="170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</row>
    <row r="51" ht="14.25" customHeight="1">
      <c r="A51" s="171"/>
      <c r="B51" s="172"/>
      <c r="C51" s="171"/>
      <c r="D51" s="78"/>
      <c r="E51" s="78"/>
      <c r="F51" s="171"/>
      <c r="G51" s="173"/>
      <c r="H51" s="170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</row>
    <row r="52" ht="14.25" customHeight="1">
      <c r="A52" s="171"/>
      <c r="B52" s="172"/>
      <c r="C52" s="171"/>
      <c r="D52" s="78"/>
      <c r="E52" s="78"/>
      <c r="F52" s="171"/>
      <c r="G52" s="173"/>
      <c r="H52" s="170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</row>
    <row r="53" ht="14.25" customHeight="1">
      <c r="A53" s="171"/>
      <c r="B53" s="172"/>
      <c r="C53" s="171"/>
      <c r="D53" s="78"/>
      <c r="E53" s="78"/>
      <c r="F53" s="171"/>
      <c r="G53" s="173"/>
      <c r="H53" s="170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</row>
    <row r="54" ht="14.25" customHeight="1">
      <c r="A54" s="171"/>
      <c r="B54" s="172"/>
      <c r="C54" s="171"/>
      <c r="D54" s="78"/>
      <c r="E54" s="78"/>
      <c r="F54" s="171"/>
      <c r="G54" s="173"/>
      <c r="H54" s="170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</row>
    <row r="55" ht="14.25" customHeight="1">
      <c r="A55" s="171"/>
      <c r="B55" s="172"/>
      <c r="C55" s="171"/>
      <c r="D55" s="78"/>
      <c r="E55" s="78"/>
      <c r="F55" s="171"/>
      <c r="G55" s="173"/>
      <c r="H55" s="170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</row>
    <row r="56" ht="14.25" customHeight="1">
      <c r="A56" s="171"/>
      <c r="B56" s="172"/>
      <c r="C56" s="171"/>
      <c r="D56" s="78"/>
      <c r="E56" s="78"/>
      <c r="F56" s="171"/>
      <c r="G56" s="173"/>
      <c r="H56" s="170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</row>
    <row r="57" ht="14.25" customHeight="1">
      <c r="A57" s="171"/>
      <c r="B57" s="172"/>
      <c r="C57" s="171"/>
      <c r="D57" s="78"/>
      <c r="E57" s="78"/>
      <c r="F57" s="171"/>
      <c r="G57" s="173"/>
      <c r="H57" s="170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</row>
    <row r="58" ht="14.25" customHeight="1">
      <c r="A58" s="171"/>
      <c r="B58" s="172"/>
      <c r="C58" s="171"/>
      <c r="D58" s="78"/>
      <c r="E58" s="78"/>
      <c r="F58" s="171"/>
      <c r="G58" s="173"/>
      <c r="H58" s="170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 ht="14.25" customHeight="1">
      <c r="A59" s="171"/>
      <c r="B59" s="172"/>
      <c r="C59" s="171"/>
      <c r="D59" s="78"/>
      <c r="E59" s="78"/>
      <c r="F59" s="171"/>
      <c r="G59" s="173"/>
      <c r="H59" s="170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</row>
    <row r="60" ht="14.25" customHeight="1">
      <c r="A60" s="171"/>
      <c r="B60" s="172"/>
      <c r="C60" s="171"/>
      <c r="D60" s="78"/>
      <c r="E60" s="78"/>
      <c r="F60" s="171"/>
      <c r="G60" s="173"/>
      <c r="H60" s="170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</row>
    <row r="61" ht="14.25" customHeight="1">
      <c r="A61" s="171"/>
      <c r="B61" s="172"/>
      <c r="C61" s="171"/>
      <c r="D61" s="78"/>
      <c r="E61" s="78"/>
      <c r="F61" s="171"/>
      <c r="G61" s="173"/>
      <c r="H61" s="170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</row>
    <row r="62" ht="14.25" customHeight="1">
      <c r="A62" s="171"/>
      <c r="B62" s="172"/>
      <c r="C62" s="171"/>
      <c r="D62" s="78"/>
      <c r="E62" s="78"/>
      <c r="F62" s="171"/>
      <c r="G62" s="173"/>
      <c r="H62" s="170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</row>
    <row r="63" ht="14.25" customHeight="1">
      <c r="A63" s="171"/>
      <c r="B63" s="172"/>
      <c r="C63" s="171"/>
      <c r="D63" s="78"/>
      <c r="E63" s="78"/>
      <c r="F63" s="171"/>
      <c r="G63" s="173"/>
      <c r="H63" s="17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</row>
    <row r="64" ht="14.25" customHeight="1">
      <c r="A64" s="171"/>
      <c r="B64" s="172"/>
      <c r="C64" s="171"/>
      <c r="D64" s="78"/>
      <c r="E64" s="78"/>
      <c r="F64" s="171"/>
      <c r="G64" s="173"/>
      <c r="H64" s="170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</row>
    <row r="65" ht="14.25" customHeight="1">
      <c r="A65" s="171"/>
      <c r="B65" s="172"/>
      <c r="C65" s="171"/>
      <c r="D65" s="78"/>
      <c r="E65" s="78"/>
      <c r="F65" s="171"/>
      <c r="G65" s="173"/>
      <c r="H65" s="170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</row>
    <row r="66" ht="14.25" customHeight="1">
      <c r="A66" s="171"/>
      <c r="B66" s="172"/>
      <c r="C66" s="171"/>
      <c r="D66" s="78"/>
      <c r="E66" s="78"/>
      <c r="F66" s="171"/>
      <c r="G66" s="173"/>
      <c r="H66" s="170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</row>
    <row r="67" ht="14.25" customHeight="1">
      <c r="A67" s="171"/>
      <c r="B67" s="172"/>
      <c r="C67" s="171"/>
      <c r="D67" s="78"/>
      <c r="E67" s="78"/>
      <c r="F67" s="171"/>
      <c r="G67" s="173"/>
      <c r="H67" s="170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</row>
    <row r="68" ht="14.25" customHeight="1">
      <c r="A68" s="171"/>
      <c r="B68" s="172"/>
      <c r="C68" s="171"/>
      <c r="D68" s="78"/>
      <c r="E68" s="78"/>
      <c r="F68" s="171"/>
      <c r="G68" s="173"/>
      <c r="H68" s="170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</row>
    <row r="69" ht="14.25" customHeight="1">
      <c r="A69" s="171"/>
      <c r="B69" s="172"/>
      <c r="C69" s="171"/>
      <c r="D69" s="78"/>
      <c r="E69" s="78"/>
      <c r="F69" s="171"/>
      <c r="G69" s="173"/>
      <c r="H69" s="170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</row>
    <row r="70" ht="14.25" customHeight="1">
      <c r="A70" s="171"/>
      <c r="B70" s="172"/>
      <c r="C70" s="171"/>
      <c r="D70" s="78"/>
      <c r="E70" s="78"/>
      <c r="F70" s="171"/>
      <c r="G70" s="173"/>
      <c r="H70" s="170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</row>
    <row r="71" ht="14.25" customHeight="1">
      <c r="A71" s="171"/>
      <c r="B71" s="172"/>
      <c r="C71" s="171"/>
      <c r="D71" s="78"/>
      <c r="E71" s="78"/>
      <c r="F71" s="171"/>
      <c r="G71" s="173"/>
      <c r="H71" s="170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</row>
    <row r="72" ht="14.25" customHeight="1">
      <c r="A72" s="171"/>
      <c r="B72" s="172"/>
      <c r="C72" s="171"/>
      <c r="D72" s="78"/>
      <c r="E72" s="78"/>
      <c r="F72" s="171"/>
      <c r="G72" s="173"/>
      <c r="H72" s="170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</row>
    <row r="73" ht="14.25" customHeight="1">
      <c r="A73" s="171"/>
      <c r="B73" s="172"/>
      <c r="C73" s="171"/>
      <c r="D73" s="78"/>
      <c r="E73" s="78"/>
      <c r="F73" s="171"/>
      <c r="G73" s="173"/>
      <c r="H73" s="170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</row>
    <row r="74" ht="14.25" customHeight="1">
      <c r="A74" s="171"/>
      <c r="B74" s="172"/>
      <c r="C74" s="171"/>
      <c r="D74" s="78"/>
      <c r="E74" s="78"/>
      <c r="F74" s="171"/>
      <c r="G74" s="173"/>
      <c r="H74" s="170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</row>
    <row r="75" ht="14.25" customHeight="1">
      <c r="A75" s="171"/>
      <c r="B75" s="172"/>
      <c r="C75" s="171"/>
      <c r="D75" s="78"/>
      <c r="E75" s="78"/>
      <c r="F75" s="171"/>
      <c r="G75" s="173"/>
      <c r="H75" s="170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</row>
    <row r="76" ht="14.25" customHeight="1">
      <c r="A76" s="171"/>
      <c r="B76" s="172"/>
      <c r="C76" s="171"/>
      <c r="D76" s="78"/>
      <c r="E76" s="78"/>
      <c r="F76" s="171"/>
      <c r="G76" s="173"/>
      <c r="H76" s="170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</row>
    <row r="77" ht="14.25" customHeight="1">
      <c r="A77" s="171"/>
      <c r="B77" s="172"/>
      <c r="C77" s="171"/>
      <c r="D77" s="78"/>
      <c r="E77" s="78"/>
      <c r="F77" s="171"/>
      <c r="G77" s="173"/>
      <c r="H77" s="170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</row>
    <row r="78" ht="14.25" customHeight="1">
      <c r="A78" s="171"/>
      <c r="B78" s="172"/>
      <c r="C78" s="171"/>
      <c r="D78" s="78"/>
      <c r="E78" s="78"/>
      <c r="F78" s="171"/>
      <c r="G78" s="173"/>
      <c r="H78" s="170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</row>
    <row r="79" ht="14.25" customHeight="1">
      <c r="A79" s="171"/>
      <c r="B79" s="172"/>
      <c r="C79" s="171"/>
      <c r="D79" s="78"/>
      <c r="E79" s="78"/>
      <c r="F79" s="171"/>
      <c r="G79" s="173"/>
      <c r="H79" s="170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</row>
    <row r="80" ht="14.25" customHeight="1">
      <c r="A80" s="171"/>
      <c r="B80" s="172"/>
      <c r="C80" s="171"/>
      <c r="D80" s="78"/>
      <c r="E80" s="78"/>
      <c r="F80" s="171"/>
      <c r="G80" s="173"/>
      <c r="H80" s="170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</row>
    <row r="81" ht="14.25" customHeight="1">
      <c r="A81" s="171"/>
      <c r="B81" s="172"/>
      <c r="C81" s="171"/>
      <c r="D81" s="78"/>
      <c r="E81" s="78"/>
      <c r="F81" s="171"/>
      <c r="G81" s="173"/>
      <c r="H81" s="170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</row>
    <row r="82" ht="14.25" customHeight="1">
      <c r="A82" s="171"/>
      <c r="B82" s="172"/>
      <c r="C82" s="171"/>
      <c r="D82" s="78"/>
      <c r="E82" s="78"/>
      <c r="F82" s="171"/>
      <c r="G82" s="173"/>
      <c r="H82" s="170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</row>
    <row r="83" ht="14.25" customHeight="1">
      <c r="A83" s="171"/>
      <c r="B83" s="172"/>
      <c r="C83" s="171"/>
      <c r="D83" s="78"/>
      <c r="E83" s="78"/>
      <c r="F83" s="171"/>
      <c r="G83" s="173"/>
      <c r="H83" s="170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</row>
    <row r="84" ht="14.25" customHeight="1">
      <c r="A84" s="171"/>
      <c r="B84" s="172"/>
      <c r="C84" s="171"/>
      <c r="D84" s="78"/>
      <c r="E84" s="78"/>
      <c r="F84" s="171"/>
      <c r="G84" s="173"/>
      <c r="H84" s="170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</row>
    <row r="85" ht="14.25" customHeight="1">
      <c r="A85" s="171"/>
      <c r="B85" s="172"/>
      <c r="C85" s="171"/>
      <c r="D85" s="78"/>
      <c r="E85" s="78"/>
      <c r="F85" s="171"/>
      <c r="G85" s="173"/>
      <c r="H85" s="170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</row>
    <row r="86" ht="14.25" customHeight="1">
      <c r="A86" s="171"/>
      <c r="B86" s="172"/>
      <c r="C86" s="171"/>
      <c r="D86" s="78"/>
      <c r="E86" s="78"/>
      <c r="F86" s="171"/>
      <c r="G86" s="173"/>
      <c r="H86" s="170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</row>
    <row r="87" ht="14.25" customHeight="1">
      <c r="A87" s="171"/>
      <c r="B87" s="172"/>
      <c r="C87" s="171"/>
      <c r="D87" s="78"/>
      <c r="E87" s="78"/>
      <c r="F87" s="171"/>
      <c r="G87" s="173"/>
      <c r="H87" s="170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</row>
    <row r="88" ht="14.25" customHeight="1">
      <c r="A88" s="171"/>
      <c r="B88" s="172"/>
      <c r="C88" s="171"/>
      <c r="D88" s="78"/>
      <c r="E88" s="78"/>
      <c r="F88" s="171"/>
      <c r="G88" s="173"/>
      <c r="H88" s="170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</row>
    <row r="89" ht="14.25" customHeight="1">
      <c r="A89" s="171"/>
      <c r="B89" s="172"/>
      <c r="C89" s="171"/>
      <c r="D89" s="78"/>
      <c r="E89" s="78"/>
      <c r="F89" s="171"/>
      <c r="G89" s="173"/>
      <c r="H89" s="170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</row>
    <row r="90" ht="14.25" customHeight="1">
      <c r="A90" s="171"/>
      <c r="B90" s="172"/>
      <c r="C90" s="171"/>
      <c r="D90" s="78"/>
      <c r="E90" s="78"/>
      <c r="F90" s="171"/>
      <c r="G90" s="173"/>
      <c r="H90" s="170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</row>
    <row r="91" ht="14.25" customHeight="1">
      <c r="A91" s="171"/>
      <c r="B91" s="172"/>
      <c r="C91" s="171"/>
      <c r="D91" s="78"/>
      <c r="E91" s="78"/>
      <c r="F91" s="171"/>
      <c r="G91" s="173"/>
      <c r="H91" s="170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</row>
    <row r="92" ht="14.25" customHeight="1">
      <c r="A92" s="171"/>
      <c r="B92" s="172"/>
      <c r="C92" s="171"/>
      <c r="D92" s="78"/>
      <c r="E92" s="78"/>
      <c r="F92" s="171"/>
      <c r="G92" s="173"/>
      <c r="H92" s="170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</row>
    <row r="93" ht="14.25" customHeight="1">
      <c r="A93" s="171"/>
      <c r="B93" s="172"/>
      <c r="C93" s="171"/>
      <c r="D93" s="78"/>
      <c r="E93" s="78"/>
      <c r="F93" s="171"/>
      <c r="G93" s="173"/>
      <c r="H93" s="170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</row>
    <row r="94" ht="14.25" customHeight="1">
      <c r="A94" s="171"/>
      <c r="B94" s="172"/>
      <c r="C94" s="171"/>
      <c r="D94" s="78"/>
      <c r="E94" s="78"/>
      <c r="F94" s="171"/>
      <c r="G94" s="173"/>
      <c r="H94" s="170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</row>
    <row r="95" ht="14.25" customHeight="1">
      <c r="A95" s="171"/>
      <c r="B95" s="172"/>
      <c r="C95" s="171"/>
      <c r="D95" s="78"/>
      <c r="E95" s="78"/>
      <c r="F95" s="171"/>
      <c r="G95" s="173"/>
      <c r="H95" s="170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</row>
    <row r="96" ht="14.25" customHeight="1">
      <c r="A96" s="171"/>
      <c r="B96" s="172"/>
      <c r="C96" s="171"/>
      <c r="D96" s="78"/>
      <c r="E96" s="78"/>
      <c r="F96" s="171"/>
      <c r="G96" s="173"/>
      <c r="H96" s="170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</row>
    <row r="97" ht="14.25" customHeight="1">
      <c r="A97" s="171"/>
      <c r="B97" s="172"/>
      <c r="C97" s="171"/>
      <c r="D97" s="78"/>
      <c r="E97" s="78"/>
      <c r="F97" s="171"/>
      <c r="G97" s="173"/>
      <c r="H97" s="170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</row>
    <row r="98" ht="14.25" customHeight="1">
      <c r="A98" s="171"/>
      <c r="B98" s="172"/>
      <c r="C98" s="171"/>
      <c r="D98" s="78"/>
      <c r="E98" s="78"/>
      <c r="F98" s="171"/>
      <c r="G98" s="173"/>
      <c r="H98" s="170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</row>
    <row r="99" ht="14.25" customHeight="1">
      <c r="A99" s="171"/>
      <c r="B99" s="172"/>
      <c r="C99" s="171"/>
      <c r="D99" s="78"/>
      <c r="E99" s="78"/>
      <c r="F99" s="171"/>
      <c r="G99" s="173"/>
      <c r="H99" s="170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</row>
    <row r="100" ht="14.25" customHeight="1">
      <c r="A100" s="171"/>
      <c r="B100" s="172"/>
      <c r="C100" s="171"/>
      <c r="D100" s="78"/>
      <c r="E100" s="78"/>
      <c r="F100" s="171"/>
      <c r="G100" s="173"/>
      <c r="H100" s="170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</row>
    <row r="101" ht="14.25" customHeight="1">
      <c r="A101" s="171"/>
      <c r="B101" s="172"/>
      <c r="C101" s="171"/>
      <c r="D101" s="78"/>
      <c r="E101" s="78"/>
      <c r="F101" s="171"/>
      <c r="G101" s="173"/>
      <c r="H101" s="170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</row>
    <row r="102" ht="14.25" customHeight="1">
      <c r="A102" s="171"/>
      <c r="B102" s="172"/>
      <c r="C102" s="171"/>
      <c r="D102" s="78"/>
      <c r="E102" s="78"/>
      <c r="F102" s="171"/>
      <c r="G102" s="173"/>
      <c r="H102" s="170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</row>
    <row r="103" ht="14.25" customHeight="1">
      <c r="A103" s="171"/>
      <c r="B103" s="172"/>
      <c r="C103" s="171"/>
      <c r="D103" s="78"/>
      <c r="E103" s="78"/>
      <c r="F103" s="171"/>
      <c r="G103" s="173"/>
      <c r="H103" s="170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</row>
    <row r="104" ht="14.25" customHeight="1">
      <c r="A104" s="171"/>
      <c r="B104" s="172"/>
      <c r="C104" s="171"/>
      <c r="D104" s="78"/>
      <c r="E104" s="78"/>
      <c r="F104" s="171"/>
      <c r="G104" s="173"/>
      <c r="H104" s="170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</row>
    <row r="105" ht="14.25" customHeight="1">
      <c r="A105" s="171"/>
      <c r="B105" s="172"/>
      <c r="C105" s="171"/>
      <c r="D105" s="78"/>
      <c r="E105" s="78"/>
      <c r="F105" s="171"/>
      <c r="G105" s="173"/>
      <c r="H105" s="170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</row>
    <row r="106" ht="14.25" customHeight="1">
      <c r="A106" s="171"/>
      <c r="B106" s="172"/>
      <c r="C106" s="171"/>
      <c r="D106" s="78"/>
      <c r="E106" s="78"/>
      <c r="F106" s="171"/>
      <c r="G106" s="173"/>
      <c r="H106" s="170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</row>
    <row r="107" ht="14.25" customHeight="1">
      <c r="A107" s="171"/>
      <c r="B107" s="172"/>
      <c r="C107" s="171"/>
      <c r="D107" s="78"/>
      <c r="E107" s="78"/>
      <c r="F107" s="171"/>
      <c r="G107" s="173"/>
      <c r="H107" s="170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</row>
    <row r="108" ht="14.25" customHeight="1">
      <c r="A108" s="171"/>
      <c r="B108" s="172"/>
      <c r="C108" s="171"/>
      <c r="D108" s="78"/>
      <c r="E108" s="78"/>
      <c r="F108" s="171"/>
      <c r="G108" s="173"/>
      <c r="H108" s="170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</row>
    <row r="109" ht="14.25" customHeight="1">
      <c r="A109" s="171"/>
      <c r="B109" s="172"/>
      <c r="C109" s="171"/>
      <c r="D109" s="78"/>
      <c r="E109" s="78"/>
      <c r="F109" s="171"/>
      <c r="G109" s="173"/>
      <c r="H109" s="170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</row>
    <row r="110" ht="14.25" customHeight="1">
      <c r="A110" s="171"/>
      <c r="B110" s="172"/>
      <c r="C110" s="171"/>
      <c r="D110" s="78"/>
      <c r="E110" s="78"/>
      <c r="F110" s="171"/>
      <c r="G110" s="173"/>
      <c r="H110" s="170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</row>
    <row r="111" ht="14.25" customHeight="1">
      <c r="A111" s="171"/>
      <c r="B111" s="172"/>
      <c r="C111" s="171"/>
      <c r="D111" s="78"/>
      <c r="E111" s="78"/>
      <c r="F111" s="171"/>
      <c r="G111" s="173"/>
      <c r="H111" s="170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</row>
    <row r="112" ht="14.25" customHeight="1">
      <c r="A112" s="171"/>
      <c r="B112" s="172"/>
      <c r="C112" s="171"/>
      <c r="D112" s="78"/>
      <c r="E112" s="78"/>
      <c r="F112" s="171"/>
      <c r="G112" s="173"/>
      <c r="H112" s="170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</row>
    <row r="113" ht="14.25" customHeight="1">
      <c r="A113" s="171"/>
      <c r="B113" s="172"/>
      <c r="C113" s="171"/>
      <c r="D113" s="78"/>
      <c r="E113" s="78"/>
      <c r="F113" s="171"/>
      <c r="G113" s="173"/>
      <c r="H113" s="170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</row>
    <row r="114" ht="14.25" customHeight="1">
      <c r="A114" s="171"/>
      <c r="B114" s="172"/>
      <c r="C114" s="171"/>
      <c r="D114" s="78"/>
      <c r="E114" s="78"/>
      <c r="F114" s="171"/>
      <c r="G114" s="173"/>
      <c r="H114" s="170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</row>
    <row r="115" ht="14.25" customHeight="1">
      <c r="A115" s="171"/>
      <c r="B115" s="172"/>
      <c r="C115" s="171"/>
      <c r="D115" s="78"/>
      <c r="E115" s="78"/>
      <c r="F115" s="171"/>
      <c r="G115" s="173"/>
      <c r="H115" s="170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</row>
    <row r="116" ht="14.25" customHeight="1">
      <c r="A116" s="171"/>
      <c r="B116" s="172"/>
      <c r="C116" s="171"/>
      <c r="D116" s="78"/>
      <c r="E116" s="78"/>
      <c r="F116" s="171"/>
      <c r="G116" s="173"/>
      <c r="H116" s="170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</row>
    <row r="117" ht="14.25" customHeight="1">
      <c r="A117" s="171"/>
      <c r="B117" s="172"/>
      <c r="C117" s="171"/>
      <c r="D117" s="78"/>
      <c r="E117" s="78"/>
      <c r="F117" s="171"/>
      <c r="G117" s="173"/>
      <c r="H117" s="170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</row>
    <row r="118" ht="14.25" customHeight="1">
      <c r="A118" s="171"/>
      <c r="B118" s="172"/>
      <c r="C118" s="171"/>
      <c r="D118" s="78"/>
      <c r="E118" s="78"/>
      <c r="F118" s="171"/>
      <c r="G118" s="173"/>
      <c r="H118" s="170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</row>
    <row r="119" ht="14.25" customHeight="1">
      <c r="A119" s="171"/>
      <c r="B119" s="172"/>
      <c r="C119" s="171"/>
      <c r="D119" s="78"/>
      <c r="E119" s="78"/>
      <c r="F119" s="171"/>
      <c r="G119" s="173"/>
      <c r="H119" s="170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</row>
    <row r="120" ht="14.25" customHeight="1">
      <c r="A120" s="171"/>
      <c r="B120" s="172"/>
      <c r="C120" s="171"/>
      <c r="D120" s="78"/>
      <c r="E120" s="78"/>
      <c r="F120" s="171"/>
      <c r="G120" s="173"/>
      <c r="H120" s="170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</row>
    <row r="121" ht="14.25" customHeight="1">
      <c r="A121" s="171"/>
      <c r="B121" s="172"/>
      <c r="C121" s="171"/>
      <c r="D121" s="78"/>
      <c r="E121" s="78"/>
      <c r="F121" s="171"/>
      <c r="G121" s="173"/>
      <c r="H121" s="170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</row>
    <row r="122" ht="14.25" customHeight="1">
      <c r="A122" s="171"/>
      <c r="B122" s="172"/>
      <c r="C122" s="171"/>
      <c r="D122" s="78"/>
      <c r="E122" s="78"/>
      <c r="F122" s="171"/>
      <c r="G122" s="173"/>
      <c r="H122" s="170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</row>
    <row r="123" ht="14.25" customHeight="1">
      <c r="A123" s="171"/>
      <c r="B123" s="172"/>
      <c r="C123" s="171"/>
      <c r="D123" s="78"/>
      <c r="E123" s="78"/>
      <c r="F123" s="171"/>
      <c r="G123" s="173"/>
      <c r="H123" s="170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</row>
    <row r="124" ht="14.25" customHeight="1">
      <c r="A124" s="171"/>
      <c r="B124" s="172"/>
      <c r="C124" s="171"/>
      <c r="D124" s="78"/>
      <c r="E124" s="78"/>
      <c r="F124" s="171"/>
      <c r="G124" s="173"/>
      <c r="H124" s="170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</row>
    <row r="125" ht="14.25" customHeight="1">
      <c r="A125" s="171"/>
      <c r="B125" s="172"/>
      <c r="C125" s="171"/>
      <c r="D125" s="78"/>
      <c r="E125" s="78"/>
      <c r="F125" s="171"/>
      <c r="G125" s="173"/>
      <c r="H125" s="170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</row>
    <row r="126" ht="14.25" customHeight="1">
      <c r="A126" s="171"/>
      <c r="B126" s="172"/>
      <c r="C126" s="171"/>
      <c r="D126" s="78"/>
      <c r="E126" s="78"/>
      <c r="F126" s="171"/>
      <c r="G126" s="173"/>
      <c r="H126" s="170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</row>
    <row r="127" ht="14.25" customHeight="1">
      <c r="A127" s="171"/>
      <c r="B127" s="172"/>
      <c r="C127" s="171"/>
      <c r="D127" s="78"/>
      <c r="E127" s="78"/>
      <c r="F127" s="171"/>
      <c r="G127" s="173"/>
      <c r="H127" s="170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</row>
    <row r="128" ht="14.25" customHeight="1">
      <c r="A128" s="171"/>
      <c r="B128" s="172"/>
      <c r="C128" s="171"/>
      <c r="D128" s="78"/>
      <c r="E128" s="78"/>
      <c r="F128" s="171"/>
      <c r="G128" s="173"/>
      <c r="H128" s="170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</row>
    <row r="129" ht="14.25" customHeight="1">
      <c r="A129" s="171"/>
      <c r="B129" s="172"/>
      <c r="C129" s="171"/>
      <c r="D129" s="78"/>
      <c r="E129" s="78"/>
      <c r="F129" s="171"/>
      <c r="G129" s="173"/>
      <c r="H129" s="170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</row>
    <row r="130" ht="14.25" customHeight="1">
      <c r="A130" s="171"/>
      <c r="B130" s="172"/>
      <c r="C130" s="171"/>
      <c r="D130" s="78"/>
      <c r="E130" s="78"/>
      <c r="F130" s="171"/>
      <c r="G130" s="173"/>
      <c r="H130" s="170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</row>
    <row r="131" ht="14.25" customHeight="1">
      <c r="A131" s="171"/>
      <c r="B131" s="172"/>
      <c r="C131" s="171"/>
      <c r="D131" s="78"/>
      <c r="E131" s="78"/>
      <c r="F131" s="171"/>
      <c r="G131" s="173"/>
      <c r="H131" s="170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</row>
    <row r="132" ht="14.25" customHeight="1">
      <c r="A132" s="171"/>
      <c r="B132" s="172"/>
      <c r="C132" s="171"/>
      <c r="D132" s="78"/>
      <c r="E132" s="78"/>
      <c r="F132" s="171"/>
      <c r="G132" s="173"/>
      <c r="H132" s="170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</row>
    <row r="133" ht="14.25" customHeight="1">
      <c r="A133" s="171"/>
      <c r="B133" s="172"/>
      <c r="C133" s="171"/>
      <c r="D133" s="78"/>
      <c r="E133" s="78"/>
      <c r="F133" s="171"/>
      <c r="G133" s="173"/>
      <c r="H133" s="170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</row>
    <row r="134" ht="14.25" customHeight="1">
      <c r="A134" s="171"/>
      <c r="B134" s="172"/>
      <c r="C134" s="171"/>
      <c r="D134" s="78"/>
      <c r="E134" s="78"/>
      <c r="F134" s="171"/>
      <c r="G134" s="173"/>
      <c r="H134" s="170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</row>
    <row r="135" ht="14.25" customHeight="1">
      <c r="A135" s="171"/>
      <c r="B135" s="172"/>
      <c r="C135" s="171"/>
      <c r="D135" s="78"/>
      <c r="E135" s="78"/>
      <c r="F135" s="171"/>
      <c r="G135" s="173"/>
      <c r="H135" s="170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</row>
    <row r="136" ht="14.25" customHeight="1">
      <c r="A136" s="171"/>
      <c r="B136" s="172"/>
      <c r="C136" s="171"/>
      <c r="D136" s="78"/>
      <c r="E136" s="78"/>
      <c r="F136" s="171"/>
      <c r="G136" s="173"/>
      <c r="H136" s="170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</row>
    <row r="137" ht="14.25" customHeight="1">
      <c r="A137" s="171"/>
      <c r="B137" s="172"/>
      <c r="C137" s="171"/>
      <c r="D137" s="78"/>
      <c r="E137" s="78"/>
      <c r="F137" s="171"/>
      <c r="G137" s="173"/>
      <c r="H137" s="170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</row>
    <row r="138" ht="14.25" customHeight="1">
      <c r="A138" s="171"/>
      <c r="B138" s="172"/>
      <c r="C138" s="171"/>
      <c r="D138" s="78"/>
      <c r="E138" s="78"/>
      <c r="F138" s="171"/>
      <c r="G138" s="173"/>
      <c r="H138" s="170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</row>
    <row r="139" ht="14.25" customHeight="1">
      <c r="A139" s="171"/>
      <c r="B139" s="172"/>
      <c r="C139" s="171"/>
      <c r="D139" s="78"/>
      <c r="E139" s="78"/>
      <c r="F139" s="171"/>
      <c r="G139" s="173"/>
      <c r="H139" s="170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</row>
    <row r="140" ht="14.25" customHeight="1">
      <c r="A140" s="171"/>
      <c r="B140" s="172"/>
      <c r="C140" s="171"/>
      <c r="D140" s="78"/>
      <c r="E140" s="78"/>
      <c r="F140" s="171"/>
      <c r="G140" s="173"/>
      <c r="H140" s="170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</row>
    <row r="141" ht="14.25" customHeight="1">
      <c r="A141" s="171"/>
      <c r="B141" s="172"/>
      <c r="C141" s="171"/>
      <c r="D141" s="78"/>
      <c r="E141" s="78"/>
      <c r="F141" s="171"/>
      <c r="G141" s="173"/>
      <c r="H141" s="170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</row>
    <row r="142" ht="14.25" customHeight="1">
      <c r="A142" s="171"/>
      <c r="B142" s="172"/>
      <c r="C142" s="171"/>
      <c r="D142" s="78"/>
      <c r="E142" s="78"/>
      <c r="F142" s="171"/>
      <c r="G142" s="173"/>
      <c r="H142" s="170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</row>
    <row r="143" ht="14.25" customHeight="1">
      <c r="A143" s="171"/>
      <c r="B143" s="172"/>
      <c r="C143" s="171"/>
      <c r="D143" s="78"/>
      <c r="E143" s="78"/>
      <c r="F143" s="171"/>
      <c r="G143" s="173"/>
      <c r="H143" s="170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</row>
    <row r="144" ht="14.25" customHeight="1">
      <c r="A144" s="171"/>
      <c r="B144" s="172"/>
      <c r="C144" s="171"/>
      <c r="D144" s="78"/>
      <c r="E144" s="78"/>
      <c r="F144" s="171"/>
      <c r="G144" s="173"/>
      <c r="H144" s="170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</row>
    <row r="145" ht="14.25" customHeight="1">
      <c r="A145" s="171"/>
      <c r="B145" s="172"/>
      <c r="C145" s="171"/>
      <c r="D145" s="78"/>
      <c r="E145" s="78"/>
      <c r="F145" s="171"/>
      <c r="G145" s="173"/>
      <c r="H145" s="170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</row>
    <row r="146" ht="14.25" customHeight="1">
      <c r="A146" s="171"/>
      <c r="B146" s="172"/>
      <c r="C146" s="171"/>
      <c r="D146" s="78"/>
      <c r="E146" s="78"/>
      <c r="F146" s="171"/>
      <c r="G146" s="173"/>
      <c r="H146" s="170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</row>
    <row r="147" ht="14.25" customHeight="1">
      <c r="A147" s="171"/>
      <c r="B147" s="172"/>
      <c r="C147" s="171"/>
      <c r="D147" s="78"/>
      <c r="E147" s="78"/>
      <c r="F147" s="171"/>
      <c r="G147" s="173"/>
      <c r="H147" s="170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</row>
    <row r="148" ht="14.25" customHeight="1">
      <c r="A148" s="171"/>
      <c r="B148" s="172"/>
      <c r="C148" s="171"/>
      <c r="D148" s="78"/>
      <c r="E148" s="78"/>
      <c r="F148" s="171"/>
      <c r="G148" s="173"/>
      <c r="H148" s="170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</row>
    <row r="149" ht="14.25" customHeight="1">
      <c r="A149" s="171"/>
      <c r="B149" s="172"/>
      <c r="C149" s="171"/>
      <c r="D149" s="78"/>
      <c r="E149" s="78"/>
      <c r="F149" s="171"/>
      <c r="G149" s="173"/>
      <c r="H149" s="170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</row>
    <row r="150" ht="14.25" customHeight="1">
      <c r="A150" s="171"/>
      <c r="B150" s="172"/>
      <c r="C150" s="171"/>
      <c r="D150" s="78"/>
      <c r="E150" s="78"/>
      <c r="F150" s="171"/>
      <c r="G150" s="173"/>
      <c r="H150" s="170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</row>
    <row r="151" ht="14.25" customHeight="1">
      <c r="A151" s="171"/>
      <c r="B151" s="172"/>
      <c r="C151" s="171"/>
      <c r="D151" s="78"/>
      <c r="E151" s="78"/>
      <c r="F151" s="171"/>
      <c r="G151" s="173"/>
      <c r="H151" s="170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</row>
    <row r="152" ht="14.25" customHeight="1">
      <c r="A152" s="171"/>
      <c r="B152" s="172"/>
      <c r="C152" s="171"/>
      <c r="D152" s="78"/>
      <c r="E152" s="78"/>
      <c r="F152" s="171"/>
      <c r="G152" s="173"/>
      <c r="H152" s="170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</row>
    <row r="153" ht="14.25" customHeight="1">
      <c r="A153" s="171"/>
      <c r="B153" s="172"/>
      <c r="C153" s="171"/>
      <c r="D153" s="78"/>
      <c r="E153" s="78"/>
      <c r="F153" s="171"/>
      <c r="G153" s="173"/>
      <c r="H153" s="170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</row>
    <row r="154" ht="14.25" customHeight="1">
      <c r="A154" s="171"/>
      <c r="B154" s="172"/>
      <c r="C154" s="171"/>
      <c r="D154" s="78"/>
      <c r="E154" s="78"/>
      <c r="F154" s="171"/>
      <c r="G154" s="173"/>
      <c r="H154" s="170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</row>
    <row r="155" ht="14.25" customHeight="1">
      <c r="A155" s="171"/>
      <c r="B155" s="172"/>
      <c r="C155" s="171"/>
      <c r="D155" s="78"/>
      <c r="E155" s="78"/>
      <c r="F155" s="171"/>
      <c r="G155" s="173"/>
      <c r="H155" s="170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</row>
    <row r="156" ht="14.25" customHeight="1">
      <c r="A156" s="171"/>
      <c r="B156" s="172"/>
      <c r="C156" s="171"/>
      <c r="D156" s="78"/>
      <c r="E156" s="78"/>
      <c r="F156" s="171"/>
      <c r="G156" s="173"/>
      <c r="H156" s="170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</row>
    <row r="157" ht="14.25" customHeight="1">
      <c r="A157" s="171"/>
      <c r="B157" s="172"/>
      <c r="C157" s="171"/>
      <c r="D157" s="78"/>
      <c r="E157" s="78"/>
      <c r="F157" s="171"/>
      <c r="G157" s="173"/>
      <c r="H157" s="170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</row>
    <row r="158" ht="14.25" customHeight="1">
      <c r="A158" s="171"/>
      <c r="B158" s="172"/>
      <c r="C158" s="171"/>
      <c r="D158" s="78"/>
      <c r="E158" s="78"/>
      <c r="F158" s="171"/>
      <c r="G158" s="173"/>
      <c r="H158" s="170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</row>
    <row r="159" ht="14.25" customHeight="1">
      <c r="A159" s="171"/>
      <c r="B159" s="172"/>
      <c r="C159" s="171"/>
      <c r="D159" s="78"/>
      <c r="E159" s="78"/>
      <c r="F159" s="171"/>
      <c r="G159" s="173"/>
      <c r="H159" s="170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</row>
    <row r="160" ht="14.25" customHeight="1">
      <c r="A160" s="171"/>
      <c r="B160" s="172"/>
      <c r="C160" s="171"/>
      <c r="D160" s="78"/>
      <c r="E160" s="78"/>
      <c r="F160" s="171"/>
      <c r="G160" s="173"/>
      <c r="H160" s="170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</row>
    <row r="161" ht="14.25" customHeight="1">
      <c r="A161" s="171"/>
      <c r="B161" s="172"/>
      <c r="C161" s="171"/>
      <c r="D161" s="78"/>
      <c r="E161" s="78"/>
      <c r="F161" s="171"/>
      <c r="G161" s="173"/>
      <c r="H161" s="170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</row>
    <row r="162" ht="14.25" customHeight="1">
      <c r="A162" s="171"/>
      <c r="B162" s="172"/>
      <c r="C162" s="171"/>
      <c r="D162" s="78"/>
      <c r="E162" s="78"/>
      <c r="F162" s="171"/>
      <c r="G162" s="173"/>
      <c r="H162" s="170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</row>
    <row r="163" ht="14.25" customHeight="1">
      <c r="A163" s="171"/>
      <c r="B163" s="172"/>
      <c r="C163" s="171"/>
      <c r="D163" s="78"/>
      <c r="E163" s="78"/>
      <c r="F163" s="171"/>
      <c r="G163" s="173"/>
      <c r="H163" s="170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</row>
    <row r="164" ht="14.25" customHeight="1">
      <c r="A164" s="171"/>
      <c r="B164" s="172"/>
      <c r="C164" s="171"/>
      <c r="D164" s="78"/>
      <c r="E164" s="78"/>
      <c r="F164" s="171"/>
      <c r="G164" s="173"/>
      <c r="H164" s="170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</row>
    <row r="165" ht="14.25" customHeight="1">
      <c r="A165" s="171"/>
      <c r="B165" s="172"/>
      <c r="C165" s="171"/>
      <c r="D165" s="78"/>
      <c r="E165" s="78"/>
      <c r="F165" s="171"/>
      <c r="G165" s="173"/>
      <c r="H165" s="170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</row>
    <row r="166" ht="14.25" customHeight="1">
      <c r="A166" s="171"/>
      <c r="B166" s="172"/>
      <c r="C166" s="171"/>
      <c r="D166" s="78"/>
      <c r="E166" s="78"/>
      <c r="F166" s="171"/>
      <c r="G166" s="173"/>
      <c r="H166" s="170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</row>
    <row r="167" ht="14.25" customHeight="1">
      <c r="A167" s="171"/>
      <c r="B167" s="172"/>
      <c r="C167" s="171"/>
      <c r="D167" s="78"/>
      <c r="E167" s="78"/>
      <c r="F167" s="171"/>
      <c r="G167" s="173"/>
      <c r="H167" s="170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</row>
    <row r="168" ht="14.25" customHeight="1">
      <c r="A168" s="171"/>
      <c r="B168" s="172"/>
      <c r="C168" s="171"/>
      <c r="D168" s="78"/>
      <c r="E168" s="78"/>
      <c r="F168" s="171"/>
      <c r="G168" s="173"/>
      <c r="H168" s="170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</row>
    <row r="169" ht="14.25" customHeight="1">
      <c r="A169" s="171"/>
      <c r="B169" s="172"/>
      <c r="C169" s="171"/>
      <c r="D169" s="78"/>
      <c r="E169" s="78"/>
      <c r="F169" s="171"/>
      <c r="G169" s="173"/>
      <c r="H169" s="170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</row>
    <row r="170" ht="14.25" customHeight="1">
      <c r="A170" s="171"/>
      <c r="B170" s="172"/>
      <c r="C170" s="171"/>
      <c r="D170" s="78"/>
      <c r="E170" s="78"/>
      <c r="F170" s="171"/>
      <c r="G170" s="173"/>
      <c r="H170" s="170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</row>
    <row r="171" ht="14.25" customHeight="1">
      <c r="A171" s="171"/>
      <c r="B171" s="172"/>
      <c r="C171" s="171"/>
      <c r="D171" s="78"/>
      <c r="E171" s="78"/>
      <c r="F171" s="171"/>
      <c r="G171" s="173"/>
      <c r="H171" s="170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</row>
    <row r="172" ht="14.25" customHeight="1">
      <c r="A172" s="171"/>
      <c r="B172" s="172"/>
      <c r="C172" s="171"/>
      <c r="D172" s="78"/>
      <c r="E172" s="78"/>
      <c r="F172" s="171"/>
      <c r="G172" s="173"/>
      <c r="H172" s="170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</row>
    <row r="173" ht="14.25" customHeight="1">
      <c r="A173" s="171"/>
      <c r="B173" s="172"/>
      <c r="C173" s="171"/>
      <c r="D173" s="78"/>
      <c r="E173" s="78"/>
      <c r="F173" s="171"/>
      <c r="G173" s="173"/>
      <c r="H173" s="170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</row>
    <row r="174" ht="14.25" customHeight="1">
      <c r="A174" s="171"/>
      <c r="B174" s="172"/>
      <c r="C174" s="171"/>
      <c r="D174" s="78"/>
      <c r="E174" s="78"/>
      <c r="F174" s="171"/>
      <c r="G174" s="173"/>
      <c r="H174" s="170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</row>
    <row r="175" ht="14.25" customHeight="1">
      <c r="A175" s="171"/>
      <c r="B175" s="172"/>
      <c r="C175" s="171"/>
      <c r="D175" s="78"/>
      <c r="E175" s="78"/>
      <c r="F175" s="171"/>
      <c r="G175" s="173"/>
      <c r="H175" s="170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</row>
    <row r="176" ht="14.25" customHeight="1">
      <c r="A176" s="171"/>
      <c r="B176" s="172"/>
      <c r="C176" s="171"/>
      <c r="D176" s="78"/>
      <c r="E176" s="78"/>
      <c r="F176" s="171"/>
      <c r="G176" s="173"/>
      <c r="H176" s="170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</row>
    <row r="177" ht="14.25" customHeight="1">
      <c r="A177" s="171"/>
      <c r="B177" s="172"/>
      <c r="C177" s="171"/>
      <c r="D177" s="78"/>
      <c r="E177" s="78"/>
      <c r="F177" s="171"/>
      <c r="G177" s="173"/>
      <c r="H177" s="170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</row>
    <row r="178" ht="14.25" customHeight="1">
      <c r="A178" s="171"/>
      <c r="B178" s="172"/>
      <c r="C178" s="171"/>
      <c r="D178" s="78"/>
      <c r="E178" s="78"/>
      <c r="F178" s="171"/>
      <c r="G178" s="173"/>
      <c r="H178" s="170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</row>
    <row r="179" ht="14.25" customHeight="1">
      <c r="A179" s="171"/>
      <c r="B179" s="172"/>
      <c r="C179" s="171"/>
      <c r="D179" s="78"/>
      <c r="E179" s="78"/>
      <c r="F179" s="171"/>
      <c r="G179" s="173"/>
      <c r="H179" s="170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</row>
    <row r="180" ht="14.25" customHeight="1">
      <c r="A180" s="171"/>
      <c r="B180" s="172"/>
      <c r="C180" s="171"/>
      <c r="D180" s="78"/>
      <c r="E180" s="78"/>
      <c r="F180" s="171"/>
      <c r="G180" s="173"/>
      <c r="H180" s="170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</row>
    <row r="181" ht="14.25" customHeight="1">
      <c r="A181" s="171"/>
      <c r="B181" s="172"/>
      <c r="C181" s="171"/>
      <c r="D181" s="78"/>
      <c r="E181" s="78"/>
      <c r="F181" s="171"/>
      <c r="G181" s="173"/>
      <c r="H181" s="170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</row>
    <row r="182" ht="14.25" customHeight="1">
      <c r="A182" s="171"/>
      <c r="B182" s="172"/>
      <c r="C182" s="171"/>
      <c r="D182" s="78"/>
      <c r="E182" s="78"/>
      <c r="F182" s="171"/>
      <c r="G182" s="173"/>
      <c r="H182" s="170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</row>
    <row r="183" ht="14.25" customHeight="1">
      <c r="A183" s="171"/>
      <c r="B183" s="172"/>
      <c r="C183" s="171"/>
      <c r="D183" s="78"/>
      <c r="E183" s="78"/>
      <c r="F183" s="171"/>
      <c r="G183" s="173"/>
      <c r="H183" s="170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</row>
    <row r="184" ht="14.25" customHeight="1">
      <c r="A184" s="171"/>
      <c r="B184" s="172"/>
      <c r="C184" s="171"/>
      <c r="D184" s="78"/>
      <c r="E184" s="78"/>
      <c r="F184" s="171"/>
      <c r="G184" s="173"/>
      <c r="H184" s="170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</row>
    <row r="185" ht="14.25" customHeight="1">
      <c r="A185" s="171"/>
      <c r="B185" s="172"/>
      <c r="C185" s="171"/>
      <c r="D185" s="78"/>
      <c r="E185" s="78"/>
      <c r="F185" s="171"/>
      <c r="G185" s="173"/>
      <c r="H185" s="170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</row>
    <row r="186" ht="14.25" customHeight="1">
      <c r="A186" s="171"/>
      <c r="B186" s="172"/>
      <c r="C186" s="171"/>
      <c r="D186" s="78"/>
      <c r="E186" s="78"/>
      <c r="F186" s="171"/>
      <c r="G186" s="173"/>
      <c r="H186" s="170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</row>
    <row r="187" ht="14.25" customHeight="1">
      <c r="A187" s="171"/>
      <c r="B187" s="172"/>
      <c r="C187" s="171"/>
      <c r="D187" s="78"/>
      <c r="E187" s="78"/>
      <c r="F187" s="171"/>
      <c r="G187" s="173"/>
      <c r="H187" s="170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</row>
    <row r="188" ht="14.25" customHeight="1">
      <c r="A188" s="171"/>
      <c r="B188" s="172"/>
      <c r="C188" s="171"/>
      <c r="D188" s="78"/>
      <c r="E188" s="78"/>
      <c r="F188" s="171"/>
      <c r="G188" s="173"/>
      <c r="H188" s="170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</row>
    <row r="189" ht="14.25" customHeight="1">
      <c r="A189" s="171"/>
      <c r="B189" s="172"/>
      <c r="C189" s="171"/>
      <c r="D189" s="78"/>
      <c r="E189" s="78"/>
      <c r="F189" s="171"/>
      <c r="G189" s="173"/>
      <c r="H189" s="170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</row>
    <row r="190" ht="14.25" customHeight="1">
      <c r="A190" s="171"/>
      <c r="B190" s="172"/>
      <c r="C190" s="171"/>
      <c r="D190" s="78"/>
      <c r="E190" s="78"/>
      <c r="F190" s="171"/>
      <c r="G190" s="173"/>
      <c r="H190" s="170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</row>
    <row r="191" ht="14.25" customHeight="1">
      <c r="A191" s="171"/>
      <c r="B191" s="172"/>
      <c r="C191" s="171"/>
      <c r="D191" s="78"/>
      <c r="E191" s="78"/>
      <c r="F191" s="171"/>
      <c r="G191" s="173"/>
      <c r="H191" s="170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</row>
    <row r="192" ht="14.25" customHeight="1">
      <c r="A192" s="171"/>
      <c r="B192" s="172"/>
      <c r="C192" s="171"/>
      <c r="D192" s="78"/>
      <c r="E192" s="78"/>
      <c r="F192" s="171"/>
      <c r="G192" s="173"/>
      <c r="H192" s="170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</row>
    <row r="193" ht="14.25" customHeight="1">
      <c r="A193" s="171"/>
      <c r="B193" s="172"/>
      <c r="C193" s="171"/>
      <c r="D193" s="78"/>
      <c r="E193" s="78"/>
      <c r="F193" s="171"/>
      <c r="G193" s="173"/>
      <c r="H193" s="170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</row>
    <row r="194" ht="14.25" customHeight="1">
      <c r="A194" s="171"/>
      <c r="B194" s="172"/>
      <c r="C194" s="171"/>
      <c r="D194" s="78"/>
      <c r="E194" s="78"/>
      <c r="F194" s="171"/>
      <c r="G194" s="173"/>
      <c r="H194" s="170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</row>
    <row r="195" ht="14.25" customHeight="1">
      <c r="A195" s="171"/>
      <c r="B195" s="172"/>
      <c r="C195" s="171"/>
      <c r="D195" s="78"/>
      <c r="E195" s="78"/>
      <c r="F195" s="171"/>
      <c r="G195" s="173"/>
      <c r="H195" s="170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</row>
    <row r="196" ht="14.25" customHeight="1">
      <c r="A196" s="171"/>
      <c r="B196" s="172"/>
      <c r="C196" s="171"/>
      <c r="D196" s="78"/>
      <c r="E196" s="78"/>
      <c r="F196" s="171"/>
      <c r="G196" s="173"/>
      <c r="H196" s="170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</row>
    <row r="197" ht="14.25" customHeight="1">
      <c r="A197" s="171"/>
      <c r="B197" s="172"/>
      <c r="C197" s="171"/>
      <c r="D197" s="78"/>
      <c r="E197" s="78"/>
      <c r="F197" s="171"/>
      <c r="G197" s="173"/>
      <c r="H197" s="170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</row>
    <row r="198" ht="14.25" customHeight="1">
      <c r="A198" s="171"/>
      <c r="B198" s="172"/>
      <c r="C198" s="171"/>
      <c r="D198" s="78"/>
      <c r="E198" s="78"/>
      <c r="F198" s="171"/>
      <c r="G198" s="173"/>
      <c r="H198" s="170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</row>
    <row r="199" ht="14.25" customHeight="1">
      <c r="A199" s="171"/>
      <c r="B199" s="172"/>
      <c r="C199" s="171"/>
      <c r="D199" s="78"/>
      <c r="E199" s="78"/>
      <c r="F199" s="171"/>
      <c r="G199" s="173"/>
      <c r="H199" s="170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</row>
    <row r="200" ht="14.25" customHeight="1">
      <c r="A200" s="171"/>
      <c r="B200" s="172"/>
      <c r="C200" s="171"/>
      <c r="D200" s="78"/>
      <c r="E200" s="78"/>
      <c r="F200" s="171"/>
      <c r="G200" s="173"/>
      <c r="H200" s="170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</row>
    <row r="201" ht="14.25" customHeight="1">
      <c r="A201" s="171"/>
      <c r="B201" s="172"/>
      <c r="C201" s="171"/>
      <c r="D201" s="78"/>
      <c r="E201" s="78"/>
      <c r="F201" s="171"/>
      <c r="G201" s="173"/>
      <c r="H201" s="170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</row>
    <row r="202" ht="14.25" customHeight="1">
      <c r="A202" s="171"/>
      <c r="B202" s="172"/>
      <c r="C202" s="171"/>
      <c r="D202" s="78"/>
      <c r="E202" s="78"/>
      <c r="F202" s="171"/>
      <c r="G202" s="173"/>
      <c r="H202" s="170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</row>
    <row r="203" ht="14.25" customHeight="1">
      <c r="A203" s="171"/>
      <c r="B203" s="172"/>
      <c r="C203" s="171"/>
      <c r="D203" s="78"/>
      <c r="E203" s="78"/>
      <c r="F203" s="171"/>
      <c r="G203" s="173"/>
      <c r="H203" s="170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</row>
    <row r="204" ht="14.25" customHeight="1">
      <c r="A204" s="171"/>
      <c r="B204" s="172"/>
      <c r="C204" s="171"/>
      <c r="D204" s="78"/>
      <c r="E204" s="78"/>
      <c r="F204" s="171"/>
      <c r="G204" s="173"/>
      <c r="H204" s="170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</row>
    <row r="205" ht="14.25" customHeight="1">
      <c r="A205" s="171"/>
      <c r="B205" s="172"/>
      <c r="C205" s="171"/>
      <c r="D205" s="78"/>
      <c r="E205" s="78"/>
      <c r="F205" s="171"/>
      <c r="G205" s="173"/>
      <c r="H205" s="170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</row>
    <row r="206" ht="14.25" customHeight="1">
      <c r="A206" s="171"/>
      <c r="B206" s="172"/>
      <c r="C206" s="171"/>
      <c r="D206" s="78"/>
      <c r="E206" s="78"/>
      <c r="F206" s="171"/>
      <c r="G206" s="173"/>
      <c r="H206" s="170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</row>
    <row r="207" ht="14.25" customHeight="1">
      <c r="A207" s="171"/>
      <c r="B207" s="172"/>
      <c r="C207" s="171"/>
      <c r="D207" s="78"/>
      <c r="E207" s="78"/>
      <c r="F207" s="171"/>
      <c r="G207" s="173"/>
      <c r="H207" s="170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</row>
    <row r="208" ht="14.25" customHeight="1">
      <c r="A208" s="171"/>
      <c r="B208" s="172"/>
      <c r="C208" s="171"/>
      <c r="D208" s="78"/>
      <c r="E208" s="78"/>
      <c r="F208" s="171"/>
      <c r="G208" s="173"/>
      <c r="H208" s="170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</row>
    <row r="209" ht="14.25" customHeight="1">
      <c r="A209" s="171"/>
      <c r="B209" s="172"/>
      <c r="C209" s="171"/>
      <c r="D209" s="78"/>
      <c r="E209" s="78"/>
      <c r="F209" s="171"/>
      <c r="G209" s="173"/>
      <c r="H209" s="170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</row>
    <row r="210" ht="14.25" customHeight="1">
      <c r="A210" s="171"/>
      <c r="B210" s="172"/>
      <c r="C210" s="171"/>
      <c r="D210" s="78"/>
      <c r="E210" s="78"/>
      <c r="F210" s="171"/>
      <c r="G210" s="173"/>
      <c r="H210" s="170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</row>
    <row r="211" ht="14.25" customHeight="1">
      <c r="A211" s="171"/>
      <c r="B211" s="172"/>
      <c r="C211" s="171"/>
      <c r="D211" s="78"/>
      <c r="E211" s="78"/>
      <c r="F211" s="171"/>
      <c r="G211" s="173"/>
      <c r="H211" s="170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</row>
    <row r="212" ht="14.25" customHeight="1">
      <c r="A212" s="171"/>
      <c r="B212" s="172"/>
      <c r="C212" s="171"/>
      <c r="D212" s="78"/>
      <c r="E212" s="78"/>
      <c r="F212" s="171"/>
      <c r="G212" s="173"/>
      <c r="H212" s="170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</row>
    <row r="213" ht="14.25" customHeight="1">
      <c r="A213" s="171"/>
      <c r="B213" s="172"/>
      <c r="C213" s="171"/>
      <c r="D213" s="78"/>
      <c r="E213" s="78"/>
      <c r="F213" s="171"/>
      <c r="G213" s="173"/>
      <c r="H213" s="170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</row>
    <row r="214" ht="14.25" customHeight="1">
      <c r="A214" s="171"/>
      <c r="B214" s="172"/>
      <c r="C214" s="171"/>
      <c r="D214" s="78"/>
      <c r="E214" s="78"/>
      <c r="F214" s="171"/>
      <c r="G214" s="173"/>
      <c r="H214" s="170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</row>
    <row r="215" ht="14.25" customHeight="1">
      <c r="A215" s="171"/>
      <c r="B215" s="172"/>
      <c r="C215" s="171"/>
      <c r="D215" s="78"/>
      <c r="E215" s="78"/>
      <c r="F215" s="171"/>
      <c r="G215" s="173"/>
      <c r="H215" s="170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</row>
    <row r="216" ht="14.25" customHeight="1">
      <c r="A216" s="171"/>
      <c r="B216" s="172"/>
      <c r="C216" s="171"/>
      <c r="D216" s="78"/>
      <c r="E216" s="78"/>
      <c r="F216" s="171"/>
      <c r="G216" s="173"/>
      <c r="H216" s="170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</row>
    <row r="217" ht="14.25" customHeight="1">
      <c r="A217" s="171"/>
      <c r="B217" s="172"/>
      <c r="C217" s="171"/>
      <c r="D217" s="78"/>
      <c r="E217" s="78"/>
      <c r="F217" s="171"/>
      <c r="G217" s="173"/>
      <c r="H217" s="170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</row>
    <row r="218" ht="14.25" customHeight="1">
      <c r="A218" s="171"/>
      <c r="B218" s="172"/>
      <c r="C218" s="171"/>
      <c r="D218" s="78"/>
      <c r="E218" s="78"/>
      <c r="F218" s="171"/>
      <c r="G218" s="173"/>
      <c r="H218" s="170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</row>
    <row r="219" ht="14.25" customHeight="1">
      <c r="A219" s="171"/>
      <c r="B219" s="172"/>
      <c r="C219" s="171"/>
      <c r="D219" s="78"/>
      <c r="E219" s="78"/>
      <c r="F219" s="171"/>
      <c r="G219" s="173"/>
      <c r="H219" s="170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</row>
    <row r="220" ht="14.25" customHeight="1">
      <c r="A220" s="171"/>
      <c r="B220" s="172"/>
      <c r="C220" s="171"/>
      <c r="D220" s="78"/>
      <c r="E220" s="78"/>
      <c r="F220" s="171"/>
      <c r="G220" s="173"/>
      <c r="H220" s="170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</row>
    <row r="221" ht="14.25" customHeight="1">
      <c r="A221" s="171"/>
      <c r="B221" s="172"/>
      <c r="C221" s="171"/>
      <c r="D221" s="78"/>
      <c r="E221" s="78"/>
      <c r="F221" s="171"/>
      <c r="G221" s="173"/>
      <c r="H221" s="170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</row>
    <row r="222" ht="14.25" customHeight="1">
      <c r="A222" s="171"/>
      <c r="B222" s="172"/>
      <c r="C222" s="171"/>
      <c r="D222" s="78"/>
      <c r="E222" s="78"/>
      <c r="F222" s="171"/>
      <c r="G222" s="173"/>
      <c r="H222" s="170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</row>
    <row r="223" ht="14.25" customHeight="1">
      <c r="A223" s="171"/>
      <c r="B223" s="172"/>
      <c r="C223" s="171"/>
      <c r="D223" s="78"/>
      <c r="E223" s="78"/>
      <c r="F223" s="171"/>
      <c r="G223" s="173"/>
      <c r="H223" s="170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</row>
    <row r="224" ht="14.25" customHeight="1">
      <c r="A224" s="171"/>
      <c r="B224" s="172"/>
      <c r="C224" s="171"/>
      <c r="D224" s="78"/>
      <c r="E224" s="78"/>
      <c r="F224" s="171"/>
      <c r="G224" s="173"/>
      <c r="H224" s="170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</row>
    <row r="225" ht="14.25" customHeight="1">
      <c r="A225" s="171"/>
      <c r="B225" s="172"/>
      <c r="C225" s="171"/>
      <c r="D225" s="78"/>
      <c r="E225" s="78"/>
      <c r="F225" s="171"/>
      <c r="G225" s="173"/>
      <c r="H225" s="170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</row>
    <row r="226" ht="14.25" customHeight="1">
      <c r="A226" s="171"/>
      <c r="B226" s="172"/>
      <c r="C226" s="171"/>
      <c r="D226" s="78"/>
      <c r="E226" s="78"/>
      <c r="F226" s="171"/>
      <c r="G226" s="173"/>
      <c r="H226" s="170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</row>
    <row r="227" ht="14.25" customHeight="1">
      <c r="A227" s="171"/>
      <c r="B227" s="172"/>
      <c r="C227" s="171"/>
      <c r="D227" s="78"/>
      <c r="E227" s="78"/>
      <c r="F227" s="171"/>
      <c r="G227" s="173"/>
      <c r="H227" s="170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</row>
    <row r="228" ht="14.25" customHeight="1">
      <c r="A228" s="171"/>
      <c r="B228" s="172"/>
      <c r="C228" s="171"/>
      <c r="D228" s="78"/>
      <c r="E228" s="78"/>
      <c r="F228" s="171"/>
      <c r="G228" s="173"/>
      <c r="H228" s="170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</row>
    <row r="229" ht="14.25" customHeight="1">
      <c r="A229" s="171"/>
      <c r="B229" s="172"/>
      <c r="C229" s="171"/>
      <c r="D229" s="78"/>
      <c r="E229" s="78"/>
      <c r="F229" s="171"/>
      <c r="G229" s="173"/>
      <c r="H229" s="170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</row>
    <row r="230" ht="14.25" customHeight="1">
      <c r="A230" s="171"/>
      <c r="B230" s="172"/>
      <c r="C230" s="171"/>
      <c r="D230" s="78"/>
      <c r="E230" s="78"/>
      <c r="F230" s="171"/>
      <c r="G230" s="173"/>
      <c r="H230" s="170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</row>
    <row r="231" ht="14.25" customHeight="1">
      <c r="A231" s="171"/>
      <c r="B231" s="172"/>
      <c r="C231" s="171"/>
      <c r="D231" s="78"/>
      <c r="E231" s="78"/>
      <c r="F231" s="171"/>
      <c r="G231" s="173"/>
      <c r="H231" s="170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</row>
    <row r="232" ht="14.25" customHeight="1">
      <c r="A232" s="171"/>
      <c r="B232" s="172"/>
      <c r="C232" s="171"/>
      <c r="D232" s="78"/>
      <c r="E232" s="78"/>
      <c r="F232" s="171"/>
      <c r="G232" s="173"/>
      <c r="H232" s="170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</row>
    <row r="233" ht="14.25" customHeight="1">
      <c r="A233" s="171"/>
      <c r="B233" s="172"/>
      <c r="C233" s="171"/>
      <c r="D233" s="78"/>
      <c r="E233" s="78"/>
      <c r="F233" s="171"/>
      <c r="G233" s="173"/>
      <c r="H233" s="170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</row>
    <row r="234" ht="14.25" customHeight="1">
      <c r="A234" s="171"/>
      <c r="B234" s="172"/>
      <c r="C234" s="171"/>
      <c r="D234" s="78"/>
      <c r="E234" s="78"/>
      <c r="F234" s="171"/>
      <c r="G234" s="173"/>
      <c r="H234" s="170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</row>
    <row r="235" ht="14.25" customHeight="1">
      <c r="A235" s="171"/>
      <c r="B235" s="172"/>
      <c r="C235" s="171"/>
      <c r="D235" s="78"/>
      <c r="E235" s="78"/>
      <c r="F235" s="171"/>
      <c r="G235" s="173"/>
      <c r="H235" s="170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</row>
    <row r="236" ht="14.25" customHeight="1">
      <c r="A236" s="171"/>
      <c r="B236" s="172"/>
      <c r="C236" s="171"/>
      <c r="D236" s="78"/>
      <c r="E236" s="78"/>
      <c r="F236" s="171"/>
      <c r="G236" s="173"/>
      <c r="H236" s="170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</row>
    <row r="237" ht="14.25" customHeight="1">
      <c r="A237" s="171"/>
      <c r="B237" s="172"/>
      <c r="C237" s="171"/>
      <c r="D237" s="78"/>
      <c r="E237" s="78"/>
      <c r="F237" s="171"/>
      <c r="G237" s="173"/>
      <c r="H237" s="170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</row>
    <row r="238" ht="14.25" customHeight="1">
      <c r="A238" s="171"/>
      <c r="B238" s="172"/>
      <c r="C238" s="171"/>
      <c r="D238" s="78"/>
      <c r="E238" s="78"/>
      <c r="F238" s="171"/>
      <c r="G238" s="173"/>
      <c r="H238" s="170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</row>
    <row r="239" ht="14.25" customHeight="1">
      <c r="A239" s="171"/>
      <c r="B239" s="172"/>
      <c r="C239" s="171"/>
      <c r="D239" s="78"/>
      <c r="E239" s="78"/>
      <c r="F239" s="171"/>
      <c r="G239" s="173"/>
      <c r="H239" s="170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</row>
    <row r="240" ht="14.25" customHeight="1">
      <c r="A240" s="171"/>
      <c r="B240" s="172"/>
      <c r="C240" s="171"/>
      <c r="D240" s="78"/>
      <c r="E240" s="78"/>
      <c r="F240" s="171"/>
      <c r="G240" s="173"/>
      <c r="H240" s="170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</row>
    <row r="241" ht="14.25" customHeight="1">
      <c r="A241" s="171"/>
      <c r="B241" s="172"/>
      <c r="C241" s="171"/>
      <c r="D241" s="78"/>
      <c r="E241" s="78"/>
      <c r="F241" s="171"/>
      <c r="G241" s="173"/>
      <c r="H241" s="170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</row>
    <row r="242" ht="14.25" customHeight="1">
      <c r="A242" s="171"/>
      <c r="B242" s="172"/>
      <c r="C242" s="171"/>
      <c r="D242" s="78"/>
      <c r="E242" s="78"/>
      <c r="F242" s="171"/>
      <c r="G242" s="173"/>
      <c r="H242" s="170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</row>
    <row r="243" ht="14.25" customHeight="1">
      <c r="A243" s="171"/>
      <c r="B243" s="172"/>
      <c r="C243" s="171"/>
      <c r="D243" s="78"/>
      <c r="E243" s="78"/>
      <c r="F243" s="171"/>
      <c r="G243" s="173"/>
      <c r="H243" s="170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</row>
    <row r="244" ht="14.25" customHeight="1">
      <c r="A244" s="171"/>
      <c r="B244" s="172"/>
      <c r="C244" s="171"/>
      <c r="D244" s="78"/>
      <c r="E244" s="78"/>
      <c r="F244" s="171"/>
      <c r="G244" s="173"/>
      <c r="H244" s="170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</row>
    <row r="245" ht="14.25" customHeight="1">
      <c r="A245" s="171"/>
      <c r="B245" s="172"/>
      <c r="C245" s="171"/>
      <c r="D245" s="78"/>
      <c r="E245" s="78"/>
      <c r="F245" s="171"/>
      <c r="G245" s="173"/>
      <c r="H245" s="170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</row>
    <row r="246" ht="14.25" customHeight="1">
      <c r="A246" s="171"/>
      <c r="B246" s="172"/>
      <c r="C246" s="171"/>
      <c r="D246" s="78"/>
      <c r="E246" s="78"/>
      <c r="F246" s="171"/>
      <c r="G246" s="173"/>
      <c r="H246" s="170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</row>
    <row r="247" ht="14.25" customHeight="1">
      <c r="A247" s="171"/>
      <c r="B247" s="172"/>
      <c r="C247" s="171"/>
      <c r="D247" s="78"/>
      <c r="E247" s="78"/>
      <c r="F247" s="171"/>
      <c r="G247" s="173"/>
      <c r="H247" s="170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</row>
    <row r="248" ht="14.25" customHeight="1">
      <c r="A248" s="171"/>
      <c r="B248" s="172"/>
      <c r="C248" s="171"/>
      <c r="D248" s="78"/>
      <c r="E248" s="78"/>
      <c r="F248" s="171"/>
      <c r="G248" s="173"/>
      <c r="H248" s="170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</row>
    <row r="249" ht="14.25" customHeight="1">
      <c r="A249" s="171"/>
      <c r="B249" s="172"/>
      <c r="C249" s="171"/>
      <c r="D249" s="78"/>
      <c r="E249" s="78"/>
      <c r="F249" s="171"/>
      <c r="G249" s="173"/>
      <c r="H249" s="170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</row>
    <row r="250" ht="14.25" customHeight="1">
      <c r="A250" s="171"/>
      <c r="B250" s="172"/>
      <c r="C250" s="171"/>
      <c r="D250" s="78"/>
      <c r="E250" s="78"/>
      <c r="F250" s="171"/>
      <c r="G250" s="173"/>
      <c r="H250" s="170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</row>
    <row r="251" ht="14.25" customHeight="1">
      <c r="A251" s="171"/>
      <c r="B251" s="172"/>
      <c r="C251" s="171"/>
      <c r="D251" s="78"/>
      <c r="E251" s="78"/>
      <c r="F251" s="171"/>
      <c r="G251" s="173"/>
      <c r="H251" s="170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</row>
    <row r="252" ht="14.25" customHeight="1">
      <c r="A252" s="171"/>
      <c r="B252" s="172"/>
      <c r="C252" s="171"/>
      <c r="D252" s="78"/>
      <c r="E252" s="78"/>
      <c r="F252" s="171"/>
      <c r="G252" s="173"/>
      <c r="H252" s="170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</row>
    <row r="253" ht="14.25" customHeight="1">
      <c r="A253" s="171"/>
      <c r="B253" s="172"/>
      <c r="C253" s="171"/>
      <c r="D253" s="78"/>
      <c r="E253" s="78"/>
      <c r="F253" s="171"/>
      <c r="G253" s="173"/>
      <c r="H253" s="170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</row>
    <row r="254" ht="14.25" customHeight="1">
      <c r="A254" s="171"/>
      <c r="B254" s="172"/>
      <c r="C254" s="171"/>
      <c r="D254" s="78"/>
      <c r="E254" s="78"/>
      <c r="F254" s="171"/>
      <c r="G254" s="173"/>
      <c r="H254" s="170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</row>
    <row r="255" ht="14.25" customHeight="1">
      <c r="A255" s="171"/>
      <c r="B255" s="172"/>
      <c r="C255" s="171"/>
      <c r="D255" s="78"/>
      <c r="E255" s="78"/>
      <c r="F255" s="171"/>
      <c r="G255" s="173"/>
      <c r="H255" s="170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</row>
    <row r="256" ht="14.25" customHeight="1">
      <c r="A256" s="171"/>
      <c r="B256" s="172"/>
      <c r="C256" s="171"/>
      <c r="D256" s="78"/>
      <c r="E256" s="78"/>
      <c r="F256" s="171"/>
      <c r="G256" s="173"/>
      <c r="H256" s="170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</row>
    <row r="257" ht="14.25" customHeight="1">
      <c r="A257" s="171"/>
      <c r="B257" s="172"/>
      <c r="C257" s="171"/>
      <c r="D257" s="78"/>
      <c r="E257" s="78"/>
      <c r="F257" s="171"/>
      <c r="G257" s="173"/>
      <c r="H257" s="170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</row>
    <row r="258" ht="14.25" customHeight="1">
      <c r="A258" s="171"/>
      <c r="B258" s="172"/>
      <c r="C258" s="171"/>
      <c r="D258" s="78"/>
      <c r="E258" s="78"/>
      <c r="F258" s="171"/>
      <c r="G258" s="173"/>
      <c r="H258" s="170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</row>
    <row r="259" ht="14.25" customHeight="1">
      <c r="A259" s="171"/>
      <c r="B259" s="172"/>
      <c r="C259" s="171"/>
      <c r="D259" s="78"/>
      <c r="E259" s="78"/>
      <c r="F259" s="171"/>
      <c r="G259" s="173"/>
      <c r="H259" s="170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</row>
    <row r="260" ht="14.25" customHeight="1">
      <c r="A260" s="171"/>
      <c r="B260" s="172"/>
      <c r="C260" s="171"/>
      <c r="D260" s="78"/>
      <c r="E260" s="78"/>
      <c r="F260" s="171"/>
      <c r="G260" s="173"/>
      <c r="H260" s="170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</row>
    <row r="261" ht="14.25" customHeight="1">
      <c r="A261" s="171"/>
      <c r="B261" s="172"/>
      <c r="C261" s="171"/>
      <c r="D261" s="78"/>
      <c r="E261" s="78"/>
      <c r="F261" s="171"/>
      <c r="G261" s="173"/>
      <c r="H261" s="170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</row>
    <row r="262" ht="14.25" customHeight="1">
      <c r="A262" s="171"/>
      <c r="B262" s="172"/>
      <c r="C262" s="171"/>
      <c r="D262" s="78"/>
      <c r="E262" s="78"/>
      <c r="F262" s="171"/>
      <c r="G262" s="173"/>
      <c r="H262" s="170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</row>
    <row r="263" ht="14.25" customHeight="1">
      <c r="A263" s="171"/>
      <c r="B263" s="172"/>
      <c r="C263" s="171"/>
      <c r="D263" s="78"/>
      <c r="E263" s="78"/>
      <c r="F263" s="171"/>
      <c r="G263" s="173"/>
      <c r="H263" s="170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</row>
    <row r="264" ht="14.25" customHeight="1">
      <c r="A264" s="171"/>
      <c r="B264" s="172"/>
      <c r="C264" s="171"/>
      <c r="D264" s="78"/>
      <c r="E264" s="78"/>
      <c r="F264" s="171"/>
      <c r="G264" s="173"/>
      <c r="H264" s="170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</row>
    <row r="265" ht="14.25" customHeight="1">
      <c r="A265" s="171"/>
      <c r="B265" s="172"/>
      <c r="C265" s="171"/>
      <c r="D265" s="78"/>
      <c r="E265" s="78"/>
      <c r="F265" s="171"/>
      <c r="G265" s="173"/>
      <c r="H265" s="170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</row>
    <row r="266" ht="14.25" customHeight="1">
      <c r="A266" s="171"/>
      <c r="B266" s="172"/>
      <c r="C266" s="171"/>
      <c r="D266" s="78"/>
      <c r="E266" s="78"/>
      <c r="F266" s="171"/>
      <c r="G266" s="173"/>
      <c r="H266" s="170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</row>
    <row r="267" ht="14.25" customHeight="1">
      <c r="A267" s="171"/>
      <c r="B267" s="172"/>
      <c r="C267" s="171"/>
      <c r="D267" s="78"/>
      <c r="E267" s="78"/>
      <c r="F267" s="171"/>
      <c r="G267" s="173"/>
      <c r="H267" s="170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</row>
    <row r="268" ht="14.25" customHeight="1">
      <c r="A268" s="171"/>
      <c r="B268" s="172"/>
      <c r="C268" s="171"/>
      <c r="D268" s="78"/>
      <c r="E268" s="78"/>
      <c r="F268" s="171"/>
      <c r="G268" s="173"/>
      <c r="H268" s="170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</row>
    <row r="269" ht="14.25" customHeight="1">
      <c r="A269" s="171"/>
      <c r="B269" s="172"/>
      <c r="C269" s="171"/>
      <c r="D269" s="78"/>
      <c r="E269" s="78"/>
      <c r="F269" s="171"/>
      <c r="G269" s="173"/>
      <c r="H269" s="170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</row>
    <row r="270" ht="14.25" customHeight="1">
      <c r="A270" s="171"/>
      <c r="B270" s="172"/>
      <c r="C270" s="171"/>
      <c r="D270" s="78"/>
      <c r="E270" s="78"/>
      <c r="F270" s="171"/>
      <c r="G270" s="173"/>
      <c r="H270" s="170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</row>
    <row r="271" ht="14.25" customHeight="1">
      <c r="A271" s="171"/>
      <c r="B271" s="172"/>
      <c r="C271" s="171"/>
      <c r="D271" s="78"/>
      <c r="E271" s="78"/>
      <c r="F271" s="171"/>
      <c r="G271" s="173"/>
      <c r="H271" s="170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</row>
    <row r="272" ht="14.25" customHeight="1">
      <c r="A272" s="171"/>
      <c r="B272" s="172"/>
      <c r="C272" s="171"/>
      <c r="D272" s="78"/>
      <c r="E272" s="78"/>
      <c r="F272" s="171"/>
      <c r="G272" s="173"/>
      <c r="H272" s="170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</row>
    <row r="273" ht="14.25" customHeight="1">
      <c r="A273" s="171"/>
      <c r="B273" s="172"/>
      <c r="C273" s="171"/>
      <c r="D273" s="78"/>
      <c r="E273" s="78"/>
      <c r="F273" s="171"/>
      <c r="G273" s="173"/>
      <c r="H273" s="170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</row>
    <row r="274" ht="14.25" customHeight="1">
      <c r="A274" s="171"/>
      <c r="B274" s="172"/>
      <c r="C274" s="171"/>
      <c r="D274" s="78"/>
      <c r="E274" s="78"/>
      <c r="F274" s="171"/>
      <c r="G274" s="173"/>
      <c r="H274" s="170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</row>
    <row r="275" ht="14.25" customHeight="1">
      <c r="A275" s="171"/>
      <c r="B275" s="172"/>
      <c r="C275" s="171"/>
      <c r="D275" s="78"/>
      <c r="E275" s="78"/>
      <c r="F275" s="171"/>
      <c r="G275" s="173"/>
      <c r="H275" s="170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</row>
    <row r="276" ht="14.25" customHeight="1">
      <c r="A276" s="171"/>
      <c r="B276" s="172"/>
      <c r="C276" s="171"/>
      <c r="D276" s="78"/>
      <c r="E276" s="78"/>
      <c r="F276" s="171"/>
      <c r="G276" s="173"/>
      <c r="H276" s="170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</row>
    <row r="277" ht="14.25" customHeight="1">
      <c r="A277" s="171"/>
      <c r="B277" s="172"/>
      <c r="C277" s="171"/>
      <c r="D277" s="78"/>
      <c r="E277" s="78"/>
      <c r="F277" s="171"/>
      <c r="G277" s="173"/>
      <c r="H277" s="170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</row>
    <row r="278" ht="14.25" customHeight="1">
      <c r="A278" s="171"/>
      <c r="B278" s="172"/>
      <c r="C278" s="171"/>
      <c r="D278" s="78"/>
      <c r="E278" s="78"/>
      <c r="F278" s="171"/>
      <c r="G278" s="173"/>
      <c r="H278" s="170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</row>
    <row r="279" ht="14.25" customHeight="1">
      <c r="A279" s="171"/>
      <c r="B279" s="172"/>
      <c r="C279" s="171"/>
      <c r="D279" s="78"/>
      <c r="E279" s="78"/>
      <c r="F279" s="171"/>
      <c r="G279" s="173"/>
      <c r="H279" s="170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</row>
    <row r="280" ht="14.25" customHeight="1">
      <c r="A280" s="171"/>
      <c r="B280" s="172"/>
      <c r="C280" s="171"/>
      <c r="D280" s="78"/>
      <c r="E280" s="78"/>
      <c r="F280" s="171"/>
      <c r="G280" s="173"/>
      <c r="H280" s="170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</row>
    <row r="281" ht="14.25" customHeight="1">
      <c r="A281" s="171"/>
      <c r="B281" s="172"/>
      <c r="C281" s="171"/>
      <c r="D281" s="78"/>
      <c r="E281" s="78"/>
      <c r="F281" s="171"/>
      <c r="G281" s="173"/>
      <c r="H281" s="170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</row>
    <row r="282" ht="14.25" customHeight="1">
      <c r="A282" s="171"/>
      <c r="B282" s="172"/>
      <c r="C282" s="171"/>
      <c r="D282" s="78"/>
      <c r="E282" s="78"/>
      <c r="F282" s="171"/>
      <c r="G282" s="173"/>
      <c r="H282" s="170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</row>
    <row r="283" ht="14.25" customHeight="1">
      <c r="A283" s="171"/>
      <c r="B283" s="172"/>
      <c r="C283" s="171"/>
      <c r="D283" s="78"/>
      <c r="E283" s="78"/>
      <c r="F283" s="171"/>
      <c r="G283" s="173"/>
      <c r="H283" s="170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</row>
    <row r="284" ht="14.25" customHeight="1">
      <c r="A284" s="171"/>
      <c r="B284" s="172"/>
      <c r="C284" s="171"/>
      <c r="D284" s="78"/>
      <c r="E284" s="78"/>
      <c r="F284" s="171"/>
      <c r="G284" s="173"/>
      <c r="H284" s="170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</row>
    <row r="285" ht="14.25" customHeight="1">
      <c r="A285" s="171"/>
      <c r="B285" s="172"/>
      <c r="C285" s="171"/>
      <c r="D285" s="78"/>
      <c r="E285" s="78"/>
      <c r="F285" s="171"/>
      <c r="G285" s="173"/>
      <c r="H285" s="170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</row>
    <row r="286" ht="14.25" customHeight="1">
      <c r="A286" s="171"/>
      <c r="B286" s="172"/>
      <c r="C286" s="171"/>
      <c r="D286" s="78"/>
      <c r="E286" s="78"/>
      <c r="F286" s="171"/>
      <c r="G286" s="173"/>
      <c r="H286" s="170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</row>
    <row r="287" ht="14.25" customHeight="1">
      <c r="A287" s="171"/>
      <c r="B287" s="172"/>
      <c r="C287" s="171"/>
      <c r="D287" s="78"/>
      <c r="E287" s="78"/>
      <c r="F287" s="171"/>
      <c r="G287" s="173"/>
      <c r="H287" s="170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</row>
    <row r="288" ht="14.25" customHeight="1">
      <c r="A288" s="171"/>
      <c r="B288" s="172"/>
      <c r="C288" s="171"/>
      <c r="D288" s="78"/>
      <c r="E288" s="78"/>
      <c r="F288" s="171"/>
      <c r="G288" s="173"/>
      <c r="H288" s="170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</row>
    <row r="289" ht="14.25" customHeight="1">
      <c r="A289" s="171"/>
      <c r="B289" s="172"/>
      <c r="C289" s="171"/>
      <c r="D289" s="78"/>
      <c r="E289" s="78"/>
      <c r="F289" s="171"/>
      <c r="G289" s="173"/>
      <c r="H289" s="170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</row>
    <row r="290" ht="14.25" customHeight="1">
      <c r="A290" s="171"/>
      <c r="B290" s="172"/>
      <c r="C290" s="171"/>
      <c r="D290" s="78"/>
      <c r="E290" s="78"/>
      <c r="F290" s="171"/>
      <c r="G290" s="173"/>
      <c r="H290" s="170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</row>
    <row r="291" ht="14.25" customHeight="1">
      <c r="A291" s="171"/>
      <c r="B291" s="172"/>
      <c r="C291" s="171"/>
      <c r="D291" s="78"/>
      <c r="E291" s="78"/>
      <c r="F291" s="171"/>
      <c r="G291" s="173"/>
      <c r="H291" s="170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</row>
    <row r="292" ht="14.25" customHeight="1">
      <c r="A292" s="171"/>
      <c r="B292" s="172"/>
      <c r="C292" s="171"/>
      <c r="D292" s="78"/>
      <c r="E292" s="78"/>
      <c r="F292" s="171"/>
      <c r="G292" s="173"/>
      <c r="H292" s="170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</row>
    <row r="293" ht="14.25" customHeight="1">
      <c r="A293" s="171"/>
      <c r="B293" s="172"/>
      <c r="C293" s="171"/>
      <c r="D293" s="78"/>
      <c r="E293" s="78"/>
      <c r="F293" s="171"/>
      <c r="G293" s="173"/>
      <c r="H293" s="170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</row>
    <row r="294" ht="14.25" customHeight="1">
      <c r="A294" s="171"/>
      <c r="B294" s="172"/>
      <c r="C294" s="171"/>
      <c r="D294" s="78"/>
      <c r="E294" s="78"/>
      <c r="F294" s="171"/>
      <c r="G294" s="173"/>
      <c r="H294" s="170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</row>
    <row r="295" ht="14.25" customHeight="1">
      <c r="A295" s="171"/>
      <c r="B295" s="172"/>
      <c r="C295" s="171"/>
      <c r="D295" s="78"/>
      <c r="E295" s="78"/>
      <c r="F295" s="171"/>
      <c r="G295" s="173"/>
      <c r="H295" s="170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</row>
    <row r="296" ht="14.25" customHeight="1">
      <c r="A296" s="171"/>
      <c r="B296" s="172"/>
      <c r="C296" s="171"/>
      <c r="D296" s="78"/>
      <c r="E296" s="78"/>
      <c r="F296" s="171"/>
      <c r="G296" s="173"/>
      <c r="H296" s="170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</row>
    <row r="297" ht="14.25" customHeight="1">
      <c r="A297" s="171"/>
      <c r="B297" s="172"/>
      <c r="C297" s="171"/>
      <c r="D297" s="78"/>
      <c r="E297" s="78"/>
      <c r="F297" s="171"/>
      <c r="G297" s="173"/>
      <c r="H297" s="170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</row>
    <row r="298" ht="14.25" customHeight="1">
      <c r="A298" s="171"/>
      <c r="B298" s="172"/>
      <c r="C298" s="171"/>
      <c r="D298" s="78"/>
      <c r="E298" s="78"/>
      <c r="F298" s="171"/>
      <c r="G298" s="173"/>
      <c r="H298" s="170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</row>
    <row r="299" ht="14.25" customHeight="1">
      <c r="A299" s="171"/>
      <c r="B299" s="172"/>
      <c r="C299" s="171"/>
      <c r="D299" s="78"/>
      <c r="E299" s="78"/>
      <c r="F299" s="171"/>
      <c r="G299" s="173"/>
      <c r="H299" s="170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</row>
    <row r="300" ht="14.25" customHeight="1">
      <c r="A300" s="171"/>
      <c r="B300" s="172"/>
      <c r="C300" s="171"/>
      <c r="D300" s="78"/>
      <c r="E300" s="78"/>
      <c r="F300" s="171"/>
      <c r="G300" s="173"/>
      <c r="H300" s="170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</row>
    <row r="301" ht="14.25" customHeight="1">
      <c r="A301" s="171"/>
      <c r="B301" s="172"/>
      <c r="C301" s="171"/>
      <c r="D301" s="78"/>
      <c r="E301" s="78"/>
      <c r="F301" s="171"/>
      <c r="G301" s="173"/>
      <c r="H301" s="170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</row>
    <row r="302" ht="14.25" customHeight="1">
      <c r="A302" s="171"/>
      <c r="B302" s="172"/>
      <c r="C302" s="171"/>
      <c r="D302" s="78"/>
      <c r="E302" s="78"/>
      <c r="F302" s="171"/>
      <c r="G302" s="173"/>
      <c r="H302" s="170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</row>
    <row r="303" ht="14.25" customHeight="1">
      <c r="A303" s="171"/>
      <c r="B303" s="172"/>
      <c r="C303" s="171"/>
      <c r="D303" s="78"/>
      <c r="E303" s="78"/>
      <c r="F303" s="171"/>
      <c r="G303" s="173"/>
      <c r="H303" s="170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</row>
    <row r="304" ht="14.25" customHeight="1">
      <c r="A304" s="171"/>
      <c r="B304" s="172"/>
      <c r="C304" s="171"/>
      <c r="D304" s="78"/>
      <c r="E304" s="78"/>
      <c r="F304" s="171"/>
      <c r="G304" s="173"/>
      <c r="H304" s="170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</row>
    <row r="305" ht="14.25" customHeight="1">
      <c r="A305" s="171"/>
      <c r="B305" s="172"/>
      <c r="C305" s="171"/>
      <c r="D305" s="78"/>
      <c r="E305" s="78"/>
      <c r="F305" s="171"/>
      <c r="G305" s="173"/>
      <c r="H305" s="170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</row>
    <row r="306" ht="14.25" customHeight="1">
      <c r="A306" s="171"/>
      <c r="B306" s="172"/>
      <c r="C306" s="171"/>
      <c r="D306" s="78"/>
      <c r="E306" s="78"/>
      <c r="F306" s="171"/>
      <c r="G306" s="173"/>
      <c r="H306" s="170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</row>
    <row r="307" ht="14.25" customHeight="1">
      <c r="A307" s="171"/>
      <c r="B307" s="172"/>
      <c r="C307" s="171"/>
      <c r="D307" s="78"/>
      <c r="E307" s="78"/>
      <c r="F307" s="171"/>
      <c r="G307" s="173"/>
      <c r="H307" s="170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</row>
    <row r="308" ht="14.25" customHeight="1">
      <c r="A308" s="171"/>
      <c r="B308" s="172"/>
      <c r="C308" s="171"/>
      <c r="D308" s="78"/>
      <c r="E308" s="78"/>
      <c r="F308" s="171"/>
      <c r="G308" s="173"/>
      <c r="H308" s="170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</row>
    <row r="309" ht="14.25" customHeight="1">
      <c r="A309" s="171"/>
      <c r="B309" s="172"/>
      <c r="C309" s="171"/>
      <c r="D309" s="78"/>
      <c r="E309" s="78"/>
      <c r="F309" s="171"/>
      <c r="G309" s="173"/>
      <c r="H309" s="170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</row>
    <row r="310" ht="14.25" customHeight="1">
      <c r="A310" s="171"/>
      <c r="B310" s="172"/>
      <c r="C310" s="171"/>
      <c r="D310" s="78"/>
      <c r="E310" s="78"/>
      <c r="F310" s="171"/>
      <c r="G310" s="173"/>
      <c r="H310" s="170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</row>
    <row r="311" ht="14.25" customHeight="1">
      <c r="A311" s="171"/>
      <c r="B311" s="172"/>
      <c r="C311" s="171"/>
      <c r="D311" s="78"/>
      <c r="E311" s="78"/>
      <c r="F311" s="171"/>
      <c r="G311" s="173"/>
      <c r="H311" s="170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</row>
    <row r="312" ht="14.25" customHeight="1">
      <c r="A312" s="171"/>
      <c r="B312" s="172"/>
      <c r="C312" s="171"/>
      <c r="D312" s="78"/>
      <c r="E312" s="78"/>
      <c r="F312" s="171"/>
      <c r="G312" s="173"/>
      <c r="H312" s="170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</row>
    <row r="313" ht="14.25" customHeight="1">
      <c r="A313" s="171"/>
      <c r="B313" s="172"/>
      <c r="C313" s="171"/>
      <c r="D313" s="78"/>
      <c r="E313" s="78"/>
      <c r="F313" s="171"/>
      <c r="G313" s="173"/>
      <c r="H313" s="170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</row>
    <row r="314" ht="14.25" customHeight="1">
      <c r="A314" s="171"/>
      <c r="B314" s="172"/>
      <c r="C314" s="171"/>
      <c r="D314" s="78"/>
      <c r="E314" s="78"/>
      <c r="F314" s="171"/>
      <c r="G314" s="173"/>
      <c r="H314" s="170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</row>
    <row r="315" ht="14.25" customHeight="1">
      <c r="A315" s="171"/>
      <c r="B315" s="172"/>
      <c r="C315" s="171"/>
      <c r="D315" s="78"/>
      <c r="E315" s="78"/>
      <c r="F315" s="171"/>
      <c r="G315" s="173"/>
      <c r="H315" s="170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</row>
    <row r="316" ht="14.25" customHeight="1">
      <c r="A316" s="171"/>
      <c r="B316" s="172"/>
      <c r="C316" s="171"/>
      <c r="D316" s="78"/>
      <c r="E316" s="78"/>
      <c r="F316" s="171"/>
      <c r="G316" s="173"/>
      <c r="H316" s="170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</row>
    <row r="317" ht="14.25" customHeight="1">
      <c r="A317" s="171"/>
      <c r="B317" s="172"/>
      <c r="C317" s="171"/>
      <c r="D317" s="78"/>
      <c r="E317" s="78"/>
      <c r="F317" s="171"/>
      <c r="G317" s="173"/>
      <c r="H317" s="170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</row>
    <row r="318" ht="14.25" customHeight="1">
      <c r="A318" s="171"/>
      <c r="B318" s="172"/>
      <c r="C318" s="171"/>
      <c r="D318" s="78"/>
      <c r="E318" s="78"/>
      <c r="F318" s="171"/>
      <c r="G318" s="173"/>
      <c r="H318" s="170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</row>
    <row r="319" ht="14.25" customHeight="1">
      <c r="A319" s="171"/>
      <c r="B319" s="172"/>
      <c r="C319" s="171"/>
      <c r="D319" s="78"/>
      <c r="E319" s="78"/>
      <c r="F319" s="171"/>
      <c r="G319" s="173"/>
      <c r="H319" s="170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</row>
    <row r="320" ht="14.25" customHeight="1">
      <c r="A320" s="171"/>
      <c r="B320" s="172"/>
      <c r="C320" s="171"/>
      <c r="D320" s="78"/>
      <c r="E320" s="78"/>
      <c r="F320" s="171"/>
      <c r="G320" s="173"/>
      <c r="H320" s="170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</row>
    <row r="321" ht="14.25" customHeight="1">
      <c r="A321" s="171"/>
      <c r="B321" s="172"/>
      <c r="C321" s="171"/>
      <c r="D321" s="78"/>
      <c r="E321" s="78"/>
      <c r="F321" s="171"/>
      <c r="G321" s="173"/>
      <c r="H321" s="170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</row>
    <row r="322" ht="14.25" customHeight="1">
      <c r="A322" s="171"/>
      <c r="B322" s="172"/>
      <c r="C322" s="171"/>
      <c r="D322" s="78"/>
      <c r="E322" s="78"/>
      <c r="F322" s="171"/>
      <c r="G322" s="173"/>
      <c r="H322" s="170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</row>
    <row r="323" ht="14.25" customHeight="1">
      <c r="A323" s="171"/>
      <c r="B323" s="172"/>
      <c r="C323" s="171"/>
      <c r="D323" s="78"/>
      <c r="E323" s="78"/>
      <c r="F323" s="171"/>
      <c r="G323" s="173"/>
      <c r="H323" s="170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</row>
    <row r="324" ht="14.25" customHeight="1">
      <c r="A324" s="171"/>
      <c r="B324" s="172"/>
      <c r="C324" s="171"/>
      <c r="D324" s="78"/>
      <c r="E324" s="78"/>
      <c r="F324" s="171"/>
      <c r="G324" s="173"/>
      <c r="H324" s="170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</row>
    <row r="325" ht="14.25" customHeight="1">
      <c r="A325" s="171"/>
      <c r="B325" s="172"/>
      <c r="C325" s="171"/>
      <c r="D325" s="78"/>
      <c r="E325" s="78"/>
      <c r="F325" s="171"/>
      <c r="G325" s="173"/>
      <c r="H325" s="170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</row>
    <row r="326" ht="14.25" customHeight="1">
      <c r="A326" s="171"/>
      <c r="B326" s="172"/>
      <c r="C326" s="171"/>
      <c r="D326" s="78"/>
      <c r="E326" s="78"/>
      <c r="F326" s="171"/>
      <c r="G326" s="173"/>
      <c r="H326" s="170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</row>
    <row r="327" ht="14.25" customHeight="1">
      <c r="A327" s="171"/>
      <c r="B327" s="172"/>
      <c r="C327" s="171"/>
      <c r="D327" s="78"/>
      <c r="E327" s="78"/>
      <c r="F327" s="171"/>
      <c r="G327" s="173"/>
      <c r="H327" s="170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</row>
    <row r="328" ht="14.25" customHeight="1">
      <c r="A328" s="171"/>
      <c r="B328" s="172"/>
      <c r="C328" s="171"/>
      <c r="D328" s="78"/>
      <c r="E328" s="78"/>
      <c r="F328" s="171"/>
      <c r="G328" s="173"/>
      <c r="H328" s="170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</row>
    <row r="329" ht="14.25" customHeight="1">
      <c r="A329" s="171"/>
      <c r="B329" s="172"/>
      <c r="C329" s="171"/>
      <c r="D329" s="78"/>
      <c r="E329" s="78"/>
      <c r="F329" s="171"/>
      <c r="G329" s="173"/>
      <c r="H329" s="170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</row>
    <row r="330" ht="14.25" customHeight="1">
      <c r="A330" s="171"/>
      <c r="B330" s="172"/>
      <c r="C330" s="171"/>
      <c r="D330" s="78"/>
      <c r="E330" s="78"/>
      <c r="F330" s="171"/>
      <c r="G330" s="173"/>
      <c r="H330" s="170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</row>
    <row r="331" ht="14.25" customHeight="1">
      <c r="A331" s="171"/>
      <c r="B331" s="172"/>
      <c r="C331" s="171"/>
      <c r="D331" s="78"/>
      <c r="E331" s="78"/>
      <c r="F331" s="171"/>
      <c r="G331" s="173"/>
      <c r="H331" s="170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</row>
    <row r="332" ht="14.25" customHeight="1">
      <c r="A332" s="171"/>
      <c r="B332" s="172"/>
      <c r="C332" s="171"/>
      <c r="D332" s="78"/>
      <c r="E332" s="78"/>
      <c r="F332" s="171"/>
      <c r="G332" s="173"/>
      <c r="H332" s="170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</row>
    <row r="333" ht="14.25" customHeight="1">
      <c r="A333" s="171"/>
      <c r="B333" s="172"/>
      <c r="C333" s="171"/>
      <c r="D333" s="78"/>
      <c r="E333" s="78"/>
      <c r="F333" s="171"/>
      <c r="G333" s="173"/>
      <c r="H333" s="170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</row>
    <row r="334" ht="14.25" customHeight="1">
      <c r="A334" s="171"/>
      <c r="B334" s="172"/>
      <c r="C334" s="171"/>
      <c r="D334" s="78"/>
      <c r="E334" s="78"/>
      <c r="F334" s="171"/>
      <c r="G334" s="173"/>
      <c r="H334" s="170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</row>
    <row r="335" ht="14.25" customHeight="1">
      <c r="A335" s="171"/>
      <c r="B335" s="172"/>
      <c r="C335" s="171"/>
      <c r="D335" s="78"/>
      <c r="E335" s="78"/>
      <c r="F335" s="171"/>
      <c r="G335" s="173"/>
      <c r="H335" s="170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</row>
    <row r="336" ht="14.25" customHeight="1">
      <c r="A336" s="171"/>
      <c r="B336" s="172"/>
      <c r="C336" s="171"/>
      <c r="D336" s="78"/>
      <c r="E336" s="78"/>
      <c r="F336" s="171"/>
      <c r="G336" s="173"/>
      <c r="H336" s="170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</row>
    <row r="337" ht="14.25" customHeight="1">
      <c r="A337" s="171"/>
      <c r="B337" s="172"/>
      <c r="C337" s="171"/>
      <c r="D337" s="78"/>
      <c r="E337" s="78"/>
      <c r="F337" s="171"/>
      <c r="G337" s="173"/>
      <c r="H337" s="170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</row>
    <row r="338" ht="14.25" customHeight="1">
      <c r="A338" s="171"/>
      <c r="B338" s="172"/>
      <c r="C338" s="171"/>
      <c r="D338" s="78"/>
      <c r="E338" s="78"/>
      <c r="F338" s="171"/>
      <c r="G338" s="173"/>
      <c r="H338" s="170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</row>
    <row r="339" ht="14.25" customHeight="1">
      <c r="A339" s="171"/>
      <c r="B339" s="172"/>
      <c r="C339" s="171"/>
      <c r="D339" s="78"/>
      <c r="E339" s="78"/>
      <c r="F339" s="171"/>
      <c r="G339" s="173"/>
      <c r="H339" s="170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</row>
    <row r="340" ht="14.25" customHeight="1">
      <c r="A340" s="171"/>
      <c r="B340" s="172"/>
      <c r="C340" s="171"/>
      <c r="D340" s="78"/>
      <c r="E340" s="78"/>
      <c r="F340" s="171"/>
      <c r="G340" s="173"/>
      <c r="H340" s="170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</row>
    <row r="341" ht="14.25" customHeight="1">
      <c r="A341" s="171"/>
      <c r="B341" s="172"/>
      <c r="C341" s="171"/>
      <c r="D341" s="78"/>
      <c r="E341" s="78"/>
      <c r="F341" s="171"/>
      <c r="G341" s="173"/>
      <c r="H341" s="170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</row>
    <row r="342" ht="14.25" customHeight="1">
      <c r="A342" s="171"/>
      <c r="B342" s="172"/>
      <c r="C342" s="171"/>
      <c r="D342" s="78"/>
      <c r="E342" s="78"/>
      <c r="F342" s="171"/>
      <c r="G342" s="173"/>
      <c r="H342" s="170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</row>
    <row r="343" ht="14.25" customHeight="1">
      <c r="A343" s="171"/>
      <c r="B343" s="172"/>
      <c r="C343" s="171"/>
      <c r="D343" s="78"/>
      <c r="E343" s="78"/>
      <c r="F343" s="171"/>
      <c r="G343" s="173"/>
      <c r="H343" s="170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</row>
    <row r="344" ht="14.25" customHeight="1">
      <c r="A344" s="171"/>
      <c r="B344" s="172"/>
      <c r="C344" s="171"/>
      <c r="D344" s="78"/>
      <c r="E344" s="78"/>
      <c r="F344" s="171"/>
      <c r="G344" s="173"/>
      <c r="H344" s="170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</row>
    <row r="345" ht="14.25" customHeight="1">
      <c r="A345" s="171"/>
      <c r="B345" s="172"/>
      <c r="C345" s="171"/>
      <c r="D345" s="78"/>
      <c r="E345" s="78"/>
      <c r="F345" s="171"/>
      <c r="G345" s="173"/>
      <c r="H345" s="170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</row>
    <row r="346" ht="14.25" customHeight="1">
      <c r="A346" s="171"/>
      <c r="B346" s="172"/>
      <c r="C346" s="171"/>
      <c r="D346" s="78"/>
      <c r="E346" s="78"/>
      <c r="F346" s="171"/>
      <c r="G346" s="173"/>
      <c r="H346" s="170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</row>
    <row r="347" ht="14.25" customHeight="1">
      <c r="A347" s="171"/>
      <c r="B347" s="172"/>
      <c r="C347" s="171"/>
      <c r="D347" s="78"/>
      <c r="E347" s="78"/>
      <c r="F347" s="171"/>
      <c r="G347" s="173"/>
      <c r="H347" s="170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</row>
    <row r="348" ht="14.25" customHeight="1">
      <c r="A348" s="171"/>
      <c r="B348" s="172"/>
      <c r="C348" s="171"/>
      <c r="D348" s="78"/>
      <c r="E348" s="78"/>
      <c r="F348" s="171"/>
      <c r="G348" s="173"/>
      <c r="H348" s="170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</row>
    <row r="349" ht="14.25" customHeight="1">
      <c r="A349" s="171"/>
      <c r="B349" s="172"/>
      <c r="C349" s="171"/>
      <c r="D349" s="78"/>
      <c r="E349" s="78"/>
      <c r="F349" s="171"/>
      <c r="G349" s="173"/>
      <c r="H349" s="170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</row>
    <row r="350" ht="14.25" customHeight="1">
      <c r="A350" s="171"/>
      <c r="B350" s="172"/>
      <c r="C350" s="171"/>
      <c r="D350" s="78"/>
      <c r="E350" s="78"/>
      <c r="F350" s="171"/>
      <c r="G350" s="173"/>
      <c r="H350" s="170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</row>
    <row r="351" ht="14.25" customHeight="1">
      <c r="A351" s="171"/>
      <c r="B351" s="172"/>
      <c r="C351" s="171"/>
      <c r="D351" s="78"/>
      <c r="E351" s="78"/>
      <c r="F351" s="171"/>
      <c r="G351" s="173"/>
      <c r="H351" s="170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</row>
    <row r="352" ht="14.25" customHeight="1">
      <c r="A352" s="171"/>
      <c r="B352" s="172"/>
      <c r="C352" s="171"/>
      <c r="D352" s="78"/>
      <c r="E352" s="78"/>
      <c r="F352" s="171"/>
      <c r="G352" s="173"/>
      <c r="H352" s="170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</row>
    <row r="353" ht="14.25" customHeight="1">
      <c r="A353" s="171"/>
      <c r="B353" s="172"/>
      <c r="C353" s="171"/>
      <c r="D353" s="78"/>
      <c r="E353" s="78"/>
      <c r="F353" s="171"/>
      <c r="G353" s="173"/>
      <c r="H353" s="170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</row>
    <row r="354" ht="14.25" customHeight="1">
      <c r="A354" s="171"/>
      <c r="B354" s="172"/>
      <c r="C354" s="171"/>
      <c r="D354" s="78"/>
      <c r="E354" s="78"/>
      <c r="F354" s="171"/>
      <c r="G354" s="173"/>
      <c r="H354" s="170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</row>
    <row r="355" ht="14.25" customHeight="1">
      <c r="A355" s="171"/>
      <c r="B355" s="172"/>
      <c r="C355" s="171"/>
      <c r="D355" s="78"/>
      <c r="E355" s="78"/>
      <c r="F355" s="171"/>
      <c r="G355" s="173"/>
      <c r="H355" s="170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</row>
    <row r="356" ht="14.25" customHeight="1">
      <c r="A356" s="171"/>
      <c r="B356" s="172"/>
      <c r="C356" s="171"/>
      <c r="D356" s="78"/>
      <c r="E356" s="78"/>
      <c r="F356" s="171"/>
      <c r="G356" s="173"/>
      <c r="H356" s="170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</row>
    <row r="357" ht="14.25" customHeight="1">
      <c r="A357" s="171"/>
      <c r="B357" s="172"/>
      <c r="C357" s="171"/>
      <c r="D357" s="78"/>
      <c r="E357" s="78"/>
      <c r="F357" s="171"/>
      <c r="G357" s="173"/>
      <c r="H357" s="170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</row>
    <row r="358" ht="14.25" customHeight="1">
      <c r="A358" s="171"/>
      <c r="B358" s="172"/>
      <c r="C358" s="171"/>
      <c r="D358" s="78"/>
      <c r="E358" s="78"/>
      <c r="F358" s="171"/>
      <c r="G358" s="173"/>
      <c r="H358" s="170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</row>
    <row r="359" ht="14.25" customHeight="1">
      <c r="A359" s="171"/>
      <c r="B359" s="172"/>
      <c r="C359" s="171"/>
      <c r="D359" s="78"/>
      <c r="E359" s="78"/>
      <c r="F359" s="171"/>
      <c r="G359" s="173"/>
      <c r="H359" s="170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</row>
    <row r="360" ht="14.25" customHeight="1">
      <c r="A360" s="171"/>
      <c r="B360" s="172"/>
      <c r="C360" s="171"/>
      <c r="D360" s="78"/>
      <c r="E360" s="78"/>
      <c r="F360" s="171"/>
      <c r="G360" s="173"/>
      <c r="H360" s="170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</row>
    <row r="361" ht="14.25" customHeight="1">
      <c r="A361" s="171"/>
      <c r="B361" s="172"/>
      <c r="C361" s="171"/>
      <c r="D361" s="78"/>
      <c r="E361" s="78"/>
      <c r="F361" s="171"/>
      <c r="G361" s="173"/>
      <c r="H361" s="170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</row>
    <row r="362" ht="14.25" customHeight="1">
      <c r="A362" s="171"/>
      <c r="B362" s="172"/>
      <c r="C362" s="171"/>
      <c r="D362" s="78"/>
      <c r="E362" s="78"/>
      <c r="F362" s="171"/>
      <c r="G362" s="173"/>
      <c r="H362" s="170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</row>
    <row r="363" ht="14.25" customHeight="1">
      <c r="A363" s="171"/>
      <c r="B363" s="172"/>
      <c r="C363" s="171"/>
      <c r="D363" s="78"/>
      <c r="E363" s="78"/>
      <c r="F363" s="171"/>
      <c r="G363" s="173"/>
      <c r="H363" s="170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</row>
    <row r="364" ht="14.25" customHeight="1">
      <c r="A364" s="171"/>
      <c r="B364" s="172"/>
      <c r="C364" s="171"/>
      <c r="D364" s="78"/>
      <c r="E364" s="78"/>
      <c r="F364" s="171"/>
      <c r="G364" s="173"/>
      <c r="H364" s="170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</row>
    <row r="365" ht="14.25" customHeight="1">
      <c r="A365" s="171"/>
      <c r="B365" s="172"/>
      <c r="C365" s="171"/>
      <c r="D365" s="78"/>
      <c r="E365" s="78"/>
      <c r="F365" s="171"/>
      <c r="G365" s="173"/>
      <c r="H365" s="170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</row>
    <row r="366" ht="14.25" customHeight="1">
      <c r="A366" s="171"/>
      <c r="B366" s="172"/>
      <c r="C366" s="171"/>
      <c r="D366" s="78"/>
      <c r="E366" s="78"/>
      <c r="F366" s="171"/>
      <c r="G366" s="173"/>
      <c r="H366" s="170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</row>
    <row r="367" ht="14.25" customHeight="1">
      <c r="A367" s="171"/>
      <c r="B367" s="172"/>
      <c r="C367" s="171"/>
      <c r="D367" s="78"/>
      <c r="E367" s="78"/>
      <c r="F367" s="171"/>
      <c r="G367" s="173"/>
      <c r="H367" s="170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</row>
    <row r="368" ht="14.25" customHeight="1">
      <c r="A368" s="171"/>
      <c r="B368" s="172"/>
      <c r="C368" s="171"/>
      <c r="D368" s="78"/>
      <c r="E368" s="78"/>
      <c r="F368" s="171"/>
      <c r="G368" s="173"/>
      <c r="H368" s="170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</row>
    <row r="369" ht="14.25" customHeight="1">
      <c r="A369" s="171"/>
      <c r="B369" s="172"/>
      <c r="C369" s="171"/>
      <c r="D369" s="78"/>
      <c r="E369" s="78"/>
      <c r="F369" s="171"/>
      <c r="G369" s="173"/>
      <c r="H369" s="170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</row>
    <row r="370" ht="14.25" customHeight="1">
      <c r="A370" s="171"/>
      <c r="B370" s="172"/>
      <c r="C370" s="171"/>
      <c r="D370" s="78"/>
      <c r="E370" s="78"/>
      <c r="F370" s="171"/>
      <c r="G370" s="173"/>
      <c r="H370" s="170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</row>
    <row r="371" ht="14.25" customHeight="1">
      <c r="A371" s="171"/>
      <c r="B371" s="172"/>
      <c r="C371" s="171"/>
      <c r="D371" s="78"/>
      <c r="E371" s="78"/>
      <c r="F371" s="171"/>
      <c r="G371" s="173"/>
      <c r="H371" s="170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</row>
    <row r="372" ht="14.25" customHeight="1">
      <c r="A372" s="171"/>
      <c r="B372" s="172"/>
      <c r="C372" s="171"/>
      <c r="D372" s="78"/>
      <c r="E372" s="78"/>
      <c r="F372" s="171"/>
      <c r="G372" s="173"/>
      <c r="H372" s="170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</row>
    <row r="373" ht="14.25" customHeight="1">
      <c r="A373" s="171"/>
      <c r="B373" s="172"/>
      <c r="C373" s="171"/>
      <c r="D373" s="78"/>
      <c r="E373" s="78"/>
      <c r="F373" s="171"/>
      <c r="G373" s="173"/>
      <c r="H373" s="170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</row>
    <row r="374" ht="14.25" customHeight="1">
      <c r="A374" s="171"/>
      <c r="B374" s="172"/>
      <c r="C374" s="171"/>
      <c r="D374" s="78"/>
      <c r="E374" s="78"/>
      <c r="F374" s="171"/>
      <c r="G374" s="173"/>
      <c r="H374" s="170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</row>
    <row r="375" ht="14.25" customHeight="1">
      <c r="A375" s="171"/>
      <c r="B375" s="172"/>
      <c r="C375" s="171"/>
      <c r="D375" s="78"/>
      <c r="E375" s="78"/>
      <c r="F375" s="171"/>
      <c r="G375" s="173"/>
      <c r="H375" s="170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</row>
    <row r="376" ht="14.25" customHeight="1">
      <c r="A376" s="171"/>
      <c r="B376" s="172"/>
      <c r="C376" s="171"/>
      <c r="D376" s="78"/>
      <c r="E376" s="78"/>
      <c r="F376" s="171"/>
      <c r="G376" s="173"/>
      <c r="H376" s="170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</row>
    <row r="377" ht="14.25" customHeight="1">
      <c r="A377" s="171"/>
      <c r="B377" s="172"/>
      <c r="C377" s="171"/>
      <c r="D377" s="78"/>
      <c r="E377" s="78"/>
      <c r="F377" s="171"/>
      <c r="G377" s="173"/>
      <c r="H377" s="170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</row>
    <row r="378" ht="14.25" customHeight="1">
      <c r="A378" s="171"/>
      <c r="B378" s="172"/>
      <c r="C378" s="171"/>
      <c r="D378" s="78"/>
      <c r="E378" s="78"/>
      <c r="F378" s="171"/>
      <c r="G378" s="173"/>
      <c r="H378" s="170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</row>
    <row r="379" ht="14.25" customHeight="1">
      <c r="A379" s="171"/>
      <c r="B379" s="172"/>
      <c r="C379" s="171"/>
      <c r="D379" s="78"/>
      <c r="E379" s="78"/>
      <c r="F379" s="171"/>
      <c r="G379" s="173"/>
      <c r="H379" s="170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</row>
    <row r="380" ht="14.25" customHeight="1">
      <c r="A380" s="171"/>
      <c r="B380" s="172"/>
      <c r="C380" s="171"/>
      <c r="D380" s="78"/>
      <c r="E380" s="78"/>
      <c r="F380" s="171"/>
      <c r="G380" s="173"/>
      <c r="H380" s="170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</row>
    <row r="381" ht="14.25" customHeight="1">
      <c r="A381" s="171"/>
      <c r="B381" s="172"/>
      <c r="C381" s="171"/>
      <c r="D381" s="78"/>
      <c r="E381" s="78"/>
      <c r="F381" s="171"/>
      <c r="G381" s="173"/>
      <c r="H381" s="170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</row>
    <row r="382" ht="14.25" customHeight="1">
      <c r="A382" s="171"/>
      <c r="B382" s="172"/>
      <c r="C382" s="171"/>
      <c r="D382" s="78"/>
      <c r="E382" s="78"/>
      <c r="F382" s="171"/>
      <c r="G382" s="173"/>
      <c r="H382" s="170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</row>
    <row r="383" ht="14.25" customHeight="1">
      <c r="A383" s="171"/>
      <c r="B383" s="172"/>
      <c r="C383" s="171"/>
      <c r="D383" s="78"/>
      <c r="E383" s="78"/>
      <c r="F383" s="171"/>
      <c r="G383" s="173"/>
      <c r="H383" s="170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</row>
    <row r="384" ht="14.25" customHeight="1">
      <c r="A384" s="171"/>
      <c r="B384" s="172"/>
      <c r="C384" s="171"/>
      <c r="D384" s="78"/>
      <c r="E384" s="78"/>
      <c r="F384" s="171"/>
      <c r="G384" s="173"/>
      <c r="H384" s="170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</row>
    <row r="385" ht="14.25" customHeight="1">
      <c r="A385" s="171"/>
      <c r="B385" s="172"/>
      <c r="C385" s="171"/>
      <c r="D385" s="78"/>
      <c r="E385" s="78"/>
      <c r="F385" s="171"/>
      <c r="G385" s="173"/>
      <c r="H385" s="170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</row>
    <row r="386" ht="14.25" customHeight="1">
      <c r="A386" s="171"/>
      <c r="B386" s="172"/>
      <c r="C386" s="171"/>
      <c r="D386" s="78"/>
      <c r="E386" s="78"/>
      <c r="F386" s="171"/>
      <c r="G386" s="173"/>
      <c r="H386" s="170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</row>
    <row r="387" ht="14.25" customHeight="1">
      <c r="A387" s="171"/>
      <c r="B387" s="172"/>
      <c r="C387" s="171"/>
      <c r="D387" s="78"/>
      <c r="E387" s="78"/>
      <c r="F387" s="171"/>
      <c r="G387" s="173"/>
      <c r="H387" s="170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</row>
    <row r="388" ht="14.25" customHeight="1">
      <c r="A388" s="171"/>
      <c r="B388" s="172"/>
      <c r="C388" s="171"/>
      <c r="D388" s="78"/>
      <c r="E388" s="78"/>
      <c r="F388" s="171"/>
      <c r="G388" s="173"/>
      <c r="H388" s="170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</row>
    <row r="389" ht="14.25" customHeight="1">
      <c r="A389" s="171"/>
      <c r="B389" s="172"/>
      <c r="C389" s="171"/>
      <c r="D389" s="78"/>
      <c r="E389" s="78"/>
      <c r="F389" s="171"/>
      <c r="G389" s="173"/>
      <c r="H389" s="170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</row>
    <row r="390" ht="14.25" customHeight="1">
      <c r="A390" s="171"/>
      <c r="B390" s="172"/>
      <c r="C390" s="171"/>
      <c r="D390" s="78"/>
      <c r="E390" s="78"/>
      <c r="F390" s="171"/>
      <c r="G390" s="173"/>
      <c r="H390" s="170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</row>
    <row r="391" ht="14.25" customHeight="1">
      <c r="A391" s="171"/>
      <c r="B391" s="172"/>
      <c r="C391" s="171"/>
      <c r="D391" s="78"/>
      <c r="E391" s="78"/>
      <c r="F391" s="171"/>
      <c r="G391" s="173"/>
      <c r="H391" s="170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</row>
    <row r="392" ht="14.25" customHeight="1">
      <c r="A392" s="171"/>
      <c r="B392" s="172"/>
      <c r="C392" s="171"/>
      <c r="D392" s="78"/>
      <c r="E392" s="78"/>
      <c r="F392" s="171"/>
      <c r="G392" s="173"/>
      <c r="H392" s="170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</row>
    <row r="393" ht="14.25" customHeight="1">
      <c r="A393" s="171"/>
      <c r="B393" s="172"/>
      <c r="C393" s="171"/>
      <c r="D393" s="78"/>
      <c r="E393" s="78"/>
      <c r="F393" s="171"/>
      <c r="G393" s="173"/>
      <c r="H393" s="170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</row>
    <row r="394" ht="14.25" customHeight="1">
      <c r="A394" s="171"/>
      <c r="B394" s="172"/>
      <c r="C394" s="171"/>
      <c r="D394" s="78"/>
      <c r="E394" s="78"/>
      <c r="F394" s="171"/>
      <c r="G394" s="173"/>
      <c r="H394" s="170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</row>
    <row r="395" ht="14.25" customHeight="1">
      <c r="A395" s="171"/>
      <c r="B395" s="172"/>
      <c r="C395" s="171"/>
      <c r="D395" s="78"/>
      <c r="E395" s="78"/>
      <c r="F395" s="171"/>
      <c r="G395" s="173"/>
      <c r="H395" s="170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</row>
    <row r="396" ht="14.25" customHeight="1">
      <c r="A396" s="171"/>
      <c r="B396" s="172"/>
      <c r="C396" s="171"/>
      <c r="D396" s="78"/>
      <c r="E396" s="78"/>
      <c r="F396" s="171"/>
      <c r="G396" s="173"/>
      <c r="H396" s="170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</row>
    <row r="397" ht="14.25" customHeight="1">
      <c r="A397" s="171"/>
      <c r="B397" s="172"/>
      <c r="C397" s="171"/>
      <c r="D397" s="78"/>
      <c r="E397" s="78"/>
      <c r="F397" s="171"/>
      <c r="G397" s="173"/>
      <c r="H397" s="170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</row>
    <row r="398" ht="14.25" customHeight="1">
      <c r="A398" s="171"/>
      <c r="B398" s="172"/>
      <c r="C398" s="171"/>
      <c r="D398" s="78"/>
      <c r="E398" s="78"/>
      <c r="F398" s="171"/>
      <c r="G398" s="173"/>
      <c r="H398" s="170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</row>
    <row r="399" ht="14.25" customHeight="1">
      <c r="A399" s="171"/>
      <c r="B399" s="172"/>
      <c r="C399" s="171"/>
      <c r="D399" s="78"/>
      <c r="E399" s="78"/>
      <c r="F399" s="171"/>
      <c r="G399" s="173"/>
      <c r="H399" s="170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</row>
    <row r="400" ht="14.25" customHeight="1">
      <c r="A400" s="171"/>
      <c r="B400" s="172"/>
      <c r="C400" s="171"/>
      <c r="D400" s="78"/>
      <c r="E400" s="78"/>
      <c r="F400" s="171"/>
      <c r="G400" s="173"/>
      <c r="H400" s="170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</row>
    <row r="401" ht="14.25" customHeight="1">
      <c r="A401" s="171"/>
      <c r="B401" s="172"/>
      <c r="C401" s="171"/>
      <c r="D401" s="78"/>
      <c r="E401" s="78"/>
      <c r="F401" s="171"/>
      <c r="G401" s="173"/>
      <c r="H401" s="170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</row>
    <row r="402" ht="14.25" customHeight="1">
      <c r="A402" s="171"/>
      <c r="B402" s="172"/>
      <c r="C402" s="171"/>
      <c r="D402" s="78"/>
      <c r="E402" s="78"/>
      <c r="F402" s="171"/>
      <c r="G402" s="173"/>
      <c r="H402" s="170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</row>
    <row r="403" ht="14.25" customHeight="1">
      <c r="A403" s="171"/>
      <c r="B403" s="172"/>
      <c r="C403" s="171"/>
      <c r="D403" s="78"/>
      <c r="E403" s="78"/>
      <c r="F403" s="171"/>
      <c r="G403" s="173"/>
      <c r="H403" s="170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</row>
    <row r="404" ht="14.25" customHeight="1">
      <c r="A404" s="171"/>
      <c r="B404" s="172"/>
      <c r="C404" s="171"/>
      <c r="D404" s="78"/>
      <c r="E404" s="78"/>
      <c r="F404" s="171"/>
      <c r="G404" s="173"/>
      <c r="H404" s="170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</row>
    <row r="405" ht="14.25" customHeight="1">
      <c r="A405" s="171"/>
      <c r="B405" s="172"/>
      <c r="C405" s="171"/>
      <c r="D405" s="78"/>
      <c r="E405" s="78"/>
      <c r="F405" s="171"/>
      <c r="G405" s="173"/>
      <c r="H405" s="170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</row>
    <row r="406" ht="14.25" customHeight="1">
      <c r="A406" s="171"/>
      <c r="B406" s="172"/>
      <c r="C406" s="171"/>
      <c r="D406" s="78"/>
      <c r="E406" s="78"/>
      <c r="F406" s="171"/>
      <c r="G406" s="173"/>
      <c r="H406" s="170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</row>
    <row r="407" ht="14.25" customHeight="1">
      <c r="A407" s="171"/>
      <c r="B407" s="172"/>
      <c r="C407" s="171"/>
      <c r="D407" s="78"/>
      <c r="E407" s="78"/>
      <c r="F407" s="171"/>
      <c r="G407" s="173"/>
      <c r="H407" s="170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</row>
    <row r="408" ht="14.25" customHeight="1">
      <c r="A408" s="171"/>
      <c r="B408" s="172"/>
      <c r="C408" s="171"/>
      <c r="D408" s="78"/>
      <c r="E408" s="78"/>
      <c r="F408" s="171"/>
      <c r="G408" s="173"/>
      <c r="H408" s="170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</row>
    <row r="409" ht="14.25" customHeight="1">
      <c r="A409" s="171"/>
      <c r="B409" s="172"/>
      <c r="C409" s="171"/>
      <c r="D409" s="78"/>
      <c r="E409" s="78"/>
      <c r="F409" s="171"/>
      <c r="G409" s="173"/>
      <c r="H409" s="170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</row>
    <row r="410" ht="14.25" customHeight="1">
      <c r="A410" s="171"/>
      <c r="B410" s="172"/>
      <c r="C410" s="171"/>
      <c r="D410" s="78"/>
      <c r="E410" s="78"/>
      <c r="F410" s="171"/>
      <c r="G410" s="173"/>
      <c r="H410" s="170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</row>
    <row r="411" ht="14.25" customHeight="1">
      <c r="A411" s="171"/>
      <c r="B411" s="172"/>
      <c r="C411" s="171"/>
      <c r="D411" s="78"/>
      <c r="E411" s="78"/>
      <c r="F411" s="171"/>
      <c r="G411" s="173"/>
      <c r="H411" s="170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</row>
    <row r="412" ht="14.25" customHeight="1">
      <c r="A412" s="171"/>
      <c r="B412" s="172"/>
      <c r="C412" s="171"/>
      <c r="D412" s="78"/>
      <c r="E412" s="78"/>
      <c r="F412" s="171"/>
      <c r="G412" s="173"/>
      <c r="H412" s="170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</row>
    <row r="413" ht="14.25" customHeight="1">
      <c r="A413" s="171"/>
      <c r="B413" s="172"/>
      <c r="C413" s="171"/>
      <c r="D413" s="78"/>
      <c r="E413" s="78"/>
      <c r="F413" s="171"/>
      <c r="G413" s="173"/>
      <c r="H413" s="170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</row>
    <row r="414" ht="14.25" customHeight="1">
      <c r="A414" s="171"/>
      <c r="B414" s="172"/>
      <c r="C414" s="171"/>
      <c r="D414" s="78"/>
      <c r="E414" s="78"/>
      <c r="F414" s="171"/>
      <c r="G414" s="173"/>
      <c r="H414" s="170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</row>
    <row r="415" ht="14.25" customHeight="1">
      <c r="A415" s="171"/>
      <c r="B415" s="172"/>
      <c r="C415" s="171"/>
      <c r="D415" s="78"/>
      <c r="E415" s="78"/>
      <c r="F415" s="171"/>
      <c r="G415" s="173"/>
      <c r="H415" s="170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</row>
    <row r="416" ht="14.25" customHeight="1">
      <c r="A416" s="171"/>
      <c r="B416" s="172"/>
      <c r="C416" s="171"/>
      <c r="D416" s="78"/>
      <c r="E416" s="78"/>
      <c r="F416" s="171"/>
      <c r="G416" s="173"/>
      <c r="H416" s="170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</row>
    <row r="417" ht="14.25" customHeight="1">
      <c r="A417" s="171"/>
      <c r="B417" s="172"/>
      <c r="C417" s="171"/>
      <c r="D417" s="78"/>
      <c r="E417" s="78"/>
      <c r="F417" s="171"/>
      <c r="G417" s="173"/>
      <c r="H417" s="170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</row>
    <row r="418" ht="14.25" customHeight="1">
      <c r="A418" s="171"/>
      <c r="B418" s="172"/>
      <c r="C418" s="171"/>
      <c r="D418" s="78"/>
      <c r="E418" s="78"/>
      <c r="F418" s="171"/>
      <c r="G418" s="173"/>
      <c r="H418" s="170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</row>
    <row r="419" ht="14.25" customHeight="1">
      <c r="A419" s="171"/>
      <c r="B419" s="172"/>
      <c r="C419" s="171"/>
      <c r="D419" s="78"/>
      <c r="E419" s="78"/>
      <c r="F419" s="171"/>
      <c r="G419" s="173"/>
      <c r="H419" s="170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</row>
    <row r="420" ht="14.25" customHeight="1">
      <c r="A420" s="171"/>
      <c r="B420" s="172"/>
      <c r="C420" s="171"/>
      <c r="D420" s="78"/>
      <c r="E420" s="78"/>
      <c r="F420" s="171"/>
      <c r="G420" s="173"/>
      <c r="H420" s="170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</row>
    <row r="421" ht="14.25" customHeight="1">
      <c r="A421" s="171"/>
      <c r="B421" s="172"/>
      <c r="C421" s="171"/>
      <c r="D421" s="78"/>
      <c r="E421" s="78"/>
      <c r="F421" s="171"/>
      <c r="G421" s="173"/>
      <c r="H421" s="170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</row>
    <row r="422" ht="14.25" customHeight="1">
      <c r="A422" s="171"/>
      <c r="B422" s="172"/>
      <c r="C422" s="171"/>
      <c r="D422" s="78"/>
      <c r="E422" s="78"/>
      <c r="F422" s="171"/>
      <c r="G422" s="173"/>
      <c r="H422" s="170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</row>
    <row r="423" ht="14.25" customHeight="1">
      <c r="A423" s="171"/>
      <c r="B423" s="172"/>
      <c r="C423" s="171"/>
      <c r="D423" s="78"/>
      <c r="E423" s="78"/>
      <c r="F423" s="171"/>
      <c r="G423" s="173"/>
      <c r="H423" s="170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</row>
    <row r="424" ht="14.25" customHeight="1">
      <c r="A424" s="171"/>
      <c r="B424" s="172"/>
      <c r="C424" s="171"/>
      <c r="D424" s="78"/>
      <c r="E424" s="78"/>
      <c r="F424" s="171"/>
      <c r="G424" s="173"/>
      <c r="H424" s="170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</row>
    <row r="425" ht="14.25" customHeight="1">
      <c r="A425" s="171"/>
      <c r="B425" s="172"/>
      <c r="C425" s="171"/>
      <c r="D425" s="78"/>
      <c r="E425" s="78"/>
      <c r="F425" s="171"/>
      <c r="G425" s="173"/>
      <c r="H425" s="170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</row>
    <row r="426" ht="14.25" customHeight="1">
      <c r="A426" s="171"/>
      <c r="B426" s="172"/>
      <c r="C426" s="171"/>
      <c r="D426" s="78"/>
      <c r="E426" s="78"/>
      <c r="F426" s="171"/>
      <c r="G426" s="173"/>
      <c r="H426" s="170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</row>
    <row r="427" ht="14.25" customHeight="1">
      <c r="A427" s="171"/>
      <c r="B427" s="172"/>
      <c r="C427" s="171"/>
      <c r="D427" s="78"/>
      <c r="E427" s="78"/>
      <c r="F427" s="171"/>
      <c r="G427" s="173"/>
      <c r="H427" s="170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</row>
    <row r="428" ht="14.25" customHeight="1">
      <c r="A428" s="171"/>
      <c r="B428" s="172"/>
      <c r="C428" s="171"/>
      <c r="D428" s="78"/>
      <c r="E428" s="78"/>
      <c r="F428" s="171"/>
      <c r="G428" s="173"/>
      <c r="H428" s="170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</row>
    <row r="429" ht="14.25" customHeight="1">
      <c r="A429" s="171"/>
      <c r="B429" s="172"/>
      <c r="C429" s="171"/>
      <c r="D429" s="78"/>
      <c r="E429" s="78"/>
      <c r="F429" s="171"/>
      <c r="G429" s="173"/>
      <c r="H429" s="170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</row>
    <row r="430" ht="14.25" customHeight="1">
      <c r="A430" s="171"/>
      <c r="B430" s="172"/>
      <c r="C430" s="171"/>
      <c r="D430" s="78"/>
      <c r="E430" s="78"/>
      <c r="F430" s="171"/>
      <c r="G430" s="173"/>
      <c r="H430" s="170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</row>
    <row r="431" ht="14.25" customHeight="1">
      <c r="A431" s="171"/>
      <c r="B431" s="172"/>
      <c r="C431" s="171"/>
      <c r="D431" s="78"/>
      <c r="E431" s="78"/>
      <c r="F431" s="171"/>
      <c r="G431" s="173"/>
      <c r="H431" s="170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</row>
    <row r="432" ht="14.25" customHeight="1">
      <c r="A432" s="171"/>
      <c r="B432" s="172"/>
      <c r="C432" s="171"/>
      <c r="D432" s="78"/>
      <c r="E432" s="78"/>
      <c r="F432" s="171"/>
      <c r="G432" s="173"/>
      <c r="H432" s="170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</row>
    <row r="433" ht="14.25" customHeight="1">
      <c r="A433" s="171"/>
      <c r="B433" s="172"/>
      <c r="C433" s="171"/>
      <c r="D433" s="78"/>
      <c r="E433" s="78"/>
      <c r="F433" s="171"/>
      <c r="G433" s="173"/>
      <c r="H433" s="170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</row>
    <row r="434" ht="14.25" customHeight="1">
      <c r="A434" s="171"/>
      <c r="B434" s="172"/>
      <c r="C434" s="171"/>
      <c r="D434" s="78"/>
      <c r="E434" s="78"/>
      <c r="F434" s="171"/>
      <c r="G434" s="173"/>
      <c r="H434" s="170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</row>
    <row r="435" ht="14.25" customHeight="1">
      <c r="A435" s="171"/>
      <c r="B435" s="172"/>
      <c r="C435" s="171"/>
      <c r="D435" s="78"/>
      <c r="E435" s="78"/>
      <c r="F435" s="171"/>
      <c r="G435" s="173"/>
      <c r="H435" s="170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</row>
    <row r="436" ht="14.25" customHeight="1">
      <c r="A436" s="171"/>
      <c r="B436" s="172"/>
      <c r="C436" s="171"/>
      <c r="D436" s="78"/>
      <c r="E436" s="78"/>
      <c r="F436" s="171"/>
      <c r="G436" s="173"/>
      <c r="H436" s="170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</row>
    <row r="437" ht="14.25" customHeight="1">
      <c r="A437" s="171"/>
      <c r="B437" s="172"/>
      <c r="C437" s="171"/>
      <c r="D437" s="78"/>
      <c r="E437" s="78"/>
      <c r="F437" s="171"/>
      <c r="G437" s="173"/>
      <c r="H437" s="170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</row>
    <row r="438" ht="14.25" customHeight="1">
      <c r="A438" s="171"/>
      <c r="B438" s="172"/>
      <c r="C438" s="171"/>
      <c r="D438" s="78"/>
      <c r="E438" s="78"/>
      <c r="F438" s="171"/>
      <c r="G438" s="173"/>
      <c r="H438" s="170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</row>
    <row r="439" ht="14.25" customHeight="1">
      <c r="A439" s="171"/>
      <c r="B439" s="172"/>
      <c r="C439" s="171"/>
      <c r="D439" s="78"/>
      <c r="E439" s="78"/>
      <c r="F439" s="171"/>
      <c r="G439" s="173"/>
      <c r="H439" s="170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</row>
    <row r="440" ht="14.25" customHeight="1">
      <c r="A440" s="171"/>
      <c r="B440" s="172"/>
      <c r="C440" s="171"/>
      <c r="D440" s="78"/>
      <c r="E440" s="78"/>
      <c r="F440" s="171"/>
      <c r="G440" s="173"/>
      <c r="H440" s="170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</row>
    <row r="441" ht="14.25" customHeight="1">
      <c r="A441" s="171"/>
      <c r="B441" s="172"/>
      <c r="C441" s="171"/>
      <c r="D441" s="78"/>
      <c r="E441" s="78"/>
      <c r="F441" s="171"/>
      <c r="G441" s="173"/>
      <c r="H441" s="170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</row>
    <row r="442" ht="14.25" customHeight="1">
      <c r="A442" s="171"/>
      <c r="B442" s="172"/>
      <c r="C442" s="171"/>
      <c r="D442" s="78"/>
      <c r="E442" s="78"/>
      <c r="F442" s="171"/>
      <c r="G442" s="173"/>
      <c r="H442" s="170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</row>
    <row r="443" ht="14.25" customHeight="1">
      <c r="A443" s="171"/>
      <c r="B443" s="172"/>
      <c r="C443" s="171"/>
      <c r="D443" s="78"/>
      <c r="E443" s="78"/>
      <c r="F443" s="171"/>
      <c r="G443" s="173"/>
      <c r="H443" s="170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</row>
    <row r="444" ht="14.25" customHeight="1">
      <c r="A444" s="171"/>
      <c r="B444" s="172"/>
      <c r="C444" s="171"/>
      <c r="D444" s="78"/>
      <c r="E444" s="78"/>
      <c r="F444" s="171"/>
      <c r="G444" s="173"/>
      <c r="H444" s="170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</row>
    <row r="445" ht="14.25" customHeight="1">
      <c r="A445" s="171"/>
      <c r="B445" s="172"/>
      <c r="C445" s="171"/>
      <c r="D445" s="78"/>
      <c r="E445" s="78"/>
      <c r="F445" s="171"/>
      <c r="G445" s="173"/>
      <c r="H445" s="170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</row>
    <row r="446" ht="14.25" customHeight="1">
      <c r="A446" s="171"/>
      <c r="B446" s="172"/>
      <c r="C446" s="171"/>
      <c r="D446" s="78"/>
      <c r="E446" s="78"/>
      <c r="F446" s="171"/>
      <c r="G446" s="173"/>
      <c r="H446" s="170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</row>
    <row r="447" ht="14.25" customHeight="1">
      <c r="A447" s="171"/>
      <c r="B447" s="172"/>
      <c r="C447" s="171"/>
      <c r="D447" s="78"/>
      <c r="E447" s="78"/>
      <c r="F447" s="171"/>
      <c r="G447" s="173"/>
      <c r="H447" s="170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</row>
    <row r="448" ht="14.25" customHeight="1">
      <c r="A448" s="171"/>
      <c r="B448" s="172"/>
      <c r="C448" s="171"/>
      <c r="D448" s="78"/>
      <c r="E448" s="78"/>
      <c r="F448" s="171"/>
      <c r="G448" s="173"/>
      <c r="H448" s="170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</row>
    <row r="449" ht="14.25" customHeight="1">
      <c r="A449" s="171"/>
      <c r="B449" s="172"/>
      <c r="C449" s="171"/>
      <c r="D449" s="78"/>
      <c r="E449" s="78"/>
      <c r="F449" s="171"/>
      <c r="G449" s="173"/>
      <c r="H449" s="170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</row>
    <row r="450" ht="14.25" customHeight="1">
      <c r="A450" s="171"/>
      <c r="B450" s="172"/>
      <c r="C450" s="171"/>
      <c r="D450" s="78"/>
      <c r="E450" s="78"/>
      <c r="F450" s="171"/>
      <c r="G450" s="173"/>
      <c r="H450" s="170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</row>
    <row r="451" ht="14.25" customHeight="1">
      <c r="A451" s="171"/>
      <c r="B451" s="172"/>
      <c r="C451" s="171"/>
      <c r="D451" s="78"/>
      <c r="E451" s="78"/>
      <c r="F451" s="171"/>
      <c r="G451" s="173"/>
      <c r="H451" s="170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</row>
    <row r="452" ht="14.25" customHeight="1">
      <c r="A452" s="171"/>
      <c r="B452" s="172"/>
      <c r="C452" s="171"/>
      <c r="D452" s="78"/>
      <c r="E452" s="78"/>
      <c r="F452" s="171"/>
      <c r="G452" s="173"/>
      <c r="H452" s="170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</row>
    <row r="453" ht="14.25" customHeight="1">
      <c r="A453" s="171"/>
      <c r="B453" s="172"/>
      <c r="C453" s="171"/>
      <c r="D453" s="78"/>
      <c r="E453" s="78"/>
      <c r="F453" s="171"/>
      <c r="G453" s="173"/>
      <c r="H453" s="170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</row>
    <row r="454" ht="14.25" customHeight="1">
      <c r="A454" s="171"/>
      <c r="B454" s="172"/>
      <c r="C454" s="171"/>
      <c r="D454" s="78"/>
      <c r="E454" s="78"/>
      <c r="F454" s="171"/>
      <c r="G454" s="173"/>
      <c r="H454" s="170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</row>
    <row r="455" ht="14.25" customHeight="1">
      <c r="A455" s="171"/>
      <c r="B455" s="172"/>
      <c r="C455" s="171"/>
      <c r="D455" s="78"/>
      <c r="E455" s="78"/>
      <c r="F455" s="171"/>
      <c r="G455" s="173"/>
      <c r="H455" s="170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</row>
    <row r="456" ht="14.25" customHeight="1">
      <c r="A456" s="171"/>
      <c r="B456" s="172"/>
      <c r="C456" s="171"/>
      <c r="D456" s="78"/>
      <c r="E456" s="78"/>
      <c r="F456" s="171"/>
      <c r="G456" s="173"/>
      <c r="H456" s="170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</row>
    <row r="457" ht="14.25" customHeight="1">
      <c r="A457" s="171"/>
      <c r="B457" s="172"/>
      <c r="C457" s="171"/>
      <c r="D457" s="78"/>
      <c r="E457" s="78"/>
      <c r="F457" s="171"/>
      <c r="G457" s="173"/>
      <c r="H457" s="170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</row>
    <row r="458" ht="14.25" customHeight="1">
      <c r="A458" s="171"/>
      <c r="B458" s="172"/>
      <c r="C458" s="171"/>
      <c r="D458" s="78"/>
      <c r="E458" s="78"/>
      <c r="F458" s="171"/>
      <c r="G458" s="173"/>
      <c r="H458" s="170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</row>
    <row r="459" ht="14.25" customHeight="1">
      <c r="A459" s="171"/>
      <c r="B459" s="172"/>
      <c r="C459" s="171"/>
      <c r="D459" s="78"/>
      <c r="E459" s="78"/>
      <c r="F459" s="171"/>
      <c r="G459" s="173"/>
      <c r="H459" s="170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</row>
    <row r="460" ht="14.25" customHeight="1">
      <c r="A460" s="171"/>
      <c r="B460" s="172"/>
      <c r="C460" s="171"/>
      <c r="D460" s="78"/>
      <c r="E460" s="78"/>
      <c r="F460" s="171"/>
      <c r="G460" s="173"/>
      <c r="H460" s="170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</row>
    <row r="461" ht="14.25" customHeight="1">
      <c r="A461" s="171"/>
      <c r="B461" s="172"/>
      <c r="C461" s="171"/>
      <c r="D461" s="78"/>
      <c r="E461" s="78"/>
      <c r="F461" s="171"/>
      <c r="G461" s="173"/>
      <c r="H461" s="170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</row>
    <row r="462" ht="14.25" customHeight="1">
      <c r="A462" s="171"/>
      <c r="B462" s="172"/>
      <c r="C462" s="171"/>
      <c r="D462" s="78"/>
      <c r="E462" s="78"/>
      <c r="F462" s="171"/>
      <c r="G462" s="173"/>
      <c r="H462" s="170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</row>
    <row r="463" ht="14.25" customHeight="1">
      <c r="A463" s="171"/>
      <c r="B463" s="172"/>
      <c r="C463" s="171"/>
      <c r="D463" s="78"/>
      <c r="E463" s="78"/>
      <c r="F463" s="171"/>
      <c r="G463" s="173"/>
      <c r="H463" s="170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</row>
    <row r="464" ht="14.25" customHeight="1">
      <c r="A464" s="171"/>
      <c r="B464" s="172"/>
      <c r="C464" s="171"/>
      <c r="D464" s="78"/>
      <c r="E464" s="78"/>
      <c r="F464" s="171"/>
      <c r="G464" s="173"/>
      <c r="H464" s="170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</row>
    <row r="465" ht="14.25" customHeight="1">
      <c r="A465" s="171"/>
      <c r="B465" s="172"/>
      <c r="C465" s="171"/>
      <c r="D465" s="78"/>
      <c r="E465" s="78"/>
      <c r="F465" s="171"/>
      <c r="G465" s="173"/>
      <c r="H465" s="170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</row>
    <row r="466" ht="14.25" customHeight="1">
      <c r="A466" s="171"/>
      <c r="B466" s="172"/>
      <c r="C466" s="171"/>
      <c r="D466" s="78"/>
      <c r="E466" s="78"/>
      <c r="F466" s="171"/>
      <c r="G466" s="173"/>
      <c r="H466" s="170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</row>
    <row r="467" ht="14.25" customHeight="1">
      <c r="A467" s="171"/>
      <c r="B467" s="172"/>
      <c r="C467" s="171"/>
      <c r="D467" s="78"/>
      <c r="E467" s="78"/>
      <c r="F467" s="171"/>
      <c r="G467" s="173"/>
      <c r="H467" s="170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</row>
    <row r="468" ht="14.25" customHeight="1">
      <c r="A468" s="171"/>
      <c r="B468" s="172"/>
      <c r="C468" s="171"/>
      <c r="D468" s="78"/>
      <c r="E468" s="78"/>
      <c r="F468" s="171"/>
      <c r="G468" s="173"/>
      <c r="H468" s="170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</row>
    <row r="469" ht="14.25" customHeight="1">
      <c r="A469" s="171"/>
      <c r="B469" s="172"/>
      <c r="C469" s="171"/>
      <c r="D469" s="78"/>
      <c r="E469" s="78"/>
      <c r="F469" s="171"/>
      <c r="G469" s="173"/>
      <c r="H469" s="170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</row>
    <row r="470" ht="14.25" customHeight="1">
      <c r="A470" s="171"/>
      <c r="B470" s="172"/>
      <c r="C470" s="171"/>
      <c r="D470" s="78"/>
      <c r="E470" s="78"/>
      <c r="F470" s="171"/>
      <c r="G470" s="173"/>
      <c r="H470" s="170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</row>
    <row r="471" ht="14.25" customHeight="1">
      <c r="A471" s="171"/>
      <c r="B471" s="172"/>
      <c r="C471" s="171"/>
      <c r="D471" s="78"/>
      <c r="E471" s="78"/>
      <c r="F471" s="171"/>
      <c r="G471" s="173"/>
      <c r="H471" s="170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</row>
    <row r="472" ht="14.25" customHeight="1">
      <c r="A472" s="171"/>
      <c r="B472" s="172"/>
      <c r="C472" s="171"/>
      <c r="D472" s="78"/>
      <c r="E472" s="78"/>
      <c r="F472" s="171"/>
      <c r="G472" s="173"/>
      <c r="H472" s="170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</row>
    <row r="473" ht="14.25" customHeight="1">
      <c r="A473" s="171"/>
      <c r="B473" s="172"/>
      <c r="C473" s="171"/>
      <c r="D473" s="78"/>
      <c r="E473" s="78"/>
      <c r="F473" s="171"/>
      <c r="G473" s="173"/>
      <c r="H473" s="170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</row>
    <row r="474" ht="14.25" customHeight="1">
      <c r="A474" s="171"/>
      <c r="B474" s="172"/>
      <c r="C474" s="171"/>
      <c r="D474" s="78"/>
      <c r="E474" s="78"/>
      <c r="F474" s="171"/>
      <c r="G474" s="173"/>
      <c r="H474" s="170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</row>
    <row r="475" ht="14.25" customHeight="1">
      <c r="A475" s="171"/>
      <c r="B475" s="172"/>
      <c r="C475" s="171"/>
      <c r="D475" s="78"/>
      <c r="E475" s="78"/>
      <c r="F475" s="171"/>
      <c r="G475" s="173"/>
      <c r="H475" s="170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</row>
    <row r="476" ht="14.25" customHeight="1">
      <c r="A476" s="171"/>
      <c r="B476" s="172"/>
      <c r="C476" s="171"/>
      <c r="D476" s="78"/>
      <c r="E476" s="78"/>
      <c r="F476" s="171"/>
      <c r="G476" s="173"/>
      <c r="H476" s="170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</row>
    <row r="477" ht="14.25" customHeight="1">
      <c r="A477" s="171"/>
      <c r="B477" s="172"/>
      <c r="C477" s="171"/>
      <c r="D477" s="78"/>
      <c r="E477" s="78"/>
      <c r="F477" s="171"/>
      <c r="G477" s="173"/>
      <c r="H477" s="170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</row>
    <row r="478" ht="14.25" customHeight="1">
      <c r="A478" s="171"/>
      <c r="B478" s="172"/>
      <c r="C478" s="171"/>
      <c r="D478" s="78"/>
      <c r="E478" s="78"/>
      <c r="F478" s="171"/>
      <c r="G478" s="173"/>
      <c r="H478" s="170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</row>
    <row r="479" ht="14.25" customHeight="1">
      <c r="A479" s="171"/>
      <c r="B479" s="172"/>
      <c r="C479" s="171"/>
      <c r="D479" s="78"/>
      <c r="E479" s="78"/>
      <c r="F479" s="171"/>
      <c r="G479" s="173"/>
      <c r="H479" s="170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</row>
    <row r="480" ht="14.25" customHeight="1">
      <c r="A480" s="171"/>
      <c r="B480" s="172"/>
      <c r="C480" s="171"/>
      <c r="D480" s="78"/>
      <c r="E480" s="78"/>
      <c r="F480" s="171"/>
      <c r="G480" s="173"/>
      <c r="H480" s="170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</row>
    <row r="481" ht="14.25" customHeight="1">
      <c r="A481" s="171"/>
      <c r="B481" s="172"/>
      <c r="C481" s="171"/>
      <c r="D481" s="78"/>
      <c r="E481" s="78"/>
      <c r="F481" s="171"/>
      <c r="G481" s="173"/>
      <c r="H481" s="170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</row>
    <row r="482" ht="14.25" customHeight="1">
      <c r="A482" s="171"/>
      <c r="B482" s="172"/>
      <c r="C482" s="171"/>
      <c r="D482" s="78"/>
      <c r="E482" s="78"/>
      <c r="F482" s="171"/>
      <c r="G482" s="173"/>
      <c r="H482" s="170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</row>
    <row r="483" ht="14.25" customHeight="1">
      <c r="A483" s="171"/>
      <c r="B483" s="172"/>
      <c r="C483" s="171"/>
      <c r="D483" s="78"/>
      <c r="E483" s="78"/>
      <c r="F483" s="171"/>
      <c r="G483" s="173"/>
      <c r="H483" s="170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</row>
    <row r="484" ht="14.25" customHeight="1">
      <c r="A484" s="171"/>
      <c r="B484" s="172"/>
      <c r="C484" s="171"/>
      <c r="D484" s="78"/>
      <c r="E484" s="78"/>
      <c r="F484" s="171"/>
      <c r="G484" s="173"/>
      <c r="H484" s="170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</row>
    <row r="485" ht="14.25" customHeight="1">
      <c r="A485" s="171"/>
      <c r="B485" s="172"/>
      <c r="C485" s="171"/>
      <c r="D485" s="78"/>
      <c r="E485" s="78"/>
      <c r="F485" s="171"/>
      <c r="G485" s="173"/>
      <c r="H485" s="170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</row>
    <row r="486" ht="14.25" customHeight="1">
      <c r="A486" s="171"/>
      <c r="B486" s="172"/>
      <c r="C486" s="171"/>
      <c r="D486" s="78"/>
      <c r="E486" s="78"/>
      <c r="F486" s="171"/>
      <c r="G486" s="173"/>
      <c r="H486" s="170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</row>
    <row r="487" ht="14.25" customHeight="1">
      <c r="A487" s="171"/>
      <c r="B487" s="172"/>
      <c r="C487" s="171"/>
      <c r="D487" s="78"/>
      <c r="E487" s="78"/>
      <c r="F487" s="171"/>
      <c r="G487" s="173"/>
      <c r="H487" s="170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</row>
    <row r="488" ht="14.25" customHeight="1">
      <c r="A488" s="171"/>
      <c r="B488" s="172"/>
      <c r="C488" s="171"/>
      <c r="D488" s="78"/>
      <c r="E488" s="78"/>
      <c r="F488" s="171"/>
      <c r="G488" s="173"/>
      <c r="H488" s="170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</row>
    <row r="489" ht="14.25" customHeight="1">
      <c r="A489" s="171"/>
      <c r="B489" s="172"/>
      <c r="C489" s="171"/>
      <c r="D489" s="78"/>
      <c r="E489" s="78"/>
      <c r="F489" s="171"/>
      <c r="G489" s="173"/>
      <c r="H489" s="170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</row>
    <row r="490" ht="14.25" customHeight="1">
      <c r="A490" s="171"/>
      <c r="B490" s="172"/>
      <c r="C490" s="171"/>
      <c r="D490" s="78"/>
      <c r="E490" s="78"/>
      <c r="F490" s="171"/>
      <c r="G490" s="173"/>
      <c r="H490" s="170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</row>
    <row r="491" ht="14.25" customHeight="1">
      <c r="A491" s="171"/>
      <c r="B491" s="172"/>
      <c r="C491" s="171"/>
      <c r="D491" s="78"/>
      <c r="E491" s="78"/>
      <c r="F491" s="171"/>
      <c r="G491" s="173"/>
      <c r="H491" s="170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</row>
    <row r="492" ht="14.25" customHeight="1">
      <c r="A492" s="171"/>
      <c r="B492" s="172"/>
      <c r="C492" s="171"/>
      <c r="D492" s="78"/>
      <c r="E492" s="78"/>
      <c r="F492" s="171"/>
      <c r="G492" s="173"/>
      <c r="H492" s="170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</row>
    <row r="493" ht="14.25" customHeight="1">
      <c r="A493" s="171"/>
      <c r="B493" s="172"/>
      <c r="C493" s="171"/>
      <c r="D493" s="78"/>
      <c r="E493" s="78"/>
      <c r="F493" s="171"/>
      <c r="G493" s="173"/>
      <c r="H493" s="170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</row>
    <row r="494" ht="14.25" customHeight="1">
      <c r="A494" s="171"/>
      <c r="B494" s="172"/>
      <c r="C494" s="171"/>
      <c r="D494" s="78"/>
      <c r="E494" s="78"/>
      <c r="F494" s="171"/>
      <c r="G494" s="173"/>
      <c r="H494" s="170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</row>
    <row r="495" ht="14.25" customHeight="1">
      <c r="A495" s="171"/>
      <c r="B495" s="172"/>
      <c r="C495" s="171"/>
      <c r="D495" s="78"/>
      <c r="E495" s="78"/>
      <c r="F495" s="171"/>
      <c r="G495" s="173"/>
      <c r="H495" s="170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</row>
    <row r="496" ht="14.25" customHeight="1">
      <c r="A496" s="171"/>
      <c r="B496" s="172"/>
      <c r="C496" s="171"/>
      <c r="D496" s="78"/>
      <c r="E496" s="78"/>
      <c r="F496" s="171"/>
      <c r="G496" s="173"/>
      <c r="H496" s="170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</row>
    <row r="497" ht="14.25" customHeight="1">
      <c r="A497" s="171"/>
      <c r="B497" s="172"/>
      <c r="C497" s="171"/>
      <c r="D497" s="78"/>
      <c r="E497" s="78"/>
      <c r="F497" s="171"/>
      <c r="G497" s="173"/>
      <c r="H497" s="170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</row>
    <row r="498" ht="14.25" customHeight="1">
      <c r="A498" s="171"/>
      <c r="B498" s="172"/>
      <c r="C498" s="171"/>
      <c r="D498" s="78"/>
      <c r="E498" s="78"/>
      <c r="F498" s="171"/>
      <c r="G498" s="173"/>
      <c r="H498" s="170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</row>
    <row r="499" ht="14.25" customHeight="1">
      <c r="A499" s="171"/>
      <c r="B499" s="172"/>
      <c r="C499" s="171"/>
      <c r="D499" s="78"/>
      <c r="E499" s="78"/>
      <c r="F499" s="171"/>
      <c r="G499" s="173"/>
      <c r="H499" s="170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</row>
    <row r="500" ht="14.25" customHeight="1">
      <c r="A500" s="171"/>
      <c r="B500" s="172"/>
      <c r="C500" s="171"/>
      <c r="D500" s="78"/>
      <c r="E500" s="78"/>
      <c r="F500" s="171"/>
      <c r="G500" s="173"/>
      <c r="H500" s="170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</row>
    <row r="501" ht="14.25" customHeight="1">
      <c r="A501" s="171"/>
      <c r="B501" s="172"/>
      <c r="C501" s="171"/>
      <c r="D501" s="78"/>
      <c r="E501" s="78"/>
      <c r="F501" s="171"/>
      <c r="G501" s="173"/>
      <c r="H501" s="170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</row>
    <row r="502" ht="14.25" customHeight="1">
      <c r="A502" s="171"/>
      <c r="B502" s="172"/>
      <c r="C502" s="171"/>
      <c r="D502" s="78"/>
      <c r="E502" s="78"/>
      <c r="F502" s="171"/>
      <c r="G502" s="173"/>
      <c r="H502" s="170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</row>
    <row r="503" ht="14.25" customHeight="1">
      <c r="A503" s="171"/>
      <c r="B503" s="172"/>
      <c r="C503" s="171"/>
      <c r="D503" s="78"/>
      <c r="E503" s="78"/>
      <c r="F503" s="171"/>
      <c r="G503" s="173"/>
      <c r="H503" s="170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</row>
    <row r="504" ht="14.25" customHeight="1">
      <c r="A504" s="171"/>
      <c r="B504" s="172"/>
      <c r="C504" s="171"/>
      <c r="D504" s="78"/>
      <c r="E504" s="78"/>
      <c r="F504" s="171"/>
      <c r="G504" s="173"/>
      <c r="H504" s="170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</row>
    <row r="505" ht="14.25" customHeight="1">
      <c r="A505" s="171"/>
      <c r="B505" s="172"/>
      <c r="C505" s="171"/>
      <c r="D505" s="78"/>
      <c r="E505" s="78"/>
      <c r="F505" s="171"/>
      <c r="G505" s="173"/>
      <c r="H505" s="170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</row>
    <row r="506" ht="14.25" customHeight="1">
      <c r="A506" s="171"/>
      <c r="B506" s="172"/>
      <c r="C506" s="171"/>
      <c r="D506" s="78"/>
      <c r="E506" s="78"/>
      <c r="F506" s="171"/>
      <c r="G506" s="173"/>
      <c r="H506" s="170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</row>
    <row r="507" ht="14.25" customHeight="1">
      <c r="A507" s="171"/>
      <c r="B507" s="172"/>
      <c r="C507" s="171"/>
      <c r="D507" s="78"/>
      <c r="E507" s="78"/>
      <c r="F507" s="171"/>
      <c r="G507" s="173"/>
      <c r="H507" s="170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</row>
    <row r="508" ht="14.25" customHeight="1">
      <c r="A508" s="171"/>
      <c r="B508" s="172"/>
      <c r="C508" s="171"/>
      <c r="D508" s="78"/>
      <c r="E508" s="78"/>
      <c r="F508" s="171"/>
      <c r="G508" s="173"/>
      <c r="H508" s="170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</row>
    <row r="509" ht="14.25" customHeight="1">
      <c r="A509" s="171"/>
      <c r="B509" s="172"/>
      <c r="C509" s="171"/>
      <c r="D509" s="78"/>
      <c r="E509" s="78"/>
      <c r="F509" s="171"/>
      <c r="G509" s="173"/>
      <c r="H509" s="170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</row>
    <row r="510" ht="14.25" customHeight="1">
      <c r="A510" s="171"/>
      <c r="B510" s="172"/>
      <c r="C510" s="171"/>
      <c r="D510" s="78"/>
      <c r="E510" s="78"/>
      <c r="F510" s="171"/>
      <c r="G510" s="173"/>
      <c r="H510" s="170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</row>
    <row r="511" ht="14.25" customHeight="1">
      <c r="A511" s="171"/>
      <c r="B511" s="172"/>
      <c r="C511" s="171"/>
      <c r="D511" s="78"/>
      <c r="E511" s="78"/>
      <c r="F511" s="171"/>
      <c r="G511" s="173"/>
      <c r="H511" s="170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</row>
    <row r="512" ht="14.25" customHeight="1">
      <c r="A512" s="171"/>
      <c r="B512" s="172"/>
      <c r="C512" s="171"/>
      <c r="D512" s="78"/>
      <c r="E512" s="78"/>
      <c r="F512" s="171"/>
      <c r="G512" s="173"/>
      <c r="H512" s="170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</row>
    <row r="513" ht="14.25" customHeight="1">
      <c r="A513" s="171"/>
      <c r="B513" s="172"/>
      <c r="C513" s="171"/>
      <c r="D513" s="78"/>
      <c r="E513" s="78"/>
      <c r="F513" s="171"/>
      <c r="G513" s="173"/>
      <c r="H513" s="170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</row>
    <row r="514" ht="14.25" customHeight="1">
      <c r="A514" s="171"/>
      <c r="B514" s="172"/>
      <c r="C514" s="171"/>
      <c r="D514" s="78"/>
      <c r="E514" s="78"/>
      <c r="F514" s="171"/>
      <c r="G514" s="173"/>
      <c r="H514" s="170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</row>
    <row r="515" ht="14.25" customHeight="1">
      <c r="A515" s="171"/>
      <c r="B515" s="172"/>
      <c r="C515" s="171"/>
      <c r="D515" s="78"/>
      <c r="E515" s="78"/>
      <c r="F515" s="171"/>
      <c r="G515" s="173"/>
      <c r="H515" s="170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</row>
    <row r="516" ht="14.25" customHeight="1">
      <c r="A516" s="171"/>
      <c r="B516" s="172"/>
      <c r="C516" s="171"/>
      <c r="D516" s="78"/>
      <c r="E516" s="78"/>
      <c r="F516" s="171"/>
      <c r="G516" s="173"/>
      <c r="H516" s="170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</row>
    <row r="517" ht="14.25" customHeight="1">
      <c r="A517" s="171"/>
      <c r="B517" s="172"/>
      <c r="C517" s="171"/>
      <c r="D517" s="78"/>
      <c r="E517" s="78"/>
      <c r="F517" s="171"/>
      <c r="G517" s="173"/>
      <c r="H517" s="170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</row>
    <row r="518" ht="14.25" customHeight="1">
      <c r="A518" s="171"/>
      <c r="B518" s="172"/>
      <c r="C518" s="171"/>
      <c r="D518" s="78"/>
      <c r="E518" s="78"/>
      <c r="F518" s="171"/>
      <c r="G518" s="173"/>
      <c r="H518" s="170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</row>
    <row r="519" ht="14.25" customHeight="1">
      <c r="A519" s="171"/>
      <c r="B519" s="172"/>
      <c r="C519" s="171"/>
      <c r="D519" s="78"/>
      <c r="E519" s="78"/>
      <c r="F519" s="171"/>
      <c r="G519" s="173"/>
      <c r="H519" s="170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</row>
    <row r="520" ht="14.25" customHeight="1">
      <c r="A520" s="171"/>
      <c r="B520" s="172"/>
      <c r="C520" s="171"/>
      <c r="D520" s="78"/>
      <c r="E520" s="78"/>
      <c r="F520" s="171"/>
      <c r="G520" s="173"/>
      <c r="H520" s="170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</row>
    <row r="521" ht="14.25" customHeight="1">
      <c r="A521" s="171"/>
      <c r="B521" s="172"/>
      <c r="C521" s="171"/>
      <c r="D521" s="78"/>
      <c r="E521" s="78"/>
      <c r="F521" s="171"/>
      <c r="G521" s="173"/>
      <c r="H521" s="170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</row>
    <row r="522" ht="14.25" customHeight="1">
      <c r="A522" s="171"/>
      <c r="B522" s="172"/>
      <c r="C522" s="171"/>
      <c r="D522" s="78"/>
      <c r="E522" s="78"/>
      <c r="F522" s="171"/>
      <c r="G522" s="173"/>
      <c r="H522" s="170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</row>
    <row r="523" ht="14.25" customHeight="1">
      <c r="A523" s="171"/>
      <c r="B523" s="172"/>
      <c r="C523" s="171"/>
      <c r="D523" s="78"/>
      <c r="E523" s="78"/>
      <c r="F523" s="171"/>
      <c r="G523" s="173"/>
      <c r="H523" s="170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</row>
    <row r="524" ht="14.25" customHeight="1">
      <c r="A524" s="171"/>
      <c r="B524" s="172"/>
      <c r="C524" s="171"/>
      <c r="D524" s="78"/>
      <c r="E524" s="78"/>
      <c r="F524" s="171"/>
      <c r="G524" s="173"/>
      <c r="H524" s="170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</row>
    <row r="525" ht="14.25" customHeight="1">
      <c r="A525" s="171"/>
      <c r="B525" s="172"/>
      <c r="C525" s="171"/>
      <c r="D525" s="78"/>
      <c r="E525" s="78"/>
      <c r="F525" s="171"/>
      <c r="G525" s="173"/>
      <c r="H525" s="170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</row>
    <row r="526" ht="14.25" customHeight="1">
      <c r="A526" s="171"/>
      <c r="B526" s="172"/>
      <c r="C526" s="171"/>
      <c r="D526" s="78"/>
      <c r="E526" s="78"/>
      <c r="F526" s="171"/>
      <c r="G526" s="173"/>
      <c r="H526" s="170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</row>
    <row r="527" ht="14.25" customHeight="1">
      <c r="A527" s="171"/>
      <c r="B527" s="172"/>
      <c r="C527" s="171"/>
      <c r="D527" s="78"/>
      <c r="E527" s="78"/>
      <c r="F527" s="171"/>
      <c r="G527" s="173"/>
      <c r="H527" s="170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</row>
    <row r="528" ht="14.25" customHeight="1">
      <c r="A528" s="171"/>
      <c r="B528" s="172"/>
      <c r="C528" s="171"/>
      <c r="D528" s="78"/>
      <c r="E528" s="78"/>
      <c r="F528" s="171"/>
      <c r="G528" s="173"/>
      <c r="H528" s="170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</row>
    <row r="529" ht="14.25" customHeight="1">
      <c r="A529" s="171"/>
      <c r="B529" s="172"/>
      <c r="C529" s="171"/>
      <c r="D529" s="78"/>
      <c r="E529" s="78"/>
      <c r="F529" s="171"/>
      <c r="G529" s="173"/>
      <c r="H529" s="170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</row>
    <row r="530" ht="14.25" customHeight="1">
      <c r="A530" s="171"/>
      <c r="B530" s="172"/>
      <c r="C530" s="171"/>
      <c r="D530" s="78"/>
      <c r="E530" s="78"/>
      <c r="F530" s="171"/>
      <c r="G530" s="173"/>
      <c r="H530" s="170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</row>
    <row r="531" ht="14.25" customHeight="1">
      <c r="A531" s="171"/>
      <c r="B531" s="172"/>
      <c r="C531" s="171"/>
      <c r="D531" s="78"/>
      <c r="E531" s="78"/>
      <c r="F531" s="171"/>
      <c r="G531" s="173"/>
      <c r="H531" s="170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</row>
    <row r="532" ht="14.25" customHeight="1">
      <c r="A532" s="171"/>
      <c r="B532" s="172"/>
      <c r="C532" s="171"/>
      <c r="D532" s="78"/>
      <c r="E532" s="78"/>
      <c r="F532" s="171"/>
      <c r="G532" s="173"/>
      <c r="H532" s="170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</row>
    <row r="533" ht="14.25" customHeight="1">
      <c r="A533" s="171"/>
      <c r="B533" s="172"/>
      <c r="C533" s="171"/>
      <c r="D533" s="78"/>
      <c r="E533" s="78"/>
      <c r="F533" s="171"/>
      <c r="G533" s="173"/>
      <c r="H533" s="170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</row>
    <row r="534" ht="14.25" customHeight="1">
      <c r="A534" s="171"/>
      <c r="B534" s="172"/>
      <c r="C534" s="171"/>
      <c r="D534" s="78"/>
      <c r="E534" s="78"/>
      <c r="F534" s="171"/>
      <c r="G534" s="173"/>
      <c r="H534" s="170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</row>
    <row r="535" ht="14.25" customHeight="1">
      <c r="A535" s="171"/>
      <c r="B535" s="172"/>
      <c r="C535" s="171"/>
      <c r="D535" s="78"/>
      <c r="E535" s="78"/>
      <c r="F535" s="171"/>
      <c r="G535" s="173"/>
      <c r="H535" s="170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</row>
    <row r="536" ht="14.25" customHeight="1">
      <c r="A536" s="171"/>
      <c r="B536" s="172"/>
      <c r="C536" s="171"/>
      <c r="D536" s="78"/>
      <c r="E536" s="78"/>
      <c r="F536" s="171"/>
      <c r="G536" s="173"/>
      <c r="H536" s="170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</row>
    <row r="537" ht="14.25" customHeight="1">
      <c r="A537" s="171"/>
      <c r="B537" s="172"/>
      <c r="C537" s="171"/>
      <c r="D537" s="78"/>
      <c r="E537" s="78"/>
      <c r="F537" s="171"/>
      <c r="G537" s="173"/>
      <c r="H537" s="170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</row>
    <row r="538" ht="14.25" customHeight="1">
      <c r="A538" s="171"/>
      <c r="B538" s="172"/>
      <c r="C538" s="171"/>
      <c r="D538" s="78"/>
      <c r="E538" s="78"/>
      <c r="F538" s="171"/>
      <c r="G538" s="173"/>
      <c r="H538" s="170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</row>
    <row r="539" ht="14.25" customHeight="1">
      <c r="A539" s="171"/>
      <c r="B539" s="172"/>
      <c r="C539" s="171"/>
      <c r="D539" s="78"/>
      <c r="E539" s="78"/>
      <c r="F539" s="171"/>
      <c r="G539" s="173"/>
      <c r="H539" s="170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</row>
    <row r="540" ht="14.25" customHeight="1">
      <c r="A540" s="171"/>
      <c r="B540" s="172"/>
      <c r="C540" s="171"/>
      <c r="D540" s="78"/>
      <c r="E540" s="78"/>
      <c r="F540" s="171"/>
      <c r="G540" s="173"/>
      <c r="H540" s="170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</row>
    <row r="541" ht="14.25" customHeight="1">
      <c r="A541" s="171"/>
      <c r="B541" s="172"/>
      <c r="C541" s="171"/>
      <c r="D541" s="78"/>
      <c r="E541" s="78"/>
      <c r="F541" s="171"/>
      <c r="G541" s="173"/>
      <c r="H541" s="170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</row>
    <row r="542" ht="14.25" customHeight="1">
      <c r="A542" s="171"/>
      <c r="B542" s="172"/>
      <c r="C542" s="171"/>
      <c r="D542" s="78"/>
      <c r="E542" s="78"/>
      <c r="F542" s="171"/>
      <c r="G542" s="173"/>
      <c r="H542" s="170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</row>
    <row r="543" ht="14.25" customHeight="1">
      <c r="A543" s="171"/>
      <c r="B543" s="172"/>
      <c r="C543" s="171"/>
      <c r="D543" s="78"/>
      <c r="E543" s="78"/>
      <c r="F543" s="171"/>
      <c r="G543" s="173"/>
      <c r="H543" s="170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</row>
    <row r="544" ht="14.25" customHeight="1">
      <c r="A544" s="171"/>
      <c r="B544" s="172"/>
      <c r="C544" s="171"/>
      <c r="D544" s="78"/>
      <c r="E544" s="78"/>
      <c r="F544" s="171"/>
      <c r="G544" s="173"/>
      <c r="H544" s="170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</row>
    <row r="545" ht="14.25" customHeight="1">
      <c r="A545" s="171"/>
      <c r="B545" s="172"/>
      <c r="C545" s="171"/>
      <c r="D545" s="78"/>
      <c r="E545" s="78"/>
      <c r="F545" s="171"/>
      <c r="G545" s="173"/>
      <c r="H545" s="170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</row>
    <row r="546" ht="14.25" customHeight="1">
      <c r="A546" s="171"/>
      <c r="B546" s="172"/>
      <c r="C546" s="171"/>
      <c r="D546" s="78"/>
      <c r="E546" s="78"/>
      <c r="F546" s="171"/>
      <c r="G546" s="173"/>
      <c r="H546" s="170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</row>
    <row r="547" ht="14.25" customHeight="1">
      <c r="A547" s="171"/>
      <c r="B547" s="172"/>
      <c r="C547" s="171"/>
      <c r="D547" s="78"/>
      <c r="E547" s="78"/>
      <c r="F547" s="171"/>
      <c r="G547" s="173"/>
      <c r="H547" s="170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</row>
    <row r="548" ht="14.25" customHeight="1">
      <c r="A548" s="171"/>
      <c r="B548" s="172"/>
      <c r="C548" s="171"/>
      <c r="D548" s="78"/>
      <c r="E548" s="78"/>
      <c r="F548" s="171"/>
      <c r="G548" s="173"/>
      <c r="H548" s="170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</row>
    <row r="549" ht="14.25" customHeight="1">
      <c r="A549" s="171"/>
      <c r="B549" s="172"/>
      <c r="C549" s="171"/>
      <c r="D549" s="78"/>
      <c r="E549" s="78"/>
      <c r="F549" s="171"/>
      <c r="G549" s="173"/>
      <c r="H549" s="170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</row>
    <row r="550" ht="14.25" customHeight="1">
      <c r="A550" s="171"/>
      <c r="B550" s="172"/>
      <c r="C550" s="171"/>
      <c r="D550" s="78"/>
      <c r="E550" s="78"/>
      <c r="F550" s="171"/>
      <c r="G550" s="173"/>
      <c r="H550" s="170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</row>
    <row r="551" ht="14.25" customHeight="1">
      <c r="A551" s="171"/>
      <c r="B551" s="172"/>
      <c r="C551" s="171"/>
      <c r="D551" s="78"/>
      <c r="E551" s="78"/>
      <c r="F551" s="171"/>
      <c r="G551" s="173"/>
      <c r="H551" s="170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</row>
    <row r="552" ht="14.25" customHeight="1">
      <c r="A552" s="171"/>
      <c r="B552" s="172"/>
      <c r="C552" s="171"/>
      <c r="D552" s="78"/>
      <c r="E552" s="78"/>
      <c r="F552" s="171"/>
      <c r="G552" s="173"/>
      <c r="H552" s="170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</row>
    <row r="553" ht="14.25" customHeight="1">
      <c r="A553" s="171"/>
      <c r="B553" s="172"/>
      <c r="C553" s="171"/>
      <c r="D553" s="78"/>
      <c r="E553" s="78"/>
      <c r="F553" s="171"/>
      <c r="G553" s="173"/>
      <c r="H553" s="170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</row>
    <row r="554" ht="14.25" customHeight="1">
      <c r="A554" s="171"/>
      <c r="B554" s="172"/>
      <c r="C554" s="171"/>
      <c r="D554" s="78"/>
      <c r="E554" s="78"/>
      <c r="F554" s="171"/>
      <c r="G554" s="173"/>
      <c r="H554" s="170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</row>
    <row r="555" ht="14.25" customHeight="1">
      <c r="A555" s="171"/>
      <c r="B555" s="172"/>
      <c r="C555" s="171"/>
      <c r="D555" s="78"/>
      <c r="E555" s="78"/>
      <c r="F555" s="171"/>
      <c r="G555" s="173"/>
      <c r="H555" s="170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</row>
    <row r="556" ht="14.25" customHeight="1">
      <c r="A556" s="171"/>
      <c r="B556" s="172"/>
      <c r="C556" s="171"/>
      <c r="D556" s="78"/>
      <c r="E556" s="78"/>
      <c r="F556" s="171"/>
      <c r="G556" s="173"/>
      <c r="H556" s="170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</row>
    <row r="557" ht="14.25" customHeight="1">
      <c r="A557" s="171"/>
      <c r="B557" s="172"/>
      <c r="C557" s="171"/>
      <c r="D557" s="78"/>
      <c r="E557" s="78"/>
      <c r="F557" s="171"/>
      <c r="G557" s="173"/>
      <c r="H557" s="170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</row>
    <row r="558" ht="14.25" customHeight="1">
      <c r="A558" s="171"/>
      <c r="B558" s="172"/>
      <c r="C558" s="171"/>
      <c r="D558" s="78"/>
      <c r="E558" s="78"/>
      <c r="F558" s="171"/>
      <c r="G558" s="173"/>
      <c r="H558" s="170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</row>
    <row r="559" ht="14.25" customHeight="1">
      <c r="A559" s="171"/>
      <c r="B559" s="172"/>
      <c r="C559" s="171"/>
      <c r="D559" s="78"/>
      <c r="E559" s="78"/>
      <c r="F559" s="171"/>
      <c r="G559" s="173"/>
      <c r="H559" s="170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</row>
    <row r="560" ht="14.25" customHeight="1">
      <c r="A560" s="171"/>
      <c r="B560" s="172"/>
      <c r="C560" s="171"/>
      <c r="D560" s="78"/>
      <c r="E560" s="78"/>
      <c r="F560" s="171"/>
      <c r="G560" s="173"/>
      <c r="H560" s="170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</row>
    <row r="561" ht="14.25" customHeight="1">
      <c r="A561" s="171"/>
      <c r="B561" s="172"/>
      <c r="C561" s="171"/>
      <c r="D561" s="78"/>
      <c r="E561" s="78"/>
      <c r="F561" s="171"/>
      <c r="G561" s="173"/>
      <c r="H561" s="170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</row>
    <row r="562" ht="14.25" customHeight="1">
      <c r="A562" s="171"/>
      <c r="B562" s="172"/>
      <c r="C562" s="171"/>
      <c r="D562" s="78"/>
      <c r="E562" s="78"/>
      <c r="F562" s="171"/>
      <c r="G562" s="173"/>
      <c r="H562" s="170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</row>
    <row r="563" ht="14.25" customHeight="1">
      <c r="A563" s="171"/>
      <c r="B563" s="172"/>
      <c r="C563" s="171"/>
      <c r="D563" s="78"/>
      <c r="E563" s="78"/>
      <c r="F563" s="171"/>
      <c r="G563" s="173"/>
      <c r="H563" s="170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</row>
    <row r="564" ht="14.25" customHeight="1">
      <c r="A564" s="171"/>
      <c r="B564" s="172"/>
      <c r="C564" s="171"/>
      <c r="D564" s="78"/>
      <c r="E564" s="78"/>
      <c r="F564" s="171"/>
      <c r="G564" s="173"/>
      <c r="H564" s="170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</row>
    <row r="565" ht="14.25" customHeight="1">
      <c r="A565" s="171"/>
      <c r="B565" s="172"/>
      <c r="C565" s="171"/>
      <c r="D565" s="78"/>
      <c r="E565" s="78"/>
      <c r="F565" s="171"/>
      <c r="G565" s="173"/>
      <c r="H565" s="170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</row>
    <row r="566" ht="14.25" customHeight="1">
      <c r="A566" s="171"/>
      <c r="B566" s="172"/>
      <c r="C566" s="171"/>
      <c r="D566" s="78"/>
      <c r="E566" s="78"/>
      <c r="F566" s="171"/>
      <c r="G566" s="173"/>
      <c r="H566" s="170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</row>
    <row r="567" ht="14.25" customHeight="1">
      <c r="A567" s="171"/>
      <c r="B567" s="172"/>
      <c r="C567" s="171"/>
      <c r="D567" s="78"/>
      <c r="E567" s="78"/>
      <c r="F567" s="171"/>
      <c r="G567" s="173"/>
      <c r="H567" s="170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</row>
    <row r="568" ht="14.25" customHeight="1">
      <c r="A568" s="171"/>
      <c r="B568" s="172"/>
      <c r="C568" s="171"/>
      <c r="D568" s="78"/>
      <c r="E568" s="78"/>
      <c r="F568" s="171"/>
      <c r="G568" s="173"/>
      <c r="H568" s="170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</row>
    <row r="569" ht="14.25" customHeight="1">
      <c r="A569" s="171"/>
      <c r="B569" s="172"/>
      <c r="C569" s="171"/>
      <c r="D569" s="78"/>
      <c r="E569" s="78"/>
      <c r="F569" s="171"/>
      <c r="G569" s="173"/>
      <c r="H569" s="170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</row>
    <row r="570" ht="14.25" customHeight="1">
      <c r="A570" s="171"/>
      <c r="B570" s="172"/>
      <c r="C570" s="171"/>
      <c r="D570" s="78"/>
      <c r="E570" s="78"/>
      <c r="F570" s="171"/>
      <c r="G570" s="173"/>
      <c r="H570" s="170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</row>
    <row r="571" ht="14.25" customHeight="1">
      <c r="A571" s="171"/>
      <c r="B571" s="172"/>
      <c r="C571" s="171"/>
      <c r="D571" s="78"/>
      <c r="E571" s="78"/>
      <c r="F571" s="171"/>
      <c r="G571" s="173"/>
      <c r="H571" s="170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</row>
    <row r="572" ht="14.25" customHeight="1">
      <c r="A572" s="171"/>
      <c r="B572" s="172"/>
      <c r="C572" s="171"/>
      <c r="D572" s="78"/>
      <c r="E572" s="78"/>
      <c r="F572" s="171"/>
      <c r="G572" s="173"/>
      <c r="H572" s="170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</row>
    <row r="573" ht="14.25" customHeight="1">
      <c r="A573" s="171"/>
      <c r="B573" s="172"/>
      <c r="C573" s="171"/>
      <c r="D573" s="78"/>
      <c r="E573" s="78"/>
      <c r="F573" s="171"/>
      <c r="G573" s="173"/>
      <c r="H573" s="170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</row>
    <row r="574" ht="14.25" customHeight="1">
      <c r="A574" s="171"/>
      <c r="B574" s="172"/>
      <c r="C574" s="171"/>
      <c r="D574" s="78"/>
      <c r="E574" s="78"/>
      <c r="F574" s="171"/>
      <c r="G574" s="173"/>
      <c r="H574" s="170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</row>
    <row r="575" ht="14.25" customHeight="1">
      <c r="A575" s="171"/>
      <c r="B575" s="172"/>
      <c r="C575" s="171"/>
      <c r="D575" s="78"/>
      <c r="E575" s="78"/>
      <c r="F575" s="171"/>
      <c r="G575" s="173"/>
      <c r="H575" s="170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</row>
    <row r="576" ht="14.25" customHeight="1">
      <c r="A576" s="171"/>
      <c r="B576" s="172"/>
      <c r="C576" s="171"/>
      <c r="D576" s="78"/>
      <c r="E576" s="78"/>
      <c r="F576" s="171"/>
      <c r="G576" s="173"/>
      <c r="H576" s="170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</row>
    <row r="577" ht="14.25" customHeight="1">
      <c r="A577" s="171"/>
      <c r="B577" s="172"/>
      <c r="C577" s="171"/>
      <c r="D577" s="78"/>
      <c r="E577" s="78"/>
      <c r="F577" s="171"/>
      <c r="G577" s="173"/>
      <c r="H577" s="170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</row>
    <row r="578" ht="14.25" customHeight="1">
      <c r="A578" s="171"/>
      <c r="B578" s="172"/>
      <c r="C578" s="171"/>
      <c r="D578" s="78"/>
      <c r="E578" s="78"/>
      <c r="F578" s="171"/>
      <c r="G578" s="173"/>
      <c r="H578" s="170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</row>
    <row r="579" ht="14.25" customHeight="1">
      <c r="A579" s="171"/>
      <c r="B579" s="172"/>
      <c r="C579" s="171"/>
      <c r="D579" s="78"/>
      <c r="E579" s="78"/>
      <c r="F579" s="171"/>
      <c r="G579" s="173"/>
      <c r="H579" s="170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</row>
    <row r="580" ht="14.25" customHeight="1">
      <c r="A580" s="171"/>
      <c r="B580" s="172"/>
      <c r="C580" s="171"/>
      <c r="D580" s="78"/>
      <c r="E580" s="78"/>
      <c r="F580" s="171"/>
      <c r="G580" s="173"/>
      <c r="H580" s="170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</row>
    <row r="581" ht="14.25" customHeight="1">
      <c r="A581" s="171"/>
      <c r="B581" s="172"/>
      <c r="C581" s="171"/>
      <c r="D581" s="78"/>
      <c r="E581" s="78"/>
      <c r="F581" s="171"/>
      <c r="G581" s="173"/>
      <c r="H581" s="170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</row>
    <row r="582" ht="14.25" customHeight="1">
      <c r="A582" s="171"/>
      <c r="B582" s="172"/>
      <c r="C582" s="171"/>
      <c r="D582" s="78"/>
      <c r="E582" s="78"/>
      <c r="F582" s="171"/>
      <c r="G582" s="173"/>
      <c r="H582" s="170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</row>
    <row r="583" ht="14.25" customHeight="1">
      <c r="A583" s="171"/>
      <c r="B583" s="172"/>
      <c r="C583" s="171"/>
      <c r="D583" s="78"/>
      <c r="E583" s="78"/>
      <c r="F583" s="171"/>
      <c r="G583" s="173"/>
      <c r="H583" s="170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</row>
    <row r="584" ht="14.25" customHeight="1">
      <c r="A584" s="171"/>
      <c r="B584" s="172"/>
      <c r="C584" s="171"/>
      <c r="D584" s="78"/>
      <c r="E584" s="78"/>
      <c r="F584" s="171"/>
      <c r="G584" s="173"/>
      <c r="H584" s="170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</row>
    <row r="585" ht="14.25" customHeight="1">
      <c r="A585" s="171"/>
      <c r="B585" s="172"/>
      <c r="C585" s="171"/>
      <c r="D585" s="78"/>
      <c r="E585" s="78"/>
      <c r="F585" s="171"/>
      <c r="G585" s="173"/>
      <c r="H585" s="170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</row>
    <row r="586" ht="14.25" customHeight="1">
      <c r="A586" s="171"/>
      <c r="B586" s="172"/>
      <c r="C586" s="171"/>
      <c r="D586" s="78"/>
      <c r="E586" s="78"/>
      <c r="F586" s="171"/>
      <c r="G586" s="173"/>
      <c r="H586" s="170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</row>
    <row r="587" ht="14.25" customHeight="1">
      <c r="A587" s="171"/>
      <c r="B587" s="172"/>
      <c r="C587" s="171"/>
      <c r="D587" s="78"/>
      <c r="E587" s="78"/>
      <c r="F587" s="171"/>
      <c r="G587" s="173"/>
      <c r="H587" s="170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</row>
    <row r="588" ht="14.25" customHeight="1">
      <c r="A588" s="171"/>
      <c r="B588" s="172"/>
      <c r="C588" s="171"/>
      <c r="D588" s="78"/>
      <c r="E588" s="78"/>
      <c r="F588" s="171"/>
      <c r="G588" s="173"/>
      <c r="H588" s="170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</row>
    <row r="589" ht="14.25" customHeight="1">
      <c r="A589" s="171"/>
      <c r="B589" s="172"/>
      <c r="C589" s="171"/>
      <c r="D589" s="78"/>
      <c r="E589" s="78"/>
      <c r="F589" s="171"/>
      <c r="G589" s="173"/>
      <c r="H589" s="170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</row>
    <row r="590" ht="14.25" customHeight="1">
      <c r="A590" s="171"/>
      <c r="B590" s="172"/>
      <c r="C590" s="171"/>
      <c r="D590" s="78"/>
      <c r="E590" s="78"/>
      <c r="F590" s="171"/>
      <c r="G590" s="173"/>
      <c r="H590" s="170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</row>
    <row r="591" ht="14.25" customHeight="1">
      <c r="A591" s="171"/>
      <c r="B591" s="172"/>
      <c r="C591" s="171"/>
      <c r="D591" s="78"/>
      <c r="E591" s="78"/>
      <c r="F591" s="171"/>
      <c r="G591" s="173"/>
      <c r="H591" s="170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</row>
    <row r="592" ht="14.25" customHeight="1">
      <c r="A592" s="171"/>
      <c r="B592" s="172"/>
      <c r="C592" s="171"/>
      <c r="D592" s="78"/>
      <c r="E592" s="78"/>
      <c r="F592" s="171"/>
      <c r="G592" s="173"/>
      <c r="H592" s="170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</row>
    <row r="593" ht="14.25" customHeight="1">
      <c r="A593" s="171"/>
      <c r="B593" s="172"/>
      <c r="C593" s="171"/>
      <c r="D593" s="78"/>
      <c r="E593" s="78"/>
      <c r="F593" s="171"/>
      <c r="G593" s="173"/>
      <c r="H593" s="170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</row>
    <row r="594" ht="14.25" customHeight="1">
      <c r="A594" s="171"/>
      <c r="B594" s="172"/>
      <c r="C594" s="171"/>
      <c r="D594" s="78"/>
      <c r="E594" s="78"/>
      <c r="F594" s="171"/>
      <c r="G594" s="173"/>
      <c r="H594" s="170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</row>
    <row r="595" ht="14.25" customHeight="1">
      <c r="A595" s="171"/>
      <c r="B595" s="172"/>
      <c r="C595" s="171"/>
      <c r="D595" s="78"/>
      <c r="E595" s="78"/>
      <c r="F595" s="171"/>
      <c r="G595" s="173"/>
      <c r="H595" s="170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</row>
    <row r="596" ht="14.25" customHeight="1">
      <c r="A596" s="171"/>
      <c r="B596" s="172"/>
      <c r="C596" s="171"/>
      <c r="D596" s="78"/>
      <c r="E596" s="78"/>
      <c r="F596" s="171"/>
      <c r="G596" s="173"/>
      <c r="H596" s="170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</row>
    <row r="597" ht="14.25" customHeight="1">
      <c r="A597" s="171"/>
      <c r="B597" s="172"/>
      <c r="C597" s="171"/>
      <c r="D597" s="78"/>
      <c r="E597" s="78"/>
      <c r="F597" s="171"/>
      <c r="G597" s="173"/>
      <c r="H597" s="170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</row>
    <row r="598" ht="14.25" customHeight="1">
      <c r="A598" s="171"/>
      <c r="B598" s="172"/>
      <c r="C598" s="171"/>
      <c r="D598" s="78"/>
      <c r="E598" s="78"/>
      <c r="F598" s="171"/>
      <c r="G598" s="173"/>
      <c r="H598" s="170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</row>
    <row r="599" ht="14.25" customHeight="1">
      <c r="A599" s="171"/>
      <c r="B599" s="172"/>
      <c r="C599" s="171"/>
      <c r="D599" s="78"/>
      <c r="E599" s="78"/>
      <c r="F599" s="171"/>
      <c r="G599" s="173"/>
      <c r="H599" s="170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</row>
    <row r="600" ht="14.25" customHeight="1">
      <c r="A600" s="171"/>
      <c r="B600" s="172"/>
      <c r="C600" s="171"/>
      <c r="D600" s="78"/>
      <c r="E600" s="78"/>
      <c r="F600" s="171"/>
      <c r="G600" s="173"/>
      <c r="H600" s="170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</row>
    <row r="601" ht="14.25" customHeight="1">
      <c r="A601" s="171"/>
      <c r="B601" s="172"/>
      <c r="C601" s="171"/>
      <c r="D601" s="78"/>
      <c r="E601" s="78"/>
      <c r="F601" s="171"/>
      <c r="G601" s="173"/>
      <c r="H601" s="170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</row>
    <row r="602" ht="14.25" customHeight="1">
      <c r="A602" s="171"/>
      <c r="B602" s="172"/>
      <c r="C602" s="171"/>
      <c r="D602" s="78"/>
      <c r="E602" s="78"/>
      <c r="F602" s="171"/>
      <c r="G602" s="173"/>
      <c r="H602" s="170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</row>
    <row r="603" ht="14.25" customHeight="1">
      <c r="A603" s="171"/>
      <c r="B603" s="172"/>
      <c r="C603" s="171"/>
      <c r="D603" s="78"/>
      <c r="E603" s="78"/>
      <c r="F603" s="171"/>
      <c r="G603" s="173"/>
      <c r="H603" s="170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</row>
    <row r="604" ht="14.25" customHeight="1">
      <c r="A604" s="171"/>
      <c r="B604" s="172"/>
      <c r="C604" s="171"/>
      <c r="D604" s="78"/>
      <c r="E604" s="78"/>
      <c r="F604" s="171"/>
      <c r="G604" s="173"/>
      <c r="H604" s="170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</row>
    <row r="605" ht="14.25" customHeight="1">
      <c r="A605" s="171"/>
      <c r="B605" s="172"/>
      <c r="C605" s="171"/>
      <c r="D605" s="78"/>
      <c r="E605" s="78"/>
      <c r="F605" s="171"/>
      <c r="G605" s="173"/>
      <c r="H605" s="170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</row>
    <row r="606" ht="14.25" customHeight="1">
      <c r="A606" s="171"/>
      <c r="B606" s="172"/>
      <c r="C606" s="171"/>
      <c r="D606" s="78"/>
      <c r="E606" s="78"/>
      <c r="F606" s="171"/>
      <c r="G606" s="173"/>
      <c r="H606" s="170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</row>
    <row r="607" ht="14.25" customHeight="1">
      <c r="A607" s="171"/>
      <c r="B607" s="172"/>
      <c r="C607" s="171"/>
      <c r="D607" s="78"/>
      <c r="E607" s="78"/>
      <c r="F607" s="171"/>
      <c r="G607" s="173"/>
      <c r="H607" s="170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</row>
    <row r="608" ht="14.25" customHeight="1">
      <c r="A608" s="171"/>
      <c r="B608" s="172"/>
      <c r="C608" s="171"/>
      <c r="D608" s="78"/>
      <c r="E608" s="78"/>
      <c r="F608" s="171"/>
      <c r="G608" s="173"/>
      <c r="H608" s="170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</row>
    <row r="609" ht="14.25" customHeight="1">
      <c r="A609" s="171"/>
      <c r="B609" s="172"/>
      <c r="C609" s="171"/>
      <c r="D609" s="78"/>
      <c r="E609" s="78"/>
      <c r="F609" s="171"/>
      <c r="G609" s="173"/>
      <c r="H609" s="170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</row>
    <row r="610" ht="14.25" customHeight="1">
      <c r="A610" s="171"/>
      <c r="B610" s="172"/>
      <c r="C610" s="171"/>
      <c r="D610" s="78"/>
      <c r="E610" s="78"/>
      <c r="F610" s="171"/>
      <c r="G610" s="173"/>
      <c r="H610" s="170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</row>
    <row r="611" ht="14.25" customHeight="1">
      <c r="A611" s="171"/>
      <c r="B611" s="172"/>
      <c r="C611" s="171"/>
      <c r="D611" s="78"/>
      <c r="E611" s="78"/>
      <c r="F611" s="171"/>
      <c r="G611" s="173"/>
      <c r="H611" s="170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</row>
    <row r="612" ht="14.25" customHeight="1">
      <c r="A612" s="171"/>
      <c r="B612" s="172"/>
      <c r="C612" s="171"/>
      <c r="D612" s="78"/>
      <c r="E612" s="78"/>
      <c r="F612" s="171"/>
      <c r="G612" s="173"/>
      <c r="H612" s="170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</row>
    <row r="613" ht="14.25" customHeight="1">
      <c r="A613" s="171"/>
      <c r="B613" s="172"/>
      <c r="C613" s="171"/>
      <c r="D613" s="78"/>
      <c r="E613" s="78"/>
      <c r="F613" s="171"/>
      <c r="G613" s="173"/>
      <c r="H613" s="170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</row>
    <row r="614" ht="14.25" customHeight="1">
      <c r="A614" s="171"/>
      <c r="B614" s="172"/>
      <c r="C614" s="171"/>
      <c r="D614" s="78"/>
      <c r="E614" s="78"/>
      <c r="F614" s="171"/>
      <c r="G614" s="173"/>
      <c r="H614" s="170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</row>
    <row r="615" ht="14.25" customHeight="1">
      <c r="A615" s="171"/>
      <c r="B615" s="172"/>
      <c r="C615" s="171"/>
      <c r="D615" s="78"/>
      <c r="E615" s="78"/>
      <c r="F615" s="171"/>
      <c r="G615" s="173"/>
      <c r="H615" s="170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</row>
    <row r="616" ht="14.25" customHeight="1">
      <c r="A616" s="171"/>
      <c r="B616" s="172"/>
      <c r="C616" s="171"/>
      <c r="D616" s="78"/>
      <c r="E616" s="78"/>
      <c r="F616" s="171"/>
      <c r="G616" s="173"/>
      <c r="H616" s="170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</row>
    <row r="617" ht="14.25" customHeight="1">
      <c r="A617" s="171"/>
      <c r="B617" s="172"/>
      <c r="C617" s="171"/>
      <c r="D617" s="78"/>
      <c r="E617" s="78"/>
      <c r="F617" s="171"/>
      <c r="G617" s="173"/>
      <c r="H617" s="170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</row>
    <row r="618" ht="14.25" customHeight="1">
      <c r="A618" s="171"/>
      <c r="B618" s="172"/>
      <c r="C618" s="171"/>
      <c r="D618" s="78"/>
      <c r="E618" s="78"/>
      <c r="F618" s="171"/>
      <c r="G618" s="173"/>
      <c r="H618" s="170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</row>
    <row r="619" ht="14.25" customHeight="1">
      <c r="A619" s="171"/>
      <c r="B619" s="172"/>
      <c r="C619" s="171"/>
      <c r="D619" s="78"/>
      <c r="E619" s="78"/>
      <c r="F619" s="171"/>
      <c r="G619" s="173"/>
      <c r="H619" s="170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</row>
    <row r="620" ht="14.25" customHeight="1">
      <c r="A620" s="171"/>
      <c r="B620" s="172"/>
      <c r="C620" s="171"/>
      <c r="D620" s="78"/>
      <c r="E620" s="78"/>
      <c r="F620" s="171"/>
      <c r="G620" s="173"/>
      <c r="H620" s="170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</row>
    <row r="621" ht="14.25" customHeight="1">
      <c r="A621" s="171"/>
      <c r="B621" s="172"/>
      <c r="C621" s="171"/>
      <c r="D621" s="78"/>
      <c r="E621" s="78"/>
      <c r="F621" s="171"/>
      <c r="G621" s="173"/>
      <c r="H621" s="170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</row>
    <row r="622" ht="14.25" customHeight="1">
      <c r="A622" s="171"/>
      <c r="B622" s="172"/>
      <c r="C622" s="171"/>
      <c r="D622" s="78"/>
      <c r="E622" s="78"/>
      <c r="F622" s="171"/>
      <c r="G622" s="173"/>
      <c r="H622" s="170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</row>
    <row r="623" ht="14.25" customHeight="1">
      <c r="A623" s="171"/>
      <c r="B623" s="172"/>
      <c r="C623" s="171"/>
      <c r="D623" s="78"/>
      <c r="E623" s="78"/>
      <c r="F623" s="171"/>
      <c r="G623" s="173"/>
      <c r="H623" s="170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</row>
    <row r="624" ht="14.25" customHeight="1">
      <c r="A624" s="171"/>
      <c r="B624" s="172"/>
      <c r="C624" s="171"/>
      <c r="D624" s="78"/>
      <c r="E624" s="78"/>
      <c r="F624" s="171"/>
      <c r="G624" s="173"/>
      <c r="H624" s="170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</row>
    <row r="625" ht="14.25" customHeight="1">
      <c r="A625" s="171"/>
      <c r="B625" s="172"/>
      <c r="C625" s="171"/>
      <c r="D625" s="78"/>
      <c r="E625" s="78"/>
      <c r="F625" s="171"/>
      <c r="G625" s="173"/>
      <c r="H625" s="170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</row>
    <row r="626" ht="14.25" customHeight="1">
      <c r="A626" s="171"/>
      <c r="B626" s="172"/>
      <c r="C626" s="171"/>
      <c r="D626" s="78"/>
      <c r="E626" s="78"/>
      <c r="F626" s="171"/>
      <c r="G626" s="173"/>
      <c r="H626" s="170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</row>
    <row r="627" ht="14.25" customHeight="1">
      <c r="A627" s="171"/>
      <c r="B627" s="172"/>
      <c r="C627" s="171"/>
      <c r="D627" s="78"/>
      <c r="E627" s="78"/>
      <c r="F627" s="171"/>
      <c r="G627" s="173"/>
      <c r="H627" s="170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</row>
    <row r="628" ht="14.25" customHeight="1">
      <c r="A628" s="171"/>
      <c r="B628" s="172"/>
      <c r="C628" s="171"/>
      <c r="D628" s="78"/>
      <c r="E628" s="78"/>
      <c r="F628" s="171"/>
      <c r="G628" s="173"/>
      <c r="H628" s="170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</row>
    <row r="629" ht="14.25" customHeight="1">
      <c r="A629" s="171"/>
      <c r="B629" s="172"/>
      <c r="C629" s="171"/>
      <c r="D629" s="78"/>
      <c r="E629" s="78"/>
      <c r="F629" s="171"/>
      <c r="G629" s="173"/>
      <c r="H629" s="170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</row>
    <row r="630" ht="14.25" customHeight="1">
      <c r="A630" s="171"/>
      <c r="B630" s="172"/>
      <c r="C630" s="171"/>
      <c r="D630" s="78"/>
      <c r="E630" s="78"/>
      <c r="F630" s="171"/>
      <c r="G630" s="173"/>
      <c r="H630" s="170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</row>
    <row r="631" ht="14.25" customHeight="1">
      <c r="A631" s="171"/>
      <c r="B631" s="172"/>
      <c r="C631" s="171"/>
      <c r="D631" s="78"/>
      <c r="E631" s="78"/>
      <c r="F631" s="171"/>
      <c r="G631" s="173"/>
      <c r="H631" s="170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</row>
    <row r="632" ht="14.25" customHeight="1">
      <c r="A632" s="171"/>
      <c r="B632" s="172"/>
      <c r="C632" s="171"/>
      <c r="D632" s="78"/>
      <c r="E632" s="78"/>
      <c r="F632" s="171"/>
      <c r="G632" s="173"/>
      <c r="H632" s="170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</row>
    <row r="633" ht="14.25" customHeight="1">
      <c r="A633" s="171"/>
      <c r="B633" s="172"/>
      <c r="C633" s="171"/>
      <c r="D633" s="78"/>
      <c r="E633" s="78"/>
      <c r="F633" s="171"/>
      <c r="G633" s="173"/>
      <c r="H633" s="170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</row>
    <row r="634" ht="14.25" customHeight="1">
      <c r="A634" s="171"/>
      <c r="B634" s="172"/>
      <c r="C634" s="171"/>
      <c r="D634" s="78"/>
      <c r="E634" s="78"/>
      <c r="F634" s="171"/>
      <c r="G634" s="173"/>
      <c r="H634" s="170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</row>
    <row r="635" ht="14.25" customHeight="1">
      <c r="A635" s="171"/>
      <c r="B635" s="172"/>
      <c r="C635" s="171"/>
      <c r="D635" s="78"/>
      <c r="E635" s="78"/>
      <c r="F635" s="171"/>
      <c r="G635" s="173"/>
      <c r="H635" s="170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</row>
    <row r="636" ht="14.25" customHeight="1">
      <c r="A636" s="171"/>
      <c r="B636" s="172"/>
      <c r="C636" s="171"/>
      <c r="D636" s="78"/>
      <c r="E636" s="78"/>
      <c r="F636" s="171"/>
      <c r="G636" s="173"/>
      <c r="H636" s="170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</row>
    <row r="637" ht="14.25" customHeight="1">
      <c r="A637" s="171"/>
      <c r="B637" s="172"/>
      <c r="C637" s="171"/>
      <c r="D637" s="78"/>
      <c r="E637" s="78"/>
      <c r="F637" s="171"/>
      <c r="G637" s="173"/>
      <c r="H637" s="170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</row>
    <row r="638" ht="14.25" customHeight="1">
      <c r="A638" s="171"/>
      <c r="B638" s="172"/>
      <c r="C638" s="171"/>
      <c r="D638" s="78"/>
      <c r="E638" s="78"/>
      <c r="F638" s="171"/>
      <c r="G638" s="173"/>
      <c r="H638" s="170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</row>
    <row r="639" ht="14.25" customHeight="1">
      <c r="A639" s="171"/>
      <c r="B639" s="172"/>
      <c r="C639" s="171"/>
      <c r="D639" s="78"/>
      <c r="E639" s="78"/>
      <c r="F639" s="171"/>
      <c r="G639" s="173"/>
      <c r="H639" s="170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</row>
    <row r="640" ht="14.25" customHeight="1">
      <c r="A640" s="171"/>
      <c r="B640" s="172"/>
      <c r="C640" s="171"/>
      <c r="D640" s="78"/>
      <c r="E640" s="78"/>
      <c r="F640" s="171"/>
      <c r="G640" s="173"/>
      <c r="H640" s="170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</row>
    <row r="641" ht="14.25" customHeight="1">
      <c r="A641" s="171"/>
      <c r="B641" s="172"/>
      <c r="C641" s="171"/>
      <c r="D641" s="78"/>
      <c r="E641" s="78"/>
      <c r="F641" s="171"/>
      <c r="G641" s="173"/>
      <c r="H641" s="170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</row>
    <row r="642" ht="14.25" customHeight="1">
      <c r="A642" s="171"/>
      <c r="B642" s="172"/>
      <c r="C642" s="171"/>
      <c r="D642" s="78"/>
      <c r="E642" s="78"/>
      <c r="F642" s="171"/>
      <c r="G642" s="173"/>
      <c r="H642" s="170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</row>
    <row r="643" ht="14.25" customHeight="1">
      <c r="A643" s="171"/>
      <c r="B643" s="172"/>
      <c r="C643" s="171"/>
      <c r="D643" s="78"/>
      <c r="E643" s="78"/>
      <c r="F643" s="171"/>
      <c r="G643" s="173"/>
      <c r="H643" s="170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</row>
    <row r="644" ht="14.25" customHeight="1">
      <c r="A644" s="171"/>
      <c r="B644" s="172"/>
      <c r="C644" s="171"/>
      <c r="D644" s="78"/>
      <c r="E644" s="78"/>
      <c r="F644" s="171"/>
      <c r="G644" s="173"/>
      <c r="H644" s="170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</row>
    <row r="645" ht="14.25" customHeight="1">
      <c r="A645" s="171"/>
      <c r="B645" s="172"/>
      <c r="C645" s="171"/>
      <c r="D645" s="78"/>
      <c r="E645" s="78"/>
      <c r="F645" s="171"/>
      <c r="G645" s="173"/>
      <c r="H645" s="170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</row>
    <row r="646" ht="14.25" customHeight="1">
      <c r="A646" s="171"/>
      <c r="B646" s="172"/>
      <c r="C646" s="171"/>
      <c r="D646" s="78"/>
      <c r="E646" s="78"/>
      <c r="F646" s="171"/>
      <c r="G646" s="173"/>
      <c r="H646" s="170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</row>
    <row r="647" ht="14.25" customHeight="1">
      <c r="A647" s="171"/>
      <c r="B647" s="172"/>
      <c r="C647" s="171"/>
      <c r="D647" s="78"/>
      <c r="E647" s="78"/>
      <c r="F647" s="171"/>
      <c r="G647" s="173"/>
      <c r="H647" s="170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</row>
    <row r="648" ht="14.25" customHeight="1">
      <c r="A648" s="171"/>
      <c r="B648" s="172"/>
      <c r="C648" s="171"/>
      <c r="D648" s="78"/>
      <c r="E648" s="78"/>
      <c r="F648" s="171"/>
      <c r="G648" s="173"/>
      <c r="H648" s="170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</row>
    <row r="649" ht="14.25" customHeight="1">
      <c r="A649" s="171"/>
      <c r="B649" s="172"/>
      <c r="C649" s="171"/>
      <c r="D649" s="78"/>
      <c r="E649" s="78"/>
      <c r="F649" s="171"/>
      <c r="G649" s="173"/>
      <c r="H649" s="170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</row>
    <row r="650" ht="14.25" customHeight="1">
      <c r="A650" s="171"/>
      <c r="B650" s="172"/>
      <c r="C650" s="171"/>
      <c r="D650" s="78"/>
      <c r="E650" s="78"/>
      <c r="F650" s="171"/>
      <c r="G650" s="173"/>
      <c r="H650" s="170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</row>
    <row r="651" ht="14.25" customHeight="1">
      <c r="A651" s="171"/>
      <c r="B651" s="172"/>
      <c r="C651" s="171"/>
      <c r="D651" s="78"/>
      <c r="E651" s="78"/>
      <c r="F651" s="171"/>
      <c r="G651" s="173"/>
      <c r="H651" s="170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</row>
    <row r="652" ht="14.25" customHeight="1">
      <c r="A652" s="171"/>
      <c r="B652" s="172"/>
      <c r="C652" s="171"/>
      <c r="D652" s="78"/>
      <c r="E652" s="78"/>
      <c r="F652" s="171"/>
      <c r="G652" s="173"/>
      <c r="H652" s="170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</row>
    <row r="653" ht="14.25" customHeight="1">
      <c r="A653" s="171"/>
      <c r="B653" s="172"/>
      <c r="C653" s="171"/>
      <c r="D653" s="78"/>
      <c r="E653" s="78"/>
      <c r="F653" s="171"/>
      <c r="G653" s="173"/>
      <c r="H653" s="170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</row>
    <row r="654" ht="14.25" customHeight="1">
      <c r="A654" s="171"/>
      <c r="B654" s="172"/>
      <c r="C654" s="171"/>
      <c r="D654" s="78"/>
      <c r="E654" s="78"/>
      <c r="F654" s="171"/>
      <c r="G654" s="173"/>
      <c r="H654" s="170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</row>
    <row r="655" ht="14.25" customHeight="1">
      <c r="A655" s="171"/>
      <c r="B655" s="172"/>
      <c r="C655" s="171"/>
      <c r="D655" s="78"/>
      <c r="E655" s="78"/>
      <c r="F655" s="171"/>
      <c r="G655" s="173"/>
      <c r="H655" s="170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</row>
    <row r="656" ht="14.25" customHeight="1">
      <c r="A656" s="171"/>
      <c r="B656" s="172"/>
      <c r="C656" s="171"/>
      <c r="D656" s="78"/>
      <c r="E656" s="78"/>
      <c r="F656" s="171"/>
      <c r="G656" s="173"/>
      <c r="H656" s="170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</row>
    <row r="657" ht="14.25" customHeight="1">
      <c r="A657" s="171"/>
      <c r="B657" s="172"/>
      <c r="C657" s="171"/>
      <c r="D657" s="78"/>
      <c r="E657" s="78"/>
      <c r="F657" s="171"/>
      <c r="G657" s="173"/>
      <c r="H657" s="170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</row>
    <row r="658" ht="14.25" customHeight="1">
      <c r="A658" s="171"/>
      <c r="B658" s="172"/>
      <c r="C658" s="171"/>
      <c r="D658" s="78"/>
      <c r="E658" s="78"/>
      <c r="F658" s="171"/>
      <c r="G658" s="173"/>
      <c r="H658" s="170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</row>
    <row r="659" ht="14.25" customHeight="1">
      <c r="A659" s="171"/>
      <c r="B659" s="172"/>
      <c r="C659" s="171"/>
      <c r="D659" s="78"/>
      <c r="E659" s="78"/>
      <c r="F659" s="171"/>
      <c r="G659" s="173"/>
      <c r="H659" s="170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</row>
    <row r="660" ht="14.25" customHeight="1">
      <c r="A660" s="171"/>
      <c r="B660" s="172"/>
      <c r="C660" s="171"/>
      <c r="D660" s="78"/>
      <c r="E660" s="78"/>
      <c r="F660" s="171"/>
      <c r="G660" s="173"/>
      <c r="H660" s="170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</row>
    <row r="661" ht="14.25" customHeight="1">
      <c r="A661" s="171"/>
      <c r="B661" s="172"/>
      <c r="C661" s="171"/>
      <c r="D661" s="78"/>
      <c r="E661" s="78"/>
      <c r="F661" s="171"/>
      <c r="G661" s="173"/>
      <c r="H661" s="170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</row>
    <row r="662" ht="14.25" customHeight="1">
      <c r="A662" s="171"/>
      <c r="B662" s="172"/>
      <c r="C662" s="171"/>
      <c r="D662" s="78"/>
      <c r="E662" s="78"/>
      <c r="F662" s="171"/>
      <c r="G662" s="173"/>
      <c r="H662" s="170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</row>
    <row r="663" ht="14.25" customHeight="1">
      <c r="A663" s="171"/>
      <c r="B663" s="172"/>
      <c r="C663" s="171"/>
      <c r="D663" s="78"/>
      <c r="E663" s="78"/>
      <c r="F663" s="171"/>
      <c r="G663" s="173"/>
      <c r="H663" s="170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</row>
    <row r="664" ht="14.25" customHeight="1">
      <c r="A664" s="171"/>
      <c r="B664" s="172"/>
      <c r="C664" s="171"/>
      <c r="D664" s="78"/>
      <c r="E664" s="78"/>
      <c r="F664" s="171"/>
      <c r="G664" s="173"/>
      <c r="H664" s="170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</row>
    <row r="665" ht="14.25" customHeight="1">
      <c r="A665" s="171"/>
      <c r="B665" s="172"/>
      <c r="C665" s="171"/>
      <c r="D665" s="78"/>
      <c r="E665" s="78"/>
      <c r="F665" s="171"/>
      <c r="G665" s="173"/>
      <c r="H665" s="170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</row>
    <row r="666" ht="14.25" customHeight="1">
      <c r="A666" s="171"/>
      <c r="B666" s="172"/>
      <c r="C666" s="171"/>
      <c r="D666" s="78"/>
      <c r="E666" s="78"/>
      <c r="F666" s="171"/>
      <c r="G666" s="173"/>
      <c r="H666" s="170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</row>
    <row r="667" ht="14.25" customHeight="1">
      <c r="A667" s="171"/>
      <c r="B667" s="172"/>
      <c r="C667" s="171"/>
      <c r="D667" s="78"/>
      <c r="E667" s="78"/>
      <c r="F667" s="171"/>
      <c r="G667" s="173"/>
      <c r="H667" s="170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</row>
    <row r="668" ht="14.25" customHeight="1">
      <c r="A668" s="171"/>
      <c r="B668" s="172"/>
      <c r="C668" s="171"/>
      <c r="D668" s="78"/>
      <c r="E668" s="78"/>
      <c r="F668" s="171"/>
      <c r="G668" s="173"/>
      <c r="H668" s="170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</row>
    <row r="669" ht="14.25" customHeight="1">
      <c r="A669" s="171"/>
      <c r="B669" s="172"/>
      <c r="C669" s="171"/>
      <c r="D669" s="78"/>
      <c r="E669" s="78"/>
      <c r="F669" s="171"/>
      <c r="G669" s="173"/>
      <c r="H669" s="170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</row>
    <row r="670" ht="14.25" customHeight="1">
      <c r="A670" s="171"/>
      <c r="B670" s="172"/>
      <c r="C670" s="171"/>
      <c r="D670" s="78"/>
      <c r="E670" s="78"/>
      <c r="F670" s="171"/>
      <c r="G670" s="173"/>
      <c r="H670" s="170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</row>
    <row r="671" ht="14.25" customHeight="1">
      <c r="A671" s="171"/>
      <c r="B671" s="172"/>
      <c r="C671" s="171"/>
      <c r="D671" s="78"/>
      <c r="E671" s="78"/>
      <c r="F671" s="171"/>
      <c r="G671" s="173"/>
      <c r="H671" s="170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</row>
    <row r="672" ht="14.25" customHeight="1">
      <c r="A672" s="171"/>
      <c r="B672" s="172"/>
      <c r="C672" s="171"/>
      <c r="D672" s="78"/>
      <c r="E672" s="78"/>
      <c r="F672" s="171"/>
      <c r="G672" s="173"/>
      <c r="H672" s="170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</row>
    <row r="673" ht="14.25" customHeight="1">
      <c r="A673" s="171"/>
      <c r="B673" s="172"/>
      <c r="C673" s="171"/>
      <c r="D673" s="78"/>
      <c r="E673" s="78"/>
      <c r="F673" s="171"/>
      <c r="G673" s="173"/>
      <c r="H673" s="170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</row>
    <row r="674" ht="14.25" customHeight="1">
      <c r="A674" s="171"/>
      <c r="B674" s="172"/>
      <c r="C674" s="171"/>
      <c r="D674" s="78"/>
      <c r="E674" s="78"/>
      <c r="F674" s="171"/>
      <c r="G674" s="173"/>
      <c r="H674" s="170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</row>
    <row r="675" ht="14.25" customHeight="1">
      <c r="A675" s="171"/>
      <c r="B675" s="172"/>
      <c r="C675" s="171"/>
      <c r="D675" s="78"/>
      <c r="E675" s="78"/>
      <c r="F675" s="171"/>
      <c r="G675" s="173"/>
      <c r="H675" s="170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</row>
    <row r="676" ht="14.25" customHeight="1">
      <c r="A676" s="171"/>
      <c r="B676" s="172"/>
      <c r="C676" s="171"/>
      <c r="D676" s="78"/>
      <c r="E676" s="78"/>
      <c r="F676" s="171"/>
      <c r="G676" s="173"/>
      <c r="H676" s="170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</row>
    <row r="677" ht="14.25" customHeight="1">
      <c r="A677" s="171"/>
      <c r="B677" s="172"/>
      <c r="C677" s="171"/>
      <c r="D677" s="78"/>
      <c r="E677" s="78"/>
      <c r="F677" s="171"/>
      <c r="G677" s="173"/>
      <c r="H677" s="170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</row>
    <row r="678" ht="14.25" customHeight="1">
      <c r="A678" s="171"/>
      <c r="B678" s="172"/>
      <c r="C678" s="171"/>
      <c r="D678" s="78"/>
      <c r="E678" s="78"/>
      <c r="F678" s="171"/>
      <c r="G678" s="173"/>
      <c r="H678" s="170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</row>
    <row r="679" ht="14.25" customHeight="1">
      <c r="A679" s="171"/>
      <c r="B679" s="172"/>
      <c r="C679" s="171"/>
      <c r="D679" s="78"/>
      <c r="E679" s="78"/>
      <c r="F679" s="171"/>
      <c r="G679" s="173"/>
      <c r="H679" s="170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</row>
    <row r="680" ht="14.25" customHeight="1">
      <c r="A680" s="171"/>
      <c r="B680" s="172"/>
      <c r="C680" s="171"/>
      <c r="D680" s="78"/>
      <c r="E680" s="78"/>
      <c r="F680" s="171"/>
      <c r="G680" s="173"/>
      <c r="H680" s="170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</row>
    <row r="681" ht="14.25" customHeight="1">
      <c r="A681" s="171"/>
      <c r="B681" s="172"/>
      <c r="C681" s="171"/>
      <c r="D681" s="78"/>
      <c r="E681" s="78"/>
      <c r="F681" s="171"/>
      <c r="G681" s="173"/>
      <c r="H681" s="170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</row>
    <row r="682" ht="14.25" customHeight="1">
      <c r="A682" s="171"/>
      <c r="B682" s="172"/>
      <c r="C682" s="171"/>
      <c r="D682" s="78"/>
      <c r="E682" s="78"/>
      <c r="F682" s="171"/>
      <c r="G682" s="173"/>
      <c r="H682" s="170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</row>
    <row r="683" ht="14.25" customHeight="1">
      <c r="A683" s="171"/>
      <c r="B683" s="172"/>
      <c r="C683" s="171"/>
      <c r="D683" s="78"/>
      <c r="E683" s="78"/>
      <c r="F683" s="171"/>
      <c r="G683" s="173"/>
      <c r="H683" s="170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</row>
    <row r="684" ht="14.25" customHeight="1">
      <c r="A684" s="171"/>
      <c r="B684" s="172"/>
      <c r="C684" s="171"/>
      <c r="D684" s="78"/>
      <c r="E684" s="78"/>
      <c r="F684" s="171"/>
      <c r="G684" s="173"/>
      <c r="H684" s="170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</row>
    <row r="685" ht="14.25" customHeight="1">
      <c r="A685" s="171"/>
      <c r="B685" s="172"/>
      <c r="C685" s="171"/>
      <c r="D685" s="78"/>
      <c r="E685" s="78"/>
      <c r="F685" s="171"/>
      <c r="G685" s="173"/>
      <c r="H685" s="170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</row>
    <row r="686" ht="14.25" customHeight="1">
      <c r="A686" s="171"/>
      <c r="B686" s="172"/>
      <c r="C686" s="171"/>
      <c r="D686" s="78"/>
      <c r="E686" s="78"/>
      <c r="F686" s="171"/>
      <c r="G686" s="173"/>
      <c r="H686" s="170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</row>
    <row r="687" ht="14.25" customHeight="1">
      <c r="A687" s="171"/>
      <c r="B687" s="172"/>
      <c r="C687" s="171"/>
      <c r="D687" s="78"/>
      <c r="E687" s="78"/>
      <c r="F687" s="171"/>
      <c r="G687" s="173"/>
      <c r="H687" s="170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</row>
    <row r="688" ht="14.25" customHeight="1">
      <c r="A688" s="171"/>
      <c r="B688" s="172"/>
      <c r="C688" s="171"/>
      <c r="D688" s="78"/>
      <c r="E688" s="78"/>
      <c r="F688" s="171"/>
      <c r="G688" s="173"/>
      <c r="H688" s="170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</row>
    <row r="689" ht="14.25" customHeight="1">
      <c r="A689" s="171"/>
      <c r="B689" s="172"/>
      <c r="C689" s="171"/>
      <c r="D689" s="78"/>
      <c r="E689" s="78"/>
      <c r="F689" s="171"/>
      <c r="G689" s="173"/>
      <c r="H689" s="170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</row>
    <row r="690" ht="14.25" customHeight="1">
      <c r="A690" s="171"/>
      <c r="B690" s="172"/>
      <c r="C690" s="171"/>
      <c r="D690" s="78"/>
      <c r="E690" s="78"/>
      <c r="F690" s="171"/>
      <c r="G690" s="173"/>
      <c r="H690" s="170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</row>
    <row r="691" ht="14.25" customHeight="1">
      <c r="A691" s="171"/>
      <c r="B691" s="172"/>
      <c r="C691" s="171"/>
      <c r="D691" s="78"/>
      <c r="E691" s="78"/>
      <c r="F691" s="171"/>
      <c r="G691" s="173"/>
      <c r="H691" s="170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</row>
    <row r="692" ht="14.25" customHeight="1">
      <c r="A692" s="171"/>
      <c r="B692" s="172"/>
      <c r="C692" s="171"/>
      <c r="D692" s="78"/>
      <c r="E692" s="78"/>
      <c r="F692" s="171"/>
      <c r="G692" s="173"/>
      <c r="H692" s="170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</row>
    <row r="693" ht="14.25" customHeight="1">
      <c r="A693" s="171"/>
      <c r="B693" s="172"/>
      <c r="C693" s="171"/>
      <c r="D693" s="78"/>
      <c r="E693" s="78"/>
      <c r="F693" s="171"/>
      <c r="G693" s="173"/>
      <c r="H693" s="170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</row>
    <row r="694" ht="14.25" customHeight="1">
      <c r="A694" s="171"/>
      <c r="B694" s="172"/>
      <c r="C694" s="171"/>
      <c r="D694" s="78"/>
      <c r="E694" s="78"/>
      <c r="F694" s="171"/>
      <c r="G694" s="173"/>
      <c r="H694" s="170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</row>
    <row r="695" ht="14.25" customHeight="1">
      <c r="A695" s="171"/>
      <c r="B695" s="172"/>
      <c r="C695" s="171"/>
      <c r="D695" s="78"/>
      <c r="E695" s="78"/>
      <c r="F695" s="171"/>
      <c r="G695" s="173"/>
      <c r="H695" s="170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</row>
    <row r="696" ht="14.25" customHeight="1">
      <c r="A696" s="171"/>
      <c r="B696" s="172"/>
      <c r="C696" s="171"/>
      <c r="D696" s="78"/>
      <c r="E696" s="78"/>
      <c r="F696" s="171"/>
      <c r="G696" s="173"/>
      <c r="H696" s="170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</row>
    <row r="697" ht="14.25" customHeight="1">
      <c r="A697" s="171"/>
      <c r="B697" s="172"/>
      <c r="C697" s="171"/>
      <c r="D697" s="78"/>
      <c r="E697" s="78"/>
      <c r="F697" s="171"/>
      <c r="G697" s="173"/>
      <c r="H697" s="170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</row>
    <row r="698" ht="14.25" customHeight="1">
      <c r="A698" s="171"/>
      <c r="B698" s="172"/>
      <c r="C698" s="171"/>
      <c r="D698" s="78"/>
      <c r="E698" s="78"/>
      <c r="F698" s="171"/>
      <c r="G698" s="173"/>
      <c r="H698" s="170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</row>
    <row r="699" ht="14.25" customHeight="1">
      <c r="A699" s="171"/>
      <c r="B699" s="172"/>
      <c r="C699" s="171"/>
      <c r="D699" s="78"/>
      <c r="E699" s="78"/>
      <c r="F699" s="171"/>
      <c r="G699" s="173"/>
      <c r="H699" s="170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</row>
    <row r="700" ht="14.25" customHeight="1">
      <c r="A700" s="171"/>
      <c r="B700" s="172"/>
      <c r="C700" s="171"/>
      <c r="D700" s="78"/>
      <c r="E700" s="78"/>
      <c r="F700" s="171"/>
      <c r="G700" s="173"/>
      <c r="H700" s="170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</row>
    <row r="701" ht="14.25" customHeight="1">
      <c r="A701" s="171"/>
      <c r="B701" s="172"/>
      <c r="C701" s="171"/>
      <c r="D701" s="78"/>
      <c r="E701" s="78"/>
      <c r="F701" s="171"/>
      <c r="G701" s="173"/>
      <c r="H701" s="170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</row>
    <row r="702" ht="14.25" customHeight="1">
      <c r="A702" s="171"/>
      <c r="B702" s="172"/>
      <c r="C702" s="171"/>
      <c r="D702" s="78"/>
      <c r="E702" s="78"/>
      <c r="F702" s="171"/>
      <c r="G702" s="173"/>
      <c r="H702" s="170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</row>
    <row r="703" ht="14.25" customHeight="1">
      <c r="A703" s="171"/>
      <c r="B703" s="172"/>
      <c r="C703" s="171"/>
      <c r="D703" s="78"/>
      <c r="E703" s="78"/>
      <c r="F703" s="171"/>
      <c r="G703" s="173"/>
      <c r="H703" s="170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</row>
    <row r="704" ht="14.25" customHeight="1">
      <c r="A704" s="171"/>
      <c r="B704" s="172"/>
      <c r="C704" s="171"/>
      <c r="D704" s="78"/>
      <c r="E704" s="78"/>
      <c r="F704" s="171"/>
      <c r="G704" s="173"/>
      <c r="H704" s="170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</row>
    <row r="705" ht="14.25" customHeight="1">
      <c r="A705" s="171"/>
      <c r="B705" s="172"/>
      <c r="C705" s="171"/>
      <c r="D705" s="78"/>
      <c r="E705" s="78"/>
      <c r="F705" s="171"/>
      <c r="G705" s="173"/>
      <c r="H705" s="170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</row>
    <row r="706" ht="14.25" customHeight="1">
      <c r="A706" s="171"/>
      <c r="B706" s="172"/>
      <c r="C706" s="171"/>
      <c r="D706" s="78"/>
      <c r="E706" s="78"/>
      <c r="F706" s="171"/>
      <c r="G706" s="173"/>
      <c r="H706" s="170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</row>
    <row r="707" ht="14.25" customHeight="1">
      <c r="A707" s="171"/>
      <c r="B707" s="172"/>
      <c r="C707" s="171"/>
      <c r="D707" s="78"/>
      <c r="E707" s="78"/>
      <c r="F707" s="171"/>
      <c r="G707" s="173"/>
      <c r="H707" s="170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</row>
    <row r="708" ht="14.25" customHeight="1">
      <c r="A708" s="171"/>
      <c r="B708" s="172"/>
      <c r="C708" s="171"/>
      <c r="D708" s="78"/>
      <c r="E708" s="78"/>
      <c r="F708" s="171"/>
      <c r="G708" s="173"/>
      <c r="H708" s="170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</row>
    <row r="709" ht="14.25" customHeight="1">
      <c r="A709" s="171"/>
      <c r="B709" s="172"/>
      <c r="C709" s="171"/>
      <c r="D709" s="78"/>
      <c r="E709" s="78"/>
      <c r="F709" s="171"/>
      <c r="G709" s="173"/>
      <c r="H709" s="170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</row>
    <row r="710" ht="14.25" customHeight="1">
      <c r="A710" s="171"/>
      <c r="B710" s="172"/>
      <c r="C710" s="171"/>
      <c r="D710" s="78"/>
      <c r="E710" s="78"/>
      <c r="F710" s="171"/>
      <c r="G710" s="173"/>
      <c r="H710" s="170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</row>
    <row r="711" ht="14.25" customHeight="1">
      <c r="A711" s="171"/>
      <c r="B711" s="172"/>
      <c r="C711" s="171"/>
      <c r="D711" s="78"/>
      <c r="E711" s="78"/>
      <c r="F711" s="171"/>
      <c r="G711" s="173"/>
      <c r="H711" s="170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</row>
    <row r="712" ht="14.25" customHeight="1">
      <c r="A712" s="171"/>
      <c r="B712" s="172"/>
      <c r="C712" s="171"/>
      <c r="D712" s="78"/>
      <c r="E712" s="78"/>
      <c r="F712" s="171"/>
      <c r="G712" s="173"/>
      <c r="H712" s="170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</row>
    <row r="713" ht="14.25" customHeight="1">
      <c r="A713" s="171"/>
      <c r="B713" s="172"/>
      <c r="C713" s="171"/>
      <c r="D713" s="78"/>
      <c r="E713" s="78"/>
      <c r="F713" s="171"/>
      <c r="G713" s="173"/>
      <c r="H713" s="170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</row>
    <row r="714" ht="14.25" customHeight="1">
      <c r="A714" s="171"/>
      <c r="B714" s="172"/>
      <c r="C714" s="171"/>
      <c r="D714" s="78"/>
      <c r="E714" s="78"/>
      <c r="F714" s="171"/>
      <c r="G714" s="173"/>
      <c r="H714" s="170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</row>
    <row r="715" ht="14.25" customHeight="1">
      <c r="A715" s="171"/>
      <c r="B715" s="172"/>
      <c r="C715" s="171"/>
      <c r="D715" s="78"/>
      <c r="E715" s="78"/>
      <c r="F715" s="171"/>
      <c r="G715" s="173"/>
      <c r="H715" s="170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</row>
    <row r="716" ht="14.25" customHeight="1">
      <c r="A716" s="171"/>
      <c r="B716" s="172"/>
      <c r="C716" s="171"/>
      <c r="D716" s="78"/>
      <c r="E716" s="78"/>
      <c r="F716" s="171"/>
      <c r="G716" s="173"/>
      <c r="H716" s="170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</row>
    <row r="717" ht="14.25" customHeight="1">
      <c r="A717" s="171"/>
      <c r="B717" s="172"/>
      <c r="C717" s="171"/>
      <c r="D717" s="78"/>
      <c r="E717" s="78"/>
      <c r="F717" s="171"/>
      <c r="G717" s="173"/>
      <c r="H717" s="170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</row>
    <row r="718" ht="14.25" customHeight="1">
      <c r="A718" s="171"/>
      <c r="B718" s="172"/>
      <c r="C718" s="171"/>
      <c r="D718" s="78"/>
      <c r="E718" s="78"/>
      <c r="F718" s="171"/>
      <c r="G718" s="173"/>
      <c r="H718" s="170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</row>
    <row r="719" ht="14.25" customHeight="1">
      <c r="A719" s="171"/>
      <c r="B719" s="172"/>
      <c r="C719" s="171"/>
      <c r="D719" s="78"/>
      <c r="E719" s="78"/>
      <c r="F719" s="171"/>
      <c r="G719" s="173"/>
      <c r="H719" s="170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</row>
    <row r="720" ht="14.25" customHeight="1">
      <c r="A720" s="171"/>
      <c r="B720" s="172"/>
      <c r="C720" s="171"/>
      <c r="D720" s="78"/>
      <c r="E720" s="78"/>
      <c r="F720" s="171"/>
      <c r="G720" s="173"/>
      <c r="H720" s="170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</row>
    <row r="721" ht="14.25" customHeight="1">
      <c r="A721" s="171"/>
      <c r="B721" s="172"/>
      <c r="C721" s="171"/>
      <c r="D721" s="78"/>
      <c r="E721" s="78"/>
      <c r="F721" s="171"/>
      <c r="G721" s="173"/>
      <c r="H721" s="170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</row>
    <row r="722" ht="14.25" customHeight="1">
      <c r="A722" s="171"/>
      <c r="B722" s="172"/>
      <c r="C722" s="171"/>
      <c r="D722" s="78"/>
      <c r="E722" s="78"/>
      <c r="F722" s="171"/>
      <c r="G722" s="173"/>
      <c r="H722" s="170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</row>
    <row r="723" ht="14.25" customHeight="1">
      <c r="A723" s="171"/>
      <c r="B723" s="172"/>
      <c r="C723" s="171"/>
      <c r="D723" s="78"/>
      <c r="E723" s="78"/>
      <c r="F723" s="171"/>
      <c r="G723" s="173"/>
      <c r="H723" s="170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</row>
    <row r="724" ht="14.25" customHeight="1">
      <c r="A724" s="171"/>
      <c r="B724" s="172"/>
      <c r="C724" s="171"/>
      <c r="D724" s="78"/>
      <c r="E724" s="78"/>
      <c r="F724" s="171"/>
      <c r="G724" s="173"/>
      <c r="H724" s="170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</row>
    <row r="725" ht="14.25" customHeight="1">
      <c r="A725" s="171"/>
      <c r="B725" s="172"/>
      <c r="C725" s="171"/>
      <c r="D725" s="78"/>
      <c r="E725" s="78"/>
      <c r="F725" s="171"/>
      <c r="G725" s="173"/>
      <c r="H725" s="170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</row>
    <row r="726" ht="14.25" customHeight="1">
      <c r="A726" s="171"/>
      <c r="B726" s="172"/>
      <c r="C726" s="171"/>
      <c r="D726" s="78"/>
      <c r="E726" s="78"/>
      <c r="F726" s="171"/>
      <c r="G726" s="173"/>
      <c r="H726" s="170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</row>
    <row r="727" ht="14.25" customHeight="1">
      <c r="A727" s="171"/>
      <c r="B727" s="172"/>
      <c r="C727" s="171"/>
      <c r="D727" s="78"/>
      <c r="E727" s="78"/>
      <c r="F727" s="171"/>
      <c r="G727" s="173"/>
      <c r="H727" s="170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</row>
    <row r="728" ht="14.25" customHeight="1">
      <c r="A728" s="171"/>
      <c r="B728" s="172"/>
      <c r="C728" s="171"/>
      <c r="D728" s="78"/>
      <c r="E728" s="78"/>
      <c r="F728" s="171"/>
      <c r="G728" s="173"/>
      <c r="H728" s="170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</row>
    <row r="729" ht="14.25" customHeight="1">
      <c r="A729" s="171"/>
      <c r="B729" s="172"/>
      <c r="C729" s="171"/>
      <c r="D729" s="78"/>
      <c r="E729" s="78"/>
      <c r="F729" s="171"/>
      <c r="G729" s="173"/>
      <c r="H729" s="170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</row>
    <row r="730" ht="14.25" customHeight="1">
      <c r="A730" s="171"/>
      <c r="B730" s="172"/>
      <c r="C730" s="171"/>
      <c r="D730" s="78"/>
      <c r="E730" s="78"/>
      <c r="F730" s="171"/>
      <c r="G730" s="173"/>
      <c r="H730" s="170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</row>
    <row r="731" ht="14.25" customHeight="1">
      <c r="A731" s="171"/>
      <c r="B731" s="172"/>
      <c r="C731" s="171"/>
      <c r="D731" s="78"/>
      <c r="E731" s="78"/>
      <c r="F731" s="171"/>
      <c r="G731" s="173"/>
      <c r="H731" s="170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</row>
    <row r="732" ht="14.25" customHeight="1">
      <c r="A732" s="171"/>
      <c r="B732" s="172"/>
      <c r="C732" s="171"/>
      <c r="D732" s="78"/>
      <c r="E732" s="78"/>
      <c r="F732" s="171"/>
      <c r="G732" s="173"/>
      <c r="H732" s="170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</row>
    <row r="733" ht="14.25" customHeight="1">
      <c r="A733" s="171"/>
      <c r="B733" s="172"/>
      <c r="C733" s="171"/>
      <c r="D733" s="78"/>
      <c r="E733" s="78"/>
      <c r="F733" s="171"/>
      <c r="G733" s="173"/>
      <c r="H733" s="170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</row>
    <row r="734" ht="14.25" customHeight="1">
      <c r="A734" s="171"/>
      <c r="B734" s="172"/>
      <c r="C734" s="171"/>
      <c r="D734" s="78"/>
      <c r="E734" s="78"/>
      <c r="F734" s="171"/>
      <c r="G734" s="173"/>
      <c r="H734" s="170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</row>
    <row r="735" ht="14.25" customHeight="1">
      <c r="A735" s="171"/>
      <c r="B735" s="172"/>
      <c r="C735" s="171"/>
      <c r="D735" s="78"/>
      <c r="E735" s="78"/>
      <c r="F735" s="171"/>
      <c r="G735" s="173"/>
      <c r="H735" s="170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</row>
    <row r="736" ht="14.25" customHeight="1">
      <c r="A736" s="171"/>
      <c r="B736" s="172"/>
      <c r="C736" s="171"/>
      <c r="D736" s="78"/>
      <c r="E736" s="78"/>
      <c r="F736" s="171"/>
      <c r="G736" s="173"/>
      <c r="H736" s="170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</row>
    <row r="737" ht="14.25" customHeight="1">
      <c r="A737" s="171"/>
      <c r="B737" s="172"/>
      <c r="C737" s="171"/>
      <c r="D737" s="78"/>
      <c r="E737" s="78"/>
      <c r="F737" s="171"/>
      <c r="G737" s="173"/>
      <c r="H737" s="170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</row>
    <row r="738" ht="14.25" customHeight="1">
      <c r="A738" s="171"/>
      <c r="B738" s="172"/>
      <c r="C738" s="171"/>
      <c r="D738" s="78"/>
      <c r="E738" s="78"/>
      <c r="F738" s="171"/>
      <c r="G738" s="173"/>
      <c r="H738" s="170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</row>
    <row r="739" ht="14.25" customHeight="1">
      <c r="A739" s="171"/>
      <c r="B739" s="172"/>
      <c r="C739" s="171"/>
      <c r="D739" s="78"/>
      <c r="E739" s="78"/>
      <c r="F739" s="171"/>
      <c r="G739" s="173"/>
      <c r="H739" s="170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</row>
    <row r="740" ht="14.25" customHeight="1">
      <c r="A740" s="171"/>
      <c r="B740" s="172"/>
      <c r="C740" s="171"/>
      <c r="D740" s="78"/>
      <c r="E740" s="78"/>
      <c r="F740" s="171"/>
      <c r="G740" s="173"/>
      <c r="H740" s="170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</row>
    <row r="741" ht="14.25" customHeight="1">
      <c r="A741" s="171"/>
      <c r="B741" s="172"/>
      <c r="C741" s="171"/>
      <c r="D741" s="78"/>
      <c r="E741" s="78"/>
      <c r="F741" s="171"/>
      <c r="G741" s="173"/>
      <c r="H741" s="170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</row>
    <row r="742" ht="14.25" customHeight="1">
      <c r="A742" s="171"/>
      <c r="B742" s="172"/>
      <c r="C742" s="171"/>
      <c r="D742" s="78"/>
      <c r="E742" s="78"/>
      <c r="F742" s="171"/>
      <c r="G742" s="173"/>
      <c r="H742" s="170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</row>
    <row r="743" ht="14.25" customHeight="1">
      <c r="A743" s="171"/>
      <c r="B743" s="172"/>
      <c r="C743" s="171"/>
      <c r="D743" s="78"/>
      <c r="E743" s="78"/>
      <c r="F743" s="171"/>
      <c r="G743" s="173"/>
      <c r="H743" s="170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</row>
    <row r="744" ht="14.25" customHeight="1">
      <c r="A744" s="171"/>
      <c r="B744" s="172"/>
      <c r="C744" s="171"/>
      <c r="D744" s="78"/>
      <c r="E744" s="78"/>
      <c r="F744" s="171"/>
      <c r="G744" s="173"/>
      <c r="H744" s="170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</row>
    <row r="745" ht="14.25" customHeight="1">
      <c r="A745" s="171"/>
      <c r="B745" s="172"/>
      <c r="C745" s="171"/>
      <c r="D745" s="78"/>
      <c r="E745" s="78"/>
      <c r="F745" s="171"/>
      <c r="G745" s="173"/>
      <c r="H745" s="170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</row>
    <row r="746" ht="14.25" customHeight="1">
      <c r="A746" s="171"/>
      <c r="B746" s="172"/>
      <c r="C746" s="171"/>
      <c r="D746" s="78"/>
      <c r="E746" s="78"/>
      <c r="F746" s="171"/>
      <c r="G746" s="173"/>
      <c r="H746" s="170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</row>
    <row r="747" ht="14.25" customHeight="1">
      <c r="A747" s="171"/>
      <c r="B747" s="172"/>
      <c r="C747" s="171"/>
      <c r="D747" s="78"/>
      <c r="E747" s="78"/>
      <c r="F747" s="171"/>
      <c r="G747" s="173"/>
      <c r="H747" s="170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</row>
    <row r="748" ht="14.25" customHeight="1">
      <c r="A748" s="171"/>
      <c r="B748" s="172"/>
      <c r="C748" s="171"/>
      <c r="D748" s="78"/>
      <c r="E748" s="78"/>
      <c r="F748" s="171"/>
      <c r="G748" s="173"/>
      <c r="H748" s="170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</row>
    <row r="749" ht="14.25" customHeight="1">
      <c r="A749" s="171"/>
      <c r="B749" s="172"/>
      <c r="C749" s="171"/>
      <c r="D749" s="78"/>
      <c r="E749" s="78"/>
      <c r="F749" s="171"/>
      <c r="G749" s="173"/>
      <c r="H749" s="170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</row>
    <row r="750" ht="14.25" customHeight="1">
      <c r="A750" s="171"/>
      <c r="B750" s="172"/>
      <c r="C750" s="171"/>
      <c r="D750" s="78"/>
      <c r="E750" s="78"/>
      <c r="F750" s="171"/>
      <c r="G750" s="173"/>
      <c r="H750" s="170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</row>
    <row r="751" ht="14.25" customHeight="1">
      <c r="A751" s="171"/>
      <c r="B751" s="172"/>
      <c r="C751" s="171"/>
      <c r="D751" s="78"/>
      <c r="E751" s="78"/>
      <c r="F751" s="171"/>
      <c r="G751" s="173"/>
      <c r="H751" s="170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</row>
    <row r="752" ht="14.25" customHeight="1">
      <c r="A752" s="171"/>
      <c r="B752" s="172"/>
      <c r="C752" s="171"/>
      <c r="D752" s="78"/>
      <c r="E752" s="78"/>
      <c r="F752" s="171"/>
      <c r="G752" s="173"/>
      <c r="H752" s="170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</row>
    <row r="753" ht="14.25" customHeight="1">
      <c r="A753" s="171"/>
      <c r="B753" s="172"/>
      <c r="C753" s="171"/>
      <c r="D753" s="78"/>
      <c r="E753" s="78"/>
      <c r="F753" s="171"/>
      <c r="G753" s="173"/>
      <c r="H753" s="170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</row>
    <row r="754" ht="14.25" customHeight="1">
      <c r="A754" s="171"/>
      <c r="B754" s="172"/>
      <c r="C754" s="171"/>
      <c r="D754" s="78"/>
      <c r="E754" s="78"/>
      <c r="F754" s="171"/>
      <c r="G754" s="173"/>
      <c r="H754" s="170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</row>
    <row r="755" ht="14.25" customHeight="1">
      <c r="A755" s="171"/>
      <c r="B755" s="172"/>
      <c r="C755" s="171"/>
      <c r="D755" s="78"/>
      <c r="E755" s="78"/>
      <c r="F755" s="171"/>
      <c r="G755" s="173"/>
      <c r="H755" s="170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</row>
    <row r="756" ht="14.25" customHeight="1">
      <c r="A756" s="171"/>
      <c r="B756" s="172"/>
      <c r="C756" s="171"/>
      <c r="D756" s="78"/>
      <c r="E756" s="78"/>
      <c r="F756" s="171"/>
      <c r="G756" s="173"/>
      <c r="H756" s="170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</row>
    <row r="757" ht="14.25" customHeight="1">
      <c r="A757" s="171"/>
      <c r="B757" s="172"/>
      <c r="C757" s="171"/>
      <c r="D757" s="78"/>
      <c r="E757" s="78"/>
      <c r="F757" s="171"/>
      <c r="G757" s="173"/>
      <c r="H757" s="170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</row>
    <row r="758" ht="14.25" customHeight="1">
      <c r="A758" s="171"/>
      <c r="B758" s="172"/>
      <c r="C758" s="171"/>
      <c r="D758" s="78"/>
      <c r="E758" s="78"/>
      <c r="F758" s="171"/>
      <c r="G758" s="173"/>
      <c r="H758" s="170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</row>
    <row r="759" ht="14.25" customHeight="1">
      <c r="A759" s="171"/>
      <c r="B759" s="172"/>
      <c r="C759" s="171"/>
      <c r="D759" s="78"/>
      <c r="E759" s="78"/>
      <c r="F759" s="171"/>
      <c r="G759" s="173"/>
      <c r="H759" s="170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</row>
    <row r="760" ht="14.25" customHeight="1">
      <c r="A760" s="171"/>
      <c r="B760" s="172"/>
      <c r="C760" s="171"/>
      <c r="D760" s="78"/>
      <c r="E760" s="78"/>
      <c r="F760" s="171"/>
      <c r="G760" s="173"/>
      <c r="H760" s="170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</row>
    <row r="761" ht="14.25" customHeight="1">
      <c r="A761" s="171"/>
      <c r="B761" s="172"/>
      <c r="C761" s="171"/>
      <c r="D761" s="78"/>
      <c r="E761" s="78"/>
      <c r="F761" s="171"/>
      <c r="G761" s="173"/>
      <c r="H761" s="170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</row>
    <row r="762" ht="14.25" customHeight="1">
      <c r="A762" s="171"/>
      <c r="B762" s="172"/>
      <c r="C762" s="171"/>
      <c r="D762" s="78"/>
      <c r="E762" s="78"/>
      <c r="F762" s="171"/>
      <c r="G762" s="173"/>
      <c r="H762" s="170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</row>
    <row r="763" ht="14.25" customHeight="1">
      <c r="A763" s="171"/>
      <c r="B763" s="172"/>
      <c r="C763" s="171"/>
      <c r="D763" s="78"/>
      <c r="E763" s="78"/>
      <c r="F763" s="171"/>
      <c r="G763" s="173"/>
      <c r="H763" s="170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</row>
    <row r="764" ht="14.25" customHeight="1">
      <c r="A764" s="171"/>
      <c r="B764" s="172"/>
      <c r="C764" s="171"/>
      <c r="D764" s="78"/>
      <c r="E764" s="78"/>
      <c r="F764" s="171"/>
      <c r="G764" s="173"/>
      <c r="H764" s="170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</row>
    <row r="765" ht="14.25" customHeight="1">
      <c r="A765" s="171"/>
      <c r="B765" s="172"/>
      <c r="C765" s="171"/>
      <c r="D765" s="78"/>
      <c r="E765" s="78"/>
      <c r="F765" s="171"/>
      <c r="G765" s="173"/>
      <c r="H765" s="170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</row>
    <row r="766" ht="14.25" customHeight="1">
      <c r="A766" s="171"/>
      <c r="B766" s="172"/>
      <c r="C766" s="171"/>
      <c r="D766" s="78"/>
      <c r="E766" s="78"/>
      <c r="F766" s="171"/>
      <c r="G766" s="173"/>
      <c r="H766" s="170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</row>
    <row r="767" ht="14.25" customHeight="1">
      <c r="A767" s="171"/>
      <c r="B767" s="172"/>
      <c r="C767" s="171"/>
      <c r="D767" s="78"/>
      <c r="E767" s="78"/>
      <c r="F767" s="171"/>
      <c r="G767" s="173"/>
      <c r="H767" s="170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</row>
    <row r="768" ht="14.25" customHeight="1">
      <c r="A768" s="171"/>
      <c r="B768" s="172"/>
      <c r="C768" s="171"/>
      <c r="D768" s="78"/>
      <c r="E768" s="78"/>
      <c r="F768" s="171"/>
      <c r="G768" s="173"/>
      <c r="H768" s="170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</row>
    <row r="769" ht="14.25" customHeight="1">
      <c r="A769" s="171"/>
      <c r="B769" s="172"/>
      <c r="C769" s="171"/>
      <c r="D769" s="78"/>
      <c r="E769" s="78"/>
      <c r="F769" s="171"/>
      <c r="G769" s="173"/>
      <c r="H769" s="170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</row>
    <row r="770" ht="14.25" customHeight="1">
      <c r="A770" s="171"/>
      <c r="B770" s="172"/>
      <c r="C770" s="171"/>
      <c r="D770" s="78"/>
      <c r="E770" s="78"/>
      <c r="F770" s="171"/>
      <c r="G770" s="173"/>
      <c r="H770" s="170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</row>
    <row r="771" ht="14.25" customHeight="1">
      <c r="A771" s="171"/>
      <c r="B771" s="172"/>
      <c r="C771" s="171"/>
      <c r="D771" s="78"/>
      <c r="E771" s="78"/>
      <c r="F771" s="171"/>
      <c r="G771" s="173"/>
      <c r="H771" s="170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</row>
    <row r="772" ht="14.25" customHeight="1">
      <c r="A772" s="171"/>
      <c r="B772" s="172"/>
      <c r="C772" s="171"/>
      <c r="D772" s="78"/>
      <c r="E772" s="78"/>
      <c r="F772" s="171"/>
      <c r="G772" s="173"/>
      <c r="H772" s="170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</row>
    <row r="773" ht="14.25" customHeight="1">
      <c r="A773" s="171"/>
      <c r="B773" s="172"/>
      <c r="C773" s="171"/>
      <c r="D773" s="78"/>
      <c r="E773" s="78"/>
      <c r="F773" s="171"/>
      <c r="G773" s="173"/>
      <c r="H773" s="170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</row>
    <row r="774" ht="14.25" customHeight="1">
      <c r="A774" s="171"/>
      <c r="B774" s="172"/>
      <c r="C774" s="171"/>
      <c r="D774" s="78"/>
      <c r="E774" s="78"/>
      <c r="F774" s="171"/>
      <c r="G774" s="173"/>
      <c r="H774" s="170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</row>
    <row r="775" ht="14.25" customHeight="1">
      <c r="A775" s="171"/>
      <c r="B775" s="172"/>
      <c r="C775" s="171"/>
      <c r="D775" s="78"/>
      <c r="E775" s="78"/>
      <c r="F775" s="171"/>
      <c r="G775" s="173"/>
      <c r="H775" s="170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</row>
    <row r="776" ht="14.25" customHeight="1">
      <c r="A776" s="171"/>
      <c r="B776" s="172"/>
      <c r="C776" s="171"/>
      <c r="D776" s="78"/>
      <c r="E776" s="78"/>
      <c r="F776" s="171"/>
      <c r="G776" s="173"/>
      <c r="H776" s="170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</row>
    <row r="777" ht="14.25" customHeight="1">
      <c r="A777" s="171"/>
      <c r="B777" s="172"/>
      <c r="C777" s="171"/>
      <c r="D777" s="78"/>
      <c r="E777" s="78"/>
      <c r="F777" s="171"/>
      <c r="G777" s="173"/>
      <c r="H777" s="170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</row>
    <row r="778" ht="14.25" customHeight="1">
      <c r="A778" s="171"/>
      <c r="B778" s="172"/>
      <c r="C778" s="171"/>
      <c r="D778" s="78"/>
      <c r="E778" s="78"/>
      <c r="F778" s="171"/>
      <c r="G778" s="173"/>
      <c r="H778" s="170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</row>
    <row r="779" ht="14.25" customHeight="1">
      <c r="A779" s="171"/>
      <c r="B779" s="172"/>
      <c r="C779" s="171"/>
      <c r="D779" s="78"/>
      <c r="E779" s="78"/>
      <c r="F779" s="171"/>
      <c r="G779" s="173"/>
      <c r="H779" s="170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</row>
    <row r="780" ht="14.25" customHeight="1">
      <c r="A780" s="171"/>
      <c r="B780" s="172"/>
      <c r="C780" s="171"/>
      <c r="D780" s="78"/>
      <c r="E780" s="78"/>
      <c r="F780" s="171"/>
      <c r="G780" s="173"/>
      <c r="H780" s="170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</row>
    <row r="781" ht="14.25" customHeight="1">
      <c r="A781" s="171"/>
      <c r="B781" s="172"/>
      <c r="C781" s="171"/>
      <c r="D781" s="78"/>
      <c r="E781" s="78"/>
      <c r="F781" s="171"/>
      <c r="G781" s="173"/>
      <c r="H781" s="170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</row>
    <row r="782" ht="14.25" customHeight="1">
      <c r="A782" s="171"/>
      <c r="B782" s="172"/>
      <c r="C782" s="171"/>
      <c r="D782" s="78"/>
      <c r="E782" s="78"/>
      <c r="F782" s="171"/>
      <c r="G782" s="173"/>
      <c r="H782" s="170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</row>
    <row r="783" ht="14.25" customHeight="1">
      <c r="A783" s="171"/>
      <c r="B783" s="172"/>
      <c r="C783" s="171"/>
      <c r="D783" s="78"/>
      <c r="E783" s="78"/>
      <c r="F783" s="171"/>
      <c r="G783" s="173"/>
      <c r="H783" s="170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</row>
    <row r="784" ht="14.25" customHeight="1">
      <c r="A784" s="171"/>
      <c r="B784" s="172"/>
      <c r="C784" s="171"/>
      <c r="D784" s="78"/>
      <c r="E784" s="78"/>
      <c r="F784" s="171"/>
      <c r="G784" s="173"/>
      <c r="H784" s="170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</row>
    <row r="785" ht="14.25" customHeight="1">
      <c r="A785" s="171"/>
      <c r="B785" s="172"/>
      <c r="C785" s="171"/>
      <c r="D785" s="78"/>
      <c r="E785" s="78"/>
      <c r="F785" s="171"/>
      <c r="G785" s="173"/>
      <c r="H785" s="170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</row>
    <row r="786" ht="14.25" customHeight="1">
      <c r="A786" s="171"/>
      <c r="B786" s="172"/>
      <c r="C786" s="171"/>
      <c r="D786" s="78"/>
      <c r="E786" s="78"/>
      <c r="F786" s="171"/>
      <c r="G786" s="173"/>
      <c r="H786" s="170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</row>
    <row r="787" ht="14.25" customHeight="1">
      <c r="A787" s="171"/>
      <c r="B787" s="172"/>
      <c r="C787" s="171"/>
      <c r="D787" s="78"/>
      <c r="E787" s="78"/>
      <c r="F787" s="171"/>
      <c r="G787" s="173"/>
      <c r="H787" s="170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</row>
    <row r="788" ht="14.25" customHeight="1">
      <c r="A788" s="171"/>
      <c r="B788" s="172"/>
      <c r="C788" s="171"/>
      <c r="D788" s="78"/>
      <c r="E788" s="78"/>
      <c r="F788" s="171"/>
      <c r="G788" s="173"/>
      <c r="H788" s="170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</row>
    <row r="789" ht="14.25" customHeight="1">
      <c r="A789" s="171"/>
      <c r="B789" s="172"/>
      <c r="C789" s="171"/>
      <c r="D789" s="78"/>
      <c r="E789" s="78"/>
      <c r="F789" s="171"/>
      <c r="G789" s="173"/>
      <c r="H789" s="170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</row>
    <row r="790" ht="14.25" customHeight="1">
      <c r="A790" s="171"/>
      <c r="B790" s="172"/>
      <c r="C790" s="171"/>
      <c r="D790" s="78"/>
      <c r="E790" s="78"/>
      <c r="F790" s="171"/>
      <c r="G790" s="173"/>
      <c r="H790" s="170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</row>
    <row r="791" ht="14.25" customHeight="1">
      <c r="A791" s="171"/>
      <c r="B791" s="172"/>
      <c r="C791" s="171"/>
      <c r="D791" s="78"/>
      <c r="E791" s="78"/>
      <c r="F791" s="171"/>
      <c r="G791" s="173"/>
      <c r="H791" s="170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</row>
    <row r="792" ht="14.25" customHeight="1">
      <c r="A792" s="171"/>
      <c r="B792" s="172"/>
      <c r="C792" s="171"/>
      <c r="D792" s="78"/>
      <c r="E792" s="78"/>
      <c r="F792" s="171"/>
      <c r="G792" s="173"/>
      <c r="H792" s="170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</row>
    <row r="793" ht="14.25" customHeight="1">
      <c r="A793" s="171"/>
      <c r="B793" s="172"/>
      <c r="C793" s="171"/>
      <c r="D793" s="78"/>
      <c r="E793" s="78"/>
      <c r="F793" s="171"/>
      <c r="G793" s="173"/>
      <c r="H793" s="170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</row>
    <row r="794" ht="14.25" customHeight="1">
      <c r="A794" s="171"/>
      <c r="B794" s="172"/>
      <c r="C794" s="171"/>
      <c r="D794" s="78"/>
      <c r="E794" s="78"/>
      <c r="F794" s="171"/>
      <c r="G794" s="173"/>
      <c r="H794" s="170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</row>
    <row r="795" ht="14.25" customHeight="1">
      <c r="A795" s="171"/>
      <c r="B795" s="172"/>
      <c r="C795" s="171"/>
      <c r="D795" s="78"/>
      <c r="E795" s="78"/>
      <c r="F795" s="171"/>
      <c r="G795" s="173"/>
      <c r="H795" s="170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</row>
    <row r="796" ht="14.25" customHeight="1">
      <c r="A796" s="171"/>
      <c r="B796" s="172"/>
      <c r="C796" s="171"/>
      <c r="D796" s="78"/>
      <c r="E796" s="78"/>
      <c r="F796" s="171"/>
      <c r="G796" s="173"/>
      <c r="H796" s="170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</row>
    <row r="797" ht="14.25" customHeight="1">
      <c r="A797" s="171"/>
      <c r="B797" s="172"/>
      <c r="C797" s="171"/>
      <c r="D797" s="78"/>
      <c r="E797" s="78"/>
      <c r="F797" s="171"/>
      <c r="G797" s="173"/>
      <c r="H797" s="170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</row>
    <row r="798" ht="14.25" customHeight="1">
      <c r="A798" s="171"/>
      <c r="B798" s="172"/>
      <c r="C798" s="171"/>
      <c r="D798" s="78"/>
      <c r="E798" s="78"/>
      <c r="F798" s="171"/>
      <c r="G798" s="173"/>
      <c r="H798" s="170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</row>
    <row r="799" ht="14.25" customHeight="1">
      <c r="A799" s="171"/>
      <c r="B799" s="172"/>
      <c r="C799" s="171"/>
      <c r="D799" s="78"/>
      <c r="E799" s="78"/>
      <c r="F799" s="171"/>
      <c r="G799" s="173"/>
      <c r="H799" s="170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</row>
    <row r="800" ht="14.25" customHeight="1">
      <c r="A800" s="171"/>
      <c r="B800" s="172"/>
      <c r="C800" s="171"/>
      <c r="D800" s="78"/>
      <c r="E800" s="78"/>
      <c r="F800" s="171"/>
      <c r="G800" s="173"/>
      <c r="H800" s="170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</row>
    <row r="801" ht="14.25" customHeight="1">
      <c r="A801" s="171"/>
      <c r="B801" s="172"/>
      <c r="C801" s="171"/>
      <c r="D801" s="78"/>
      <c r="E801" s="78"/>
      <c r="F801" s="171"/>
      <c r="G801" s="173"/>
      <c r="H801" s="170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</row>
    <row r="802" ht="14.25" customHeight="1">
      <c r="A802" s="171"/>
      <c r="B802" s="172"/>
      <c r="C802" s="171"/>
      <c r="D802" s="78"/>
      <c r="E802" s="78"/>
      <c r="F802" s="171"/>
      <c r="G802" s="173"/>
      <c r="H802" s="170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</row>
    <row r="803" ht="14.25" customHeight="1">
      <c r="A803" s="171"/>
      <c r="B803" s="172"/>
      <c r="C803" s="171"/>
      <c r="D803" s="78"/>
      <c r="E803" s="78"/>
      <c r="F803" s="171"/>
      <c r="G803" s="173"/>
      <c r="H803" s="170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</row>
    <row r="804" ht="14.25" customHeight="1">
      <c r="A804" s="171"/>
      <c r="B804" s="172"/>
      <c r="C804" s="171"/>
      <c r="D804" s="78"/>
      <c r="E804" s="78"/>
      <c r="F804" s="171"/>
      <c r="G804" s="173"/>
      <c r="H804" s="170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</row>
    <row r="805" ht="14.25" customHeight="1">
      <c r="A805" s="171"/>
      <c r="B805" s="172"/>
      <c r="C805" s="171"/>
      <c r="D805" s="78"/>
      <c r="E805" s="78"/>
      <c r="F805" s="171"/>
      <c r="G805" s="173"/>
      <c r="H805" s="170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</row>
    <row r="806" ht="14.25" customHeight="1">
      <c r="A806" s="171"/>
      <c r="B806" s="172"/>
      <c r="C806" s="171"/>
      <c r="D806" s="78"/>
      <c r="E806" s="78"/>
      <c r="F806" s="171"/>
      <c r="G806" s="173"/>
      <c r="H806" s="170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</row>
    <row r="807" ht="14.25" customHeight="1">
      <c r="A807" s="171"/>
      <c r="B807" s="172"/>
      <c r="C807" s="171"/>
      <c r="D807" s="78"/>
      <c r="E807" s="78"/>
      <c r="F807" s="171"/>
      <c r="G807" s="173"/>
      <c r="H807" s="170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</row>
    <row r="808" ht="14.25" customHeight="1">
      <c r="A808" s="171"/>
      <c r="B808" s="172"/>
      <c r="C808" s="171"/>
      <c r="D808" s="78"/>
      <c r="E808" s="78"/>
      <c r="F808" s="171"/>
      <c r="G808" s="173"/>
      <c r="H808" s="170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</row>
    <row r="809" ht="14.25" customHeight="1">
      <c r="A809" s="171"/>
      <c r="B809" s="172"/>
      <c r="C809" s="171"/>
      <c r="D809" s="78"/>
      <c r="E809" s="78"/>
      <c r="F809" s="171"/>
      <c r="G809" s="173"/>
      <c r="H809" s="170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</row>
    <row r="810" ht="14.25" customHeight="1">
      <c r="A810" s="171"/>
      <c r="B810" s="172"/>
      <c r="C810" s="171"/>
      <c r="D810" s="78"/>
      <c r="E810" s="78"/>
      <c r="F810" s="171"/>
      <c r="G810" s="173"/>
      <c r="H810" s="170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</row>
    <row r="811" ht="14.25" customHeight="1">
      <c r="A811" s="171"/>
      <c r="B811" s="172"/>
      <c r="C811" s="171"/>
      <c r="D811" s="78"/>
      <c r="E811" s="78"/>
      <c r="F811" s="171"/>
      <c r="G811" s="173"/>
      <c r="H811" s="170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</row>
    <row r="812" ht="14.25" customHeight="1">
      <c r="A812" s="171"/>
      <c r="B812" s="172"/>
      <c r="C812" s="171"/>
      <c r="D812" s="78"/>
      <c r="E812" s="78"/>
      <c r="F812" s="171"/>
      <c r="G812" s="173"/>
      <c r="H812" s="170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</row>
    <row r="813" ht="14.25" customHeight="1">
      <c r="A813" s="171"/>
      <c r="B813" s="172"/>
      <c r="C813" s="171"/>
      <c r="D813" s="78"/>
      <c r="E813" s="78"/>
      <c r="F813" s="171"/>
      <c r="G813" s="173"/>
      <c r="H813" s="170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</row>
    <row r="814" ht="14.25" customHeight="1">
      <c r="A814" s="171"/>
      <c r="B814" s="172"/>
      <c r="C814" s="171"/>
      <c r="D814" s="78"/>
      <c r="E814" s="78"/>
      <c r="F814" s="171"/>
      <c r="G814" s="173"/>
      <c r="H814" s="170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</row>
    <row r="815" ht="14.25" customHeight="1">
      <c r="A815" s="171"/>
      <c r="B815" s="172"/>
      <c r="C815" s="171"/>
      <c r="D815" s="78"/>
      <c r="E815" s="78"/>
      <c r="F815" s="171"/>
      <c r="G815" s="173"/>
      <c r="H815" s="170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</row>
    <row r="816" ht="14.25" customHeight="1">
      <c r="A816" s="171"/>
      <c r="B816" s="172"/>
      <c r="C816" s="171"/>
      <c r="D816" s="78"/>
      <c r="E816" s="78"/>
      <c r="F816" s="171"/>
      <c r="G816" s="173"/>
      <c r="H816" s="170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</row>
    <row r="817" ht="14.25" customHeight="1">
      <c r="A817" s="171"/>
      <c r="B817" s="172"/>
      <c r="C817" s="171"/>
      <c r="D817" s="78"/>
      <c r="E817" s="78"/>
      <c r="F817" s="171"/>
      <c r="G817" s="173"/>
      <c r="H817" s="170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</row>
    <row r="818" ht="14.25" customHeight="1">
      <c r="A818" s="171"/>
      <c r="B818" s="172"/>
      <c r="C818" s="171"/>
      <c r="D818" s="78"/>
      <c r="E818" s="78"/>
      <c r="F818" s="171"/>
      <c r="G818" s="173"/>
      <c r="H818" s="170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</row>
    <row r="819" ht="14.25" customHeight="1">
      <c r="A819" s="171"/>
      <c r="B819" s="172"/>
      <c r="C819" s="171"/>
      <c r="D819" s="78"/>
      <c r="E819" s="78"/>
      <c r="F819" s="171"/>
      <c r="G819" s="173"/>
      <c r="H819" s="170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</row>
    <row r="820" ht="14.25" customHeight="1">
      <c r="A820" s="171"/>
      <c r="B820" s="172"/>
      <c r="C820" s="171"/>
      <c r="D820" s="78"/>
      <c r="E820" s="78"/>
      <c r="F820" s="171"/>
      <c r="G820" s="173"/>
      <c r="H820" s="170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</row>
    <row r="821" ht="14.25" customHeight="1">
      <c r="A821" s="171"/>
      <c r="B821" s="172"/>
      <c r="C821" s="171"/>
      <c r="D821" s="78"/>
      <c r="E821" s="78"/>
      <c r="F821" s="171"/>
      <c r="G821" s="173"/>
      <c r="H821" s="170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</row>
    <row r="822" ht="14.25" customHeight="1">
      <c r="A822" s="171"/>
      <c r="B822" s="172"/>
      <c r="C822" s="171"/>
      <c r="D822" s="78"/>
      <c r="E822" s="78"/>
      <c r="F822" s="171"/>
      <c r="G822" s="173"/>
      <c r="H822" s="170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</row>
    <row r="823" ht="14.25" customHeight="1">
      <c r="A823" s="171"/>
      <c r="B823" s="172"/>
      <c r="C823" s="171"/>
      <c r="D823" s="78"/>
      <c r="E823" s="78"/>
      <c r="F823" s="171"/>
      <c r="G823" s="173"/>
      <c r="H823" s="170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</row>
    <row r="824" ht="14.25" customHeight="1">
      <c r="A824" s="171"/>
      <c r="B824" s="172"/>
      <c r="C824" s="171"/>
      <c r="D824" s="78"/>
      <c r="E824" s="78"/>
      <c r="F824" s="171"/>
      <c r="G824" s="173"/>
      <c r="H824" s="170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</row>
    <row r="825" ht="14.25" customHeight="1">
      <c r="A825" s="171"/>
      <c r="B825" s="172"/>
      <c r="C825" s="171"/>
      <c r="D825" s="78"/>
      <c r="E825" s="78"/>
      <c r="F825" s="171"/>
      <c r="G825" s="173"/>
      <c r="H825" s="170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</row>
    <row r="826" ht="14.25" customHeight="1">
      <c r="A826" s="171"/>
      <c r="B826" s="172"/>
      <c r="C826" s="171"/>
      <c r="D826" s="78"/>
      <c r="E826" s="78"/>
      <c r="F826" s="171"/>
      <c r="G826" s="173"/>
      <c r="H826" s="170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</row>
    <row r="827" ht="14.25" customHeight="1">
      <c r="A827" s="171"/>
      <c r="B827" s="172"/>
      <c r="C827" s="171"/>
      <c r="D827" s="78"/>
      <c r="E827" s="78"/>
      <c r="F827" s="171"/>
      <c r="G827" s="173"/>
      <c r="H827" s="170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</row>
    <row r="828" ht="14.25" customHeight="1">
      <c r="A828" s="171"/>
      <c r="B828" s="172"/>
      <c r="C828" s="171"/>
      <c r="D828" s="78"/>
      <c r="E828" s="78"/>
      <c r="F828" s="171"/>
      <c r="G828" s="173"/>
      <c r="H828" s="170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</row>
    <row r="829" ht="14.25" customHeight="1">
      <c r="A829" s="171"/>
      <c r="B829" s="172"/>
      <c r="C829" s="171"/>
      <c r="D829" s="78"/>
      <c r="E829" s="78"/>
      <c r="F829" s="171"/>
      <c r="G829" s="173"/>
      <c r="H829" s="170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</row>
    <row r="830" ht="14.25" customHeight="1">
      <c r="A830" s="171"/>
      <c r="B830" s="172"/>
      <c r="C830" s="171"/>
      <c r="D830" s="78"/>
      <c r="E830" s="78"/>
      <c r="F830" s="171"/>
      <c r="G830" s="173"/>
      <c r="H830" s="170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</row>
    <row r="831" ht="14.25" customHeight="1">
      <c r="A831" s="171"/>
      <c r="B831" s="172"/>
      <c r="C831" s="171"/>
      <c r="D831" s="78"/>
      <c r="E831" s="78"/>
      <c r="F831" s="171"/>
      <c r="G831" s="173"/>
      <c r="H831" s="170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</row>
    <row r="832" ht="14.25" customHeight="1">
      <c r="A832" s="171"/>
      <c r="B832" s="172"/>
      <c r="C832" s="171"/>
      <c r="D832" s="78"/>
      <c r="E832" s="78"/>
      <c r="F832" s="171"/>
      <c r="G832" s="173"/>
      <c r="H832" s="170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</row>
    <row r="833" ht="14.25" customHeight="1">
      <c r="A833" s="171"/>
      <c r="B833" s="172"/>
      <c r="C833" s="171"/>
      <c r="D833" s="78"/>
      <c r="E833" s="78"/>
      <c r="F833" s="171"/>
      <c r="G833" s="173"/>
      <c r="H833" s="170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</row>
    <row r="834" ht="14.25" customHeight="1">
      <c r="A834" s="171"/>
      <c r="B834" s="172"/>
      <c r="C834" s="171"/>
      <c r="D834" s="78"/>
      <c r="E834" s="78"/>
      <c r="F834" s="171"/>
      <c r="G834" s="173"/>
      <c r="H834" s="170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</row>
    <row r="835" ht="14.25" customHeight="1">
      <c r="A835" s="171"/>
      <c r="B835" s="172"/>
      <c r="C835" s="171"/>
      <c r="D835" s="78"/>
      <c r="E835" s="78"/>
      <c r="F835" s="171"/>
      <c r="G835" s="173"/>
      <c r="H835" s="170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</row>
    <row r="836" ht="14.25" customHeight="1">
      <c r="A836" s="171"/>
      <c r="B836" s="172"/>
      <c r="C836" s="171"/>
      <c r="D836" s="78"/>
      <c r="E836" s="78"/>
      <c r="F836" s="171"/>
      <c r="G836" s="173"/>
      <c r="H836" s="170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</row>
    <row r="837" ht="14.25" customHeight="1">
      <c r="A837" s="171"/>
      <c r="B837" s="172"/>
      <c r="C837" s="171"/>
      <c r="D837" s="78"/>
      <c r="E837" s="78"/>
      <c r="F837" s="171"/>
      <c r="G837" s="173"/>
      <c r="H837" s="170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</row>
    <row r="838" ht="14.25" customHeight="1">
      <c r="A838" s="171"/>
      <c r="B838" s="172"/>
      <c r="C838" s="171"/>
      <c r="D838" s="78"/>
      <c r="E838" s="78"/>
      <c r="F838" s="171"/>
      <c r="G838" s="173"/>
      <c r="H838" s="170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</row>
    <row r="839" ht="14.25" customHeight="1">
      <c r="A839" s="171"/>
      <c r="B839" s="172"/>
      <c r="C839" s="171"/>
      <c r="D839" s="78"/>
      <c r="E839" s="78"/>
      <c r="F839" s="171"/>
      <c r="G839" s="173"/>
      <c r="H839" s="170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</row>
    <row r="840" ht="14.25" customHeight="1">
      <c r="A840" s="171"/>
      <c r="B840" s="172"/>
      <c r="C840" s="171"/>
      <c r="D840" s="78"/>
      <c r="E840" s="78"/>
      <c r="F840" s="171"/>
      <c r="G840" s="173"/>
      <c r="H840" s="170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</row>
    <row r="841" ht="14.25" customHeight="1">
      <c r="A841" s="171"/>
      <c r="B841" s="172"/>
      <c r="C841" s="171"/>
      <c r="D841" s="78"/>
      <c r="E841" s="78"/>
      <c r="F841" s="171"/>
      <c r="G841" s="173"/>
      <c r="H841" s="170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</row>
    <row r="842" ht="14.25" customHeight="1">
      <c r="A842" s="171"/>
      <c r="B842" s="172"/>
      <c r="C842" s="171"/>
      <c r="D842" s="78"/>
      <c r="E842" s="78"/>
      <c r="F842" s="171"/>
      <c r="G842" s="173"/>
      <c r="H842" s="170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</row>
    <row r="843" ht="14.25" customHeight="1">
      <c r="A843" s="171"/>
      <c r="B843" s="172"/>
      <c r="C843" s="171"/>
      <c r="D843" s="78"/>
      <c r="E843" s="78"/>
      <c r="F843" s="171"/>
      <c r="G843" s="173"/>
      <c r="H843" s="170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</row>
    <row r="844" ht="14.25" customHeight="1">
      <c r="A844" s="171"/>
      <c r="B844" s="172"/>
      <c r="C844" s="171"/>
      <c r="D844" s="78"/>
      <c r="E844" s="78"/>
      <c r="F844" s="171"/>
      <c r="G844" s="173"/>
      <c r="H844" s="170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</row>
    <row r="845" ht="14.25" customHeight="1">
      <c r="A845" s="171"/>
      <c r="B845" s="172"/>
      <c r="C845" s="171"/>
      <c r="D845" s="78"/>
      <c r="E845" s="78"/>
      <c r="F845" s="171"/>
      <c r="G845" s="173"/>
      <c r="H845" s="170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</row>
    <row r="846" ht="14.25" customHeight="1">
      <c r="A846" s="171"/>
      <c r="B846" s="172"/>
      <c r="C846" s="171"/>
      <c r="D846" s="78"/>
      <c r="E846" s="78"/>
      <c r="F846" s="171"/>
      <c r="G846" s="173"/>
      <c r="H846" s="170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</row>
    <row r="847" ht="14.25" customHeight="1">
      <c r="A847" s="171"/>
      <c r="B847" s="172"/>
      <c r="C847" s="171"/>
      <c r="D847" s="78"/>
      <c r="E847" s="78"/>
      <c r="F847" s="171"/>
      <c r="G847" s="173"/>
      <c r="H847" s="170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</row>
    <row r="848" ht="14.25" customHeight="1">
      <c r="A848" s="171"/>
      <c r="B848" s="172"/>
      <c r="C848" s="171"/>
      <c r="D848" s="78"/>
      <c r="E848" s="78"/>
      <c r="F848" s="171"/>
      <c r="G848" s="173"/>
      <c r="H848" s="170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</row>
    <row r="849" ht="14.25" customHeight="1">
      <c r="A849" s="171"/>
      <c r="B849" s="172"/>
      <c r="C849" s="171"/>
      <c r="D849" s="78"/>
      <c r="E849" s="78"/>
      <c r="F849" s="171"/>
      <c r="G849" s="173"/>
      <c r="H849" s="170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</row>
    <row r="850" ht="14.25" customHeight="1">
      <c r="A850" s="171"/>
      <c r="B850" s="172"/>
      <c r="C850" s="171"/>
      <c r="D850" s="78"/>
      <c r="E850" s="78"/>
      <c r="F850" s="171"/>
      <c r="G850" s="173"/>
      <c r="H850" s="170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</row>
    <row r="851" ht="14.25" customHeight="1">
      <c r="A851" s="171"/>
      <c r="B851" s="172"/>
      <c r="C851" s="171"/>
      <c r="D851" s="78"/>
      <c r="E851" s="78"/>
      <c r="F851" s="171"/>
      <c r="G851" s="173"/>
      <c r="H851" s="170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</row>
    <row r="852" ht="14.25" customHeight="1">
      <c r="A852" s="171"/>
      <c r="B852" s="172"/>
      <c r="C852" s="171"/>
      <c r="D852" s="78"/>
      <c r="E852" s="78"/>
      <c r="F852" s="171"/>
      <c r="G852" s="173"/>
      <c r="H852" s="170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</row>
    <row r="853" ht="14.25" customHeight="1">
      <c r="A853" s="171"/>
      <c r="B853" s="172"/>
      <c r="C853" s="171"/>
      <c r="D853" s="78"/>
      <c r="E853" s="78"/>
      <c r="F853" s="171"/>
      <c r="G853" s="173"/>
      <c r="H853" s="170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</row>
    <row r="854" ht="14.25" customHeight="1">
      <c r="A854" s="171"/>
      <c r="B854" s="172"/>
      <c r="C854" s="171"/>
      <c r="D854" s="78"/>
      <c r="E854" s="78"/>
      <c r="F854" s="171"/>
      <c r="G854" s="173"/>
      <c r="H854" s="170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</row>
    <row r="855" ht="14.25" customHeight="1">
      <c r="A855" s="171"/>
      <c r="B855" s="172"/>
      <c r="C855" s="171"/>
      <c r="D855" s="78"/>
      <c r="E855" s="78"/>
      <c r="F855" s="171"/>
      <c r="G855" s="173"/>
      <c r="H855" s="170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</row>
    <row r="856" ht="14.25" customHeight="1">
      <c r="A856" s="171"/>
      <c r="B856" s="172"/>
      <c r="C856" s="171"/>
      <c r="D856" s="78"/>
      <c r="E856" s="78"/>
      <c r="F856" s="171"/>
      <c r="G856" s="173"/>
      <c r="H856" s="170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</row>
    <row r="857" ht="14.25" customHeight="1">
      <c r="A857" s="171"/>
      <c r="B857" s="172"/>
      <c r="C857" s="171"/>
      <c r="D857" s="78"/>
      <c r="E857" s="78"/>
      <c r="F857" s="171"/>
      <c r="G857" s="173"/>
      <c r="H857" s="170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</row>
    <row r="858" ht="14.25" customHeight="1">
      <c r="A858" s="171"/>
      <c r="B858" s="172"/>
      <c r="C858" s="171"/>
      <c r="D858" s="78"/>
      <c r="E858" s="78"/>
      <c r="F858" s="171"/>
      <c r="G858" s="173"/>
      <c r="H858" s="170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</row>
    <row r="859" ht="14.25" customHeight="1">
      <c r="A859" s="171"/>
      <c r="B859" s="172"/>
      <c r="C859" s="171"/>
      <c r="D859" s="78"/>
      <c r="E859" s="78"/>
      <c r="F859" s="171"/>
      <c r="G859" s="173"/>
      <c r="H859" s="170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</row>
    <row r="860" ht="14.25" customHeight="1">
      <c r="A860" s="171"/>
      <c r="B860" s="172"/>
      <c r="C860" s="171"/>
      <c r="D860" s="78"/>
      <c r="E860" s="78"/>
      <c r="F860" s="171"/>
      <c r="G860" s="173"/>
      <c r="H860" s="170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</row>
    <row r="861" ht="14.25" customHeight="1">
      <c r="A861" s="171"/>
      <c r="B861" s="172"/>
      <c r="C861" s="171"/>
      <c r="D861" s="78"/>
      <c r="E861" s="78"/>
      <c r="F861" s="171"/>
      <c r="G861" s="173"/>
      <c r="H861" s="170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</row>
    <row r="862" ht="14.25" customHeight="1">
      <c r="A862" s="171"/>
      <c r="B862" s="172"/>
      <c r="C862" s="171"/>
      <c r="D862" s="78"/>
      <c r="E862" s="78"/>
      <c r="F862" s="171"/>
      <c r="G862" s="173"/>
      <c r="H862" s="170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</row>
    <row r="863" ht="14.25" customHeight="1">
      <c r="A863" s="171"/>
      <c r="B863" s="172"/>
      <c r="C863" s="171"/>
      <c r="D863" s="78"/>
      <c r="E863" s="78"/>
      <c r="F863" s="171"/>
      <c r="G863" s="173"/>
      <c r="H863" s="170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</row>
    <row r="864" ht="14.25" customHeight="1">
      <c r="A864" s="171"/>
      <c r="B864" s="172"/>
      <c r="C864" s="171"/>
      <c r="D864" s="78"/>
      <c r="E864" s="78"/>
      <c r="F864" s="171"/>
      <c r="G864" s="173"/>
      <c r="H864" s="170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</row>
    <row r="865" ht="14.25" customHeight="1">
      <c r="A865" s="171"/>
      <c r="B865" s="172"/>
      <c r="C865" s="171"/>
      <c r="D865" s="78"/>
      <c r="E865" s="78"/>
      <c r="F865" s="171"/>
      <c r="G865" s="173"/>
      <c r="H865" s="170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</row>
    <row r="866" ht="14.25" customHeight="1">
      <c r="A866" s="171"/>
      <c r="B866" s="172"/>
      <c r="C866" s="171"/>
      <c r="D866" s="78"/>
      <c r="E866" s="78"/>
      <c r="F866" s="171"/>
      <c r="G866" s="173"/>
      <c r="H866" s="170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</row>
    <row r="867" ht="14.25" customHeight="1">
      <c r="A867" s="171"/>
      <c r="B867" s="172"/>
      <c r="C867" s="171"/>
      <c r="D867" s="78"/>
      <c r="E867" s="78"/>
      <c r="F867" s="171"/>
      <c r="G867" s="173"/>
      <c r="H867" s="170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</row>
    <row r="868" ht="14.25" customHeight="1">
      <c r="A868" s="171"/>
      <c r="B868" s="172"/>
      <c r="C868" s="171"/>
      <c r="D868" s="78"/>
      <c r="E868" s="78"/>
      <c r="F868" s="171"/>
      <c r="G868" s="173"/>
      <c r="H868" s="170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</row>
    <row r="869" ht="14.25" customHeight="1">
      <c r="A869" s="171"/>
      <c r="B869" s="172"/>
      <c r="C869" s="171"/>
      <c r="D869" s="78"/>
      <c r="E869" s="78"/>
      <c r="F869" s="171"/>
      <c r="G869" s="173"/>
      <c r="H869" s="170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</row>
    <row r="870" ht="14.25" customHeight="1">
      <c r="A870" s="171"/>
      <c r="B870" s="172"/>
      <c r="C870" s="171"/>
      <c r="D870" s="78"/>
      <c r="E870" s="78"/>
      <c r="F870" s="171"/>
      <c r="G870" s="173"/>
      <c r="H870" s="170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</row>
    <row r="871" ht="14.25" customHeight="1">
      <c r="A871" s="171"/>
      <c r="B871" s="172"/>
      <c r="C871" s="171"/>
      <c r="D871" s="78"/>
      <c r="E871" s="78"/>
      <c r="F871" s="171"/>
      <c r="G871" s="173"/>
      <c r="H871" s="170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</row>
    <row r="872" ht="14.25" customHeight="1">
      <c r="A872" s="171"/>
      <c r="B872" s="172"/>
      <c r="C872" s="171"/>
      <c r="D872" s="78"/>
      <c r="E872" s="78"/>
      <c r="F872" s="171"/>
      <c r="G872" s="173"/>
      <c r="H872" s="170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</row>
    <row r="873" ht="14.25" customHeight="1">
      <c r="A873" s="171"/>
      <c r="B873" s="172"/>
      <c r="C873" s="171"/>
      <c r="D873" s="78"/>
      <c r="E873" s="78"/>
      <c r="F873" s="171"/>
      <c r="G873" s="173"/>
      <c r="H873" s="170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</row>
    <row r="874" ht="14.25" customHeight="1">
      <c r="A874" s="171"/>
      <c r="B874" s="172"/>
      <c r="C874" s="171"/>
      <c r="D874" s="78"/>
      <c r="E874" s="78"/>
      <c r="F874" s="171"/>
      <c r="G874" s="173"/>
      <c r="H874" s="170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</row>
    <row r="875" ht="14.25" customHeight="1">
      <c r="A875" s="171"/>
      <c r="B875" s="172"/>
      <c r="C875" s="171"/>
      <c r="D875" s="78"/>
      <c r="E875" s="78"/>
      <c r="F875" s="171"/>
      <c r="G875" s="173"/>
      <c r="H875" s="170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</row>
    <row r="876" ht="14.25" customHeight="1">
      <c r="A876" s="171"/>
      <c r="B876" s="172"/>
      <c r="C876" s="171"/>
      <c r="D876" s="78"/>
      <c r="E876" s="78"/>
      <c r="F876" s="171"/>
      <c r="G876" s="173"/>
      <c r="H876" s="170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</row>
    <row r="877" ht="14.25" customHeight="1">
      <c r="A877" s="171"/>
      <c r="B877" s="172"/>
      <c r="C877" s="171"/>
      <c r="D877" s="78"/>
      <c r="E877" s="78"/>
      <c r="F877" s="171"/>
      <c r="G877" s="173"/>
      <c r="H877" s="170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</row>
    <row r="878" ht="14.25" customHeight="1">
      <c r="A878" s="171"/>
      <c r="B878" s="172"/>
      <c r="C878" s="171"/>
      <c r="D878" s="78"/>
      <c r="E878" s="78"/>
      <c r="F878" s="171"/>
      <c r="G878" s="173"/>
      <c r="H878" s="170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</row>
    <row r="879" ht="14.25" customHeight="1">
      <c r="A879" s="171"/>
      <c r="B879" s="172"/>
      <c r="C879" s="171"/>
      <c r="D879" s="78"/>
      <c r="E879" s="78"/>
      <c r="F879" s="171"/>
      <c r="G879" s="173"/>
      <c r="H879" s="170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</row>
    <row r="880" ht="14.25" customHeight="1">
      <c r="A880" s="171"/>
      <c r="B880" s="172"/>
      <c r="C880" s="171"/>
      <c r="D880" s="78"/>
      <c r="E880" s="78"/>
      <c r="F880" s="171"/>
      <c r="G880" s="173"/>
      <c r="H880" s="170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</row>
    <row r="881" ht="14.25" customHeight="1">
      <c r="A881" s="171"/>
      <c r="B881" s="172"/>
      <c r="C881" s="171"/>
      <c r="D881" s="78"/>
      <c r="E881" s="78"/>
      <c r="F881" s="171"/>
      <c r="G881" s="173"/>
      <c r="H881" s="170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</row>
    <row r="882" ht="14.25" customHeight="1">
      <c r="A882" s="171"/>
      <c r="B882" s="172"/>
      <c r="C882" s="171"/>
      <c r="D882" s="78"/>
      <c r="E882" s="78"/>
      <c r="F882" s="171"/>
      <c r="G882" s="173"/>
      <c r="H882" s="170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</row>
    <row r="883" ht="14.25" customHeight="1">
      <c r="A883" s="171"/>
      <c r="B883" s="172"/>
      <c r="C883" s="171"/>
      <c r="D883" s="78"/>
      <c r="E883" s="78"/>
      <c r="F883" s="171"/>
      <c r="G883" s="173"/>
      <c r="H883" s="170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</row>
    <row r="884" ht="14.25" customHeight="1">
      <c r="A884" s="171"/>
      <c r="B884" s="172"/>
      <c r="C884" s="171"/>
      <c r="D884" s="78"/>
      <c r="E884" s="78"/>
      <c r="F884" s="171"/>
      <c r="G884" s="173"/>
      <c r="H884" s="170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</row>
    <row r="885" ht="14.25" customHeight="1">
      <c r="A885" s="171"/>
      <c r="B885" s="172"/>
      <c r="C885" s="171"/>
      <c r="D885" s="78"/>
      <c r="E885" s="78"/>
      <c r="F885" s="171"/>
      <c r="G885" s="173"/>
      <c r="H885" s="170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</row>
    <row r="886" ht="14.25" customHeight="1">
      <c r="A886" s="171"/>
      <c r="B886" s="172"/>
      <c r="C886" s="171"/>
      <c r="D886" s="78"/>
      <c r="E886" s="78"/>
      <c r="F886" s="171"/>
      <c r="G886" s="173"/>
      <c r="H886" s="170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</row>
    <row r="887" ht="14.25" customHeight="1">
      <c r="A887" s="171"/>
      <c r="B887" s="172"/>
      <c r="C887" s="171"/>
      <c r="D887" s="78"/>
      <c r="E887" s="78"/>
      <c r="F887" s="171"/>
      <c r="G887" s="173"/>
      <c r="H887" s="170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</row>
    <row r="888" ht="14.25" customHeight="1">
      <c r="A888" s="171"/>
      <c r="B888" s="172"/>
      <c r="C888" s="171"/>
      <c r="D888" s="78"/>
      <c r="E888" s="78"/>
      <c r="F888" s="171"/>
      <c r="G888" s="173"/>
      <c r="H888" s="170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</row>
    <row r="889" ht="14.25" customHeight="1">
      <c r="A889" s="171"/>
      <c r="B889" s="172"/>
      <c r="C889" s="171"/>
      <c r="D889" s="78"/>
      <c r="E889" s="78"/>
      <c r="F889" s="171"/>
      <c r="G889" s="173"/>
      <c r="H889" s="170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</row>
    <row r="890" ht="14.25" customHeight="1">
      <c r="A890" s="171"/>
      <c r="B890" s="172"/>
      <c r="C890" s="171"/>
      <c r="D890" s="78"/>
      <c r="E890" s="78"/>
      <c r="F890" s="171"/>
      <c r="G890" s="173"/>
      <c r="H890" s="170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</row>
    <row r="891" ht="14.25" customHeight="1">
      <c r="A891" s="171"/>
      <c r="B891" s="172"/>
      <c r="C891" s="171"/>
      <c r="D891" s="78"/>
      <c r="E891" s="78"/>
      <c r="F891" s="171"/>
      <c r="G891" s="173"/>
      <c r="H891" s="170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</row>
    <row r="892" ht="14.25" customHeight="1">
      <c r="A892" s="171"/>
      <c r="B892" s="172"/>
      <c r="C892" s="171"/>
      <c r="D892" s="78"/>
      <c r="E892" s="78"/>
      <c r="F892" s="171"/>
      <c r="G892" s="173"/>
      <c r="H892" s="170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</row>
    <row r="893" ht="14.25" customHeight="1">
      <c r="A893" s="171"/>
      <c r="B893" s="172"/>
      <c r="C893" s="171"/>
      <c r="D893" s="78"/>
      <c r="E893" s="78"/>
      <c r="F893" s="171"/>
      <c r="G893" s="173"/>
      <c r="H893" s="170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</row>
    <row r="894" ht="14.25" customHeight="1">
      <c r="A894" s="171"/>
      <c r="B894" s="172"/>
      <c r="C894" s="171"/>
      <c r="D894" s="78"/>
      <c r="E894" s="78"/>
      <c r="F894" s="171"/>
      <c r="G894" s="173"/>
      <c r="H894" s="170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</row>
    <row r="895" ht="14.25" customHeight="1">
      <c r="A895" s="171"/>
      <c r="B895" s="172"/>
      <c r="C895" s="171"/>
      <c r="D895" s="78"/>
      <c r="E895" s="78"/>
      <c r="F895" s="171"/>
      <c r="G895" s="173"/>
      <c r="H895" s="170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</row>
    <row r="896" ht="14.25" customHeight="1">
      <c r="A896" s="171"/>
      <c r="B896" s="172"/>
      <c r="C896" s="171"/>
      <c r="D896" s="78"/>
      <c r="E896" s="78"/>
      <c r="F896" s="171"/>
      <c r="G896" s="173"/>
      <c r="H896" s="170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</row>
    <row r="897" ht="14.25" customHeight="1">
      <c r="A897" s="171"/>
      <c r="B897" s="172"/>
      <c r="C897" s="171"/>
      <c r="D897" s="78"/>
      <c r="E897" s="78"/>
      <c r="F897" s="171"/>
      <c r="G897" s="173"/>
      <c r="H897" s="170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</row>
    <row r="898" ht="14.25" customHeight="1">
      <c r="A898" s="171"/>
      <c r="B898" s="172"/>
      <c r="C898" s="171"/>
      <c r="D898" s="78"/>
      <c r="E898" s="78"/>
      <c r="F898" s="171"/>
      <c r="G898" s="173"/>
      <c r="H898" s="170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</row>
    <row r="899" ht="14.25" customHeight="1">
      <c r="A899" s="171"/>
      <c r="B899" s="172"/>
      <c r="C899" s="171"/>
      <c r="D899" s="78"/>
      <c r="E899" s="78"/>
      <c r="F899" s="171"/>
      <c r="G899" s="173"/>
      <c r="H899" s="170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</row>
    <row r="900" ht="14.25" customHeight="1">
      <c r="A900" s="171"/>
      <c r="B900" s="172"/>
      <c r="C900" s="171"/>
      <c r="D900" s="78"/>
      <c r="E900" s="78"/>
      <c r="F900" s="171"/>
      <c r="G900" s="173"/>
      <c r="H900" s="170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</row>
    <row r="901" ht="14.25" customHeight="1">
      <c r="A901" s="171"/>
      <c r="B901" s="172"/>
      <c r="C901" s="171"/>
      <c r="D901" s="78"/>
      <c r="E901" s="78"/>
      <c r="F901" s="171"/>
      <c r="G901" s="173"/>
      <c r="H901" s="170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</row>
    <row r="902" ht="14.25" customHeight="1">
      <c r="A902" s="171"/>
      <c r="B902" s="172"/>
      <c r="C902" s="171"/>
      <c r="D902" s="78"/>
      <c r="E902" s="78"/>
      <c r="F902" s="171"/>
      <c r="G902" s="173"/>
      <c r="H902" s="170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</row>
    <row r="903" ht="14.25" customHeight="1">
      <c r="A903" s="171"/>
      <c r="B903" s="172"/>
      <c r="C903" s="171"/>
      <c r="D903" s="78"/>
      <c r="E903" s="78"/>
      <c r="F903" s="171"/>
      <c r="G903" s="173"/>
      <c r="H903" s="170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</row>
    <row r="904" ht="14.25" customHeight="1">
      <c r="A904" s="171"/>
      <c r="B904" s="172"/>
      <c r="C904" s="171"/>
      <c r="D904" s="78"/>
      <c r="E904" s="78"/>
      <c r="F904" s="171"/>
      <c r="G904" s="173"/>
      <c r="H904" s="170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</row>
    <row r="905" ht="14.25" customHeight="1">
      <c r="A905" s="171"/>
      <c r="B905" s="172"/>
      <c r="C905" s="171"/>
      <c r="D905" s="78"/>
      <c r="E905" s="78"/>
      <c r="F905" s="171"/>
      <c r="G905" s="173"/>
      <c r="H905" s="170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</row>
    <row r="906" ht="14.25" customHeight="1">
      <c r="A906" s="171"/>
      <c r="B906" s="172"/>
      <c r="C906" s="171"/>
      <c r="D906" s="78"/>
      <c r="E906" s="78"/>
      <c r="F906" s="171"/>
      <c r="G906" s="173"/>
      <c r="H906" s="170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</row>
    <row r="907" ht="14.25" customHeight="1">
      <c r="A907" s="171"/>
      <c r="B907" s="172"/>
      <c r="C907" s="171"/>
      <c r="D907" s="78"/>
      <c r="E907" s="78"/>
      <c r="F907" s="171"/>
      <c r="G907" s="173"/>
      <c r="H907" s="170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</row>
    <row r="908" ht="14.25" customHeight="1">
      <c r="A908" s="171"/>
      <c r="B908" s="172"/>
      <c r="C908" s="171"/>
      <c r="D908" s="78"/>
      <c r="E908" s="78"/>
      <c r="F908" s="171"/>
      <c r="G908" s="173"/>
      <c r="H908" s="170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</row>
    <row r="909" ht="14.25" customHeight="1">
      <c r="A909" s="171"/>
      <c r="B909" s="172"/>
      <c r="C909" s="171"/>
      <c r="D909" s="78"/>
      <c r="E909" s="78"/>
      <c r="F909" s="171"/>
      <c r="G909" s="173"/>
      <c r="H909" s="170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</row>
    <row r="910" ht="14.25" customHeight="1">
      <c r="A910" s="171"/>
      <c r="B910" s="172"/>
      <c r="C910" s="171"/>
      <c r="D910" s="78"/>
      <c r="E910" s="78"/>
      <c r="F910" s="171"/>
      <c r="G910" s="173"/>
      <c r="H910" s="170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</row>
    <row r="911" ht="14.25" customHeight="1">
      <c r="A911" s="171"/>
      <c r="B911" s="172"/>
      <c r="C911" s="171"/>
      <c r="D911" s="78"/>
      <c r="E911" s="78"/>
      <c r="F911" s="171"/>
      <c r="G911" s="173"/>
      <c r="H911" s="170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</row>
    <row r="912" ht="14.25" customHeight="1">
      <c r="A912" s="171"/>
      <c r="B912" s="172"/>
      <c r="C912" s="171"/>
      <c r="D912" s="78"/>
      <c r="E912" s="78"/>
      <c r="F912" s="171"/>
      <c r="G912" s="173"/>
      <c r="H912" s="170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</row>
    <row r="913" ht="14.25" customHeight="1">
      <c r="A913" s="171"/>
      <c r="B913" s="172"/>
      <c r="C913" s="171"/>
      <c r="D913" s="78"/>
      <c r="E913" s="78"/>
      <c r="F913" s="171"/>
      <c r="G913" s="173"/>
      <c r="H913" s="170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</row>
    <row r="914" ht="14.25" customHeight="1">
      <c r="A914" s="171"/>
      <c r="B914" s="172"/>
      <c r="C914" s="171"/>
      <c r="D914" s="78"/>
      <c r="E914" s="78"/>
      <c r="F914" s="171"/>
      <c r="G914" s="173"/>
      <c r="H914" s="170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</row>
    <row r="915" ht="14.25" customHeight="1">
      <c r="A915" s="171"/>
      <c r="B915" s="172"/>
      <c r="C915" s="171"/>
      <c r="D915" s="78"/>
      <c r="E915" s="78"/>
      <c r="F915" s="171"/>
      <c r="G915" s="173"/>
      <c r="H915" s="170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</row>
    <row r="916" ht="14.25" customHeight="1">
      <c r="A916" s="171"/>
      <c r="B916" s="172"/>
      <c r="C916" s="171"/>
      <c r="D916" s="78"/>
      <c r="E916" s="78"/>
      <c r="F916" s="171"/>
      <c r="G916" s="173"/>
      <c r="H916" s="170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</row>
    <row r="917" ht="14.25" customHeight="1">
      <c r="A917" s="171"/>
      <c r="B917" s="172"/>
      <c r="C917" s="171"/>
      <c r="D917" s="78"/>
      <c r="E917" s="78"/>
      <c r="F917" s="171"/>
      <c r="G917" s="173"/>
      <c r="H917" s="170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</row>
    <row r="918" ht="14.25" customHeight="1">
      <c r="A918" s="171"/>
      <c r="B918" s="172"/>
      <c r="C918" s="171"/>
      <c r="D918" s="78"/>
      <c r="E918" s="78"/>
      <c r="F918" s="171"/>
      <c r="G918" s="173"/>
      <c r="H918" s="170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</row>
    <row r="919" ht="14.25" customHeight="1">
      <c r="A919" s="171"/>
      <c r="B919" s="172"/>
      <c r="C919" s="171"/>
      <c r="D919" s="78"/>
      <c r="E919" s="78"/>
      <c r="F919" s="171"/>
      <c r="G919" s="173"/>
      <c r="H919" s="170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</row>
    <row r="920" ht="14.25" customHeight="1">
      <c r="A920" s="171"/>
      <c r="B920" s="172"/>
      <c r="C920" s="171"/>
      <c r="D920" s="78"/>
      <c r="E920" s="78"/>
      <c r="F920" s="171"/>
      <c r="G920" s="173"/>
      <c r="H920" s="170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</row>
    <row r="921" ht="14.25" customHeight="1">
      <c r="A921" s="171"/>
      <c r="B921" s="172"/>
      <c r="C921" s="171"/>
      <c r="D921" s="78"/>
      <c r="E921" s="78"/>
      <c r="F921" s="171"/>
      <c r="G921" s="173"/>
      <c r="H921" s="170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</row>
    <row r="922" ht="14.25" customHeight="1">
      <c r="A922" s="171"/>
      <c r="B922" s="172"/>
      <c r="C922" s="171"/>
      <c r="D922" s="78"/>
      <c r="E922" s="78"/>
      <c r="F922" s="171"/>
      <c r="G922" s="173"/>
      <c r="H922" s="170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</row>
    <row r="923" ht="14.25" customHeight="1">
      <c r="A923" s="171"/>
      <c r="B923" s="172"/>
      <c r="C923" s="171"/>
      <c r="D923" s="78"/>
      <c r="E923" s="78"/>
      <c r="F923" s="171"/>
      <c r="G923" s="173"/>
      <c r="H923" s="170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</row>
    <row r="924" ht="14.25" customHeight="1">
      <c r="A924" s="171"/>
      <c r="B924" s="172"/>
      <c r="C924" s="171"/>
      <c r="D924" s="78"/>
      <c r="E924" s="78"/>
      <c r="F924" s="171"/>
      <c r="G924" s="173"/>
      <c r="H924" s="170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</row>
    <row r="925" ht="14.25" customHeight="1">
      <c r="A925" s="171"/>
      <c r="B925" s="172"/>
      <c r="C925" s="171"/>
      <c r="D925" s="78"/>
      <c r="E925" s="78"/>
      <c r="F925" s="171"/>
      <c r="G925" s="173"/>
      <c r="H925" s="170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</row>
    <row r="926" ht="14.25" customHeight="1">
      <c r="A926" s="171"/>
      <c r="B926" s="172"/>
      <c r="C926" s="171"/>
      <c r="D926" s="78"/>
      <c r="E926" s="78"/>
      <c r="F926" s="171"/>
      <c r="G926" s="173"/>
      <c r="H926" s="170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</row>
    <row r="927" ht="14.25" customHeight="1">
      <c r="A927" s="171"/>
      <c r="B927" s="172"/>
      <c r="C927" s="171"/>
      <c r="D927" s="78"/>
      <c r="E927" s="78"/>
      <c r="F927" s="171"/>
      <c r="G927" s="173"/>
      <c r="H927" s="170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</row>
    <row r="928" ht="14.25" customHeight="1">
      <c r="A928" s="171"/>
      <c r="B928" s="172"/>
      <c r="C928" s="171"/>
      <c r="D928" s="78"/>
      <c r="E928" s="78"/>
      <c r="F928" s="171"/>
      <c r="G928" s="173"/>
      <c r="H928" s="170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</row>
    <row r="929" ht="14.25" customHeight="1">
      <c r="A929" s="171"/>
      <c r="B929" s="172"/>
      <c r="C929" s="171"/>
      <c r="D929" s="78"/>
      <c r="E929" s="78"/>
      <c r="F929" s="171"/>
      <c r="G929" s="173"/>
      <c r="H929" s="170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</row>
    <row r="930" ht="14.25" customHeight="1">
      <c r="A930" s="171"/>
      <c r="B930" s="172"/>
      <c r="C930" s="171"/>
      <c r="D930" s="78"/>
      <c r="E930" s="78"/>
      <c r="F930" s="171"/>
      <c r="G930" s="173"/>
      <c r="H930" s="170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</row>
    <row r="931" ht="14.25" customHeight="1">
      <c r="A931" s="171"/>
      <c r="B931" s="172"/>
      <c r="C931" s="171"/>
      <c r="D931" s="78"/>
      <c r="E931" s="78"/>
      <c r="F931" s="171"/>
      <c r="G931" s="173"/>
      <c r="H931" s="170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</row>
    <row r="932" ht="14.25" customHeight="1">
      <c r="A932" s="171"/>
      <c r="B932" s="172"/>
      <c r="C932" s="171"/>
      <c r="D932" s="78"/>
      <c r="E932" s="78"/>
      <c r="F932" s="171"/>
      <c r="G932" s="173"/>
      <c r="H932" s="170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</row>
    <row r="933" ht="14.25" customHeight="1">
      <c r="A933" s="171"/>
      <c r="B933" s="172"/>
      <c r="C933" s="171"/>
      <c r="D933" s="78"/>
      <c r="E933" s="78"/>
      <c r="F933" s="171"/>
      <c r="G933" s="173"/>
      <c r="H933" s="170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</row>
    <row r="934" ht="14.25" customHeight="1">
      <c r="A934" s="171"/>
      <c r="B934" s="172"/>
      <c r="C934" s="171"/>
      <c r="D934" s="78"/>
      <c r="E934" s="78"/>
      <c r="F934" s="171"/>
      <c r="G934" s="173"/>
      <c r="H934" s="170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</row>
    <row r="935" ht="14.25" customHeight="1">
      <c r="A935" s="171"/>
      <c r="B935" s="172"/>
      <c r="C935" s="171"/>
      <c r="D935" s="78"/>
      <c r="E935" s="78"/>
      <c r="F935" s="171"/>
      <c r="G935" s="173"/>
      <c r="H935" s="170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</row>
    <row r="936" ht="14.25" customHeight="1">
      <c r="A936" s="171"/>
      <c r="B936" s="172"/>
      <c r="C936" s="171"/>
      <c r="D936" s="78"/>
      <c r="E936" s="78"/>
      <c r="F936" s="171"/>
      <c r="G936" s="173"/>
      <c r="H936" s="170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</row>
    <row r="937" ht="14.25" customHeight="1">
      <c r="A937" s="171"/>
      <c r="B937" s="172"/>
      <c r="C937" s="171"/>
      <c r="D937" s="78"/>
      <c r="E937" s="78"/>
      <c r="F937" s="171"/>
      <c r="G937" s="173"/>
      <c r="H937" s="170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</row>
    <row r="938" ht="14.25" customHeight="1">
      <c r="A938" s="171"/>
      <c r="B938" s="172"/>
      <c r="C938" s="171"/>
      <c r="D938" s="78"/>
      <c r="E938" s="78"/>
      <c r="F938" s="171"/>
      <c r="G938" s="173"/>
      <c r="H938" s="170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</row>
    <row r="939" ht="14.25" customHeight="1">
      <c r="A939" s="171"/>
      <c r="B939" s="172"/>
      <c r="C939" s="171"/>
      <c r="D939" s="78"/>
      <c r="E939" s="78"/>
      <c r="F939" s="171"/>
      <c r="G939" s="173"/>
      <c r="H939" s="170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</row>
    <row r="940" ht="14.25" customHeight="1">
      <c r="A940" s="171"/>
      <c r="B940" s="172"/>
      <c r="C940" s="171"/>
      <c r="D940" s="78"/>
      <c r="E940" s="78"/>
      <c r="F940" s="171"/>
      <c r="G940" s="173"/>
      <c r="H940" s="170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</row>
    <row r="941" ht="14.25" customHeight="1">
      <c r="A941" s="171"/>
      <c r="B941" s="172"/>
      <c r="C941" s="171"/>
      <c r="D941" s="78"/>
      <c r="E941" s="78"/>
      <c r="F941" s="171"/>
      <c r="G941" s="173"/>
      <c r="H941" s="170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</row>
    <row r="942" ht="14.25" customHeight="1">
      <c r="A942" s="171"/>
      <c r="B942" s="172"/>
      <c r="C942" s="171"/>
      <c r="D942" s="78"/>
      <c r="E942" s="78"/>
      <c r="F942" s="171"/>
      <c r="G942" s="173"/>
      <c r="H942" s="170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</row>
    <row r="943" ht="14.25" customHeight="1">
      <c r="A943" s="171"/>
      <c r="B943" s="172"/>
      <c r="C943" s="171"/>
      <c r="D943" s="78"/>
      <c r="E943" s="78"/>
      <c r="F943" s="171"/>
      <c r="G943" s="173"/>
      <c r="H943" s="170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</row>
    <row r="944" ht="14.25" customHeight="1">
      <c r="A944" s="171"/>
      <c r="B944" s="172"/>
      <c r="C944" s="171"/>
      <c r="D944" s="78"/>
      <c r="E944" s="78"/>
      <c r="F944" s="171"/>
      <c r="G944" s="173"/>
      <c r="H944" s="170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</row>
    <row r="945" ht="14.25" customHeight="1">
      <c r="A945" s="171"/>
      <c r="B945" s="172"/>
      <c r="C945" s="171"/>
      <c r="D945" s="78"/>
      <c r="E945" s="78"/>
      <c r="F945" s="171"/>
      <c r="G945" s="173"/>
      <c r="H945" s="170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</row>
    <row r="946" ht="14.25" customHeight="1">
      <c r="A946" s="171"/>
      <c r="B946" s="172"/>
      <c r="C946" s="171"/>
      <c r="D946" s="78"/>
      <c r="E946" s="78"/>
      <c r="F946" s="171"/>
      <c r="G946" s="173"/>
      <c r="H946" s="170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</row>
    <row r="947" ht="14.25" customHeight="1">
      <c r="A947" s="171"/>
      <c r="B947" s="172"/>
      <c r="C947" s="171"/>
      <c r="D947" s="78"/>
      <c r="E947" s="78"/>
      <c r="F947" s="171"/>
      <c r="G947" s="173"/>
      <c r="H947" s="170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</row>
    <row r="948" ht="14.25" customHeight="1">
      <c r="A948" s="171"/>
      <c r="B948" s="172"/>
      <c r="C948" s="171"/>
      <c r="D948" s="78"/>
      <c r="E948" s="78"/>
      <c r="F948" s="171"/>
      <c r="G948" s="173"/>
      <c r="H948" s="170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</row>
    <row r="949" ht="14.25" customHeight="1">
      <c r="A949" s="171"/>
      <c r="B949" s="172"/>
      <c r="C949" s="171"/>
      <c r="D949" s="78"/>
      <c r="E949" s="78"/>
      <c r="F949" s="171"/>
      <c r="G949" s="173"/>
      <c r="H949" s="170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</row>
    <row r="950" ht="14.25" customHeight="1">
      <c r="A950" s="171"/>
      <c r="B950" s="172"/>
      <c r="C950" s="171"/>
      <c r="D950" s="78"/>
      <c r="E950" s="78"/>
      <c r="F950" s="171"/>
      <c r="G950" s="173"/>
      <c r="H950" s="170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</row>
    <row r="951" ht="14.25" customHeight="1">
      <c r="A951" s="171"/>
      <c r="B951" s="172"/>
      <c r="C951" s="171"/>
      <c r="D951" s="78"/>
      <c r="E951" s="78"/>
      <c r="F951" s="171"/>
      <c r="G951" s="173"/>
      <c r="H951" s="170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</row>
    <row r="952" ht="14.25" customHeight="1">
      <c r="A952" s="171"/>
      <c r="B952" s="172"/>
      <c r="C952" s="171"/>
      <c r="D952" s="78"/>
      <c r="E952" s="78"/>
      <c r="F952" s="171"/>
      <c r="G952" s="173"/>
      <c r="H952" s="170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</row>
    <row r="953" ht="14.25" customHeight="1">
      <c r="A953" s="171"/>
      <c r="B953" s="172"/>
      <c r="C953" s="171"/>
      <c r="D953" s="78"/>
      <c r="E953" s="78"/>
      <c r="F953" s="171"/>
      <c r="G953" s="173"/>
      <c r="H953" s="170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</row>
    <row r="954" ht="14.25" customHeight="1">
      <c r="A954" s="171"/>
      <c r="B954" s="172"/>
      <c r="C954" s="171"/>
      <c r="D954" s="78"/>
      <c r="E954" s="78"/>
      <c r="F954" s="171"/>
      <c r="G954" s="173"/>
      <c r="H954" s="170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</row>
    <row r="955" ht="14.25" customHeight="1">
      <c r="A955" s="171"/>
      <c r="B955" s="172"/>
      <c r="C955" s="171"/>
      <c r="D955" s="78"/>
      <c r="E955" s="78"/>
      <c r="F955" s="171"/>
      <c r="G955" s="173"/>
      <c r="H955" s="170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</row>
    <row r="956" ht="14.25" customHeight="1">
      <c r="A956" s="171"/>
      <c r="B956" s="172"/>
      <c r="C956" s="171"/>
      <c r="D956" s="78"/>
      <c r="E956" s="78"/>
      <c r="F956" s="171"/>
      <c r="G956" s="173"/>
      <c r="H956" s="170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</row>
    <row r="957" ht="14.25" customHeight="1">
      <c r="A957" s="171"/>
      <c r="B957" s="172"/>
      <c r="C957" s="171"/>
      <c r="D957" s="78"/>
      <c r="E957" s="78"/>
      <c r="F957" s="171"/>
      <c r="G957" s="173"/>
      <c r="H957" s="170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</row>
    <row r="958" ht="14.25" customHeight="1">
      <c r="A958" s="171"/>
      <c r="B958" s="172"/>
      <c r="C958" s="171"/>
      <c r="D958" s="78"/>
      <c r="E958" s="78"/>
      <c r="F958" s="171"/>
      <c r="G958" s="173"/>
      <c r="H958" s="170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</row>
    <row r="959" ht="14.25" customHeight="1">
      <c r="A959" s="171"/>
      <c r="B959" s="172"/>
      <c r="C959" s="171"/>
      <c r="D959" s="78"/>
      <c r="E959" s="78"/>
      <c r="F959" s="171"/>
      <c r="G959" s="173"/>
      <c r="H959" s="170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</row>
    <row r="960" ht="14.25" customHeight="1">
      <c r="A960" s="171"/>
      <c r="B960" s="172"/>
      <c r="C960" s="171"/>
      <c r="D960" s="78"/>
      <c r="E960" s="78"/>
      <c r="F960" s="171"/>
      <c r="G960" s="173"/>
      <c r="H960" s="170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</row>
    <row r="961" ht="14.25" customHeight="1">
      <c r="A961" s="171"/>
      <c r="B961" s="172"/>
      <c r="C961" s="171"/>
      <c r="D961" s="78"/>
      <c r="E961" s="78"/>
      <c r="F961" s="171"/>
      <c r="G961" s="173"/>
      <c r="H961" s="170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</row>
    <row r="962" ht="14.25" customHeight="1">
      <c r="A962" s="171"/>
      <c r="B962" s="172"/>
      <c r="C962" s="171"/>
      <c r="D962" s="78"/>
      <c r="E962" s="78"/>
      <c r="F962" s="171"/>
      <c r="G962" s="173"/>
      <c r="H962" s="170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</row>
    <row r="963" ht="14.25" customHeight="1">
      <c r="A963" s="171"/>
      <c r="B963" s="172"/>
      <c r="C963" s="171"/>
      <c r="D963" s="78"/>
      <c r="E963" s="78"/>
      <c r="F963" s="171"/>
      <c r="G963" s="173"/>
      <c r="H963" s="170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</row>
    <row r="964" ht="14.25" customHeight="1">
      <c r="A964" s="171"/>
      <c r="B964" s="172"/>
      <c r="C964" s="171"/>
      <c r="D964" s="78"/>
      <c r="E964" s="78"/>
      <c r="F964" s="171"/>
      <c r="G964" s="173"/>
      <c r="H964" s="170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</row>
    <row r="965" ht="14.25" customHeight="1">
      <c r="A965" s="171"/>
      <c r="B965" s="172"/>
      <c r="C965" s="171"/>
      <c r="D965" s="78"/>
      <c r="E965" s="78"/>
      <c r="F965" s="171"/>
      <c r="G965" s="173"/>
      <c r="H965" s="170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</row>
    <row r="966" ht="14.25" customHeight="1">
      <c r="A966" s="171"/>
      <c r="B966" s="172"/>
      <c r="C966" s="171"/>
      <c r="D966" s="78"/>
      <c r="E966" s="78"/>
      <c r="F966" s="171"/>
      <c r="G966" s="173"/>
      <c r="H966" s="170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</row>
    <row r="967" ht="14.25" customHeight="1">
      <c r="A967" s="171"/>
      <c r="B967" s="172"/>
      <c r="C967" s="171"/>
      <c r="D967" s="78"/>
      <c r="E967" s="78"/>
      <c r="F967" s="171"/>
      <c r="G967" s="173"/>
      <c r="H967" s="170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</row>
    <row r="968" ht="14.25" customHeight="1">
      <c r="A968" s="171"/>
      <c r="B968" s="172"/>
      <c r="C968" s="171"/>
      <c r="D968" s="78"/>
      <c r="E968" s="78"/>
      <c r="F968" s="171"/>
      <c r="G968" s="173"/>
      <c r="H968" s="170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</row>
    <row r="969" ht="14.25" customHeight="1">
      <c r="A969" s="171"/>
      <c r="B969" s="172"/>
      <c r="C969" s="171"/>
      <c r="D969" s="78"/>
      <c r="E969" s="78"/>
      <c r="F969" s="171"/>
      <c r="G969" s="173"/>
      <c r="H969" s="170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</row>
    <row r="970" ht="14.25" customHeight="1">
      <c r="A970" s="171"/>
      <c r="B970" s="172"/>
      <c r="C970" s="171"/>
      <c r="D970" s="78"/>
      <c r="E970" s="78"/>
      <c r="F970" s="171"/>
      <c r="G970" s="173"/>
      <c r="H970" s="170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</row>
    <row r="971" ht="14.25" customHeight="1">
      <c r="A971" s="171"/>
      <c r="B971" s="172"/>
      <c r="C971" s="171"/>
      <c r="D971" s="78"/>
      <c r="E971" s="78"/>
      <c r="F971" s="171"/>
      <c r="G971" s="173"/>
      <c r="H971" s="170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</row>
    <row r="972" ht="14.25" customHeight="1">
      <c r="A972" s="171"/>
      <c r="B972" s="172"/>
      <c r="C972" s="171"/>
      <c r="D972" s="78"/>
      <c r="E972" s="78"/>
      <c r="F972" s="171"/>
      <c r="G972" s="173"/>
      <c r="H972" s="170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</row>
    <row r="973" ht="14.25" customHeight="1">
      <c r="A973" s="171"/>
      <c r="B973" s="172"/>
      <c r="C973" s="171"/>
      <c r="D973" s="78"/>
      <c r="E973" s="78"/>
      <c r="F973" s="171"/>
      <c r="G973" s="173"/>
      <c r="H973" s="170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</row>
    <row r="974" ht="14.25" customHeight="1">
      <c r="A974" s="171"/>
      <c r="B974" s="172"/>
      <c r="C974" s="171"/>
      <c r="D974" s="78"/>
      <c r="E974" s="78"/>
      <c r="F974" s="171"/>
      <c r="G974" s="173"/>
      <c r="H974" s="170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</row>
    <row r="975" ht="14.25" customHeight="1">
      <c r="A975" s="171"/>
      <c r="B975" s="172"/>
      <c r="C975" s="171"/>
      <c r="D975" s="78"/>
      <c r="E975" s="78"/>
      <c r="F975" s="171"/>
      <c r="G975" s="173"/>
      <c r="H975" s="170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</row>
    <row r="976" ht="14.25" customHeight="1">
      <c r="A976" s="171"/>
      <c r="B976" s="172"/>
      <c r="C976" s="171"/>
      <c r="D976" s="78"/>
      <c r="E976" s="78"/>
      <c r="F976" s="171"/>
      <c r="G976" s="173"/>
      <c r="H976" s="170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</row>
    <row r="977" ht="14.25" customHeight="1">
      <c r="A977" s="171"/>
      <c r="B977" s="172"/>
      <c r="C977" s="171"/>
      <c r="D977" s="78"/>
      <c r="E977" s="78"/>
      <c r="F977" s="171"/>
      <c r="G977" s="173"/>
      <c r="H977" s="170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</row>
    <row r="978" ht="14.25" customHeight="1">
      <c r="A978" s="171"/>
      <c r="B978" s="172"/>
      <c r="C978" s="171"/>
      <c r="D978" s="78"/>
      <c r="E978" s="78"/>
      <c r="F978" s="171"/>
      <c r="G978" s="173"/>
      <c r="H978" s="170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</row>
    <row r="979" ht="14.25" customHeight="1">
      <c r="A979" s="171"/>
      <c r="B979" s="172"/>
      <c r="C979" s="171"/>
      <c r="D979" s="78"/>
      <c r="E979" s="78"/>
      <c r="F979" s="171"/>
      <c r="G979" s="173"/>
      <c r="H979" s="170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</row>
    <row r="980" ht="14.25" customHeight="1">
      <c r="A980" s="171"/>
      <c r="B980" s="172"/>
      <c r="C980" s="171"/>
      <c r="D980" s="78"/>
      <c r="E980" s="78"/>
      <c r="F980" s="171"/>
      <c r="G980" s="173"/>
      <c r="H980" s="170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</row>
    <row r="981" ht="14.25" customHeight="1">
      <c r="A981" s="171"/>
      <c r="B981" s="172"/>
      <c r="C981" s="171"/>
      <c r="D981" s="78"/>
      <c r="E981" s="78"/>
      <c r="F981" s="171"/>
      <c r="G981" s="173"/>
      <c r="H981" s="170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</row>
    <row r="982" ht="14.25" customHeight="1">
      <c r="A982" s="171"/>
      <c r="B982" s="172"/>
      <c r="C982" s="171"/>
      <c r="D982" s="78"/>
      <c r="E982" s="78"/>
      <c r="F982" s="171"/>
      <c r="G982" s="173"/>
      <c r="H982" s="170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</row>
    <row r="983" ht="14.25" customHeight="1">
      <c r="A983" s="171"/>
      <c r="B983" s="172"/>
      <c r="C983" s="171"/>
      <c r="D983" s="78"/>
      <c r="E983" s="78"/>
      <c r="F983" s="171"/>
      <c r="G983" s="173"/>
      <c r="H983" s="170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</row>
    <row r="984" ht="14.25" customHeight="1">
      <c r="A984" s="171"/>
      <c r="B984" s="172"/>
      <c r="C984" s="171"/>
      <c r="D984" s="78"/>
      <c r="E984" s="78"/>
      <c r="F984" s="171"/>
      <c r="G984" s="173"/>
      <c r="H984" s="170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</row>
    <row r="985" ht="14.25" customHeight="1">
      <c r="A985" s="171"/>
      <c r="B985" s="172"/>
      <c r="C985" s="171"/>
      <c r="D985" s="78"/>
      <c r="E985" s="78"/>
      <c r="F985" s="171"/>
      <c r="G985" s="173"/>
      <c r="H985" s="170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</row>
    <row r="986" ht="14.25" customHeight="1">
      <c r="A986" s="171"/>
      <c r="B986" s="172"/>
      <c r="C986" s="171"/>
      <c r="D986" s="78"/>
      <c r="E986" s="78"/>
      <c r="F986" s="171"/>
      <c r="G986" s="173"/>
      <c r="H986" s="170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</row>
    <row r="987" ht="14.25" customHeight="1">
      <c r="A987" s="171"/>
      <c r="B987" s="172"/>
      <c r="C987" s="171"/>
      <c r="D987" s="78"/>
      <c r="E987" s="78"/>
      <c r="F987" s="171"/>
      <c r="G987" s="173"/>
      <c r="H987" s="170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</row>
    <row r="988" ht="14.25" customHeight="1">
      <c r="A988" s="171"/>
      <c r="B988" s="172"/>
      <c r="C988" s="171"/>
      <c r="D988" s="78"/>
      <c r="E988" s="78"/>
      <c r="F988" s="171"/>
      <c r="G988" s="173"/>
      <c r="H988" s="170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</row>
    <row r="989" ht="14.25" customHeight="1">
      <c r="A989" s="171"/>
      <c r="B989" s="172"/>
      <c r="C989" s="171"/>
      <c r="D989" s="78"/>
      <c r="E989" s="78"/>
      <c r="F989" s="171"/>
      <c r="G989" s="173"/>
      <c r="H989" s="170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</row>
    <row r="990" ht="14.25" customHeight="1">
      <c r="A990" s="171"/>
      <c r="B990" s="172"/>
      <c r="C990" s="171"/>
      <c r="D990" s="78"/>
      <c r="E990" s="78"/>
      <c r="F990" s="171"/>
      <c r="G990" s="173"/>
      <c r="H990" s="170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</row>
    <row r="991" ht="14.25" customHeight="1">
      <c r="A991" s="171"/>
      <c r="B991" s="172"/>
      <c r="C991" s="171"/>
      <c r="D991" s="78"/>
      <c r="E991" s="78"/>
      <c r="F991" s="171"/>
      <c r="G991" s="173"/>
      <c r="H991" s="170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</row>
    <row r="992" ht="14.25" customHeight="1">
      <c r="A992" s="171"/>
      <c r="B992" s="172"/>
      <c r="C992" s="171"/>
      <c r="D992" s="78"/>
      <c r="E992" s="78"/>
      <c r="F992" s="171"/>
      <c r="G992" s="173"/>
      <c r="H992" s="170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</row>
    <row r="993" ht="14.25" customHeight="1">
      <c r="A993" s="171"/>
      <c r="B993" s="172"/>
      <c r="C993" s="171"/>
      <c r="D993" s="78"/>
      <c r="E993" s="78"/>
      <c r="F993" s="171"/>
      <c r="G993" s="173"/>
      <c r="H993" s="170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</row>
    <row r="994" ht="14.25" customHeight="1">
      <c r="A994" s="171"/>
      <c r="B994" s="172"/>
      <c r="C994" s="171"/>
      <c r="D994" s="78"/>
      <c r="E994" s="78"/>
      <c r="F994" s="171"/>
      <c r="G994" s="173"/>
      <c r="H994" s="170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</row>
    <row r="995" ht="14.25" customHeight="1">
      <c r="A995" s="171"/>
      <c r="B995" s="172"/>
      <c r="C995" s="171"/>
      <c r="D995" s="78"/>
      <c r="E995" s="78"/>
      <c r="F995" s="171"/>
      <c r="G995" s="173"/>
      <c r="H995" s="170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</row>
    <row r="996" ht="14.25" customHeight="1">
      <c r="A996" s="171"/>
      <c r="B996" s="172"/>
      <c r="C996" s="171"/>
      <c r="D996" s="78"/>
      <c r="E996" s="78"/>
      <c r="F996" s="171"/>
      <c r="G996" s="173"/>
      <c r="H996" s="170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</row>
    <row r="997" ht="14.25" customHeight="1">
      <c r="A997" s="171"/>
      <c r="B997" s="172"/>
      <c r="C997" s="171"/>
      <c r="D997" s="78"/>
      <c r="E997" s="78"/>
      <c r="F997" s="171"/>
      <c r="G997" s="173"/>
      <c r="H997" s="170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</row>
    <row r="998" ht="14.25" customHeight="1">
      <c r="A998" s="171"/>
      <c r="B998" s="172"/>
      <c r="C998" s="171"/>
      <c r="D998" s="78"/>
      <c r="E998" s="78"/>
      <c r="F998" s="171"/>
      <c r="G998" s="173"/>
      <c r="H998" s="170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</row>
    <row r="999" ht="14.25" customHeight="1">
      <c r="A999" s="171"/>
      <c r="B999" s="172"/>
      <c r="C999" s="171"/>
      <c r="D999" s="78"/>
      <c r="E999" s="78"/>
      <c r="F999" s="171"/>
      <c r="G999" s="173"/>
      <c r="H999" s="170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</row>
    <row r="1000" ht="14.25" customHeight="1">
      <c r="A1000" s="171"/>
      <c r="B1000" s="172"/>
      <c r="C1000" s="171"/>
      <c r="D1000" s="78"/>
      <c r="E1000" s="78"/>
      <c r="F1000" s="171"/>
      <c r="G1000" s="173"/>
      <c r="H1000" s="170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</row>
    <row r="1001" ht="14.25" customHeight="1">
      <c r="A1001" s="171"/>
      <c r="B1001" s="172"/>
      <c r="C1001" s="171"/>
      <c r="D1001" s="78"/>
      <c r="E1001" s="78"/>
      <c r="F1001" s="171"/>
      <c r="G1001" s="173"/>
      <c r="H1001" s="170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  <c r="AB1001" s="171"/>
    </row>
    <row r="1002" ht="14.25" customHeight="1">
      <c r="A1002" s="171"/>
      <c r="B1002" s="172"/>
      <c r="C1002" s="171"/>
      <c r="D1002" s="78"/>
      <c r="E1002" s="78"/>
      <c r="F1002" s="171"/>
      <c r="G1002" s="173"/>
      <c r="H1002" s="170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  <c r="Y1002" s="171"/>
      <c r="Z1002" s="171"/>
      <c r="AA1002" s="171"/>
      <c r="AB1002" s="171"/>
    </row>
    <row r="1003" ht="14.25" customHeight="1">
      <c r="A1003" s="171"/>
      <c r="B1003" s="172"/>
      <c r="C1003" s="171"/>
      <c r="D1003" s="78"/>
      <c r="E1003" s="78"/>
      <c r="F1003" s="171"/>
      <c r="G1003" s="173"/>
      <c r="H1003" s="170"/>
      <c r="I1003" s="171"/>
      <c r="J1003" s="171"/>
      <c r="K1003" s="171"/>
      <c r="L1003" s="171"/>
      <c r="M1003" s="171"/>
      <c r="N1003" s="171"/>
      <c r="O1003" s="171"/>
      <c r="P1003" s="171"/>
      <c r="Q1003" s="171"/>
      <c r="R1003" s="171"/>
      <c r="S1003" s="171"/>
      <c r="T1003" s="171"/>
      <c r="U1003" s="171"/>
      <c r="V1003" s="171"/>
      <c r="W1003" s="171"/>
      <c r="X1003" s="171"/>
      <c r="Y1003" s="171"/>
      <c r="Z1003" s="171"/>
      <c r="AA1003" s="171"/>
      <c r="AB1003" s="171"/>
    </row>
    <row r="1004" ht="14.25" customHeight="1">
      <c r="A1004" s="171"/>
      <c r="B1004" s="172"/>
      <c r="C1004" s="171"/>
      <c r="D1004" s="78"/>
      <c r="E1004" s="78"/>
      <c r="F1004" s="171"/>
      <c r="G1004" s="173"/>
      <c r="H1004" s="170"/>
      <c r="I1004" s="171"/>
      <c r="J1004" s="171"/>
      <c r="K1004" s="171"/>
      <c r="L1004" s="171"/>
      <c r="M1004" s="171"/>
      <c r="N1004" s="171"/>
      <c r="O1004" s="171"/>
      <c r="P1004" s="171"/>
      <c r="Q1004" s="171"/>
      <c r="R1004" s="171"/>
      <c r="S1004" s="171"/>
      <c r="T1004" s="171"/>
      <c r="U1004" s="171"/>
      <c r="V1004" s="171"/>
      <c r="W1004" s="171"/>
      <c r="X1004" s="171"/>
      <c r="Y1004" s="171"/>
      <c r="Z1004" s="171"/>
      <c r="AA1004" s="171"/>
      <c r="AB1004" s="171"/>
    </row>
  </sheetData>
  <mergeCells count="11">
    <mergeCell ref="B5:D5"/>
    <mergeCell ref="B6:D6"/>
    <mergeCell ref="F6:G6"/>
    <mergeCell ref="F44:I44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14"/>
    <col customWidth="1" min="6" max="6" width="17.43"/>
    <col customWidth="1" min="7" max="7" width="22.29"/>
    <col customWidth="1" min="8" max="8" width="12.14"/>
    <col customWidth="1" min="9" max="28" width="8.71"/>
  </cols>
  <sheetData>
    <row r="1" ht="30.75" customHeight="1">
      <c r="A1" s="11" t="s">
        <v>42</v>
      </c>
      <c r="H1" s="12"/>
    </row>
    <row r="2" ht="24.75" customHeight="1">
      <c r="C2" s="13" t="s">
        <v>43</v>
      </c>
      <c r="G2" s="55"/>
      <c r="H2" s="12"/>
    </row>
    <row r="3" ht="14.25" customHeight="1">
      <c r="A3" s="14" t="s">
        <v>44</v>
      </c>
      <c r="B3" s="17" t="s">
        <v>541</v>
      </c>
      <c r="E3" s="14" t="s">
        <v>46</v>
      </c>
      <c r="F3" s="18" t="s">
        <v>406</v>
      </c>
      <c r="H3" s="12"/>
    </row>
    <row r="4" ht="14.25" customHeight="1">
      <c r="A4" s="14" t="s">
        <v>48</v>
      </c>
      <c r="B4" s="18" t="s">
        <v>407</v>
      </c>
      <c r="E4" s="14" t="s">
        <v>105</v>
      </c>
      <c r="F4" s="18">
        <v>8.007226100235E12</v>
      </c>
      <c r="H4" s="12"/>
    </row>
    <row r="5" ht="14.25" customHeight="1">
      <c r="A5" s="14" t="s">
        <v>51</v>
      </c>
      <c r="B5" s="15" t="s">
        <v>154</v>
      </c>
      <c r="E5" s="14" t="s">
        <v>53</v>
      </c>
      <c r="F5" s="18" t="s">
        <v>408</v>
      </c>
      <c r="H5" s="12"/>
    </row>
    <row r="6" ht="14.25" customHeight="1">
      <c r="A6" s="14" t="s">
        <v>54</v>
      </c>
      <c r="B6" s="18"/>
      <c r="E6" s="14" t="s">
        <v>55</v>
      </c>
      <c r="F6" s="18">
        <v>1.2990364255E10</v>
      </c>
      <c r="H6" s="12"/>
    </row>
    <row r="7" ht="14.25" customHeight="1">
      <c r="C7" s="19"/>
      <c r="G7" s="55"/>
      <c r="H7" s="12"/>
    </row>
    <row r="8" ht="14.25" customHeight="1">
      <c r="C8" s="19"/>
      <c r="G8" s="55"/>
      <c r="H8" s="12"/>
    </row>
    <row r="9" ht="14.25" customHeight="1">
      <c r="A9" s="20" t="s">
        <v>56</v>
      </c>
      <c r="B9" s="20" t="s">
        <v>107</v>
      </c>
      <c r="C9" s="57" t="s">
        <v>58</v>
      </c>
      <c r="D9" s="20" t="s">
        <v>59</v>
      </c>
      <c r="E9" s="20" t="s">
        <v>60</v>
      </c>
      <c r="F9" s="20" t="s">
        <v>61</v>
      </c>
      <c r="G9" s="58" t="s">
        <v>62</v>
      </c>
      <c r="H9" s="22" t="s">
        <v>63</v>
      </c>
      <c r="I9" s="20" t="s">
        <v>64</v>
      </c>
    </row>
    <row r="10" ht="14.25" customHeight="1">
      <c r="A10" s="82" t="s">
        <v>542</v>
      </c>
      <c r="B10" s="93"/>
      <c r="C10" s="33">
        <v>44968.0</v>
      </c>
      <c r="D10" s="62"/>
      <c r="E10" s="62"/>
      <c r="F10" s="63">
        <v>2.0</v>
      </c>
      <c r="G10" s="30">
        <v>2.0</v>
      </c>
      <c r="H10" s="27">
        <f t="shared" ref="H10:H52" si="1">G10*200</f>
        <v>400</v>
      </c>
      <c r="I10" s="23"/>
    </row>
    <row r="11" ht="14.25" customHeight="1">
      <c r="A11" s="85" t="s">
        <v>543</v>
      </c>
      <c r="B11" s="161"/>
      <c r="C11" s="33">
        <v>44968.0</v>
      </c>
      <c r="D11" s="62"/>
      <c r="E11" s="62"/>
      <c r="F11" s="60">
        <v>1.0</v>
      </c>
      <c r="G11" s="30">
        <v>1.0</v>
      </c>
      <c r="H11" s="27">
        <f t="shared" si="1"/>
        <v>200</v>
      </c>
      <c r="I11" s="23"/>
    </row>
    <row r="12" ht="14.25" customHeight="1">
      <c r="A12" s="85" t="s">
        <v>544</v>
      </c>
      <c r="B12" s="161"/>
      <c r="C12" s="33">
        <v>44968.0</v>
      </c>
      <c r="D12" s="62"/>
      <c r="E12" s="62"/>
      <c r="F12" s="60">
        <v>1.0</v>
      </c>
      <c r="G12" s="30">
        <v>1.0</v>
      </c>
      <c r="H12" s="27">
        <f t="shared" si="1"/>
        <v>200</v>
      </c>
      <c r="I12" s="23"/>
    </row>
    <row r="13" ht="14.25" customHeight="1">
      <c r="A13" s="87" t="s">
        <v>545</v>
      </c>
      <c r="B13" s="163"/>
      <c r="C13" s="33">
        <v>44968.0</v>
      </c>
      <c r="D13" s="62"/>
      <c r="E13" s="62"/>
      <c r="F13" s="60">
        <v>1.0</v>
      </c>
      <c r="G13" s="30">
        <v>1.0</v>
      </c>
      <c r="H13" s="27">
        <f t="shared" si="1"/>
        <v>200</v>
      </c>
      <c r="I13" s="23"/>
    </row>
    <row r="14" ht="14.25" customHeight="1">
      <c r="A14" s="85" t="s">
        <v>546</v>
      </c>
      <c r="B14" s="161"/>
      <c r="C14" s="33">
        <v>44968.0</v>
      </c>
      <c r="D14" s="62"/>
      <c r="E14" s="62"/>
      <c r="F14" s="60">
        <v>1.0</v>
      </c>
      <c r="G14" s="30">
        <v>1.0</v>
      </c>
      <c r="H14" s="27">
        <f t="shared" si="1"/>
        <v>200</v>
      </c>
      <c r="I14" s="23"/>
    </row>
    <row r="15" ht="14.25" customHeight="1">
      <c r="A15" s="85" t="s">
        <v>547</v>
      </c>
      <c r="B15" s="161"/>
      <c r="C15" s="33">
        <v>44968.0</v>
      </c>
      <c r="D15" s="62"/>
      <c r="E15" s="62"/>
      <c r="F15" s="60">
        <v>1.0</v>
      </c>
      <c r="G15" s="30">
        <v>1.0</v>
      </c>
      <c r="H15" s="27">
        <f t="shared" si="1"/>
        <v>200</v>
      </c>
      <c r="I15" s="23"/>
    </row>
    <row r="16" ht="14.25" customHeight="1">
      <c r="A16" s="87" t="s">
        <v>548</v>
      </c>
      <c r="B16" s="163"/>
      <c r="C16" s="33">
        <v>44996.0</v>
      </c>
      <c r="D16" s="62"/>
      <c r="E16" s="62"/>
      <c r="F16" s="69">
        <v>1.0</v>
      </c>
      <c r="G16" s="30">
        <v>1.0</v>
      </c>
      <c r="H16" s="27">
        <f t="shared" si="1"/>
        <v>200</v>
      </c>
      <c r="I16" s="23"/>
    </row>
    <row r="17" ht="14.25" customHeight="1">
      <c r="A17" s="85" t="s">
        <v>549</v>
      </c>
      <c r="B17" s="161"/>
      <c r="C17" s="33">
        <v>44996.0</v>
      </c>
      <c r="D17" s="62"/>
      <c r="E17" s="62"/>
      <c r="F17" s="60">
        <v>1.0</v>
      </c>
      <c r="G17" s="30">
        <v>1.0</v>
      </c>
      <c r="H17" s="27">
        <f t="shared" si="1"/>
        <v>200</v>
      </c>
      <c r="I17" s="23"/>
    </row>
    <row r="18" ht="14.25" customHeight="1">
      <c r="A18" s="87" t="s">
        <v>550</v>
      </c>
      <c r="B18" s="164"/>
      <c r="C18" s="29" t="s">
        <v>125</v>
      </c>
      <c r="D18" s="62"/>
      <c r="E18" s="62"/>
      <c r="F18" s="60">
        <v>1.0</v>
      </c>
      <c r="G18" s="30">
        <v>1.0</v>
      </c>
      <c r="H18" s="27">
        <f t="shared" si="1"/>
        <v>200</v>
      </c>
      <c r="I18" s="23"/>
    </row>
    <row r="19" ht="14.25" customHeight="1">
      <c r="A19" s="85" t="s">
        <v>551</v>
      </c>
      <c r="B19" s="164"/>
      <c r="C19" s="33">
        <v>44996.0</v>
      </c>
      <c r="D19" s="62"/>
      <c r="E19" s="62"/>
      <c r="F19" s="60">
        <v>1.0</v>
      </c>
      <c r="G19" s="30">
        <v>1.0</v>
      </c>
      <c r="H19" s="27">
        <f t="shared" si="1"/>
        <v>200</v>
      </c>
      <c r="I19" s="23"/>
    </row>
    <row r="20" ht="14.25" customHeight="1">
      <c r="A20" s="87" t="s">
        <v>552</v>
      </c>
      <c r="B20" s="163"/>
      <c r="C20" s="33">
        <v>44996.0</v>
      </c>
      <c r="D20" s="62"/>
      <c r="E20" s="62"/>
      <c r="F20" s="69">
        <v>1.0</v>
      </c>
      <c r="G20" s="30">
        <v>1.0</v>
      </c>
      <c r="H20" s="27">
        <f t="shared" si="1"/>
        <v>200</v>
      </c>
      <c r="I20" s="23"/>
    </row>
    <row r="21" ht="14.25" customHeight="1">
      <c r="A21" s="85" t="s">
        <v>440</v>
      </c>
      <c r="B21" s="161"/>
      <c r="C21" s="33">
        <v>44996.0</v>
      </c>
      <c r="D21" s="62"/>
      <c r="E21" s="62"/>
      <c r="F21" s="60">
        <v>1.0</v>
      </c>
      <c r="G21" s="30">
        <v>1.0</v>
      </c>
      <c r="H21" s="27">
        <f t="shared" si="1"/>
        <v>200</v>
      </c>
      <c r="I21" s="23"/>
    </row>
    <row r="22" ht="14.25" customHeight="1">
      <c r="A22" s="85" t="s">
        <v>553</v>
      </c>
      <c r="B22" s="164"/>
      <c r="C22" s="33">
        <v>44996.0</v>
      </c>
      <c r="D22" s="62"/>
      <c r="E22" s="62"/>
      <c r="F22" s="60">
        <v>1.0</v>
      </c>
      <c r="G22" s="30">
        <v>1.0</v>
      </c>
      <c r="H22" s="27">
        <f t="shared" si="1"/>
        <v>200</v>
      </c>
      <c r="I22" s="23"/>
    </row>
    <row r="23" ht="14.25" customHeight="1">
      <c r="A23" s="85" t="s">
        <v>554</v>
      </c>
      <c r="B23" s="161"/>
      <c r="C23" s="33">
        <v>45027.0</v>
      </c>
      <c r="D23" s="62"/>
      <c r="E23" s="62"/>
      <c r="F23" s="60">
        <v>1.0</v>
      </c>
      <c r="G23" s="30">
        <v>1.0</v>
      </c>
      <c r="H23" s="27">
        <f t="shared" si="1"/>
        <v>200</v>
      </c>
      <c r="I23" s="23"/>
    </row>
    <row r="24" ht="14.25" customHeight="1">
      <c r="A24" s="87" t="s">
        <v>555</v>
      </c>
      <c r="B24" s="164"/>
      <c r="C24" s="33">
        <v>45027.0</v>
      </c>
      <c r="D24" s="62"/>
      <c r="E24" s="62"/>
      <c r="F24" s="60">
        <v>1.0</v>
      </c>
      <c r="G24" s="30">
        <v>1.0</v>
      </c>
      <c r="H24" s="27">
        <f t="shared" si="1"/>
        <v>200</v>
      </c>
      <c r="I24" s="23"/>
    </row>
    <row r="25" ht="14.25" customHeight="1">
      <c r="A25" s="85" t="s">
        <v>556</v>
      </c>
      <c r="B25" s="161"/>
      <c r="C25" s="33">
        <v>45027.0</v>
      </c>
      <c r="D25" s="62"/>
      <c r="E25" s="62"/>
      <c r="F25" s="60">
        <v>1.0</v>
      </c>
      <c r="G25" s="30">
        <v>1.0</v>
      </c>
      <c r="H25" s="27">
        <f t="shared" si="1"/>
        <v>200</v>
      </c>
      <c r="I25" s="23"/>
    </row>
    <row r="26" ht="14.25" customHeight="1">
      <c r="A26" s="85" t="s">
        <v>557</v>
      </c>
      <c r="B26" s="161"/>
      <c r="C26" s="33">
        <v>45027.0</v>
      </c>
      <c r="D26" s="62"/>
      <c r="E26" s="62"/>
      <c r="F26" s="60">
        <v>1.0</v>
      </c>
      <c r="G26" s="30">
        <v>1.0</v>
      </c>
      <c r="H26" s="27">
        <f t="shared" si="1"/>
        <v>200</v>
      </c>
      <c r="I26" s="23"/>
    </row>
    <row r="27" ht="14.25" customHeight="1">
      <c r="A27" s="85" t="s">
        <v>558</v>
      </c>
      <c r="B27" s="161"/>
      <c r="C27" s="33">
        <v>45027.0</v>
      </c>
      <c r="D27" s="62"/>
      <c r="E27" s="62"/>
      <c r="F27" s="60">
        <v>1.0</v>
      </c>
      <c r="G27" s="30">
        <v>1.0</v>
      </c>
      <c r="H27" s="27">
        <f t="shared" si="1"/>
        <v>200</v>
      </c>
      <c r="I27" s="23"/>
    </row>
    <row r="28" ht="14.25" customHeight="1">
      <c r="A28" s="85" t="s">
        <v>559</v>
      </c>
      <c r="B28" s="161"/>
      <c r="C28" s="33">
        <v>45057.0</v>
      </c>
      <c r="D28" s="62"/>
      <c r="E28" s="62"/>
      <c r="F28" s="60">
        <v>2.0</v>
      </c>
      <c r="G28" s="30">
        <v>2.0</v>
      </c>
      <c r="H28" s="27">
        <f t="shared" si="1"/>
        <v>400</v>
      </c>
      <c r="I28" s="23"/>
    </row>
    <row r="29" ht="14.25" customHeight="1">
      <c r="A29" s="85" t="s">
        <v>560</v>
      </c>
      <c r="B29" s="161"/>
      <c r="C29" s="33">
        <v>45057.0</v>
      </c>
      <c r="D29" s="62"/>
      <c r="E29" s="62"/>
      <c r="F29" s="60">
        <v>1.0</v>
      </c>
      <c r="G29" s="30">
        <v>1.0</v>
      </c>
      <c r="H29" s="27">
        <f t="shared" si="1"/>
        <v>200</v>
      </c>
      <c r="I29" s="23"/>
    </row>
    <row r="30" ht="14.25" customHeight="1">
      <c r="A30" s="85" t="s">
        <v>561</v>
      </c>
      <c r="B30" s="164"/>
      <c r="C30" s="33">
        <v>45057.0</v>
      </c>
      <c r="D30" s="62"/>
      <c r="E30" s="62"/>
      <c r="F30" s="60">
        <v>1.0</v>
      </c>
      <c r="G30" s="30">
        <v>1.0</v>
      </c>
      <c r="H30" s="27">
        <f t="shared" si="1"/>
        <v>200</v>
      </c>
      <c r="I30" s="23"/>
    </row>
    <row r="31" ht="14.25" customHeight="1">
      <c r="A31" s="85" t="s">
        <v>562</v>
      </c>
      <c r="B31" s="161"/>
      <c r="C31" s="33">
        <v>45057.0</v>
      </c>
      <c r="D31" s="62"/>
      <c r="E31" s="62"/>
      <c r="F31" s="60">
        <v>2.0</v>
      </c>
      <c r="G31" s="30">
        <v>2.0</v>
      </c>
      <c r="H31" s="27">
        <f t="shared" si="1"/>
        <v>400</v>
      </c>
      <c r="I31" s="23"/>
    </row>
    <row r="32" ht="14.25" customHeight="1">
      <c r="A32" s="87" t="s">
        <v>563</v>
      </c>
      <c r="B32" s="163"/>
      <c r="C32" s="33">
        <v>45057.0</v>
      </c>
      <c r="D32" s="62"/>
      <c r="E32" s="62"/>
      <c r="F32" s="60">
        <v>1.0</v>
      </c>
      <c r="G32" s="30">
        <v>1.0</v>
      </c>
      <c r="H32" s="27">
        <f t="shared" si="1"/>
        <v>200</v>
      </c>
      <c r="I32" s="23"/>
    </row>
    <row r="33" ht="14.25" customHeight="1">
      <c r="A33" s="87" t="s">
        <v>564</v>
      </c>
      <c r="B33" s="163"/>
      <c r="C33" s="33">
        <v>45088.0</v>
      </c>
      <c r="D33" s="23"/>
      <c r="E33" s="23"/>
      <c r="F33" s="63">
        <v>2.0</v>
      </c>
      <c r="G33" s="30">
        <v>2.0</v>
      </c>
      <c r="H33" s="27">
        <f t="shared" si="1"/>
        <v>400</v>
      </c>
      <c r="I33" s="23"/>
    </row>
    <row r="34" ht="14.25" customHeight="1">
      <c r="A34" s="87" t="s">
        <v>565</v>
      </c>
      <c r="B34" s="163"/>
      <c r="C34" s="33">
        <v>45088.0</v>
      </c>
      <c r="D34" s="23"/>
      <c r="E34" s="23"/>
      <c r="F34" s="63">
        <v>2.0</v>
      </c>
      <c r="G34" s="30">
        <v>2.0</v>
      </c>
      <c r="H34" s="27">
        <f t="shared" si="1"/>
        <v>400</v>
      </c>
      <c r="I34" s="23"/>
    </row>
    <row r="35" ht="14.25" customHeight="1">
      <c r="A35" s="85" t="s">
        <v>566</v>
      </c>
      <c r="B35" s="161"/>
      <c r="C35" s="33">
        <v>45088.0</v>
      </c>
      <c r="D35" s="23"/>
      <c r="E35" s="23"/>
      <c r="F35" s="63">
        <v>1.0</v>
      </c>
      <c r="G35" s="30">
        <v>1.0</v>
      </c>
      <c r="H35" s="27">
        <f t="shared" si="1"/>
        <v>200</v>
      </c>
      <c r="I35" s="23"/>
    </row>
    <row r="36" ht="14.25" customHeight="1">
      <c r="A36" s="87" t="s">
        <v>567</v>
      </c>
      <c r="B36" s="163"/>
      <c r="C36" s="33">
        <v>45088.0</v>
      </c>
      <c r="D36" s="23"/>
      <c r="E36" s="23"/>
      <c r="F36" s="63">
        <v>2.0</v>
      </c>
      <c r="G36" s="30">
        <v>2.0</v>
      </c>
      <c r="H36" s="27">
        <f t="shared" si="1"/>
        <v>400</v>
      </c>
      <c r="I36" s="23"/>
    </row>
    <row r="37" ht="14.25" customHeight="1">
      <c r="A37" s="85" t="s">
        <v>568</v>
      </c>
      <c r="B37" s="161"/>
      <c r="C37" s="33">
        <v>45088.0</v>
      </c>
      <c r="D37" s="23"/>
      <c r="E37" s="23"/>
      <c r="F37" s="63">
        <v>1.0</v>
      </c>
      <c r="G37" s="30">
        <v>1.0</v>
      </c>
      <c r="H37" s="27">
        <f t="shared" si="1"/>
        <v>200</v>
      </c>
      <c r="I37" s="23"/>
    </row>
    <row r="38" ht="14.25" customHeight="1">
      <c r="A38" s="85" t="s">
        <v>569</v>
      </c>
      <c r="B38" s="161"/>
      <c r="C38" s="29" t="s">
        <v>570</v>
      </c>
      <c r="D38" s="23"/>
      <c r="E38" s="23"/>
      <c r="F38" s="63">
        <v>1.0</v>
      </c>
      <c r="G38" s="30">
        <v>1.0</v>
      </c>
      <c r="H38" s="27">
        <f t="shared" si="1"/>
        <v>200</v>
      </c>
      <c r="I38" s="23"/>
    </row>
    <row r="39" ht="14.25" customHeight="1">
      <c r="A39" s="85" t="s">
        <v>571</v>
      </c>
      <c r="B39" s="161"/>
      <c r="C39" s="29" t="s">
        <v>570</v>
      </c>
      <c r="D39" s="23"/>
      <c r="E39" s="23"/>
      <c r="F39" s="63">
        <v>1.0</v>
      </c>
      <c r="G39" s="30">
        <v>1.0</v>
      </c>
      <c r="H39" s="27">
        <f t="shared" si="1"/>
        <v>200</v>
      </c>
      <c r="I39" s="23"/>
    </row>
    <row r="40" ht="14.25" customHeight="1">
      <c r="A40" s="85" t="s">
        <v>572</v>
      </c>
      <c r="B40" s="161"/>
      <c r="C40" s="33">
        <v>45118.0</v>
      </c>
      <c r="D40" s="23"/>
      <c r="E40" s="23"/>
      <c r="F40" s="63">
        <v>1.0</v>
      </c>
      <c r="G40" s="30">
        <v>1.0</v>
      </c>
      <c r="H40" s="27">
        <f t="shared" si="1"/>
        <v>200</v>
      </c>
      <c r="I40" s="23"/>
    </row>
    <row r="41" ht="14.25" customHeight="1">
      <c r="A41" s="85" t="s">
        <v>573</v>
      </c>
      <c r="B41" s="161"/>
      <c r="C41" s="33">
        <v>45118.0</v>
      </c>
      <c r="D41" s="23"/>
      <c r="E41" s="23"/>
      <c r="F41" s="63">
        <v>2.0</v>
      </c>
      <c r="G41" s="30">
        <v>2.0</v>
      </c>
      <c r="H41" s="27">
        <f t="shared" si="1"/>
        <v>400</v>
      </c>
      <c r="I41" s="23"/>
    </row>
    <row r="42" ht="14.25" customHeight="1">
      <c r="A42" s="85" t="s">
        <v>574</v>
      </c>
      <c r="B42" s="161"/>
      <c r="C42" s="33">
        <v>45118.0</v>
      </c>
      <c r="D42" s="23"/>
      <c r="E42" s="23"/>
      <c r="F42" s="63">
        <v>1.0</v>
      </c>
      <c r="G42" s="30">
        <v>1.0</v>
      </c>
      <c r="H42" s="27">
        <f t="shared" si="1"/>
        <v>200</v>
      </c>
      <c r="I42" s="23"/>
    </row>
    <row r="43" ht="14.25" customHeight="1">
      <c r="A43" s="85" t="s">
        <v>575</v>
      </c>
      <c r="B43" s="161"/>
      <c r="C43" s="33">
        <v>45118.0</v>
      </c>
      <c r="D43" s="23"/>
      <c r="E43" s="23"/>
      <c r="F43" s="63">
        <v>1.0</v>
      </c>
      <c r="G43" s="30">
        <v>1.0</v>
      </c>
      <c r="H43" s="27">
        <f t="shared" si="1"/>
        <v>200</v>
      </c>
      <c r="I43" s="23"/>
    </row>
    <row r="44" ht="14.25" customHeight="1">
      <c r="A44" s="85" t="s">
        <v>576</v>
      </c>
      <c r="B44" s="161"/>
      <c r="C44" s="33">
        <v>45118.0</v>
      </c>
      <c r="D44" s="23"/>
      <c r="E44" s="23"/>
      <c r="F44" s="63">
        <v>1.0</v>
      </c>
      <c r="G44" s="30">
        <v>1.0</v>
      </c>
      <c r="H44" s="27">
        <f t="shared" si="1"/>
        <v>200</v>
      </c>
      <c r="I44" s="23"/>
    </row>
    <row r="45" ht="14.25" customHeight="1">
      <c r="A45" s="85" t="s">
        <v>576</v>
      </c>
      <c r="B45" s="161"/>
      <c r="C45" s="33">
        <v>45149.0</v>
      </c>
      <c r="D45" s="23"/>
      <c r="E45" s="23"/>
      <c r="F45" s="63">
        <v>1.0</v>
      </c>
      <c r="G45" s="30">
        <v>1.0</v>
      </c>
      <c r="H45" s="27">
        <f t="shared" si="1"/>
        <v>200</v>
      </c>
      <c r="I45" s="23"/>
    </row>
    <row r="46" ht="14.25" customHeight="1">
      <c r="A46" s="85" t="s">
        <v>577</v>
      </c>
      <c r="B46" s="161"/>
      <c r="C46" s="33">
        <v>45149.0</v>
      </c>
      <c r="D46" s="23"/>
      <c r="E46" s="23"/>
      <c r="F46" s="63">
        <v>1.0</v>
      </c>
      <c r="G46" s="30">
        <v>1.0</v>
      </c>
      <c r="H46" s="27">
        <f t="shared" si="1"/>
        <v>200</v>
      </c>
      <c r="I46" s="23"/>
    </row>
    <row r="47" ht="14.25" customHeight="1">
      <c r="A47" s="85" t="s">
        <v>578</v>
      </c>
      <c r="B47" s="161"/>
      <c r="C47" s="33">
        <v>45149.0</v>
      </c>
      <c r="D47" s="23"/>
      <c r="E47" s="23"/>
      <c r="F47" s="63">
        <v>1.0</v>
      </c>
      <c r="G47" s="30">
        <v>1.0</v>
      </c>
      <c r="H47" s="27">
        <f t="shared" si="1"/>
        <v>200</v>
      </c>
      <c r="I47" s="23"/>
    </row>
    <row r="48" ht="14.25" customHeight="1">
      <c r="A48" s="85" t="s">
        <v>579</v>
      </c>
      <c r="B48" s="161"/>
      <c r="C48" s="33">
        <v>45149.0</v>
      </c>
      <c r="D48" s="23"/>
      <c r="E48" s="23"/>
      <c r="F48" s="63">
        <v>1.0</v>
      </c>
      <c r="G48" s="30">
        <v>1.0</v>
      </c>
      <c r="H48" s="27">
        <f t="shared" si="1"/>
        <v>200</v>
      </c>
      <c r="I48" s="23"/>
    </row>
    <row r="49" ht="14.25" customHeight="1">
      <c r="A49" s="85" t="s">
        <v>580</v>
      </c>
      <c r="B49" s="161"/>
      <c r="C49" s="29" t="s">
        <v>581</v>
      </c>
      <c r="D49" s="23"/>
      <c r="E49" s="23"/>
      <c r="F49" s="63">
        <v>1.0</v>
      </c>
      <c r="G49" s="30">
        <v>1.0</v>
      </c>
      <c r="H49" s="27">
        <f t="shared" si="1"/>
        <v>200</v>
      </c>
      <c r="I49" s="23"/>
    </row>
    <row r="50" ht="14.25" customHeight="1">
      <c r="A50" s="85" t="s">
        <v>582</v>
      </c>
      <c r="B50" s="161"/>
      <c r="C50" s="29" t="s">
        <v>581</v>
      </c>
      <c r="D50" s="23"/>
      <c r="E50" s="23"/>
      <c r="F50" s="63">
        <v>1.0</v>
      </c>
      <c r="G50" s="30">
        <v>1.0</v>
      </c>
      <c r="H50" s="27">
        <f t="shared" si="1"/>
        <v>200</v>
      </c>
      <c r="I50" s="23"/>
    </row>
    <row r="51" ht="14.25" customHeight="1">
      <c r="A51" s="85" t="s">
        <v>583</v>
      </c>
      <c r="B51" s="161"/>
      <c r="C51" s="29" t="s">
        <v>581</v>
      </c>
      <c r="D51" s="23"/>
      <c r="E51" s="23"/>
      <c r="F51" s="63">
        <v>1.0</v>
      </c>
      <c r="G51" s="30">
        <v>1.0</v>
      </c>
      <c r="H51" s="27">
        <f t="shared" si="1"/>
        <v>200</v>
      </c>
      <c r="I51" s="23"/>
    </row>
    <row r="52" ht="14.25" customHeight="1">
      <c r="A52" s="85" t="s">
        <v>584</v>
      </c>
      <c r="B52" s="161"/>
      <c r="C52" s="29" t="s">
        <v>141</v>
      </c>
      <c r="D52" s="23"/>
      <c r="E52" s="23"/>
      <c r="F52" s="63">
        <v>1.0</v>
      </c>
      <c r="G52" s="30">
        <v>1.0</v>
      </c>
      <c r="H52" s="27">
        <f t="shared" si="1"/>
        <v>200</v>
      </c>
      <c r="I52" s="23"/>
    </row>
    <row r="53" ht="20.25" customHeight="1">
      <c r="A53" s="91"/>
      <c r="B53" s="92"/>
      <c r="C53" s="72"/>
      <c r="D53" s="23"/>
      <c r="E53" s="73" t="s">
        <v>41</v>
      </c>
      <c r="F53" s="40">
        <f>SUM(F9:F52)</f>
        <v>50</v>
      </c>
      <c r="G53" s="40">
        <f>SUM(G1:G52)</f>
        <v>50</v>
      </c>
      <c r="H53" s="74">
        <f>SUM(H9:H52)</f>
        <v>10000</v>
      </c>
      <c r="I53" s="42"/>
    </row>
    <row r="54" ht="24.0" customHeight="1">
      <c r="A54" s="75"/>
      <c r="B54" s="75"/>
      <c r="C54" s="75"/>
      <c r="D54" s="75"/>
      <c r="E54" s="76" t="s">
        <v>100</v>
      </c>
      <c r="F54" s="46">
        <f>COUNT(G10:G52)</f>
        <v>43</v>
      </c>
      <c r="G54" s="47"/>
      <c r="H54" s="47"/>
      <c r="I54" s="48"/>
    </row>
    <row r="55" ht="14.25" customHeight="1">
      <c r="C55" s="19"/>
      <c r="G55" s="55"/>
      <c r="H55" s="12"/>
    </row>
    <row r="56" ht="14.25" customHeight="1">
      <c r="C56" s="19"/>
      <c r="D56" s="49" t="s">
        <v>101</v>
      </c>
      <c r="E56" s="50"/>
      <c r="G56" s="55"/>
      <c r="H56" s="12"/>
    </row>
    <row r="57" ht="14.25" customHeight="1">
      <c r="C57" s="19"/>
      <c r="G57" s="55"/>
      <c r="H57" s="12"/>
    </row>
    <row r="58" ht="14.25" customHeight="1">
      <c r="C58" s="19"/>
      <c r="D58" s="51" t="s">
        <v>102</v>
      </c>
      <c r="E58" s="50"/>
      <c r="G58" s="55"/>
      <c r="H58" s="12"/>
    </row>
    <row r="59" ht="14.25" customHeight="1">
      <c r="C59" s="19"/>
      <c r="G59" s="55"/>
      <c r="H59" s="12"/>
    </row>
    <row r="60" ht="14.25" customHeight="1">
      <c r="C60" s="19"/>
      <c r="D60" s="52" t="s">
        <v>58</v>
      </c>
      <c r="E60" s="53"/>
      <c r="G60" s="55"/>
      <c r="H60" s="12"/>
    </row>
    <row r="61" ht="14.25" customHeight="1">
      <c r="C61" s="19"/>
      <c r="G61" s="55"/>
      <c r="H61" s="12"/>
    </row>
    <row r="62" ht="14.25" customHeight="1">
      <c r="C62" s="19"/>
      <c r="G62" s="55"/>
      <c r="H62" s="12"/>
    </row>
    <row r="63" ht="14.25" customHeight="1">
      <c r="C63" s="19"/>
      <c r="G63" s="55"/>
      <c r="H63" s="12"/>
    </row>
    <row r="64" ht="14.25" customHeight="1">
      <c r="C64" s="19"/>
      <c r="G64" s="55"/>
      <c r="H64" s="12"/>
    </row>
    <row r="65" ht="14.25" customHeight="1">
      <c r="C65" s="19"/>
      <c r="G65" s="55"/>
      <c r="H65" s="12"/>
    </row>
    <row r="66" ht="14.25" customHeight="1">
      <c r="C66" s="19"/>
      <c r="G66" s="55"/>
      <c r="H66" s="12"/>
    </row>
    <row r="67" ht="14.25" customHeight="1">
      <c r="C67" s="19"/>
      <c r="G67" s="55"/>
      <c r="H67" s="12"/>
    </row>
    <row r="68" ht="14.25" customHeight="1">
      <c r="C68" s="19"/>
      <c r="G68" s="55"/>
      <c r="H68" s="12"/>
    </row>
    <row r="69" ht="14.25" customHeight="1">
      <c r="C69" s="19"/>
      <c r="G69" s="55"/>
      <c r="H69" s="12"/>
    </row>
    <row r="70" ht="14.25" customHeight="1">
      <c r="C70" s="19"/>
      <c r="G70" s="55"/>
      <c r="H70" s="12"/>
    </row>
    <row r="71" ht="14.25" customHeight="1">
      <c r="C71" s="19"/>
      <c r="G71" s="55"/>
      <c r="H71" s="12"/>
    </row>
    <row r="72" ht="14.25" customHeight="1">
      <c r="C72" s="19"/>
      <c r="G72" s="55"/>
      <c r="H72" s="12"/>
    </row>
    <row r="73" ht="14.25" customHeight="1">
      <c r="C73" s="19"/>
      <c r="G73" s="55"/>
      <c r="H73" s="12"/>
    </row>
    <row r="74" ht="14.25" customHeight="1">
      <c r="C74" s="19"/>
      <c r="G74" s="55"/>
      <c r="H74" s="12"/>
    </row>
    <row r="75" ht="14.25" customHeight="1">
      <c r="C75" s="19"/>
      <c r="G75" s="55"/>
      <c r="H75" s="12"/>
    </row>
    <row r="76" ht="14.25" customHeight="1">
      <c r="C76" s="19"/>
      <c r="G76" s="55"/>
      <c r="H76" s="12"/>
    </row>
    <row r="77" ht="14.25" customHeight="1">
      <c r="C77" s="19"/>
      <c r="G77" s="55"/>
      <c r="H77" s="12"/>
    </row>
    <row r="78" ht="14.25" customHeight="1">
      <c r="C78" s="19"/>
      <c r="G78" s="55"/>
      <c r="H78" s="12"/>
    </row>
    <row r="79" ht="14.25" customHeight="1">
      <c r="C79" s="19"/>
      <c r="G79" s="55"/>
      <c r="H79" s="12"/>
    </row>
    <row r="80" ht="14.25" customHeight="1">
      <c r="C80" s="19"/>
      <c r="G80" s="55"/>
      <c r="H80" s="12"/>
    </row>
    <row r="81" ht="14.25" customHeight="1">
      <c r="C81" s="19"/>
      <c r="G81" s="55"/>
      <c r="H81" s="12"/>
    </row>
    <row r="82" ht="14.25" customHeight="1">
      <c r="C82" s="19"/>
      <c r="G82" s="55"/>
      <c r="H82" s="12"/>
    </row>
    <row r="83" ht="14.25" customHeight="1">
      <c r="C83" s="19"/>
      <c r="G83" s="55"/>
      <c r="H83" s="12"/>
    </row>
    <row r="84" ht="14.25" customHeight="1">
      <c r="C84" s="19"/>
      <c r="G84" s="55"/>
      <c r="H84" s="12"/>
    </row>
    <row r="85" ht="14.25" customHeight="1">
      <c r="C85" s="19"/>
      <c r="G85" s="55"/>
      <c r="H85" s="12"/>
    </row>
    <row r="86" ht="14.25" customHeight="1">
      <c r="C86" s="19"/>
      <c r="G86" s="55"/>
      <c r="H86" s="12"/>
    </row>
    <row r="87" ht="14.25" customHeight="1">
      <c r="C87" s="19"/>
      <c r="G87" s="55"/>
      <c r="H87" s="12"/>
    </row>
    <row r="88" ht="14.25" customHeight="1">
      <c r="C88" s="19"/>
      <c r="G88" s="55"/>
      <c r="H88" s="12"/>
    </row>
    <row r="89" ht="14.25" customHeight="1">
      <c r="C89" s="19"/>
      <c r="G89" s="55"/>
      <c r="H89" s="12"/>
    </row>
    <row r="90" ht="14.25" customHeight="1">
      <c r="C90" s="19"/>
      <c r="G90" s="55"/>
      <c r="H90" s="12"/>
    </row>
    <row r="91" ht="14.25" customHeight="1">
      <c r="C91" s="19"/>
      <c r="G91" s="55"/>
      <c r="H91" s="12"/>
    </row>
    <row r="92" ht="14.25" customHeight="1">
      <c r="C92" s="19"/>
      <c r="G92" s="55"/>
      <c r="H92" s="12"/>
    </row>
    <row r="93" ht="14.25" customHeight="1">
      <c r="C93" s="19"/>
      <c r="G93" s="55"/>
      <c r="H93" s="12"/>
    </row>
    <row r="94" ht="14.25" customHeight="1">
      <c r="C94" s="19"/>
      <c r="G94" s="55"/>
      <c r="H94" s="12"/>
    </row>
    <row r="95" ht="14.25" customHeight="1">
      <c r="C95" s="19"/>
      <c r="G95" s="55"/>
      <c r="H95" s="12"/>
    </row>
    <row r="96" ht="14.25" customHeight="1">
      <c r="C96" s="19"/>
      <c r="G96" s="55"/>
      <c r="H96" s="12"/>
    </row>
    <row r="97" ht="14.25" customHeight="1">
      <c r="C97" s="19"/>
      <c r="G97" s="55"/>
      <c r="H97" s="12"/>
    </row>
    <row r="98" ht="14.25" customHeight="1">
      <c r="C98" s="19"/>
      <c r="G98" s="55"/>
      <c r="H98" s="12"/>
    </row>
    <row r="99" ht="14.25" customHeight="1">
      <c r="C99" s="19"/>
      <c r="G99" s="55"/>
      <c r="H99" s="12"/>
    </row>
    <row r="100" ht="14.25" customHeight="1">
      <c r="C100" s="19"/>
      <c r="G100" s="55"/>
      <c r="H100" s="12"/>
    </row>
    <row r="101" ht="14.25" customHeight="1">
      <c r="C101" s="19"/>
      <c r="G101" s="55"/>
      <c r="H101" s="12"/>
    </row>
    <row r="102" ht="14.25" customHeight="1">
      <c r="C102" s="19"/>
      <c r="G102" s="55"/>
      <c r="H102" s="12"/>
    </row>
    <row r="103" ht="14.25" customHeight="1">
      <c r="C103" s="19"/>
      <c r="G103" s="55"/>
      <c r="H103" s="12"/>
    </row>
    <row r="104" ht="14.25" customHeight="1">
      <c r="C104" s="19"/>
      <c r="G104" s="55"/>
      <c r="H104" s="12"/>
    </row>
    <row r="105" ht="14.25" customHeight="1">
      <c r="C105" s="19"/>
      <c r="G105" s="55"/>
      <c r="H105" s="12"/>
    </row>
    <row r="106" ht="14.25" customHeight="1">
      <c r="C106" s="19"/>
      <c r="G106" s="55"/>
      <c r="H106" s="12"/>
    </row>
    <row r="107" ht="14.25" customHeight="1">
      <c r="C107" s="19"/>
      <c r="G107" s="55"/>
      <c r="H107" s="12"/>
    </row>
    <row r="108" ht="14.25" customHeight="1">
      <c r="C108" s="19"/>
      <c r="G108" s="55"/>
      <c r="H108" s="12"/>
    </row>
    <row r="109" ht="14.25" customHeight="1">
      <c r="C109" s="19"/>
      <c r="G109" s="55"/>
      <c r="H109" s="12"/>
    </row>
    <row r="110" ht="14.25" customHeight="1">
      <c r="C110" s="19"/>
      <c r="G110" s="55"/>
      <c r="H110" s="12"/>
    </row>
    <row r="111" ht="14.25" customHeight="1">
      <c r="C111" s="19"/>
      <c r="G111" s="55"/>
      <c r="H111" s="12"/>
    </row>
    <row r="112" ht="14.25" customHeight="1">
      <c r="C112" s="19"/>
      <c r="G112" s="55"/>
      <c r="H112" s="12"/>
    </row>
    <row r="113" ht="14.25" customHeight="1">
      <c r="C113" s="19"/>
      <c r="G113" s="55"/>
      <c r="H113" s="12"/>
    </row>
    <row r="114" ht="14.25" customHeight="1">
      <c r="C114" s="19"/>
      <c r="G114" s="55"/>
      <c r="H114" s="12"/>
    </row>
    <row r="115" ht="14.25" customHeight="1">
      <c r="C115" s="19"/>
      <c r="G115" s="55"/>
      <c r="H115" s="12"/>
    </row>
    <row r="116" ht="14.25" customHeight="1">
      <c r="C116" s="19"/>
      <c r="G116" s="55"/>
      <c r="H116" s="12"/>
    </row>
    <row r="117" ht="14.25" customHeight="1">
      <c r="C117" s="19"/>
      <c r="G117" s="55"/>
      <c r="H117" s="12"/>
    </row>
    <row r="118" ht="14.25" customHeight="1">
      <c r="C118" s="19"/>
      <c r="G118" s="55"/>
      <c r="H118" s="12"/>
    </row>
    <row r="119" ht="14.25" customHeight="1">
      <c r="C119" s="19"/>
      <c r="G119" s="55"/>
      <c r="H119" s="12"/>
    </row>
    <row r="120" ht="14.25" customHeight="1">
      <c r="C120" s="19"/>
      <c r="G120" s="55"/>
      <c r="H120" s="12"/>
    </row>
    <row r="121" ht="14.25" customHeight="1">
      <c r="C121" s="19"/>
      <c r="G121" s="55"/>
      <c r="H121" s="12"/>
    </row>
    <row r="122" ht="14.25" customHeight="1">
      <c r="C122" s="19"/>
      <c r="G122" s="55"/>
      <c r="H122" s="12"/>
    </row>
    <row r="123" ht="14.25" customHeight="1">
      <c r="C123" s="19"/>
      <c r="G123" s="55"/>
      <c r="H123" s="12"/>
    </row>
    <row r="124" ht="14.25" customHeight="1">
      <c r="C124" s="19"/>
      <c r="G124" s="55"/>
      <c r="H124" s="12"/>
    </row>
    <row r="125" ht="14.25" customHeight="1">
      <c r="C125" s="19"/>
      <c r="G125" s="55"/>
      <c r="H125" s="12"/>
    </row>
    <row r="126" ht="14.25" customHeight="1">
      <c r="C126" s="19"/>
      <c r="G126" s="55"/>
      <c r="H126" s="12"/>
    </row>
    <row r="127" ht="14.25" customHeight="1">
      <c r="C127" s="19"/>
      <c r="G127" s="55"/>
      <c r="H127" s="12"/>
    </row>
    <row r="128" ht="14.25" customHeight="1">
      <c r="C128" s="19"/>
      <c r="G128" s="55"/>
      <c r="H128" s="12"/>
    </row>
    <row r="129" ht="14.25" customHeight="1">
      <c r="C129" s="19"/>
      <c r="G129" s="55"/>
      <c r="H129" s="12"/>
    </row>
    <row r="130" ht="14.25" customHeight="1">
      <c r="C130" s="19"/>
      <c r="G130" s="55"/>
      <c r="H130" s="12"/>
    </row>
    <row r="131" ht="14.25" customHeight="1">
      <c r="C131" s="19"/>
      <c r="G131" s="55"/>
      <c r="H131" s="12"/>
    </row>
    <row r="132" ht="14.25" customHeight="1">
      <c r="C132" s="19"/>
      <c r="G132" s="55"/>
      <c r="H132" s="12"/>
    </row>
    <row r="133" ht="14.25" customHeight="1">
      <c r="C133" s="19"/>
      <c r="G133" s="55"/>
      <c r="H133" s="12"/>
    </row>
    <row r="134" ht="14.25" customHeight="1">
      <c r="C134" s="19"/>
      <c r="G134" s="55"/>
      <c r="H134" s="12"/>
    </row>
    <row r="135" ht="14.25" customHeight="1">
      <c r="C135" s="19"/>
      <c r="G135" s="55"/>
      <c r="H135" s="12"/>
    </row>
    <row r="136" ht="14.25" customHeight="1">
      <c r="C136" s="19"/>
      <c r="G136" s="55"/>
      <c r="H136" s="12"/>
    </row>
    <row r="137" ht="14.25" customHeight="1">
      <c r="C137" s="19"/>
      <c r="G137" s="55"/>
      <c r="H137" s="12"/>
    </row>
    <row r="138" ht="14.25" customHeight="1">
      <c r="C138" s="19"/>
      <c r="G138" s="55"/>
      <c r="H138" s="12"/>
    </row>
    <row r="139" ht="14.25" customHeight="1">
      <c r="C139" s="19"/>
      <c r="G139" s="55"/>
      <c r="H139" s="12"/>
    </row>
    <row r="140" ht="14.25" customHeight="1">
      <c r="C140" s="19"/>
      <c r="G140" s="55"/>
      <c r="H140" s="12"/>
    </row>
    <row r="141" ht="14.25" customHeight="1">
      <c r="C141" s="19"/>
      <c r="G141" s="55"/>
      <c r="H141" s="12"/>
    </row>
    <row r="142" ht="14.25" customHeight="1">
      <c r="C142" s="19"/>
      <c r="G142" s="55"/>
      <c r="H142" s="12"/>
    </row>
    <row r="143" ht="14.25" customHeight="1">
      <c r="C143" s="19"/>
      <c r="G143" s="55"/>
      <c r="H143" s="12"/>
    </row>
    <row r="144" ht="14.25" customHeight="1">
      <c r="C144" s="19"/>
      <c r="G144" s="55"/>
      <c r="H144" s="12"/>
    </row>
    <row r="145" ht="14.25" customHeight="1">
      <c r="C145" s="19"/>
      <c r="G145" s="55"/>
      <c r="H145" s="12"/>
    </row>
    <row r="146" ht="14.25" customHeight="1">
      <c r="C146" s="19"/>
      <c r="G146" s="55"/>
      <c r="H146" s="12"/>
    </row>
    <row r="147" ht="14.25" customHeight="1">
      <c r="C147" s="19"/>
      <c r="G147" s="55"/>
      <c r="H147" s="12"/>
    </row>
    <row r="148" ht="14.25" customHeight="1">
      <c r="C148" s="19"/>
      <c r="G148" s="55"/>
      <c r="H148" s="12"/>
    </row>
    <row r="149" ht="14.25" customHeight="1">
      <c r="C149" s="19"/>
      <c r="G149" s="55"/>
      <c r="H149" s="12"/>
    </row>
    <row r="150" ht="14.25" customHeight="1">
      <c r="C150" s="19"/>
      <c r="G150" s="55"/>
      <c r="H150" s="12"/>
    </row>
    <row r="151" ht="14.25" customHeight="1">
      <c r="C151" s="19"/>
      <c r="G151" s="55"/>
      <c r="H151" s="12"/>
    </row>
    <row r="152" ht="14.25" customHeight="1">
      <c r="C152" s="19"/>
      <c r="G152" s="55"/>
      <c r="H152" s="12"/>
    </row>
    <row r="153" ht="14.25" customHeight="1">
      <c r="C153" s="19"/>
      <c r="G153" s="55"/>
      <c r="H153" s="12"/>
    </row>
    <row r="154" ht="14.25" customHeight="1">
      <c r="C154" s="19"/>
      <c r="G154" s="55"/>
      <c r="H154" s="12"/>
    </row>
    <row r="155" ht="14.25" customHeight="1">
      <c r="C155" s="19"/>
      <c r="G155" s="55"/>
      <c r="H155" s="12"/>
    </row>
    <row r="156" ht="14.25" customHeight="1">
      <c r="C156" s="19"/>
      <c r="G156" s="55"/>
      <c r="H156" s="12"/>
    </row>
    <row r="157" ht="14.25" customHeight="1">
      <c r="C157" s="19"/>
      <c r="G157" s="55"/>
      <c r="H157" s="12"/>
    </row>
    <row r="158" ht="14.25" customHeight="1">
      <c r="C158" s="19"/>
      <c r="G158" s="55"/>
      <c r="H158" s="12"/>
    </row>
    <row r="159" ht="14.25" customHeight="1">
      <c r="C159" s="19"/>
      <c r="G159" s="55"/>
      <c r="H159" s="12"/>
    </row>
    <row r="160" ht="14.25" customHeight="1">
      <c r="C160" s="19"/>
      <c r="G160" s="55"/>
      <c r="H160" s="12"/>
    </row>
    <row r="161" ht="14.25" customHeight="1">
      <c r="C161" s="19"/>
      <c r="G161" s="55"/>
      <c r="H161" s="12"/>
    </row>
    <row r="162" ht="14.25" customHeight="1">
      <c r="C162" s="19"/>
      <c r="G162" s="55"/>
      <c r="H162" s="12"/>
    </row>
    <row r="163" ht="14.25" customHeight="1">
      <c r="C163" s="19"/>
      <c r="G163" s="55"/>
      <c r="H163" s="12"/>
    </row>
    <row r="164" ht="14.25" customHeight="1">
      <c r="C164" s="19"/>
      <c r="G164" s="55"/>
      <c r="H164" s="12"/>
    </row>
    <row r="165" ht="14.25" customHeight="1">
      <c r="C165" s="19"/>
      <c r="G165" s="55"/>
      <c r="H165" s="12"/>
    </row>
    <row r="166" ht="14.25" customHeight="1">
      <c r="C166" s="19"/>
      <c r="G166" s="55"/>
      <c r="H166" s="12"/>
    </row>
    <row r="167" ht="14.25" customHeight="1">
      <c r="C167" s="19"/>
      <c r="G167" s="55"/>
      <c r="H167" s="12"/>
    </row>
    <row r="168" ht="14.25" customHeight="1">
      <c r="C168" s="19"/>
      <c r="G168" s="55"/>
      <c r="H168" s="12"/>
    </row>
    <row r="169" ht="14.25" customHeight="1">
      <c r="C169" s="19"/>
      <c r="G169" s="55"/>
      <c r="H169" s="12"/>
    </row>
    <row r="170" ht="14.25" customHeight="1">
      <c r="C170" s="19"/>
      <c r="G170" s="55"/>
      <c r="H170" s="12"/>
    </row>
    <row r="171" ht="14.25" customHeight="1">
      <c r="C171" s="19"/>
      <c r="G171" s="55"/>
      <c r="H171" s="12"/>
    </row>
    <row r="172" ht="14.25" customHeight="1">
      <c r="C172" s="19"/>
      <c r="G172" s="55"/>
      <c r="H172" s="12"/>
    </row>
    <row r="173" ht="14.25" customHeight="1">
      <c r="C173" s="19"/>
      <c r="G173" s="55"/>
      <c r="H173" s="12"/>
    </row>
    <row r="174" ht="14.25" customHeight="1">
      <c r="C174" s="19"/>
      <c r="G174" s="55"/>
      <c r="H174" s="12"/>
    </row>
    <row r="175" ht="14.25" customHeight="1">
      <c r="C175" s="19"/>
      <c r="G175" s="55"/>
      <c r="H175" s="12"/>
    </row>
    <row r="176" ht="14.25" customHeight="1">
      <c r="C176" s="19"/>
      <c r="G176" s="55"/>
      <c r="H176" s="12"/>
    </row>
    <row r="177" ht="14.25" customHeight="1">
      <c r="C177" s="19"/>
      <c r="G177" s="55"/>
      <c r="H177" s="12"/>
    </row>
    <row r="178" ht="14.25" customHeight="1">
      <c r="C178" s="19"/>
      <c r="G178" s="55"/>
      <c r="H178" s="12"/>
    </row>
    <row r="179" ht="14.25" customHeight="1">
      <c r="C179" s="19"/>
      <c r="G179" s="55"/>
      <c r="H179" s="12"/>
    </row>
    <row r="180" ht="14.25" customHeight="1">
      <c r="C180" s="19"/>
      <c r="G180" s="55"/>
      <c r="H180" s="12"/>
    </row>
    <row r="181" ht="14.25" customHeight="1">
      <c r="C181" s="19"/>
      <c r="G181" s="55"/>
      <c r="H181" s="12"/>
    </row>
    <row r="182" ht="14.25" customHeight="1">
      <c r="C182" s="19"/>
      <c r="G182" s="55"/>
      <c r="H182" s="12"/>
    </row>
    <row r="183" ht="14.25" customHeight="1">
      <c r="C183" s="19"/>
      <c r="G183" s="55"/>
      <c r="H183" s="12"/>
    </row>
    <row r="184" ht="14.25" customHeight="1">
      <c r="C184" s="19"/>
      <c r="G184" s="55"/>
      <c r="H184" s="12"/>
    </row>
    <row r="185" ht="14.25" customHeight="1">
      <c r="C185" s="19"/>
      <c r="G185" s="55"/>
      <c r="H185" s="12"/>
    </row>
    <row r="186" ht="14.25" customHeight="1">
      <c r="C186" s="19"/>
      <c r="G186" s="55"/>
      <c r="H186" s="12"/>
    </row>
    <row r="187" ht="14.25" customHeight="1">
      <c r="C187" s="19"/>
      <c r="G187" s="55"/>
      <c r="H187" s="12"/>
    </row>
    <row r="188" ht="14.25" customHeight="1">
      <c r="C188" s="19"/>
      <c r="G188" s="55"/>
      <c r="H188" s="12"/>
    </row>
    <row r="189" ht="14.25" customHeight="1">
      <c r="C189" s="19"/>
      <c r="G189" s="55"/>
      <c r="H189" s="12"/>
    </row>
    <row r="190" ht="14.25" customHeight="1">
      <c r="C190" s="19"/>
      <c r="G190" s="55"/>
      <c r="H190" s="12"/>
    </row>
    <row r="191" ht="14.25" customHeight="1">
      <c r="C191" s="19"/>
      <c r="G191" s="55"/>
      <c r="H191" s="12"/>
    </row>
    <row r="192" ht="14.25" customHeight="1">
      <c r="C192" s="19"/>
      <c r="G192" s="55"/>
      <c r="H192" s="12"/>
    </row>
    <row r="193" ht="14.25" customHeight="1">
      <c r="C193" s="19"/>
      <c r="G193" s="55"/>
      <c r="H193" s="12"/>
    </row>
    <row r="194" ht="14.25" customHeight="1">
      <c r="C194" s="19"/>
      <c r="G194" s="55"/>
      <c r="H194" s="12"/>
    </row>
    <row r="195" ht="14.25" customHeight="1">
      <c r="C195" s="19"/>
      <c r="G195" s="55"/>
      <c r="H195" s="12"/>
    </row>
    <row r="196" ht="14.25" customHeight="1">
      <c r="C196" s="19"/>
      <c r="G196" s="55"/>
      <c r="H196" s="12"/>
    </row>
    <row r="197" ht="14.25" customHeight="1">
      <c r="C197" s="19"/>
      <c r="G197" s="55"/>
      <c r="H197" s="12"/>
    </row>
    <row r="198" ht="14.25" customHeight="1">
      <c r="C198" s="19"/>
      <c r="G198" s="55"/>
      <c r="H198" s="12"/>
    </row>
    <row r="199" ht="14.25" customHeight="1">
      <c r="C199" s="19"/>
      <c r="G199" s="55"/>
      <c r="H199" s="12"/>
    </row>
    <row r="200" ht="14.25" customHeight="1">
      <c r="C200" s="19"/>
      <c r="G200" s="55"/>
      <c r="H200" s="12"/>
    </row>
    <row r="201" ht="14.25" customHeight="1">
      <c r="C201" s="19"/>
      <c r="G201" s="55"/>
      <c r="H201" s="12"/>
    </row>
    <row r="202" ht="14.25" customHeight="1">
      <c r="C202" s="19"/>
      <c r="G202" s="55"/>
      <c r="H202" s="12"/>
    </row>
    <row r="203" ht="14.25" customHeight="1">
      <c r="C203" s="19"/>
      <c r="G203" s="55"/>
      <c r="H203" s="12"/>
    </row>
    <row r="204" ht="14.25" customHeight="1">
      <c r="C204" s="19"/>
      <c r="G204" s="55"/>
      <c r="H204" s="12"/>
    </row>
    <row r="205" ht="14.25" customHeight="1">
      <c r="C205" s="19"/>
      <c r="G205" s="55"/>
      <c r="H205" s="12"/>
    </row>
    <row r="206" ht="14.25" customHeight="1">
      <c r="C206" s="19"/>
      <c r="G206" s="55"/>
      <c r="H206" s="12"/>
    </row>
    <row r="207" ht="14.25" customHeight="1">
      <c r="C207" s="19"/>
      <c r="G207" s="55"/>
      <c r="H207" s="12"/>
    </row>
    <row r="208" ht="14.25" customHeight="1">
      <c r="C208" s="19"/>
      <c r="G208" s="55"/>
      <c r="H208" s="12"/>
    </row>
    <row r="209" ht="14.25" customHeight="1">
      <c r="C209" s="19"/>
      <c r="G209" s="55"/>
      <c r="H209" s="12"/>
    </row>
    <row r="210" ht="14.25" customHeight="1">
      <c r="C210" s="19"/>
      <c r="G210" s="55"/>
      <c r="H210" s="12"/>
    </row>
    <row r="211" ht="14.25" customHeight="1">
      <c r="C211" s="19"/>
      <c r="G211" s="55"/>
      <c r="H211" s="12"/>
    </row>
    <row r="212" ht="14.25" customHeight="1">
      <c r="C212" s="19"/>
      <c r="G212" s="55"/>
      <c r="H212" s="12"/>
    </row>
    <row r="213" ht="14.25" customHeight="1">
      <c r="C213" s="19"/>
      <c r="G213" s="55"/>
      <c r="H213" s="12"/>
    </row>
    <row r="214" ht="14.25" customHeight="1">
      <c r="C214" s="19"/>
      <c r="G214" s="55"/>
      <c r="H214" s="12"/>
    </row>
    <row r="215" ht="14.25" customHeight="1">
      <c r="C215" s="19"/>
      <c r="G215" s="55"/>
      <c r="H215" s="12"/>
    </row>
    <row r="216" ht="14.25" customHeight="1">
      <c r="C216" s="19"/>
      <c r="G216" s="55"/>
      <c r="H216" s="12"/>
    </row>
    <row r="217" ht="14.25" customHeight="1">
      <c r="C217" s="19"/>
      <c r="G217" s="55"/>
      <c r="H217" s="12"/>
    </row>
    <row r="218" ht="14.25" customHeight="1">
      <c r="C218" s="19"/>
      <c r="G218" s="55"/>
      <c r="H218" s="12"/>
    </row>
    <row r="219" ht="14.25" customHeight="1">
      <c r="C219" s="19"/>
      <c r="G219" s="55"/>
      <c r="H219" s="12"/>
    </row>
    <row r="220" ht="14.25" customHeight="1">
      <c r="C220" s="19"/>
      <c r="G220" s="55"/>
      <c r="H220" s="12"/>
    </row>
    <row r="221" ht="14.25" customHeight="1">
      <c r="C221" s="19"/>
      <c r="G221" s="55"/>
      <c r="H221" s="12"/>
    </row>
    <row r="222" ht="14.25" customHeight="1">
      <c r="C222" s="19"/>
      <c r="G222" s="55"/>
      <c r="H222" s="12"/>
    </row>
    <row r="223" ht="14.25" customHeight="1">
      <c r="C223" s="19"/>
      <c r="G223" s="55"/>
      <c r="H223" s="12"/>
    </row>
    <row r="224" ht="14.25" customHeight="1">
      <c r="C224" s="19"/>
      <c r="G224" s="55"/>
      <c r="H224" s="12"/>
    </row>
    <row r="225" ht="14.25" customHeight="1">
      <c r="C225" s="19"/>
      <c r="G225" s="55"/>
      <c r="H225" s="12"/>
    </row>
    <row r="226" ht="14.25" customHeight="1">
      <c r="C226" s="19"/>
      <c r="G226" s="55"/>
      <c r="H226" s="12"/>
    </row>
    <row r="227" ht="14.25" customHeight="1">
      <c r="C227" s="19"/>
      <c r="G227" s="55"/>
      <c r="H227" s="12"/>
    </row>
    <row r="228" ht="14.25" customHeight="1">
      <c r="C228" s="19"/>
      <c r="G228" s="55"/>
      <c r="H228" s="12"/>
    </row>
    <row r="229" ht="14.25" customHeight="1">
      <c r="C229" s="19"/>
      <c r="G229" s="55"/>
      <c r="H229" s="12"/>
    </row>
    <row r="230" ht="14.25" customHeight="1">
      <c r="C230" s="19"/>
      <c r="G230" s="55"/>
      <c r="H230" s="12"/>
    </row>
    <row r="231" ht="14.25" customHeight="1">
      <c r="C231" s="19"/>
      <c r="G231" s="55"/>
      <c r="H231" s="12"/>
    </row>
    <row r="232" ht="14.25" customHeight="1">
      <c r="C232" s="19"/>
      <c r="G232" s="55"/>
      <c r="H232" s="12"/>
    </row>
    <row r="233" ht="14.25" customHeight="1">
      <c r="C233" s="19"/>
      <c r="G233" s="55"/>
      <c r="H233" s="12"/>
    </row>
    <row r="234" ht="14.25" customHeight="1">
      <c r="C234" s="19"/>
      <c r="G234" s="55"/>
      <c r="H234" s="12"/>
    </row>
    <row r="235" ht="14.25" customHeight="1">
      <c r="C235" s="19"/>
      <c r="G235" s="55"/>
      <c r="H235" s="12"/>
    </row>
    <row r="236" ht="14.25" customHeight="1">
      <c r="C236" s="19"/>
      <c r="G236" s="55"/>
      <c r="H236" s="12"/>
    </row>
    <row r="237" ht="14.25" customHeight="1">
      <c r="C237" s="19"/>
      <c r="G237" s="55"/>
      <c r="H237" s="12"/>
    </row>
    <row r="238" ht="14.25" customHeight="1">
      <c r="C238" s="19"/>
      <c r="G238" s="55"/>
      <c r="H238" s="12"/>
    </row>
    <row r="239" ht="14.25" customHeight="1">
      <c r="C239" s="19"/>
      <c r="G239" s="55"/>
      <c r="H239" s="12"/>
    </row>
    <row r="240" ht="14.25" customHeight="1">
      <c r="C240" s="19"/>
      <c r="G240" s="55"/>
      <c r="H240" s="12"/>
    </row>
    <row r="241" ht="14.25" customHeight="1">
      <c r="C241" s="19"/>
      <c r="G241" s="55"/>
      <c r="H241" s="12"/>
    </row>
    <row r="242" ht="14.25" customHeight="1">
      <c r="C242" s="19"/>
      <c r="G242" s="55"/>
      <c r="H242" s="12"/>
    </row>
    <row r="243" ht="14.25" customHeight="1">
      <c r="C243" s="19"/>
      <c r="G243" s="55"/>
      <c r="H243" s="12"/>
    </row>
    <row r="244" ht="14.25" customHeight="1">
      <c r="C244" s="19"/>
      <c r="G244" s="55"/>
      <c r="H244" s="12"/>
    </row>
    <row r="245" ht="14.25" customHeight="1">
      <c r="C245" s="19"/>
      <c r="G245" s="55"/>
      <c r="H245" s="12"/>
    </row>
    <row r="246" ht="14.25" customHeight="1">
      <c r="C246" s="19"/>
      <c r="G246" s="55"/>
      <c r="H246" s="12"/>
    </row>
    <row r="247" ht="14.25" customHeight="1">
      <c r="C247" s="19"/>
      <c r="G247" s="55"/>
      <c r="H247" s="12"/>
    </row>
    <row r="248" ht="14.25" customHeight="1">
      <c r="C248" s="19"/>
      <c r="G248" s="55"/>
      <c r="H248" s="12"/>
    </row>
    <row r="249" ht="14.25" customHeight="1">
      <c r="C249" s="19"/>
      <c r="G249" s="55"/>
      <c r="H249" s="12"/>
    </row>
    <row r="250" ht="14.25" customHeight="1">
      <c r="C250" s="19"/>
      <c r="G250" s="55"/>
      <c r="H250" s="12"/>
    </row>
    <row r="251" ht="14.25" customHeight="1">
      <c r="C251" s="19"/>
      <c r="G251" s="55"/>
      <c r="H251" s="12"/>
    </row>
    <row r="252" ht="14.25" customHeight="1">
      <c r="C252" s="19"/>
      <c r="G252" s="55"/>
      <c r="H252" s="12"/>
    </row>
    <row r="253" ht="14.25" customHeight="1">
      <c r="C253" s="19"/>
      <c r="G253" s="55"/>
      <c r="H253" s="12"/>
    </row>
    <row r="254" ht="14.25" customHeight="1">
      <c r="C254" s="19"/>
      <c r="G254" s="55"/>
      <c r="H254" s="12"/>
    </row>
    <row r="255" ht="14.25" customHeight="1">
      <c r="C255" s="19"/>
      <c r="G255" s="55"/>
      <c r="H255" s="12"/>
    </row>
    <row r="256" ht="14.25" customHeight="1">
      <c r="C256" s="19"/>
      <c r="G256" s="55"/>
      <c r="H256" s="12"/>
    </row>
    <row r="257" ht="14.25" customHeight="1">
      <c r="C257" s="19"/>
      <c r="G257" s="55"/>
      <c r="H257" s="12"/>
    </row>
    <row r="258" ht="14.25" customHeight="1">
      <c r="C258" s="19"/>
      <c r="G258" s="55"/>
      <c r="H258" s="12"/>
    </row>
    <row r="259" ht="14.25" customHeight="1">
      <c r="C259" s="19"/>
      <c r="G259" s="55"/>
      <c r="H259" s="12"/>
    </row>
    <row r="260" ht="14.25" customHeight="1">
      <c r="C260" s="19"/>
      <c r="G260" s="55"/>
      <c r="H260" s="12"/>
    </row>
    <row r="261" ht="14.25" customHeight="1">
      <c r="C261" s="19"/>
      <c r="G261" s="55"/>
      <c r="H261" s="12"/>
    </row>
    <row r="262" ht="14.25" customHeight="1">
      <c r="C262" s="19"/>
      <c r="G262" s="55"/>
      <c r="H262" s="12"/>
    </row>
    <row r="263" ht="14.25" customHeight="1">
      <c r="C263" s="19"/>
      <c r="G263" s="55"/>
      <c r="H263" s="12"/>
    </row>
    <row r="264" ht="14.25" customHeight="1">
      <c r="C264" s="19"/>
      <c r="G264" s="55"/>
      <c r="H264" s="12"/>
    </row>
    <row r="265" ht="14.25" customHeight="1">
      <c r="C265" s="19"/>
      <c r="G265" s="55"/>
      <c r="H265" s="12"/>
    </row>
    <row r="266" ht="14.25" customHeight="1">
      <c r="C266" s="19"/>
      <c r="G266" s="55"/>
      <c r="H266" s="12"/>
    </row>
    <row r="267" ht="14.25" customHeight="1">
      <c r="C267" s="19"/>
      <c r="G267" s="55"/>
      <c r="H267" s="12"/>
    </row>
    <row r="268" ht="14.25" customHeight="1">
      <c r="C268" s="19"/>
      <c r="G268" s="55"/>
      <c r="H268" s="12"/>
    </row>
    <row r="269" ht="14.25" customHeight="1">
      <c r="C269" s="19"/>
      <c r="G269" s="55"/>
      <c r="H269" s="12"/>
    </row>
    <row r="270" ht="14.25" customHeight="1">
      <c r="C270" s="19"/>
      <c r="G270" s="55"/>
      <c r="H270" s="12"/>
    </row>
    <row r="271" ht="14.25" customHeight="1">
      <c r="C271" s="19"/>
      <c r="G271" s="55"/>
      <c r="H271" s="12"/>
    </row>
    <row r="272" ht="14.25" customHeight="1">
      <c r="C272" s="19"/>
      <c r="G272" s="55"/>
      <c r="H272" s="12"/>
    </row>
    <row r="273" ht="14.25" customHeight="1">
      <c r="C273" s="19"/>
      <c r="G273" s="55"/>
      <c r="H273" s="12"/>
    </row>
    <row r="274" ht="14.25" customHeight="1">
      <c r="C274" s="19"/>
      <c r="G274" s="55"/>
      <c r="H274" s="12"/>
    </row>
    <row r="275" ht="14.25" customHeight="1">
      <c r="C275" s="19"/>
      <c r="G275" s="55"/>
      <c r="H275" s="12"/>
    </row>
    <row r="276" ht="14.25" customHeight="1">
      <c r="C276" s="19"/>
      <c r="G276" s="55"/>
      <c r="H276" s="12"/>
    </row>
    <row r="277" ht="14.25" customHeight="1">
      <c r="C277" s="19"/>
      <c r="G277" s="55"/>
      <c r="H277" s="12"/>
    </row>
    <row r="278" ht="14.25" customHeight="1">
      <c r="C278" s="19"/>
      <c r="G278" s="55"/>
      <c r="H278" s="12"/>
    </row>
    <row r="279" ht="14.25" customHeight="1">
      <c r="C279" s="19"/>
      <c r="G279" s="55"/>
      <c r="H279" s="12"/>
    </row>
    <row r="280" ht="14.25" customHeight="1">
      <c r="C280" s="19"/>
      <c r="G280" s="55"/>
      <c r="H280" s="12"/>
    </row>
    <row r="281" ht="14.25" customHeight="1">
      <c r="C281" s="19"/>
      <c r="G281" s="55"/>
      <c r="H281" s="12"/>
    </row>
    <row r="282" ht="14.25" customHeight="1">
      <c r="C282" s="19"/>
      <c r="G282" s="55"/>
      <c r="H282" s="12"/>
    </row>
    <row r="283" ht="14.25" customHeight="1">
      <c r="C283" s="19"/>
      <c r="G283" s="55"/>
      <c r="H283" s="12"/>
    </row>
    <row r="284" ht="14.25" customHeight="1">
      <c r="C284" s="19"/>
      <c r="G284" s="55"/>
      <c r="H284" s="12"/>
    </row>
    <row r="285" ht="14.25" customHeight="1">
      <c r="C285" s="19"/>
      <c r="G285" s="55"/>
      <c r="H285" s="12"/>
    </row>
    <row r="286" ht="14.25" customHeight="1">
      <c r="C286" s="19"/>
      <c r="G286" s="55"/>
      <c r="H286" s="12"/>
    </row>
    <row r="287" ht="14.25" customHeight="1">
      <c r="C287" s="19"/>
      <c r="G287" s="55"/>
      <c r="H287" s="12"/>
    </row>
    <row r="288" ht="14.25" customHeight="1">
      <c r="C288" s="19"/>
      <c r="G288" s="55"/>
      <c r="H288" s="12"/>
    </row>
    <row r="289" ht="14.25" customHeight="1">
      <c r="C289" s="19"/>
      <c r="G289" s="55"/>
      <c r="H289" s="12"/>
    </row>
    <row r="290" ht="14.25" customHeight="1">
      <c r="C290" s="19"/>
      <c r="G290" s="55"/>
      <c r="H290" s="12"/>
    </row>
    <row r="291" ht="14.25" customHeight="1">
      <c r="C291" s="19"/>
      <c r="G291" s="55"/>
      <c r="H291" s="12"/>
    </row>
    <row r="292" ht="14.25" customHeight="1">
      <c r="C292" s="19"/>
      <c r="G292" s="55"/>
      <c r="H292" s="12"/>
    </row>
    <row r="293" ht="14.25" customHeight="1">
      <c r="C293" s="19"/>
      <c r="G293" s="55"/>
      <c r="H293" s="12"/>
    </row>
    <row r="294" ht="14.25" customHeight="1">
      <c r="C294" s="19"/>
      <c r="G294" s="55"/>
      <c r="H294" s="12"/>
    </row>
    <row r="295" ht="14.25" customHeight="1">
      <c r="C295" s="19"/>
      <c r="G295" s="55"/>
      <c r="H295" s="12"/>
    </row>
    <row r="296" ht="14.25" customHeight="1">
      <c r="C296" s="19"/>
      <c r="G296" s="55"/>
      <c r="H296" s="12"/>
    </row>
    <row r="297" ht="14.25" customHeight="1">
      <c r="C297" s="19"/>
      <c r="G297" s="55"/>
      <c r="H297" s="12"/>
    </row>
    <row r="298" ht="14.25" customHeight="1">
      <c r="C298" s="19"/>
      <c r="G298" s="55"/>
      <c r="H298" s="12"/>
    </row>
    <row r="299" ht="14.25" customHeight="1">
      <c r="C299" s="19"/>
      <c r="G299" s="55"/>
      <c r="H299" s="12"/>
    </row>
    <row r="300" ht="14.25" customHeight="1">
      <c r="C300" s="19"/>
      <c r="G300" s="55"/>
      <c r="H300" s="12"/>
    </row>
    <row r="301" ht="14.25" customHeight="1">
      <c r="C301" s="19"/>
      <c r="G301" s="55"/>
      <c r="H301" s="12"/>
    </row>
    <row r="302" ht="14.25" customHeight="1">
      <c r="C302" s="19"/>
      <c r="G302" s="55"/>
      <c r="H302" s="12"/>
    </row>
    <row r="303" ht="14.25" customHeight="1">
      <c r="C303" s="19"/>
      <c r="G303" s="55"/>
      <c r="H303" s="12"/>
    </row>
    <row r="304" ht="14.25" customHeight="1">
      <c r="C304" s="19"/>
      <c r="G304" s="55"/>
      <c r="H304" s="12"/>
    </row>
    <row r="305" ht="14.25" customHeight="1">
      <c r="C305" s="19"/>
      <c r="G305" s="55"/>
      <c r="H305" s="12"/>
    </row>
    <row r="306" ht="14.25" customHeight="1">
      <c r="C306" s="19"/>
      <c r="G306" s="55"/>
      <c r="H306" s="12"/>
    </row>
    <row r="307" ht="14.25" customHeight="1">
      <c r="C307" s="19"/>
      <c r="G307" s="55"/>
      <c r="H307" s="12"/>
    </row>
    <row r="308" ht="14.25" customHeight="1">
      <c r="C308" s="19"/>
      <c r="G308" s="55"/>
      <c r="H308" s="12"/>
    </row>
    <row r="309" ht="14.25" customHeight="1">
      <c r="C309" s="19"/>
      <c r="G309" s="55"/>
      <c r="H309" s="12"/>
    </row>
    <row r="310" ht="14.25" customHeight="1">
      <c r="C310" s="19"/>
      <c r="G310" s="55"/>
      <c r="H310" s="12"/>
    </row>
    <row r="311" ht="14.25" customHeight="1">
      <c r="C311" s="19"/>
      <c r="G311" s="55"/>
      <c r="H311" s="12"/>
    </row>
    <row r="312" ht="14.25" customHeight="1">
      <c r="C312" s="19"/>
      <c r="G312" s="55"/>
      <c r="H312" s="12"/>
    </row>
    <row r="313" ht="14.25" customHeight="1">
      <c r="C313" s="19"/>
      <c r="G313" s="55"/>
      <c r="H313" s="12"/>
    </row>
    <row r="314" ht="14.25" customHeight="1">
      <c r="C314" s="19"/>
      <c r="G314" s="55"/>
      <c r="H314" s="12"/>
    </row>
    <row r="315" ht="14.25" customHeight="1">
      <c r="C315" s="19"/>
      <c r="G315" s="55"/>
      <c r="H315" s="12"/>
    </row>
    <row r="316" ht="14.25" customHeight="1">
      <c r="C316" s="19"/>
      <c r="G316" s="55"/>
      <c r="H316" s="12"/>
    </row>
    <row r="317" ht="14.25" customHeight="1">
      <c r="C317" s="19"/>
      <c r="G317" s="55"/>
      <c r="H317" s="12"/>
    </row>
    <row r="318" ht="14.25" customHeight="1">
      <c r="C318" s="19"/>
      <c r="G318" s="55"/>
      <c r="H318" s="12"/>
    </row>
    <row r="319" ht="14.25" customHeight="1">
      <c r="C319" s="19"/>
      <c r="G319" s="55"/>
      <c r="H319" s="12"/>
    </row>
    <row r="320" ht="14.25" customHeight="1">
      <c r="C320" s="19"/>
      <c r="G320" s="55"/>
      <c r="H320" s="12"/>
    </row>
    <row r="321" ht="14.25" customHeight="1">
      <c r="C321" s="19"/>
      <c r="G321" s="55"/>
      <c r="H321" s="12"/>
    </row>
    <row r="322" ht="14.25" customHeight="1">
      <c r="C322" s="19"/>
      <c r="G322" s="55"/>
      <c r="H322" s="12"/>
    </row>
    <row r="323" ht="14.25" customHeight="1">
      <c r="C323" s="19"/>
      <c r="G323" s="55"/>
      <c r="H323" s="12"/>
    </row>
    <row r="324" ht="14.25" customHeight="1">
      <c r="C324" s="19"/>
      <c r="G324" s="55"/>
      <c r="H324" s="12"/>
    </row>
    <row r="325" ht="14.25" customHeight="1">
      <c r="C325" s="19"/>
      <c r="G325" s="55"/>
      <c r="H325" s="12"/>
    </row>
    <row r="326" ht="14.25" customHeight="1">
      <c r="C326" s="19"/>
      <c r="G326" s="55"/>
      <c r="H326" s="12"/>
    </row>
    <row r="327" ht="14.25" customHeight="1">
      <c r="C327" s="19"/>
      <c r="G327" s="55"/>
      <c r="H327" s="12"/>
    </row>
    <row r="328" ht="14.25" customHeight="1">
      <c r="C328" s="19"/>
      <c r="G328" s="55"/>
      <c r="H328" s="12"/>
    </row>
    <row r="329" ht="14.25" customHeight="1">
      <c r="C329" s="19"/>
      <c r="G329" s="55"/>
      <c r="H329" s="12"/>
    </row>
    <row r="330" ht="14.25" customHeight="1">
      <c r="C330" s="19"/>
      <c r="G330" s="55"/>
      <c r="H330" s="12"/>
    </row>
    <row r="331" ht="14.25" customHeight="1">
      <c r="C331" s="19"/>
      <c r="G331" s="55"/>
      <c r="H331" s="12"/>
    </row>
    <row r="332" ht="14.25" customHeight="1">
      <c r="C332" s="19"/>
      <c r="G332" s="55"/>
      <c r="H332" s="12"/>
    </row>
    <row r="333" ht="14.25" customHeight="1">
      <c r="C333" s="19"/>
      <c r="G333" s="55"/>
      <c r="H333" s="12"/>
    </row>
    <row r="334" ht="14.25" customHeight="1">
      <c r="C334" s="19"/>
      <c r="G334" s="55"/>
      <c r="H334" s="12"/>
    </row>
    <row r="335" ht="14.25" customHeight="1">
      <c r="C335" s="19"/>
      <c r="G335" s="55"/>
      <c r="H335" s="12"/>
    </row>
    <row r="336" ht="14.25" customHeight="1">
      <c r="C336" s="19"/>
      <c r="G336" s="55"/>
      <c r="H336" s="12"/>
    </row>
    <row r="337" ht="14.25" customHeight="1">
      <c r="C337" s="19"/>
      <c r="G337" s="55"/>
      <c r="H337" s="12"/>
    </row>
    <row r="338" ht="14.25" customHeight="1">
      <c r="C338" s="19"/>
      <c r="G338" s="55"/>
      <c r="H338" s="12"/>
    </row>
    <row r="339" ht="14.25" customHeight="1">
      <c r="C339" s="19"/>
      <c r="G339" s="55"/>
      <c r="H339" s="12"/>
    </row>
    <row r="340" ht="14.25" customHeight="1">
      <c r="C340" s="19"/>
      <c r="G340" s="55"/>
      <c r="H340" s="12"/>
    </row>
    <row r="341" ht="14.25" customHeight="1">
      <c r="C341" s="19"/>
      <c r="G341" s="55"/>
      <c r="H341" s="12"/>
    </row>
    <row r="342" ht="14.25" customHeight="1">
      <c r="C342" s="19"/>
      <c r="G342" s="55"/>
      <c r="H342" s="12"/>
    </row>
    <row r="343" ht="14.25" customHeight="1">
      <c r="C343" s="19"/>
      <c r="G343" s="55"/>
      <c r="H343" s="12"/>
    </row>
    <row r="344" ht="14.25" customHeight="1">
      <c r="C344" s="19"/>
      <c r="G344" s="55"/>
      <c r="H344" s="12"/>
    </row>
    <row r="345" ht="14.25" customHeight="1">
      <c r="C345" s="19"/>
      <c r="G345" s="55"/>
      <c r="H345" s="12"/>
    </row>
    <row r="346" ht="14.25" customHeight="1">
      <c r="C346" s="19"/>
      <c r="G346" s="55"/>
      <c r="H346" s="12"/>
    </row>
    <row r="347" ht="14.25" customHeight="1">
      <c r="C347" s="19"/>
      <c r="G347" s="55"/>
      <c r="H347" s="12"/>
    </row>
    <row r="348" ht="14.25" customHeight="1">
      <c r="C348" s="19"/>
      <c r="G348" s="55"/>
      <c r="H348" s="12"/>
    </row>
    <row r="349" ht="14.25" customHeight="1">
      <c r="C349" s="19"/>
      <c r="G349" s="55"/>
      <c r="H349" s="12"/>
    </row>
    <row r="350" ht="14.25" customHeight="1">
      <c r="C350" s="19"/>
      <c r="G350" s="55"/>
      <c r="H350" s="12"/>
    </row>
    <row r="351" ht="14.25" customHeight="1">
      <c r="C351" s="19"/>
      <c r="G351" s="55"/>
      <c r="H351" s="12"/>
    </row>
    <row r="352" ht="14.25" customHeight="1">
      <c r="C352" s="19"/>
      <c r="G352" s="55"/>
      <c r="H352" s="12"/>
    </row>
    <row r="353" ht="14.25" customHeight="1">
      <c r="C353" s="19"/>
      <c r="G353" s="55"/>
      <c r="H353" s="12"/>
    </row>
    <row r="354" ht="14.25" customHeight="1">
      <c r="C354" s="19"/>
      <c r="G354" s="55"/>
      <c r="H354" s="12"/>
    </row>
    <row r="355" ht="14.25" customHeight="1">
      <c r="C355" s="19"/>
      <c r="G355" s="55"/>
      <c r="H355" s="12"/>
    </row>
    <row r="356" ht="14.25" customHeight="1">
      <c r="C356" s="19"/>
      <c r="G356" s="55"/>
      <c r="H356" s="12"/>
    </row>
    <row r="357" ht="14.25" customHeight="1">
      <c r="C357" s="19"/>
      <c r="G357" s="55"/>
      <c r="H357" s="12"/>
    </row>
    <row r="358" ht="14.25" customHeight="1">
      <c r="C358" s="19"/>
      <c r="G358" s="55"/>
      <c r="H358" s="12"/>
    </row>
    <row r="359" ht="14.25" customHeight="1">
      <c r="C359" s="19"/>
      <c r="G359" s="55"/>
      <c r="H359" s="12"/>
    </row>
    <row r="360" ht="14.25" customHeight="1">
      <c r="C360" s="19"/>
      <c r="G360" s="55"/>
      <c r="H360" s="12"/>
    </row>
    <row r="361" ht="14.25" customHeight="1">
      <c r="C361" s="19"/>
      <c r="G361" s="55"/>
      <c r="H361" s="12"/>
    </row>
    <row r="362" ht="14.25" customHeight="1">
      <c r="C362" s="19"/>
      <c r="G362" s="55"/>
      <c r="H362" s="12"/>
    </row>
    <row r="363" ht="14.25" customHeight="1">
      <c r="C363" s="19"/>
      <c r="G363" s="55"/>
      <c r="H363" s="12"/>
    </row>
    <row r="364" ht="14.25" customHeight="1">
      <c r="C364" s="19"/>
      <c r="G364" s="55"/>
      <c r="H364" s="12"/>
    </row>
    <row r="365" ht="14.25" customHeight="1">
      <c r="C365" s="19"/>
      <c r="G365" s="55"/>
      <c r="H365" s="12"/>
    </row>
    <row r="366" ht="14.25" customHeight="1">
      <c r="C366" s="19"/>
      <c r="G366" s="55"/>
      <c r="H366" s="12"/>
    </row>
    <row r="367" ht="14.25" customHeight="1">
      <c r="C367" s="19"/>
      <c r="G367" s="55"/>
      <c r="H367" s="12"/>
    </row>
    <row r="368" ht="14.25" customHeight="1">
      <c r="C368" s="19"/>
      <c r="G368" s="55"/>
      <c r="H368" s="12"/>
    </row>
    <row r="369" ht="14.25" customHeight="1">
      <c r="C369" s="19"/>
      <c r="G369" s="55"/>
      <c r="H369" s="12"/>
    </row>
    <row r="370" ht="14.25" customHeight="1">
      <c r="C370" s="19"/>
      <c r="G370" s="55"/>
      <c r="H370" s="12"/>
    </row>
    <row r="371" ht="14.25" customHeight="1">
      <c r="C371" s="19"/>
      <c r="G371" s="55"/>
      <c r="H371" s="12"/>
    </row>
    <row r="372" ht="14.25" customHeight="1">
      <c r="C372" s="19"/>
      <c r="G372" s="55"/>
      <c r="H372" s="12"/>
    </row>
    <row r="373" ht="14.25" customHeight="1">
      <c r="C373" s="19"/>
      <c r="G373" s="55"/>
      <c r="H373" s="12"/>
    </row>
    <row r="374" ht="14.25" customHeight="1">
      <c r="C374" s="19"/>
      <c r="G374" s="55"/>
      <c r="H374" s="12"/>
    </row>
    <row r="375" ht="14.25" customHeight="1">
      <c r="C375" s="19"/>
      <c r="G375" s="55"/>
      <c r="H375" s="12"/>
    </row>
    <row r="376" ht="14.25" customHeight="1">
      <c r="C376" s="19"/>
      <c r="G376" s="55"/>
      <c r="H376" s="12"/>
    </row>
    <row r="377" ht="14.25" customHeight="1">
      <c r="C377" s="19"/>
      <c r="G377" s="55"/>
      <c r="H377" s="12"/>
    </row>
    <row r="378" ht="14.25" customHeight="1">
      <c r="C378" s="19"/>
      <c r="G378" s="55"/>
      <c r="H378" s="12"/>
    </row>
    <row r="379" ht="14.25" customHeight="1">
      <c r="C379" s="19"/>
      <c r="G379" s="55"/>
      <c r="H379" s="12"/>
    </row>
    <row r="380" ht="14.25" customHeight="1">
      <c r="C380" s="19"/>
      <c r="G380" s="55"/>
      <c r="H380" s="12"/>
    </row>
    <row r="381" ht="14.25" customHeight="1">
      <c r="C381" s="19"/>
      <c r="G381" s="55"/>
      <c r="H381" s="12"/>
    </row>
    <row r="382" ht="14.25" customHeight="1">
      <c r="C382" s="19"/>
      <c r="G382" s="55"/>
      <c r="H382" s="12"/>
    </row>
    <row r="383" ht="14.25" customHeight="1">
      <c r="C383" s="19"/>
      <c r="G383" s="55"/>
      <c r="H383" s="12"/>
    </row>
    <row r="384" ht="14.25" customHeight="1">
      <c r="C384" s="19"/>
      <c r="G384" s="55"/>
      <c r="H384" s="12"/>
    </row>
    <row r="385" ht="14.25" customHeight="1">
      <c r="C385" s="19"/>
      <c r="G385" s="55"/>
      <c r="H385" s="12"/>
    </row>
    <row r="386" ht="14.25" customHeight="1">
      <c r="C386" s="19"/>
      <c r="G386" s="55"/>
      <c r="H386" s="12"/>
    </row>
    <row r="387" ht="14.25" customHeight="1">
      <c r="C387" s="19"/>
      <c r="G387" s="55"/>
      <c r="H387" s="12"/>
    </row>
    <row r="388" ht="14.25" customHeight="1">
      <c r="C388" s="19"/>
      <c r="G388" s="55"/>
      <c r="H388" s="12"/>
    </row>
    <row r="389" ht="14.25" customHeight="1">
      <c r="C389" s="19"/>
      <c r="G389" s="55"/>
      <c r="H389" s="12"/>
    </row>
    <row r="390" ht="14.25" customHeight="1">
      <c r="C390" s="19"/>
      <c r="G390" s="55"/>
      <c r="H390" s="12"/>
    </row>
    <row r="391" ht="14.25" customHeight="1">
      <c r="C391" s="19"/>
      <c r="G391" s="55"/>
      <c r="H391" s="12"/>
    </row>
    <row r="392" ht="14.25" customHeight="1">
      <c r="C392" s="19"/>
      <c r="G392" s="55"/>
      <c r="H392" s="12"/>
    </row>
    <row r="393" ht="14.25" customHeight="1">
      <c r="C393" s="19"/>
      <c r="G393" s="55"/>
      <c r="H393" s="12"/>
    </row>
    <row r="394" ht="14.25" customHeight="1">
      <c r="C394" s="19"/>
      <c r="G394" s="55"/>
      <c r="H394" s="12"/>
    </row>
    <row r="395" ht="14.25" customHeight="1">
      <c r="C395" s="19"/>
      <c r="G395" s="55"/>
      <c r="H395" s="12"/>
    </row>
    <row r="396" ht="14.25" customHeight="1">
      <c r="C396" s="19"/>
      <c r="G396" s="55"/>
      <c r="H396" s="12"/>
    </row>
    <row r="397" ht="14.25" customHeight="1">
      <c r="C397" s="19"/>
      <c r="G397" s="55"/>
      <c r="H397" s="12"/>
    </row>
    <row r="398" ht="14.25" customHeight="1">
      <c r="C398" s="19"/>
      <c r="G398" s="55"/>
      <c r="H398" s="12"/>
    </row>
    <row r="399" ht="14.25" customHeight="1">
      <c r="C399" s="19"/>
      <c r="G399" s="55"/>
      <c r="H399" s="12"/>
    </row>
    <row r="400" ht="14.25" customHeight="1">
      <c r="C400" s="19"/>
      <c r="G400" s="55"/>
      <c r="H400" s="12"/>
    </row>
    <row r="401" ht="14.25" customHeight="1">
      <c r="C401" s="19"/>
      <c r="G401" s="55"/>
      <c r="H401" s="12"/>
    </row>
    <row r="402" ht="14.25" customHeight="1">
      <c r="C402" s="19"/>
      <c r="G402" s="55"/>
      <c r="H402" s="12"/>
    </row>
    <row r="403" ht="14.25" customHeight="1">
      <c r="C403" s="19"/>
      <c r="G403" s="55"/>
      <c r="H403" s="12"/>
    </row>
    <row r="404" ht="14.25" customHeight="1">
      <c r="C404" s="19"/>
      <c r="G404" s="55"/>
      <c r="H404" s="12"/>
    </row>
    <row r="405" ht="14.25" customHeight="1">
      <c r="C405" s="19"/>
      <c r="G405" s="55"/>
      <c r="H405" s="12"/>
    </row>
    <row r="406" ht="14.25" customHeight="1">
      <c r="C406" s="19"/>
      <c r="G406" s="55"/>
      <c r="H406" s="12"/>
    </row>
    <row r="407" ht="14.25" customHeight="1">
      <c r="C407" s="19"/>
      <c r="G407" s="55"/>
      <c r="H407" s="12"/>
    </row>
    <row r="408" ht="14.25" customHeight="1">
      <c r="C408" s="19"/>
      <c r="G408" s="55"/>
      <c r="H408" s="12"/>
    </row>
    <row r="409" ht="14.25" customHeight="1">
      <c r="C409" s="19"/>
      <c r="G409" s="55"/>
      <c r="H409" s="12"/>
    </row>
    <row r="410" ht="14.25" customHeight="1">
      <c r="C410" s="19"/>
      <c r="G410" s="55"/>
      <c r="H410" s="12"/>
    </row>
    <row r="411" ht="14.25" customHeight="1">
      <c r="C411" s="19"/>
      <c r="G411" s="55"/>
      <c r="H411" s="12"/>
    </row>
    <row r="412" ht="14.25" customHeight="1">
      <c r="C412" s="19"/>
      <c r="G412" s="55"/>
      <c r="H412" s="12"/>
    </row>
    <row r="413" ht="14.25" customHeight="1">
      <c r="C413" s="19"/>
      <c r="G413" s="55"/>
      <c r="H413" s="12"/>
    </row>
    <row r="414" ht="14.25" customHeight="1">
      <c r="C414" s="19"/>
      <c r="G414" s="55"/>
      <c r="H414" s="12"/>
    </row>
    <row r="415" ht="14.25" customHeight="1">
      <c r="C415" s="19"/>
      <c r="G415" s="55"/>
      <c r="H415" s="12"/>
    </row>
    <row r="416" ht="14.25" customHeight="1">
      <c r="C416" s="19"/>
      <c r="G416" s="55"/>
      <c r="H416" s="12"/>
    </row>
    <row r="417" ht="14.25" customHeight="1">
      <c r="C417" s="19"/>
      <c r="G417" s="55"/>
      <c r="H417" s="12"/>
    </row>
    <row r="418" ht="14.25" customHeight="1">
      <c r="C418" s="19"/>
      <c r="G418" s="55"/>
      <c r="H418" s="12"/>
    </row>
    <row r="419" ht="14.25" customHeight="1">
      <c r="C419" s="19"/>
      <c r="G419" s="55"/>
      <c r="H419" s="12"/>
    </row>
    <row r="420" ht="14.25" customHeight="1">
      <c r="C420" s="19"/>
      <c r="G420" s="55"/>
      <c r="H420" s="12"/>
    </row>
    <row r="421" ht="14.25" customHeight="1">
      <c r="C421" s="19"/>
      <c r="G421" s="55"/>
      <c r="H421" s="12"/>
    </row>
    <row r="422" ht="14.25" customHeight="1">
      <c r="C422" s="19"/>
      <c r="G422" s="55"/>
      <c r="H422" s="12"/>
    </row>
    <row r="423" ht="14.25" customHeight="1">
      <c r="C423" s="19"/>
      <c r="G423" s="55"/>
      <c r="H423" s="12"/>
    </row>
    <row r="424" ht="14.25" customHeight="1">
      <c r="C424" s="19"/>
      <c r="G424" s="55"/>
      <c r="H424" s="12"/>
    </row>
    <row r="425" ht="14.25" customHeight="1">
      <c r="C425" s="19"/>
      <c r="G425" s="55"/>
      <c r="H425" s="12"/>
    </row>
    <row r="426" ht="14.25" customHeight="1">
      <c r="C426" s="19"/>
      <c r="G426" s="55"/>
      <c r="H426" s="12"/>
    </row>
    <row r="427" ht="14.25" customHeight="1">
      <c r="C427" s="19"/>
      <c r="G427" s="55"/>
      <c r="H427" s="12"/>
    </row>
    <row r="428" ht="14.25" customHeight="1">
      <c r="C428" s="19"/>
      <c r="G428" s="55"/>
      <c r="H428" s="12"/>
    </row>
    <row r="429" ht="14.25" customHeight="1">
      <c r="C429" s="19"/>
      <c r="G429" s="55"/>
      <c r="H429" s="12"/>
    </row>
    <row r="430" ht="14.25" customHeight="1">
      <c r="C430" s="19"/>
      <c r="G430" s="55"/>
      <c r="H430" s="12"/>
    </row>
    <row r="431" ht="14.25" customHeight="1">
      <c r="C431" s="19"/>
      <c r="G431" s="55"/>
      <c r="H431" s="12"/>
    </row>
    <row r="432" ht="14.25" customHeight="1">
      <c r="C432" s="19"/>
      <c r="G432" s="55"/>
      <c r="H432" s="12"/>
    </row>
    <row r="433" ht="14.25" customHeight="1">
      <c r="C433" s="19"/>
      <c r="G433" s="55"/>
      <c r="H433" s="12"/>
    </row>
    <row r="434" ht="14.25" customHeight="1">
      <c r="C434" s="19"/>
      <c r="G434" s="55"/>
      <c r="H434" s="12"/>
    </row>
    <row r="435" ht="14.25" customHeight="1">
      <c r="C435" s="19"/>
      <c r="G435" s="55"/>
      <c r="H435" s="12"/>
    </row>
    <row r="436" ht="14.25" customHeight="1">
      <c r="C436" s="19"/>
      <c r="G436" s="55"/>
      <c r="H436" s="12"/>
    </row>
    <row r="437" ht="14.25" customHeight="1">
      <c r="C437" s="19"/>
      <c r="G437" s="55"/>
      <c r="H437" s="12"/>
    </row>
    <row r="438" ht="14.25" customHeight="1">
      <c r="C438" s="19"/>
      <c r="G438" s="55"/>
      <c r="H438" s="12"/>
    </row>
    <row r="439" ht="14.25" customHeight="1">
      <c r="C439" s="19"/>
      <c r="G439" s="55"/>
      <c r="H439" s="12"/>
    </row>
    <row r="440" ht="14.25" customHeight="1">
      <c r="C440" s="19"/>
      <c r="G440" s="55"/>
      <c r="H440" s="12"/>
    </row>
    <row r="441" ht="14.25" customHeight="1">
      <c r="C441" s="19"/>
      <c r="G441" s="55"/>
      <c r="H441" s="12"/>
    </row>
    <row r="442" ht="14.25" customHeight="1">
      <c r="C442" s="19"/>
      <c r="G442" s="55"/>
      <c r="H442" s="12"/>
    </row>
    <row r="443" ht="14.25" customHeight="1">
      <c r="C443" s="19"/>
      <c r="G443" s="55"/>
      <c r="H443" s="12"/>
    </row>
    <row r="444" ht="14.25" customHeight="1">
      <c r="C444" s="19"/>
      <c r="G444" s="55"/>
      <c r="H444" s="12"/>
    </row>
    <row r="445" ht="14.25" customHeight="1">
      <c r="C445" s="19"/>
      <c r="G445" s="55"/>
      <c r="H445" s="12"/>
    </row>
    <row r="446" ht="14.25" customHeight="1">
      <c r="C446" s="19"/>
      <c r="G446" s="55"/>
      <c r="H446" s="12"/>
    </row>
    <row r="447" ht="14.25" customHeight="1">
      <c r="C447" s="19"/>
      <c r="G447" s="55"/>
      <c r="H447" s="12"/>
    </row>
    <row r="448" ht="14.25" customHeight="1">
      <c r="C448" s="19"/>
      <c r="G448" s="55"/>
      <c r="H448" s="12"/>
    </row>
    <row r="449" ht="14.25" customHeight="1">
      <c r="C449" s="19"/>
      <c r="G449" s="55"/>
      <c r="H449" s="12"/>
    </row>
    <row r="450" ht="14.25" customHeight="1">
      <c r="C450" s="19"/>
      <c r="G450" s="55"/>
      <c r="H450" s="12"/>
    </row>
    <row r="451" ht="14.25" customHeight="1">
      <c r="C451" s="19"/>
      <c r="G451" s="55"/>
      <c r="H451" s="12"/>
    </row>
    <row r="452" ht="14.25" customHeight="1">
      <c r="C452" s="19"/>
      <c r="G452" s="55"/>
      <c r="H452" s="12"/>
    </row>
    <row r="453" ht="14.25" customHeight="1">
      <c r="C453" s="19"/>
      <c r="G453" s="55"/>
      <c r="H453" s="12"/>
    </row>
    <row r="454" ht="14.25" customHeight="1">
      <c r="C454" s="19"/>
      <c r="G454" s="55"/>
      <c r="H454" s="12"/>
    </row>
    <row r="455" ht="14.25" customHeight="1">
      <c r="C455" s="19"/>
      <c r="G455" s="55"/>
      <c r="H455" s="12"/>
    </row>
    <row r="456" ht="14.25" customHeight="1">
      <c r="C456" s="19"/>
      <c r="G456" s="55"/>
      <c r="H456" s="12"/>
    </row>
    <row r="457" ht="14.25" customHeight="1">
      <c r="C457" s="19"/>
      <c r="G457" s="55"/>
      <c r="H457" s="12"/>
    </row>
    <row r="458" ht="14.25" customHeight="1">
      <c r="C458" s="19"/>
      <c r="G458" s="55"/>
      <c r="H458" s="12"/>
    </row>
    <row r="459" ht="14.25" customHeight="1">
      <c r="C459" s="19"/>
      <c r="G459" s="55"/>
      <c r="H459" s="12"/>
    </row>
    <row r="460" ht="14.25" customHeight="1">
      <c r="C460" s="19"/>
      <c r="G460" s="55"/>
      <c r="H460" s="12"/>
    </row>
    <row r="461" ht="14.25" customHeight="1">
      <c r="C461" s="19"/>
      <c r="G461" s="55"/>
      <c r="H461" s="12"/>
    </row>
    <row r="462" ht="14.25" customHeight="1">
      <c r="C462" s="19"/>
      <c r="G462" s="55"/>
      <c r="H462" s="12"/>
    </row>
    <row r="463" ht="14.25" customHeight="1">
      <c r="C463" s="19"/>
      <c r="G463" s="55"/>
      <c r="H463" s="12"/>
    </row>
    <row r="464" ht="14.25" customHeight="1">
      <c r="C464" s="19"/>
      <c r="G464" s="55"/>
      <c r="H464" s="12"/>
    </row>
    <row r="465" ht="14.25" customHeight="1">
      <c r="C465" s="19"/>
      <c r="G465" s="55"/>
      <c r="H465" s="12"/>
    </row>
    <row r="466" ht="14.25" customHeight="1">
      <c r="C466" s="19"/>
      <c r="G466" s="55"/>
      <c r="H466" s="12"/>
    </row>
    <row r="467" ht="14.25" customHeight="1">
      <c r="C467" s="19"/>
      <c r="G467" s="55"/>
      <c r="H467" s="12"/>
    </row>
    <row r="468" ht="14.25" customHeight="1">
      <c r="C468" s="19"/>
      <c r="G468" s="55"/>
      <c r="H468" s="12"/>
    </row>
    <row r="469" ht="14.25" customHeight="1">
      <c r="C469" s="19"/>
      <c r="G469" s="55"/>
      <c r="H469" s="12"/>
    </row>
    <row r="470" ht="14.25" customHeight="1">
      <c r="C470" s="19"/>
      <c r="G470" s="55"/>
      <c r="H470" s="12"/>
    </row>
    <row r="471" ht="14.25" customHeight="1">
      <c r="C471" s="19"/>
      <c r="G471" s="55"/>
      <c r="H471" s="12"/>
    </row>
    <row r="472" ht="14.25" customHeight="1">
      <c r="C472" s="19"/>
      <c r="G472" s="55"/>
      <c r="H472" s="12"/>
    </row>
    <row r="473" ht="14.25" customHeight="1">
      <c r="C473" s="19"/>
      <c r="G473" s="55"/>
      <c r="H473" s="12"/>
    </row>
    <row r="474" ht="14.25" customHeight="1">
      <c r="C474" s="19"/>
      <c r="G474" s="55"/>
      <c r="H474" s="12"/>
    </row>
    <row r="475" ht="14.25" customHeight="1">
      <c r="C475" s="19"/>
      <c r="G475" s="55"/>
      <c r="H475" s="12"/>
    </row>
    <row r="476" ht="14.25" customHeight="1">
      <c r="C476" s="19"/>
      <c r="G476" s="55"/>
      <c r="H476" s="12"/>
    </row>
    <row r="477" ht="14.25" customHeight="1">
      <c r="C477" s="19"/>
      <c r="G477" s="55"/>
      <c r="H477" s="12"/>
    </row>
    <row r="478" ht="14.25" customHeight="1">
      <c r="C478" s="19"/>
      <c r="G478" s="55"/>
      <c r="H478" s="12"/>
    </row>
    <row r="479" ht="14.25" customHeight="1">
      <c r="C479" s="19"/>
      <c r="G479" s="55"/>
      <c r="H479" s="12"/>
    </row>
    <row r="480" ht="14.25" customHeight="1">
      <c r="C480" s="19"/>
      <c r="G480" s="55"/>
      <c r="H480" s="12"/>
    </row>
    <row r="481" ht="14.25" customHeight="1">
      <c r="C481" s="19"/>
      <c r="G481" s="55"/>
      <c r="H481" s="12"/>
    </row>
    <row r="482" ht="14.25" customHeight="1">
      <c r="C482" s="19"/>
      <c r="G482" s="55"/>
      <c r="H482" s="12"/>
    </row>
    <row r="483" ht="14.25" customHeight="1">
      <c r="C483" s="19"/>
      <c r="G483" s="55"/>
      <c r="H483" s="12"/>
    </row>
    <row r="484" ht="14.25" customHeight="1">
      <c r="C484" s="19"/>
      <c r="G484" s="55"/>
      <c r="H484" s="12"/>
    </row>
    <row r="485" ht="14.25" customHeight="1">
      <c r="C485" s="19"/>
      <c r="G485" s="55"/>
      <c r="H485" s="12"/>
    </row>
    <row r="486" ht="14.25" customHeight="1">
      <c r="C486" s="19"/>
      <c r="G486" s="55"/>
      <c r="H486" s="12"/>
    </row>
    <row r="487" ht="14.25" customHeight="1">
      <c r="C487" s="19"/>
      <c r="G487" s="55"/>
      <c r="H487" s="12"/>
    </row>
    <row r="488" ht="14.25" customHeight="1">
      <c r="C488" s="19"/>
      <c r="G488" s="55"/>
      <c r="H488" s="12"/>
    </row>
    <row r="489" ht="14.25" customHeight="1">
      <c r="C489" s="19"/>
      <c r="G489" s="55"/>
      <c r="H489" s="12"/>
    </row>
    <row r="490" ht="14.25" customHeight="1">
      <c r="C490" s="19"/>
      <c r="G490" s="55"/>
      <c r="H490" s="12"/>
    </row>
    <row r="491" ht="14.25" customHeight="1">
      <c r="C491" s="19"/>
      <c r="G491" s="55"/>
      <c r="H491" s="12"/>
    </row>
    <row r="492" ht="14.25" customHeight="1">
      <c r="C492" s="19"/>
      <c r="G492" s="55"/>
      <c r="H492" s="12"/>
    </row>
    <row r="493" ht="14.25" customHeight="1">
      <c r="C493" s="19"/>
      <c r="G493" s="55"/>
      <c r="H493" s="12"/>
    </row>
    <row r="494" ht="14.25" customHeight="1">
      <c r="C494" s="19"/>
      <c r="G494" s="55"/>
      <c r="H494" s="12"/>
    </row>
    <row r="495" ht="14.25" customHeight="1">
      <c r="C495" s="19"/>
      <c r="G495" s="55"/>
      <c r="H495" s="12"/>
    </row>
    <row r="496" ht="14.25" customHeight="1">
      <c r="C496" s="19"/>
      <c r="G496" s="55"/>
      <c r="H496" s="12"/>
    </row>
    <row r="497" ht="14.25" customHeight="1">
      <c r="C497" s="19"/>
      <c r="G497" s="55"/>
      <c r="H497" s="12"/>
    </row>
    <row r="498" ht="14.25" customHeight="1">
      <c r="C498" s="19"/>
      <c r="G498" s="55"/>
      <c r="H498" s="12"/>
    </row>
    <row r="499" ht="14.25" customHeight="1">
      <c r="C499" s="19"/>
      <c r="G499" s="55"/>
      <c r="H499" s="12"/>
    </row>
    <row r="500" ht="14.25" customHeight="1">
      <c r="C500" s="19"/>
      <c r="G500" s="55"/>
      <c r="H500" s="12"/>
    </row>
    <row r="501" ht="14.25" customHeight="1">
      <c r="C501" s="19"/>
      <c r="G501" s="55"/>
      <c r="H501" s="12"/>
    </row>
    <row r="502" ht="14.25" customHeight="1">
      <c r="C502" s="19"/>
      <c r="G502" s="55"/>
      <c r="H502" s="12"/>
    </row>
    <row r="503" ht="14.25" customHeight="1">
      <c r="C503" s="19"/>
      <c r="G503" s="55"/>
      <c r="H503" s="12"/>
    </row>
    <row r="504" ht="14.25" customHeight="1">
      <c r="C504" s="19"/>
      <c r="G504" s="55"/>
      <c r="H504" s="12"/>
    </row>
    <row r="505" ht="14.25" customHeight="1">
      <c r="C505" s="19"/>
      <c r="G505" s="55"/>
      <c r="H505" s="12"/>
    </row>
    <row r="506" ht="14.25" customHeight="1">
      <c r="C506" s="19"/>
      <c r="G506" s="55"/>
      <c r="H506" s="12"/>
    </row>
    <row r="507" ht="14.25" customHeight="1">
      <c r="C507" s="19"/>
      <c r="G507" s="55"/>
      <c r="H507" s="12"/>
    </row>
    <row r="508" ht="14.25" customHeight="1">
      <c r="C508" s="19"/>
      <c r="G508" s="55"/>
      <c r="H508" s="12"/>
    </row>
    <row r="509" ht="14.25" customHeight="1">
      <c r="C509" s="19"/>
      <c r="G509" s="55"/>
      <c r="H509" s="12"/>
    </row>
    <row r="510" ht="14.25" customHeight="1">
      <c r="C510" s="19"/>
      <c r="G510" s="55"/>
      <c r="H510" s="12"/>
    </row>
    <row r="511" ht="14.25" customHeight="1">
      <c r="C511" s="19"/>
      <c r="G511" s="55"/>
      <c r="H511" s="12"/>
    </row>
    <row r="512" ht="14.25" customHeight="1">
      <c r="C512" s="19"/>
      <c r="G512" s="55"/>
      <c r="H512" s="12"/>
    </row>
    <row r="513" ht="14.25" customHeight="1">
      <c r="C513" s="19"/>
      <c r="G513" s="55"/>
      <c r="H513" s="12"/>
    </row>
    <row r="514" ht="14.25" customHeight="1">
      <c r="C514" s="19"/>
      <c r="G514" s="55"/>
      <c r="H514" s="12"/>
    </row>
    <row r="515" ht="14.25" customHeight="1">
      <c r="C515" s="19"/>
      <c r="G515" s="55"/>
      <c r="H515" s="12"/>
    </row>
    <row r="516" ht="14.25" customHeight="1">
      <c r="C516" s="19"/>
      <c r="G516" s="55"/>
      <c r="H516" s="12"/>
    </row>
    <row r="517" ht="14.25" customHeight="1">
      <c r="C517" s="19"/>
      <c r="G517" s="55"/>
      <c r="H517" s="12"/>
    </row>
    <row r="518" ht="14.25" customHeight="1">
      <c r="C518" s="19"/>
      <c r="G518" s="55"/>
      <c r="H518" s="12"/>
    </row>
    <row r="519" ht="14.25" customHeight="1">
      <c r="C519" s="19"/>
      <c r="G519" s="55"/>
      <c r="H519" s="12"/>
    </row>
    <row r="520" ht="14.25" customHeight="1">
      <c r="C520" s="19"/>
      <c r="G520" s="55"/>
      <c r="H520" s="12"/>
    </row>
    <row r="521" ht="14.25" customHeight="1">
      <c r="C521" s="19"/>
      <c r="G521" s="55"/>
      <c r="H521" s="12"/>
    </row>
    <row r="522" ht="14.25" customHeight="1">
      <c r="C522" s="19"/>
      <c r="G522" s="55"/>
      <c r="H522" s="12"/>
    </row>
    <row r="523" ht="14.25" customHeight="1">
      <c r="C523" s="19"/>
      <c r="G523" s="55"/>
      <c r="H523" s="12"/>
    </row>
    <row r="524" ht="14.25" customHeight="1">
      <c r="C524" s="19"/>
      <c r="G524" s="55"/>
      <c r="H524" s="12"/>
    </row>
    <row r="525" ht="14.25" customHeight="1">
      <c r="C525" s="19"/>
      <c r="G525" s="55"/>
      <c r="H525" s="12"/>
    </row>
    <row r="526" ht="14.25" customHeight="1">
      <c r="C526" s="19"/>
      <c r="G526" s="55"/>
      <c r="H526" s="12"/>
    </row>
    <row r="527" ht="14.25" customHeight="1">
      <c r="C527" s="19"/>
      <c r="G527" s="55"/>
      <c r="H527" s="12"/>
    </row>
    <row r="528" ht="14.25" customHeight="1">
      <c r="C528" s="19"/>
      <c r="G528" s="55"/>
      <c r="H528" s="12"/>
    </row>
    <row r="529" ht="14.25" customHeight="1">
      <c r="C529" s="19"/>
      <c r="G529" s="55"/>
      <c r="H529" s="12"/>
    </row>
    <row r="530" ht="14.25" customHeight="1">
      <c r="C530" s="19"/>
      <c r="G530" s="55"/>
      <c r="H530" s="12"/>
    </row>
    <row r="531" ht="14.25" customHeight="1">
      <c r="C531" s="19"/>
      <c r="G531" s="55"/>
      <c r="H531" s="12"/>
    </row>
    <row r="532" ht="14.25" customHeight="1">
      <c r="C532" s="19"/>
      <c r="G532" s="55"/>
      <c r="H532" s="12"/>
    </row>
    <row r="533" ht="14.25" customHeight="1">
      <c r="C533" s="19"/>
      <c r="G533" s="55"/>
      <c r="H533" s="12"/>
    </row>
    <row r="534" ht="14.25" customHeight="1">
      <c r="C534" s="19"/>
      <c r="G534" s="55"/>
      <c r="H534" s="12"/>
    </row>
    <row r="535" ht="14.25" customHeight="1">
      <c r="C535" s="19"/>
      <c r="G535" s="55"/>
      <c r="H535" s="12"/>
    </row>
    <row r="536" ht="14.25" customHeight="1">
      <c r="C536" s="19"/>
      <c r="G536" s="55"/>
      <c r="H536" s="12"/>
    </row>
    <row r="537" ht="14.25" customHeight="1">
      <c r="C537" s="19"/>
      <c r="G537" s="55"/>
      <c r="H537" s="12"/>
    </row>
    <row r="538" ht="14.25" customHeight="1">
      <c r="C538" s="19"/>
      <c r="G538" s="55"/>
      <c r="H538" s="12"/>
    </row>
    <row r="539" ht="14.25" customHeight="1">
      <c r="C539" s="19"/>
      <c r="G539" s="55"/>
      <c r="H539" s="12"/>
    </row>
    <row r="540" ht="14.25" customHeight="1">
      <c r="C540" s="19"/>
      <c r="G540" s="55"/>
      <c r="H540" s="12"/>
    </row>
    <row r="541" ht="14.25" customHeight="1">
      <c r="C541" s="19"/>
      <c r="G541" s="55"/>
      <c r="H541" s="12"/>
    </row>
    <row r="542" ht="14.25" customHeight="1">
      <c r="C542" s="19"/>
      <c r="G542" s="55"/>
      <c r="H542" s="12"/>
    </row>
    <row r="543" ht="14.25" customHeight="1">
      <c r="C543" s="19"/>
      <c r="G543" s="55"/>
      <c r="H543" s="12"/>
    </row>
    <row r="544" ht="14.25" customHeight="1">
      <c r="C544" s="19"/>
      <c r="G544" s="55"/>
      <c r="H544" s="12"/>
    </row>
    <row r="545" ht="14.25" customHeight="1">
      <c r="C545" s="19"/>
      <c r="G545" s="55"/>
      <c r="H545" s="12"/>
    </row>
    <row r="546" ht="14.25" customHeight="1">
      <c r="C546" s="19"/>
      <c r="G546" s="55"/>
      <c r="H546" s="12"/>
    </row>
    <row r="547" ht="14.25" customHeight="1">
      <c r="C547" s="19"/>
      <c r="G547" s="55"/>
      <c r="H547" s="12"/>
    </row>
    <row r="548" ht="14.25" customHeight="1">
      <c r="C548" s="19"/>
      <c r="G548" s="55"/>
      <c r="H548" s="12"/>
    </row>
    <row r="549" ht="14.25" customHeight="1">
      <c r="C549" s="19"/>
      <c r="G549" s="55"/>
      <c r="H549" s="12"/>
    </row>
    <row r="550" ht="14.25" customHeight="1">
      <c r="C550" s="19"/>
      <c r="G550" s="55"/>
      <c r="H550" s="12"/>
    </row>
    <row r="551" ht="14.25" customHeight="1">
      <c r="C551" s="19"/>
      <c r="G551" s="55"/>
      <c r="H551" s="12"/>
    </row>
    <row r="552" ht="14.25" customHeight="1">
      <c r="C552" s="19"/>
      <c r="G552" s="55"/>
      <c r="H552" s="12"/>
    </row>
    <row r="553" ht="14.25" customHeight="1">
      <c r="C553" s="19"/>
      <c r="G553" s="55"/>
      <c r="H553" s="12"/>
    </row>
    <row r="554" ht="14.25" customHeight="1">
      <c r="C554" s="19"/>
      <c r="G554" s="55"/>
      <c r="H554" s="12"/>
    </row>
    <row r="555" ht="14.25" customHeight="1">
      <c r="C555" s="19"/>
      <c r="G555" s="55"/>
      <c r="H555" s="12"/>
    </row>
    <row r="556" ht="14.25" customHeight="1">
      <c r="C556" s="19"/>
      <c r="G556" s="55"/>
      <c r="H556" s="12"/>
    </row>
    <row r="557" ht="14.25" customHeight="1">
      <c r="C557" s="19"/>
      <c r="G557" s="55"/>
      <c r="H557" s="12"/>
    </row>
    <row r="558" ht="14.25" customHeight="1">
      <c r="C558" s="19"/>
      <c r="G558" s="55"/>
      <c r="H558" s="12"/>
    </row>
    <row r="559" ht="14.25" customHeight="1">
      <c r="C559" s="19"/>
      <c r="G559" s="55"/>
      <c r="H559" s="12"/>
    </row>
    <row r="560" ht="14.25" customHeight="1">
      <c r="C560" s="19"/>
      <c r="G560" s="55"/>
      <c r="H560" s="12"/>
    </row>
    <row r="561" ht="14.25" customHeight="1">
      <c r="C561" s="19"/>
      <c r="G561" s="55"/>
      <c r="H561" s="12"/>
    </row>
    <row r="562" ht="14.25" customHeight="1">
      <c r="C562" s="19"/>
      <c r="G562" s="55"/>
      <c r="H562" s="12"/>
    </row>
    <row r="563" ht="14.25" customHeight="1">
      <c r="C563" s="19"/>
      <c r="G563" s="55"/>
      <c r="H563" s="12"/>
    </row>
    <row r="564" ht="14.25" customHeight="1">
      <c r="C564" s="19"/>
      <c r="G564" s="55"/>
      <c r="H564" s="12"/>
    </row>
    <row r="565" ht="14.25" customHeight="1">
      <c r="C565" s="19"/>
      <c r="G565" s="55"/>
      <c r="H565" s="12"/>
    </row>
    <row r="566" ht="14.25" customHeight="1">
      <c r="C566" s="19"/>
      <c r="G566" s="55"/>
      <c r="H566" s="12"/>
    </row>
    <row r="567" ht="14.25" customHeight="1">
      <c r="C567" s="19"/>
      <c r="G567" s="55"/>
      <c r="H567" s="12"/>
    </row>
    <row r="568" ht="14.25" customHeight="1">
      <c r="C568" s="19"/>
      <c r="G568" s="55"/>
      <c r="H568" s="12"/>
    </row>
    <row r="569" ht="14.25" customHeight="1">
      <c r="C569" s="19"/>
      <c r="G569" s="55"/>
      <c r="H569" s="12"/>
    </row>
    <row r="570" ht="14.25" customHeight="1">
      <c r="C570" s="19"/>
      <c r="G570" s="55"/>
      <c r="H570" s="12"/>
    </row>
    <row r="571" ht="14.25" customHeight="1">
      <c r="C571" s="19"/>
      <c r="G571" s="55"/>
      <c r="H571" s="12"/>
    </row>
    <row r="572" ht="14.25" customHeight="1">
      <c r="C572" s="19"/>
      <c r="G572" s="55"/>
      <c r="H572" s="12"/>
    </row>
    <row r="573" ht="14.25" customHeight="1">
      <c r="C573" s="19"/>
      <c r="G573" s="55"/>
      <c r="H573" s="12"/>
    </row>
    <row r="574" ht="14.25" customHeight="1">
      <c r="C574" s="19"/>
      <c r="G574" s="55"/>
      <c r="H574" s="12"/>
    </row>
    <row r="575" ht="14.25" customHeight="1">
      <c r="C575" s="19"/>
      <c r="G575" s="55"/>
      <c r="H575" s="12"/>
    </row>
    <row r="576" ht="14.25" customHeight="1">
      <c r="C576" s="19"/>
      <c r="G576" s="55"/>
      <c r="H576" s="12"/>
    </row>
    <row r="577" ht="14.25" customHeight="1">
      <c r="C577" s="19"/>
      <c r="G577" s="55"/>
      <c r="H577" s="12"/>
    </row>
    <row r="578" ht="14.25" customHeight="1">
      <c r="C578" s="19"/>
      <c r="G578" s="55"/>
      <c r="H578" s="12"/>
    </row>
    <row r="579" ht="14.25" customHeight="1">
      <c r="C579" s="19"/>
      <c r="G579" s="55"/>
      <c r="H579" s="12"/>
    </row>
    <row r="580" ht="14.25" customHeight="1">
      <c r="C580" s="19"/>
      <c r="G580" s="55"/>
      <c r="H580" s="12"/>
    </row>
    <row r="581" ht="14.25" customHeight="1">
      <c r="C581" s="19"/>
      <c r="G581" s="55"/>
      <c r="H581" s="12"/>
    </row>
    <row r="582" ht="14.25" customHeight="1">
      <c r="C582" s="19"/>
      <c r="G582" s="55"/>
      <c r="H582" s="12"/>
    </row>
    <row r="583" ht="14.25" customHeight="1">
      <c r="C583" s="19"/>
      <c r="G583" s="55"/>
      <c r="H583" s="12"/>
    </row>
    <row r="584" ht="14.25" customHeight="1">
      <c r="C584" s="19"/>
      <c r="G584" s="55"/>
      <c r="H584" s="12"/>
    </row>
    <row r="585" ht="14.25" customHeight="1">
      <c r="C585" s="19"/>
      <c r="G585" s="55"/>
      <c r="H585" s="12"/>
    </row>
    <row r="586" ht="14.25" customHeight="1">
      <c r="C586" s="19"/>
      <c r="G586" s="55"/>
      <c r="H586" s="12"/>
    </row>
    <row r="587" ht="14.25" customHeight="1">
      <c r="C587" s="19"/>
      <c r="G587" s="55"/>
      <c r="H587" s="12"/>
    </row>
    <row r="588" ht="14.25" customHeight="1">
      <c r="C588" s="19"/>
      <c r="G588" s="55"/>
      <c r="H588" s="12"/>
    </row>
    <row r="589" ht="14.25" customHeight="1">
      <c r="C589" s="19"/>
      <c r="G589" s="55"/>
      <c r="H589" s="12"/>
    </row>
    <row r="590" ht="14.25" customHeight="1">
      <c r="C590" s="19"/>
      <c r="G590" s="55"/>
      <c r="H590" s="12"/>
    </row>
    <row r="591" ht="14.25" customHeight="1">
      <c r="C591" s="19"/>
      <c r="G591" s="55"/>
      <c r="H591" s="12"/>
    </row>
    <row r="592" ht="14.25" customHeight="1">
      <c r="C592" s="19"/>
      <c r="G592" s="55"/>
      <c r="H592" s="12"/>
    </row>
    <row r="593" ht="14.25" customHeight="1">
      <c r="C593" s="19"/>
      <c r="G593" s="55"/>
      <c r="H593" s="12"/>
    </row>
    <row r="594" ht="14.25" customHeight="1">
      <c r="C594" s="19"/>
      <c r="G594" s="55"/>
      <c r="H594" s="12"/>
    </row>
    <row r="595" ht="14.25" customHeight="1">
      <c r="C595" s="19"/>
      <c r="G595" s="55"/>
      <c r="H595" s="12"/>
    </row>
    <row r="596" ht="14.25" customHeight="1">
      <c r="C596" s="19"/>
      <c r="G596" s="55"/>
      <c r="H596" s="12"/>
    </row>
    <row r="597" ht="14.25" customHeight="1">
      <c r="C597" s="19"/>
      <c r="G597" s="55"/>
      <c r="H597" s="12"/>
    </row>
    <row r="598" ht="14.25" customHeight="1">
      <c r="C598" s="19"/>
      <c r="G598" s="55"/>
      <c r="H598" s="12"/>
    </row>
    <row r="599" ht="14.25" customHeight="1">
      <c r="C599" s="19"/>
      <c r="G599" s="55"/>
      <c r="H599" s="12"/>
    </row>
    <row r="600" ht="14.25" customHeight="1">
      <c r="C600" s="19"/>
      <c r="G600" s="55"/>
      <c r="H600" s="12"/>
    </row>
    <row r="601" ht="14.25" customHeight="1">
      <c r="C601" s="19"/>
      <c r="G601" s="55"/>
      <c r="H601" s="12"/>
    </row>
    <row r="602" ht="14.25" customHeight="1">
      <c r="C602" s="19"/>
      <c r="G602" s="55"/>
      <c r="H602" s="12"/>
    </row>
    <row r="603" ht="14.25" customHeight="1">
      <c r="C603" s="19"/>
      <c r="G603" s="55"/>
      <c r="H603" s="12"/>
    </row>
    <row r="604" ht="14.25" customHeight="1">
      <c r="C604" s="19"/>
      <c r="G604" s="55"/>
      <c r="H604" s="12"/>
    </row>
    <row r="605" ht="14.25" customHeight="1">
      <c r="C605" s="19"/>
      <c r="G605" s="55"/>
      <c r="H605" s="12"/>
    </row>
    <row r="606" ht="14.25" customHeight="1">
      <c r="C606" s="19"/>
      <c r="G606" s="55"/>
      <c r="H606" s="12"/>
    </row>
    <row r="607" ht="14.25" customHeight="1">
      <c r="C607" s="19"/>
      <c r="G607" s="55"/>
      <c r="H607" s="12"/>
    </row>
    <row r="608" ht="14.25" customHeight="1">
      <c r="C608" s="19"/>
      <c r="G608" s="55"/>
      <c r="H608" s="12"/>
    </row>
    <row r="609" ht="14.25" customHeight="1">
      <c r="C609" s="19"/>
      <c r="G609" s="55"/>
      <c r="H609" s="12"/>
    </row>
    <row r="610" ht="14.25" customHeight="1">
      <c r="C610" s="19"/>
      <c r="G610" s="55"/>
      <c r="H610" s="12"/>
    </row>
    <row r="611" ht="14.25" customHeight="1">
      <c r="C611" s="19"/>
      <c r="G611" s="55"/>
      <c r="H611" s="12"/>
    </row>
    <row r="612" ht="14.25" customHeight="1">
      <c r="C612" s="19"/>
      <c r="G612" s="55"/>
      <c r="H612" s="12"/>
    </row>
    <row r="613" ht="14.25" customHeight="1">
      <c r="C613" s="19"/>
      <c r="G613" s="55"/>
      <c r="H613" s="12"/>
    </row>
    <row r="614" ht="14.25" customHeight="1">
      <c r="C614" s="19"/>
      <c r="G614" s="55"/>
      <c r="H614" s="12"/>
    </row>
    <row r="615" ht="14.25" customHeight="1">
      <c r="C615" s="19"/>
      <c r="G615" s="55"/>
      <c r="H615" s="12"/>
    </row>
    <row r="616" ht="14.25" customHeight="1">
      <c r="C616" s="19"/>
      <c r="G616" s="55"/>
      <c r="H616" s="12"/>
    </row>
    <row r="617" ht="14.25" customHeight="1">
      <c r="C617" s="19"/>
      <c r="G617" s="55"/>
      <c r="H617" s="12"/>
    </row>
    <row r="618" ht="14.25" customHeight="1">
      <c r="C618" s="19"/>
      <c r="G618" s="55"/>
      <c r="H618" s="12"/>
    </row>
    <row r="619" ht="14.25" customHeight="1">
      <c r="C619" s="19"/>
      <c r="G619" s="55"/>
      <c r="H619" s="12"/>
    </row>
    <row r="620" ht="14.25" customHeight="1">
      <c r="C620" s="19"/>
      <c r="G620" s="55"/>
      <c r="H620" s="12"/>
    </row>
    <row r="621" ht="14.25" customHeight="1">
      <c r="C621" s="19"/>
      <c r="G621" s="55"/>
      <c r="H621" s="12"/>
    </row>
    <row r="622" ht="14.25" customHeight="1">
      <c r="C622" s="19"/>
      <c r="G622" s="55"/>
      <c r="H622" s="12"/>
    </row>
    <row r="623" ht="14.25" customHeight="1">
      <c r="C623" s="19"/>
      <c r="G623" s="55"/>
      <c r="H623" s="12"/>
    </row>
    <row r="624" ht="14.25" customHeight="1">
      <c r="C624" s="19"/>
      <c r="G624" s="55"/>
      <c r="H624" s="12"/>
    </row>
    <row r="625" ht="14.25" customHeight="1">
      <c r="C625" s="19"/>
      <c r="G625" s="55"/>
      <c r="H625" s="12"/>
    </row>
    <row r="626" ht="14.25" customHeight="1">
      <c r="C626" s="19"/>
      <c r="G626" s="55"/>
      <c r="H626" s="12"/>
    </row>
    <row r="627" ht="14.25" customHeight="1">
      <c r="C627" s="19"/>
      <c r="G627" s="55"/>
      <c r="H627" s="12"/>
    </row>
    <row r="628" ht="14.25" customHeight="1">
      <c r="C628" s="19"/>
      <c r="G628" s="55"/>
      <c r="H628" s="12"/>
    </row>
    <row r="629" ht="14.25" customHeight="1">
      <c r="C629" s="19"/>
      <c r="G629" s="55"/>
      <c r="H629" s="12"/>
    </row>
    <row r="630" ht="14.25" customHeight="1">
      <c r="C630" s="19"/>
      <c r="G630" s="55"/>
      <c r="H630" s="12"/>
    </row>
    <row r="631" ht="14.25" customHeight="1">
      <c r="C631" s="19"/>
      <c r="G631" s="55"/>
      <c r="H631" s="12"/>
    </row>
    <row r="632" ht="14.25" customHeight="1">
      <c r="C632" s="19"/>
      <c r="G632" s="55"/>
      <c r="H632" s="12"/>
    </row>
    <row r="633" ht="14.25" customHeight="1">
      <c r="C633" s="19"/>
      <c r="G633" s="55"/>
      <c r="H633" s="12"/>
    </row>
    <row r="634" ht="14.25" customHeight="1">
      <c r="C634" s="19"/>
      <c r="G634" s="55"/>
      <c r="H634" s="12"/>
    </row>
    <row r="635" ht="14.25" customHeight="1">
      <c r="C635" s="19"/>
      <c r="G635" s="55"/>
      <c r="H635" s="12"/>
    </row>
    <row r="636" ht="14.25" customHeight="1">
      <c r="C636" s="19"/>
      <c r="G636" s="55"/>
      <c r="H636" s="12"/>
    </row>
    <row r="637" ht="14.25" customHeight="1">
      <c r="C637" s="19"/>
      <c r="G637" s="55"/>
      <c r="H637" s="12"/>
    </row>
    <row r="638" ht="14.25" customHeight="1">
      <c r="C638" s="19"/>
      <c r="G638" s="55"/>
      <c r="H638" s="12"/>
    </row>
    <row r="639" ht="14.25" customHeight="1">
      <c r="C639" s="19"/>
      <c r="G639" s="55"/>
      <c r="H639" s="12"/>
    </row>
    <row r="640" ht="14.25" customHeight="1">
      <c r="C640" s="19"/>
      <c r="G640" s="55"/>
      <c r="H640" s="12"/>
    </row>
    <row r="641" ht="14.25" customHeight="1">
      <c r="C641" s="19"/>
      <c r="G641" s="55"/>
      <c r="H641" s="12"/>
    </row>
    <row r="642" ht="14.25" customHeight="1">
      <c r="C642" s="19"/>
      <c r="G642" s="55"/>
      <c r="H642" s="12"/>
    </row>
    <row r="643" ht="14.25" customHeight="1">
      <c r="C643" s="19"/>
      <c r="G643" s="55"/>
      <c r="H643" s="12"/>
    </row>
    <row r="644" ht="14.25" customHeight="1">
      <c r="C644" s="19"/>
      <c r="G644" s="55"/>
      <c r="H644" s="12"/>
    </row>
    <row r="645" ht="14.25" customHeight="1">
      <c r="C645" s="19"/>
      <c r="G645" s="55"/>
      <c r="H645" s="12"/>
    </row>
    <row r="646" ht="14.25" customHeight="1">
      <c r="C646" s="19"/>
      <c r="G646" s="55"/>
      <c r="H646" s="12"/>
    </row>
    <row r="647" ht="14.25" customHeight="1">
      <c r="C647" s="19"/>
      <c r="G647" s="55"/>
      <c r="H647" s="12"/>
    </row>
    <row r="648" ht="14.25" customHeight="1">
      <c r="C648" s="19"/>
      <c r="G648" s="55"/>
      <c r="H648" s="12"/>
    </row>
    <row r="649" ht="14.25" customHeight="1">
      <c r="C649" s="19"/>
      <c r="G649" s="55"/>
      <c r="H649" s="12"/>
    </row>
    <row r="650" ht="14.25" customHeight="1">
      <c r="C650" s="19"/>
      <c r="G650" s="55"/>
      <c r="H650" s="12"/>
    </row>
    <row r="651" ht="14.25" customHeight="1">
      <c r="C651" s="19"/>
      <c r="G651" s="55"/>
      <c r="H651" s="12"/>
    </row>
    <row r="652" ht="14.25" customHeight="1">
      <c r="C652" s="19"/>
      <c r="G652" s="55"/>
      <c r="H652" s="12"/>
    </row>
    <row r="653" ht="14.25" customHeight="1">
      <c r="C653" s="19"/>
      <c r="G653" s="55"/>
      <c r="H653" s="12"/>
    </row>
    <row r="654" ht="14.25" customHeight="1">
      <c r="C654" s="19"/>
      <c r="G654" s="55"/>
      <c r="H654" s="12"/>
    </row>
    <row r="655" ht="14.25" customHeight="1">
      <c r="C655" s="19"/>
      <c r="G655" s="55"/>
      <c r="H655" s="12"/>
    </row>
    <row r="656" ht="14.25" customHeight="1">
      <c r="C656" s="19"/>
      <c r="G656" s="55"/>
      <c r="H656" s="12"/>
    </row>
    <row r="657" ht="14.25" customHeight="1">
      <c r="C657" s="19"/>
      <c r="G657" s="55"/>
      <c r="H657" s="12"/>
    </row>
    <row r="658" ht="14.25" customHeight="1">
      <c r="C658" s="19"/>
      <c r="G658" s="55"/>
      <c r="H658" s="12"/>
    </row>
    <row r="659" ht="14.25" customHeight="1">
      <c r="C659" s="19"/>
      <c r="G659" s="55"/>
      <c r="H659" s="12"/>
    </row>
    <row r="660" ht="14.25" customHeight="1">
      <c r="C660" s="19"/>
      <c r="G660" s="55"/>
      <c r="H660" s="12"/>
    </row>
    <row r="661" ht="14.25" customHeight="1">
      <c r="C661" s="19"/>
      <c r="G661" s="55"/>
      <c r="H661" s="12"/>
    </row>
    <row r="662" ht="14.25" customHeight="1">
      <c r="C662" s="19"/>
      <c r="G662" s="55"/>
      <c r="H662" s="12"/>
    </row>
    <row r="663" ht="14.25" customHeight="1">
      <c r="C663" s="19"/>
      <c r="G663" s="55"/>
      <c r="H663" s="12"/>
    </row>
    <row r="664" ht="14.25" customHeight="1">
      <c r="C664" s="19"/>
      <c r="G664" s="55"/>
      <c r="H664" s="12"/>
    </row>
    <row r="665" ht="14.25" customHeight="1">
      <c r="C665" s="19"/>
      <c r="G665" s="55"/>
      <c r="H665" s="12"/>
    </row>
    <row r="666" ht="14.25" customHeight="1">
      <c r="C666" s="19"/>
      <c r="G666" s="55"/>
      <c r="H666" s="12"/>
    </row>
    <row r="667" ht="14.25" customHeight="1">
      <c r="C667" s="19"/>
      <c r="G667" s="55"/>
      <c r="H667" s="12"/>
    </row>
    <row r="668" ht="14.25" customHeight="1">
      <c r="C668" s="19"/>
      <c r="G668" s="55"/>
      <c r="H668" s="12"/>
    </row>
    <row r="669" ht="14.25" customHeight="1">
      <c r="C669" s="19"/>
      <c r="G669" s="55"/>
      <c r="H669" s="12"/>
    </row>
    <row r="670" ht="14.25" customHeight="1">
      <c r="C670" s="19"/>
      <c r="G670" s="55"/>
      <c r="H670" s="12"/>
    </row>
    <row r="671" ht="14.25" customHeight="1">
      <c r="C671" s="19"/>
      <c r="G671" s="55"/>
      <c r="H671" s="12"/>
    </row>
    <row r="672" ht="14.25" customHeight="1">
      <c r="C672" s="19"/>
      <c r="G672" s="55"/>
      <c r="H672" s="12"/>
    </row>
    <row r="673" ht="14.25" customHeight="1">
      <c r="C673" s="19"/>
      <c r="G673" s="55"/>
      <c r="H673" s="12"/>
    </row>
    <row r="674" ht="14.25" customHeight="1">
      <c r="C674" s="19"/>
      <c r="G674" s="55"/>
      <c r="H674" s="12"/>
    </row>
    <row r="675" ht="14.25" customHeight="1">
      <c r="C675" s="19"/>
      <c r="G675" s="55"/>
      <c r="H675" s="12"/>
    </row>
    <row r="676" ht="14.25" customHeight="1">
      <c r="C676" s="19"/>
      <c r="G676" s="55"/>
      <c r="H676" s="12"/>
    </row>
    <row r="677" ht="14.25" customHeight="1">
      <c r="C677" s="19"/>
      <c r="G677" s="55"/>
      <c r="H677" s="12"/>
    </row>
    <row r="678" ht="14.25" customHeight="1">
      <c r="C678" s="19"/>
      <c r="G678" s="55"/>
      <c r="H678" s="12"/>
    </row>
    <row r="679" ht="14.25" customHeight="1">
      <c r="C679" s="19"/>
      <c r="G679" s="55"/>
      <c r="H679" s="12"/>
    </row>
    <row r="680" ht="14.25" customHeight="1">
      <c r="C680" s="19"/>
      <c r="G680" s="55"/>
      <c r="H680" s="12"/>
    </row>
    <row r="681" ht="14.25" customHeight="1">
      <c r="C681" s="19"/>
      <c r="G681" s="55"/>
      <c r="H681" s="12"/>
    </row>
    <row r="682" ht="14.25" customHeight="1">
      <c r="C682" s="19"/>
      <c r="G682" s="55"/>
      <c r="H682" s="12"/>
    </row>
    <row r="683" ht="14.25" customHeight="1">
      <c r="C683" s="19"/>
      <c r="G683" s="55"/>
      <c r="H683" s="12"/>
    </row>
    <row r="684" ht="14.25" customHeight="1">
      <c r="C684" s="19"/>
      <c r="G684" s="55"/>
      <c r="H684" s="12"/>
    </row>
    <row r="685" ht="14.25" customHeight="1">
      <c r="C685" s="19"/>
      <c r="G685" s="55"/>
      <c r="H685" s="12"/>
    </row>
    <row r="686" ht="14.25" customHeight="1">
      <c r="C686" s="19"/>
      <c r="G686" s="55"/>
      <c r="H686" s="12"/>
    </row>
    <row r="687" ht="14.25" customHeight="1">
      <c r="C687" s="19"/>
      <c r="G687" s="55"/>
      <c r="H687" s="12"/>
    </row>
    <row r="688" ht="14.25" customHeight="1">
      <c r="C688" s="19"/>
      <c r="G688" s="55"/>
      <c r="H688" s="12"/>
    </row>
    <row r="689" ht="14.25" customHeight="1">
      <c r="C689" s="19"/>
      <c r="G689" s="55"/>
      <c r="H689" s="12"/>
    </row>
    <row r="690" ht="14.25" customHeight="1">
      <c r="C690" s="19"/>
      <c r="G690" s="55"/>
      <c r="H690" s="12"/>
    </row>
    <row r="691" ht="14.25" customHeight="1">
      <c r="C691" s="19"/>
      <c r="G691" s="55"/>
      <c r="H691" s="12"/>
    </row>
    <row r="692" ht="14.25" customHeight="1">
      <c r="C692" s="19"/>
      <c r="G692" s="55"/>
      <c r="H692" s="12"/>
    </row>
    <row r="693" ht="14.25" customHeight="1">
      <c r="C693" s="19"/>
      <c r="G693" s="55"/>
      <c r="H693" s="12"/>
    </row>
    <row r="694" ht="14.25" customHeight="1">
      <c r="C694" s="19"/>
      <c r="G694" s="55"/>
      <c r="H694" s="12"/>
    </row>
    <row r="695" ht="14.25" customHeight="1">
      <c r="C695" s="19"/>
      <c r="G695" s="55"/>
      <c r="H695" s="12"/>
    </row>
    <row r="696" ht="14.25" customHeight="1">
      <c r="C696" s="19"/>
      <c r="G696" s="55"/>
      <c r="H696" s="12"/>
    </row>
    <row r="697" ht="14.25" customHeight="1">
      <c r="C697" s="19"/>
      <c r="G697" s="55"/>
      <c r="H697" s="12"/>
    </row>
    <row r="698" ht="14.25" customHeight="1">
      <c r="C698" s="19"/>
      <c r="G698" s="55"/>
      <c r="H698" s="12"/>
    </row>
    <row r="699" ht="14.25" customHeight="1">
      <c r="C699" s="19"/>
      <c r="G699" s="55"/>
      <c r="H699" s="12"/>
    </row>
    <row r="700" ht="14.25" customHeight="1">
      <c r="C700" s="19"/>
      <c r="G700" s="55"/>
      <c r="H700" s="12"/>
    </row>
    <row r="701" ht="14.25" customHeight="1">
      <c r="C701" s="19"/>
      <c r="G701" s="55"/>
      <c r="H701" s="12"/>
    </row>
    <row r="702" ht="14.25" customHeight="1">
      <c r="C702" s="19"/>
      <c r="G702" s="55"/>
      <c r="H702" s="12"/>
    </row>
    <row r="703" ht="14.25" customHeight="1">
      <c r="C703" s="19"/>
      <c r="G703" s="55"/>
      <c r="H703" s="12"/>
    </row>
    <row r="704" ht="14.25" customHeight="1">
      <c r="C704" s="19"/>
      <c r="G704" s="55"/>
      <c r="H704" s="12"/>
    </row>
    <row r="705" ht="14.25" customHeight="1">
      <c r="C705" s="19"/>
      <c r="G705" s="55"/>
      <c r="H705" s="12"/>
    </row>
    <row r="706" ht="14.25" customHeight="1">
      <c r="C706" s="19"/>
      <c r="G706" s="55"/>
      <c r="H706" s="12"/>
    </row>
    <row r="707" ht="14.25" customHeight="1">
      <c r="C707" s="19"/>
      <c r="G707" s="55"/>
      <c r="H707" s="12"/>
    </row>
    <row r="708" ht="14.25" customHeight="1">
      <c r="C708" s="19"/>
      <c r="G708" s="55"/>
      <c r="H708" s="12"/>
    </row>
    <row r="709" ht="14.25" customHeight="1">
      <c r="C709" s="19"/>
      <c r="G709" s="55"/>
      <c r="H709" s="12"/>
    </row>
    <row r="710" ht="14.25" customHeight="1">
      <c r="C710" s="19"/>
      <c r="G710" s="55"/>
      <c r="H710" s="12"/>
    </row>
    <row r="711" ht="14.25" customHeight="1">
      <c r="C711" s="19"/>
      <c r="G711" s="55"/>
      <c r="H711" s="12"/>
    </row>
    <row r="712" ht="14.25" customHeight="1">
      <c r="C712" s="19"/>
      <c r="G712" s="55"/>
      <c r="H712" s="12"/>
    </row>
    <row r="713" ht="14.25" customHeight="1">
      <c r="C713" s="19"/>
      <c r="G713" s="55"/>
      <c r="H713" s="12"/>
    </row>
    <row r="714" ht="14.25" customHeight="1">
      <c r="C714" s="19"/>
      <c r="G714" s="55"/>
      <c r="H714" s="12"/>
    </row>
    <row r="715" ht="14.25" customHeight="1">
      <c r="C715" s="19"/>
      <c r="G715" s="55"/>
      <c r="H715" s="12"/>
    </row>
    <row r="716" ht="14.25" customHeight="1">
      <c r="C716" s="19"/>
      <c r="G716" s="55"/>
      <c r="H716" s="12"/>
    </row>
    <row r="717" ht="14.25" customHeight="1">
      <c r="C717" s="19"/>
      <c r="G717" s="55"/>
      <c r="H717" s="12"/>
    </row>
    <row r="718" ht="14.25" customHeight="1">
      <c r="C718" s="19"/>
      <c r="G718" s="55"/>
      <c r="H718" s="12"/>
    </row>
    <row r="719" ht="14.25" customHeight="1">
      <c r="C719" s="19"/>
      <c r="G719" s="55"/>
      <c r="H719" s="12"/>
    </row>
    <row r="720" ht="14.25" customHeight="1">
      <c r="C720" s="19"/>
      <c r="G720" s="55"/>
      <c r="H720" s="12"/>
    </row>
    <row r="721" ht="14.25" customHeight="1">
      <c r="C721" s="19"/>
      <c r="G721" s="55"/>
      <c r="H721" s="12"/>
    </row>
    <row r="722" ht="14.25" customHeight="1">
      <c r="C722" s="19"/>
      <c r="G722" s="55"/>
      <c r="H722" s="12"/>
    </row>
    <row r="723" ht="14.25" customHeight="1">
      <c r="C723" s="19"/>
      <c r="G723" s="55"/>
      <c r="H723" s="12"/>
    </row>
    <row r="724" ht="14.25" customHeight="1">
      <c r="C724" s="19"/>
      <c r="G724" s="55"/>
      <c r="H724" s="12"/>
    </row>
    <row r="725" ht="14.25" customHeight="1">
      <c r="C725" s="19"/>
      <c r="G725" s="55"/>
      <c r="H725" s="12"/>
    </row>
    <row r="726" ht="14.25" customHeight="1">
      <c r="C726" s="19"/>
      <c r="G726" s="55"/>
      <c r="H726" s="12"/>
    </row>
    <row r="727" ht="14.25" customHeight="1">
      <c r="C727" s="19"/>
      <c r="G727" s="55"/>
      <c r="H727" s="12"/>
    </row>
    <row r="728" ht="14.25" customHeight="1">
      <c r="C728" s="19"/>
      <c r="G728" s="55"/>
      <c r="H728" s="12"/>
    </row>
    <row r="729" ht="14.25" customHeight="1">
      <c r="C729" s="19"/>
      <c r="G729" s="55"/>
      <c r="H729" s="12"/>
    </row>
    <row r="730" ht="14.25" customHeight="1">
      <c r="C730" s="19"/>
      <c r="G730" s="55"/>
      <c r="H730" s="12"/>
    </row>
    <row r="731" ht="14.25" customHeight="1">
      <c r="C731" s="19"/>
      <c r="G731" s="55"/>
      <c r="H731" s="12"/>
    </row>
    <row r="732" ht="14.25" customHeight="1">
      <c r="C732" s="19"/>
      <c r="G732" s="55"/>
      <c r="H732" s="12"/>
    </row>
    <row r="733" ht="14.25" customHeight="1">
      <c r="C733" s="19"/>
      <c r="G733" s="55"/>
      <c r="H733" s="12"/>
    </row>
    <row r="734" ht="14.25" customHeight="1">
      <c r="C734" s="19"/>
      <c r="G734" s="55"/>
      <c r="H734" s="12"/>
    </row>
    <row r="735" ht="14.25" customHeight="1">
      <c r="C735" s="19"/>
      <c r="G735" s="55"/>
      <c r="H735" s="12"/>
    </row>
    <row r="736" ht="14.25" customHeight="1">
      <c r="C736" s="19"/>
      <c r="G736" s="55"/>
      <c r="H736" s="12"/>
    </row>
    <row r="737" ht="14.25" customHeight="1">
      <c r="C737" s="19"/>
      <c r="G737" s="55"/>
      <c r="H737" s="12"/>
    </row>
    <row r="738" ht="14.25" customHeight="1">
      <c r="C738" s="19"/>
      <c r="G738" s="55"/>
      <c r="H738" s="12"/>
    </row>
    <row r="739" ht="14.25" customHeight="1">
      <c r="C739" s="19"/>
      <c r="G739" s="55"/>
      <c r="H739" s="12"/>
    </row>
    <row r="740" ht="14.25" customHeight="1">
      <c r="C740" s="19"/>
      <c r="G740" s="55"/>
      <c r="H740" s="12"/>
    </row>
    <row r="741" ht="14.25" customHeight="1">
      <c r="C741" s="19"/>
      <c r="G741" s="55"/>
      <c r="H741" s="12"/>
    </row>
    <row r="742" ht="14.25" customHeight="1">
      <c r="C742" s="19"/>
      <c r="G742" s="55"/>
      <c r="H742" s="12"/>
    </row>
    <row r="743" ht="14.25" customHeight="1">
      <c r="C743" s="19"/>
      <c r="G743" s="55"/>
      <c r="H743" s="12"/>
    </row>
    <row r="744" ht="14.25" customHeight="1">
      <c r="C744" s="19"/>
      <c r="G744" s="55"/>
      <c r="H744" s="12"/>
    </row>
    <row r="745" ht="14.25" customHeight="1">
      <c r="C745" s="19"/>
      <c r="G745" s="55"/>
      <c r="H745" s="12"/>
    </row>
    <row r="746" ht="14.25" customHeight="1">
      <c r="C746" s="19"/>
      <c r="G746" s="55"/>
      <c r="H746" s="12"/>
    </row>
    <row r="747" ht="14.25" customHeight="1">
      <c r="C747" s="19"/>
      <c r="G747" s="55"/>
      <c r="H747" s="12"/>
    </row>
    <row r="748" ht="14.25" customHeight="1">
      <c r="C748" s="19"/>
      <c r="G748" s="55"/>
      <c r="H748" s="12"/>
    </row>
    <row r="749" ht="14.25" customHeight="1">
      <c r="C749" s="19"/>
      <c r="G749" s="55"/>
      <c r="H749" s="12"/>
    </row>
    <row r="750" ht="14.25" customHeight="1">
      <c r="C750" s="19"/>
      <c r="G750" s="55"/>
      <c r="H750" s="12"/>
    </row>
    <row r="751" ht="14.25" customHeight="1">
      <c r="C751" s="19"/>
      <c r="G751" s="55"/>
      <c r="H751" s="12"/>
    </row>
    <row r="752" ht="14.25" customHeight="1">
      <c r="C752" s="19"/>
      <c r="G752" s="55"/>
      <c r="H752" s="12"/>
    </row>
    <row r="753" ht="14.25" customHeight="1">
      <c r="C753" s="19"/>
      <c r="G753" s="55"/>
      <c r="H753" s="12"/>
    </row>
    <row r="754" ht="14.25" customHeight="1">
      <c r="C754" s="19"/>
      <c r="G754" s="55"/>
      <c r="H754" s="12"/>
    </row>
    <row r="755" ht="14.25" customHeight="1">
      <c r="C755" s="19"/>
      <c r="G755" s="55"/>
      <c r="H755" s="12"/>
    </row>
    <row r="756" ht="14.25" customHeight="1">
      <c r="C756" s="19"/>
      <c r="G756" s="55"/>
      <c r="H756" s="12"/>
    </row>
    <row r="757" ht="14.25" customHeight="1">
      <c r="C757" s="19"/>
      <c r="G757" s="55"/>
      <c r="H757" s="12"/>
    </row>
    <row r="758" ht="14.25" customHeight="1">
      <c r="C758" s="19"/>
      <c r="G758" s="55"/>
      <c r="H758" s="12"/>
    </row>
    <row r="759" ht="14.25" customHeight="1">
      <c r="C759" s="19"/>
      <c r="G759" s="55"/>
      <c r="H759" s="12"/>
    </row>
    <row r="760" ht="14.25" customHeight="1">
      <c r="C760" s="19"/>
      <c r="G760" s="55"/>
      <c r="H760" s="12"/>
    </row>
    <row r="761" ht="14.25" customHeight="1">
      <c r="C761" s="19"/>
      <c r="G761" s="55"/>
      <c r="H761" s="12"/>
    </row>
    <row r="762" ht="14.25" customHeight="1">
      <c r="C762" s="19"/>
      <c r="G762" s="55"/>
      <c r="H762" s="12"/>
    </row>
    <row r="763" ht="14.25" customHeight="1">
      <c r="C763" s="19"/>
      <c r="G763" s="55"/>
      <c r="H763" s="12"/>
    </row>
    <row r="764" ht="14.25" customHeight="1">
      <c r="C764" s="19"/>
      <c r="G764" s="55"/>
      <c r="H764" s="12"/>
    </row>
    <row r="765" ht="14.25" customHeight="1">
      <c r="C765" s="19"/>
      <c r="G765" s="55"/>
      <c r="H765" s="12"/>
    </row>
    <row r="766" ht="14.25" customHeight="1">
      <c r="C766" s="19"/>
      <c r="G766" s="55"/>
      <c r="H766" s="12"/>
    </row>
    <row r="767" ht="14.25" customHeight="1">
      <c r="C767" s="19"/>
      <c r="G767" s="55"/>
      <c r="H767" s="12"/>
    </row>
    <row r="768" ht="14.25" customHeight="1">
      <c r="C768" s="19"/>
      <c r="G768" s="55"/>
      <c r="H768" s="12"/>
    </row>
    <row r="769" ht="14.25" customHeight="1">
      <c r="C769" s="19"/>
      <c r="G769" s="55"/>
      <c r="H769" s="12"/>
    </row>
    <row r="770" ht="14.25" customHeight="1">
      <c r="C770" s="19"/>
      <c r="G770" s="55"/>
      <c r="H770" s="12"/>
    </row>
    <row r="771" ht="14.25" customHeight="1">
      <c r="C771" s="19"/>
      <c r="G771" s="55"/>
      <c r="H771" s="12"/>
    </row>
    <row r="772" ht="14.25" customHeight="1">
      <c r="C772" s="19"/>
      <c r="G772" s="55"/>
      <c r="H772" s="12"/>
    </row>
    <row r="773" ht="14.25" customHeight="1">
      <c r="C773" s="19"/>
      <c r="G773" s="55"/>
      <c r="H773" s="12"/>
    </row>
    <row r="774" ht="14.25" customHeight="1">
      <c r="C774" s="19"/>
      <c r="G774" s="55"/>
      <c r="H774" s="12"/>
    </row>
    <row r="775" ht="14.25" customHeight="1">
      <c r="C775" s="19"/>
      <c r="G775" s="55"/>
      <c r="H775" s="12"/>
    </row>
    <row r="776" ht="14.25" customHeight="1">
      <c r="C776" s="19"/>
      <c r="G776" s="55"/>
      <c r="H776" s="12"/>
    </row>
    <row r="777" ht="14.25" customHeight="1">
      <c r="C777" s="19"/>
      <c r="G777" s="55"/>
      <c r="H777" s="12"/>
    </row>
    <row r="778" ht="14.25" customHeight="1">
      <c r="C778" s="19"/>
      <c r="G778" s="55"/>
      <c r="H778" s="12"/>
    </row>
    <row r="779" ht="14.25" customHeight="1">
      <c r="C779" s="19"/>
      <c r="G779" s="55"/>
      <c r="H779" s="12"/>
    </row>
    <row r="780" ht="14.25" customHeight="1">
      <c r="C780" s="19"/>
      <c r="G780" s="55"/>
      <c r="H780" s="12"/>
    </row>
    <row r="781" ht="14.25" customHeight="1">
      <c r="C781" s="19"/>
      <c r="G781" s="55"/>
      <c r="H781" s="12"/>
    </row>
    <row r="782" ht="14.25" customHeight="1">
      <c r="C782" s="19"/>
      <c r="G782" s="55"/>
      <c r="H782" s="12"/>
    </row>
    <row r="783" ht="14.25" customHeight="1">
      <c r="C783" s="19"/>
      <c r="G783" s="55"/>
      <c r="H783" s="12"/>
    </row>
    <row r="784" ht="14.25" customHeight="1">
      <c r="C784" s="19"/>
      <c r="G784" s="55"/>
      <c r="H784" s="12"/>
    </row>
    <row r="785" ht="14.25" customHeight="1">
      <c r="C785" s="19"/>
      <c r="G785" s="55"/>
      <c r="H785" s="12"/>
    </row>
    <row r="786" ht="14.25" customHeight="1">
      <c r="C786" s="19"/>
      <c r="G786" s="55"/>
      <c r="H786" s="12"/>
    </row>
    <row r="787" ht="14.25" customHeight="1">
      <c r="C787" s="19"/>
      <c r="G787" s="55"/>
      <c r="H787" s="12"/>
    </row>
    <row r="788" ht="14.25" customHeight="1">
      <c r="C788" s="19"/>
      <c r="G788" s="55"/>
      <c r="H788" s="12"/>
    </row>
    <row r="789" ht="14.25" customHeight="1">
      <c r="C789" s="19"/>
      <c r="G789" s="55"/>
      <c r="H789" s="12"/>
    </row>
    <row r="790" ht="14.25" customHeight="1">
      <c r="C790" s="19"/>
      <c r="G790" s="55"/>
      <c r="H790" s="12"/>
    </row>
    <row r="791" ht="14.25" customHeight="1">
      <c r="C791" s="19"/>
      <c r="G791" s="55"/>
      <c r="H791" s="12"/>
    </row>
    <row r="792" ht="14.25" customHeight="1">
      <c r="C792" s="19"/>
      <c r="G792" s="55"/>
      <c r="H792" s="12"/>
    </row>
    <row r="793" ht="14.25" customHeight="1">
      <c r="C793" s="19"/>
      <c r="G793" s="55"/>
      <c r="H793" s="12"/>
    </row>
    <row r="794" ht="14.25" customHeight="1">
      <c r="C794" s="19"/>
      <c r="G794" s="55"/>
      <c r="H794" s="12"/>
    </row>
    <row r="795" ht="14.25" customHeight="1">
      <c r="C795" s="19"/>
      <c r="G795" s="55"/>
      <c r="H795" s="12"/>
    </row>
    <row r="796" ht="14.25" customHeight="1">
      <c r="C796" s="19"/>
      <c r="G796" s="55"/>
      <c r="H796" s="12"/>
    </row>
    <row r="797" ht="14.25" customHeight="1">
      <c r="C797" s="19"/>
      <c r="G797" s="55"/>
      <c r="H797" s="12"/>
    </row>
    <row r="798" ht="14.25" customHeight="1">
      <c r="C798" s="19"/>
      <c r="G798" s="55"/>
      <c r="H798" s="12"/>
    </row>
    <row r="799" ht="14.25" customHeight="1">
      <c r="C799" s="19"/>
      <c r="G799" s="55"/>
      <c r="H799" s="12"/>
    </row>
    <row r="800" ht="14.25" customHeight="1">
      <c r="C800" s="19"/>
      <c r="G800" s="55"/>
      <c r="H800" s="12"/>
    </row>
    <row r="801" ht="14.25" customHeight="1">
      <c r="C801" s="19"/>
      <c r="G801" s="55"/>
      <c r="H801" s="12"/>
    </row>
    <row r="802" ht="14.25" customHeight="1">
      <c r="C802" s="19"/>
      <c r="G802" s="55"/>
      <c r="H802" s="12"/>
    </row>
    <row r="803" ht="14.25" customHeight="1">
      <c r="C803" s="19"/>
      <c r="G803" s="55"/>
      <c r="H803" s="12"/>
    </row>
    <row r="804" ht="14.25" customHeight="1">
      <c r="C804" s="19"/>
      <c r="G804" s="55"/>
      <c r="H804" s="12"/>
    </row>
    <row r="805" ht="14.25" customHeight="1">
      <c r="C805" s="19"/>
      <c r="G805" s="55"/>
      <c r="H805" s="12"/>
    </row>
    <row r="806" ht="14.25" customHeight="1">
      <c r="C806" s="19"/>
      <c r="G806" s="55"/>
      <c r="H806" s="12"/>
    </row>
    <row r="807" ht="14.25" customHeight="1">
      <c r="C807" s="19"/>
      <c r="G807" s="55"/>
      <c r="H807" s="12"/>
    </row>
    <row r="808" ht="14.25" customHeight="1">
      <c r="C808" s="19"/>
      <c r="G808" s="55"/>
      <c r="H808" s="12"/>
    </row>
    <row r="809" ht="14.25" customHeight="1">
      <c r="C809" s="19"/>
      <c r="G809" s="55"/>
      <c r="H809" s="12"/>
    </row>
    <row r="810" ht="14.25" customHeight="1">
      <c r="C810" s="19"/>
      <c r="G810" s="55"/>
      <c r="H810" s="12"/>
    </row>
    <row r="811" ht="14.25" customHeight="1">
      <c r="C811" s="19"/>
      <c r="G811" s="55"/>
      <c r="H811" s="12"/>
    </row>
    <row r="812" ht="14.25" customHeight="1">
      <c r="C812" s="19"/>
      <c r="G812" s="55"/>
      <c r="H812" s="12"/>
    </row>
    <row r="813" ht="14.25" customHeight="1">
      <c r="C813" s="19"/>
      <c r="G813" s="55"/>
      <c r="H813" s="12"/>
    </row>
    <row r="814" ht="14.25" customHeight="1">
      <c r="C814" s="19"/>
      <c r="G814" s="55"/>
      <c r="H814" s="12"/>
    </row>
    <row r="815" ht="14.25" customHeight="1">
      <c r="C815" s="19"/>
      <c r="G815" s="55"/>
      <c r="H815" s="12"/>
    </row>
    <row r="816" ht="14.25" customHeight="1">
      <c r="C816" s="19"/>
      <c r="G816" s="55"/>
      <c r="H816" s="12"/>
    </row>
    <row r="817" ht="14.25" customHeight="1">
      <c r="C817" s="19"/>
      <c r="G817" s="55"/>
      <c r="H817" s="12"/>
    </row>
    <row r="818" ht="14.25" customHeight="1">
      <c r="C818" s="19"/>
      <c r="G818" s="55"/>
      <c r="H818" s="12"/>
    </row>
    <row r="819" ht="14.25" customHeight="1">
      <c r="C819" s="19"/>
      <c r="G819" s="55"/>
      <c r="H819" s="12"/>
    </row>
    <row r="820" ht="14.25" customHeight="1">
      <c r="C820" s="19"/>
      <c r="G820" s="55"/>
      <c r="H820" s="12"/>
    </row>
    <row r="821" ht="14.25" customHeight="1">
      <c r="C821" s="19"/>
      <c r="G821" s="55"/>
      <c r="H821" s="12"/>
    </row>
    <row r="822" ht="14.25" customHeight="1">
      <c r="C822" s="19"/>
      <c r="G822" s="55"/>
      <c r="H822" s="12"/>
    </row>
    <row r="823" ht="14.25" customHeight="1">
      <c r="C823" s="19"/>
      <c r="G823" s="55"/>
      <c r="H823" s="12"/>
    </row>
    <row r="824" ht="14.25" customHeight="1">
      <c r="C824" s="19"/>
      <c r="G824" s="55"/>
      <c r="H824" s="12"/>
    </row>
    <row r="825" ht="14.25" customHeight="1">
      <c r="C825" s="19"/>
      <c r="G825" s="55"/>
      <c r="H825" s="12"/>
    </row>
    <row r="826" ht="14.25" customHeight="1">
      <c r="C826" s="19"/>
      <c r="G826" s="55"/>
      <c r="H826" s="12"/>
    </row>
    <row r="827" ht="14.25" customHeight="1">
      <c r="C827" s="19"/>
      <c r="G827" s="55"/>
      <c r="H827" s="12"/>
    </row>
    <row r="828" ht="14.25" customHeight="1">
      <c r="C828" s="19"/>
      <c r="G828" s="55"/>
      <c r="H828" s="12"/>
    </row>
    <row r="829" ht="14.25" customHeight="1">
      <c r="C829" s="19"/>
      <c r="G829" s="55"/>
      <c r="H829" s="12"/>
    </row>
    <row r="830" ht="14.25" customHeight="1">
      <c r="C830" s="19"/>
      <c r="G830" s="55"/>
      <c r="H830" s="12"/>
    </row>
    <row r="831" ht="14.25" customHeight="1">
      <c r="C831" s="19"/>
      <c r="G831" s="55"/>
      <c r="H831" s="12"/>
    </row>
    <row r="832" ht="14.25" customHeight="1">
      <c r="C832" s="19"/>
      <c r="G832" s="55"/>
      <c r="H832" s="12"/>
    </row>
    <row r="833" ht="14.25" customHeight="1">
      <c r="C833" s="19"/>
      <c r="G833" s="55"/>
      <c r="H833" s="12"/>
    </row>
    <row r="834" ht="14.25" customHeight="1">
      <c r="C834" s="19"/>
      <c r="G834" s="55"/>
      <c r="H834" s="12"/>
    </row>
    <row r="835" ht="14.25" customHeight="1">
      <c r="C835" s="19"/>
      <c r="G835" s="55"/>
      <c r="H835" s="12"/>
    </row>
    <row r="836" ht="14.25" customHeight="1">
      <c r="C836" s="19"/>
      <c r="G836" s="55"/>
      <c r="H836" s="12"/>
    </row>
    <row r="837" ht="14.25" customHeight="1">
      <c r="C837" s="19"/>
      <c r="G837" s="55"/>
      <c r="H837" s="12"/>
    </row>
    <row r="838" ht="14.25" customHeight="1">
      <c r="C838" s="19"/>
      <c r="G838" s="55"/>
      <c r="H838" s="12"/>
    </row>
    <row r="839" ht="14.25" customHeight="1">
      <c r="C839" s="19"/>
      <c r="G839" s="55"/>
      <c r="H839" s="12"/>
    </row>
    <row r="840" ht="14.25" customHeight="1">
      <c r="C840" s="19"/>
      <c r="G840" s="55"/>
      <c r="H840" s="12"/>
    </row>
    <row r="841" ht="14.25" customHeight="1">
      <c r="C841" s="19"/>
      <c r="G841" s="55"/>
      <c r="H841" s="12"/>
    </row>
    <row r="842" ht="14.25" customHeight="1">
      <c r="C842" s="19"/>
      <c r="G842" s="55"/>
      <c r="H842" s="12"/>
    </row>
    <row r="843" ht="14.25" customHeight="1">
      <c r="C843" s="19"/>
      <c r="G843" s="55"/>
      <c r="H843" s="12"/>
    </row>
    <row r="844" ht="14.25" customHeight="1">
      <c r="C844" s="19"/>
      <c r="G844" s="55"/>
      <c r="H844" s="12"/>
    </row>
    <row r="845" ht="14.25" customHeight="1">
      <c r="C845" s="19"/>
      <c r="G845" s="55"/>
      <c r="H845" s="12"/>
    </row>
    <row r="846" ht="14.25" customHeight="1">
      <c r="C846" s="19"/>
      <c r="G846" s="55"/>
      <c r="H846" s="12"/>
    </row>
    <row r="847" ht="14.25" customHeight="1">
      <c r="C847" s="19"/>
      <c r="G847" s="55"/>
      <c r="H847" s="12"/>
    </row>
    <row r="848" ht="14.25" customHeight="1">
      <c r="C848" s="19"/>
      <c r="G848" s="55"/>
      <c r="H848" s="12"/>
    </row>
    <row r="849" ht="14.25" customHeight="1">
      <c r="C849" s="19"/>
      <c r="G849" s="55"/>
      <c r="H849" s="12"/>
    </row>
    <row r="850" ht="14.25" customHeight="1">
      <c r="C850" s="19"/>
      <c r="G850" s="55"/>
      <c r="H850" s="12"/>
    </row>
    <row r="851" ht="14.25" customHeight="1">
      <c r="C851" s="19"/>
      <c r="G851" s="55"/>
      <c r="H851" s="12"/>
    </row>
    <row r="852" ht="14.25" customHeight="1">
      <c r="C852" s="19"/>
      <c r="G852" s="55"/>
      <c r="H852" s="12"/>
    </row>
    <row r="853" ht="14.25" customHeight="1">
      <c r="C853" s="19"/>
      <c r="G853" s="55"/>
      <c r="H853" s="12"/>
    </row>
    <row r="854" ht="14.25" customHeight="1">
      <c r="C854" s="19"/>
      <c r="G854" s="55"/>
      <c r="H854" s="12"/>
    </row>
    <row r="855" ht="14.25" customHeight="1">
      <c r="C855" s="19"/>
      <c r="G855" s="55"/>
      <c r="H855" s="12"/>
    </row>
    <row r="856" ht="14.25" customHeight="1">
      <c r="C856" s="19"/>
      <c r="G856" s="55"/>
      <c r="H856" s="12"/>
    </row>
    <row r="857" ht="14.25" customHeight="1">
      <c r="C857" s="19"/>
      <c r="G857" s="55"/>
      <c r="H857" s="12"/>
    </row>
    <row r="858" ht="14.25" customHeight="1">
      <c r="C858" s="19"/>
      <c r="G858" s="55"/>
      <c r="H858" s="12"/>
    </row>
    <row r="859" ht="14.25" customHeight="1">
      <c r="C859" s="19"/>
      <c r="G859" s="55"/>
      <c r="H859" s="12"/>
    </row>
    <row r="860" ht="14.25" customHeight="1">
      <c r="C860" s="19"/>
      <c r="G860" s="55"/>
      <c r="H860" s="12"/>
    </row>
    <row r="861" ht="14.25" customHeight="1">
      <c r="C861" s="19"/>
      <c r="G861" s="55"/>
      <c r="H861" s="12"/>
    </row>
    <row r="862" ht="14.25" customHeight="1">
      <c r="C862" s="19"/>
      <c r="G862" s="55"/>
      <c r="H862" s="12"/>
    </row>
    <row r="863" ht="14.25" customHeight="1">
      <c r="C863" s="19"/>
      <c r="G863" s="55"/>
      <c r="H863" s="12"/>
    </row>
    <row r="864" ht="14.25" customHeight="1">
      <c r="C864" s="19"/>
      <c r="G864" s="55"/>
      <c r="H864" s="12"/>
    </row>
    <row r="865" ht="14.25" customHeight="1">
      <c r="C865" s="19"/>
      <c r="G865" s="55"/>
      <c r="H865" s="12"/>
    </row>
    <row r="866" ht="14.25" customHeight="1">
      <c r="C866" s="19"/>
      <c r="G866" s="55"/>
      <c r="H866" s="12"/>
    </row>
    <row r="867" ht="14.25" customHeight="1">
      <c r="C867" s="19"/>
      <c r="G867" s="55"/>
      <c r="H867" s="12"/>
    </row>
    <row r="868" ht="14.25" customHeight="1">
      <c r="C868" s="19"/>
      <c r="G868" s="55"/>
      <c r="H868" s="12"/>
    </row>
    <row r="869" ht="14.25" customHeight="1">
      <c r="C869" s="19"/>
      <c r="G869" s="55"/>
      <c r="H869" s="12"/>
    </row>
    <row r="870" ht="14.25" customHeight="1">
      <c r="C870" s="19"/>
      <c r="G870" s="55"/>
      <c r="H870" s="12"/>
    </row>
    <row r="871" ht="14.25" customHeight="1">
      <c r="C871" s="19"/>
      <c r="G871" s="55"/>
      <c r="H871" s="12"/>
    </row>
    <row r="872" ht="14.25" customHeight="1">
      <c r="C872" s="19"/>
      <c r="G872" s="55"/>
      <c r="H872" s="12"/>
    </row>
    <row r="873" ht="14.25" customHeight="1">
      <c r="C873" s="19"/>
      <c r="G873" s="55"/>
      <c r="H873" s="12"/>
    </row>
    <row r="874" ht="14.25" customHeight="1">
      <c r="C874" s="19"/>
      <c r="G874" s="55"/>
      <c r="H874" s="12"/>
    </row>
    <row r="875" ht="14.25" customHeight="1">
      <c r="C875" s="19"/>
      <c r="G875" s="55"/>
      <c r="H875" s="12"/>
    </row>
    <row r="876" ht="14.25" customHeight="1">
      <c r="C876" s="19"/>
      <c r="G876" s="55"/>
      <c r="H876" s="12"/>
    </row>
    <row r="877" ht="14.25" customHeight="1">
      <c r="C877" s="19"/>
      <c r="G877" s="55"/>
      <c r="H877" s="12"/>
    </row>
    <row r="878" ht="14.25" customHeight="1">
      <c r="C878" s="19"/>
      <c r="G878" s="55"/>
      <c r="H878" s="12"/>
    </row>
    <row r="879" ht="14.25" customHeight="1">
      <c r="C879" s="19"/>
      <c r="G879" s="55"/>
      <c r="H879" s="12"/>
    </row>
    <row r="880" ht="14.25" customHeight="1">
      <c r="C880" s="19"/>
      <c r="G880" s="55"/>
      <c r="H880" s="12"/>
    </row>
    <row r="881" ht="14.25" customHeight="1">
      <c r="C881" s="19"/>
      <c r="G881" s="55"/>
      <c r="H881" s="12"/>
    </row>
    <row r="882" ht="14.25" customHeight="1">
      <c r="C882" s="19"/>
      <c r="G882" s="55"/>
      <c r="H882" s="12"/>
    </row>
    <row r="883" ht="14.25" customHeight="1">
      <c r="C883" s="19"/>
      <c r="G883" s="55"/>
      <c r="H883" s="12"/>
    </row>
    <row r="884" ht="14.25" customHeight="1">
      <c r="C884" s="19"/>
      <c r="G884" s="55"/>
      <c r="H884" s="12"/>
    </row>
    <row r="885" ht="14.25" customHeight="1">
      <c r="C885" s="19"/>
      <c r="G885" s="55"/>
      <c r="H885" s="12"/>
    </row>
    <row r="886" ht="14.25" customHeight="1">
      <c r="C886" s="19"/>
      <c r="G886" s="55"/>
      <c r="H886" s="12"/>
    </row>
    <row r="887" ht="14.25" customHeight="1">
      <c r="C887" s="19"/>
      <c r="G887" s="55"/>
      <c r="H887" s="12"/>
    </row>
    <row r="888" ht="14.25" customHeight="1">
      <c r="C888" s="19"/>
      <c r="G888" s="55"/>
      <c r="H888" s="12"/>
    </row>
    <row r="889" ht="14.25" customHeight="1">
      <c r="C889" s="19"/>
      <c r="G889" s="55"/>
      <c r="H889" s="12"/>
    </row>
    <row r="890" ht="14.25" customHeight="1">
      <c r="C890" s="19"/>
      <c r="G890" s="55"/>
      <c r="H890" s="12"/>
    </row>
    <row r="891" ht="14.25" customHeight="1">
      <c r="C891" s="19"/>
      <c r="G891" s="55"/>
      <c r="H891" s="12"/>
    </row>
    <row r="892" ht="14.25" customHeight="1">
      <c r="C892" s="19"/>
      <c r="G892" s="55"/>
      <c r="H892" s="12"/>
    </row>
    <row r="893" ht="14.25" customHeight="1">
      <c r="C893" s="19"/>
      <c r="G893" s="55"/>
      <c r="H893" s="12"/>
    </row>
    <row r="894" ht="14.25" customHeight="1">
      <c r="C894" s="19"/>
      <c r="G894" s="55"/>
      <c r="H894" s="12"/>
    </row>
    <row r="895" ht="14.25" customHeight="1">
      <c r="C895" s="19"/>
      <c r="G895" s="55"/>
      <c r="H895" s="12"/>
    </row>
    <row r="896" ht="14.25" customHeight="1">
      <c r="C896" s="19"/>
      <c r="G896" s="55"/>
      <c r="H896" s="12"/>
    </row>
    <row r="897" ht="14.25" customHeight="1">
      <c r="C897" s="19"/>
      <c r="G897" s="55"/>
      <c r="H897" s="12"/>
    </row>
    <row r="898" ht="14.25" customHeight="1">
      <c r="C898" s="19"/>
      <c r="G898" s="55"/>
      <c r="H898" s="12"/>
    </row>
    <row r="899" ht="14.25" customHeight="1">
      <c r="C899" s="19"/>
      <c r="G899" s="55"/>
      <c r="H899" s="12"/>
    </row>
    <row r="900" ht="14.25" customHeight="1">
      <c r="C900" s="19"/>
      <c r="G900" s="55"/>
      <c r="H900" s="12"/>
    </row>
    <row r="901" ht="14.25" customHeight="1">
      <c r="C901" s="19"/>
      <c r="G901" s="55"/>
      <c r="H901" s="12"/>
    </row>
    <row r="902" ht="14.25" customHeight="1">
      <c r="C902" s="19"/>
      <c r="G902" s="55"/>
      <c r="H902" s="12"/>
    </row>
    <row r="903" ht="14.25" customHeight="1">
      <c r="C903" s="19"/>
      <c r="G903" s="55"/>
      <c r="H903" s="12"/>
    </row>
    <row r="904" ht="14.25" customHeight="1">
      <c r="C904" s="19"/>
      <c r="G904" s="55"/>
      <c r="H904" s="12"/>
    </row>
    <row r="905" ht="14.25" customHeight="1">
      <c r="C905" s="19"/>
      <c r="G905" s="55"/>
      <c r="H905" s="12"/>
    </row>
    <row r="906" ht="14.25" customHeight="1">
      <c r="C906" s="19"/>
      <c r="G906" s="55"/>
      <c r="H906" s="12"/>
    </row>
    <row r="907" ht="14.25" customHeight="1">
      <c r="C907" s="19"/>
      <c r="G907" s="55"/>
      <c r="H907" s="12"/>
    </row>
    <row r="908" ht="14.25" customHeight="1">
      <c r="C908" s="19"/>
      <c r="G908" s="55"/>
      <c r="H908" s="12"/>
    </row>
    <row r="909" ht="14.25" customHeight="1">
      <c r="C909" s="19"/>
      <c r="G909" s="55"/>
      <c r="H909" s="12"/>
    </row>
    <row r="910" ht="14.25" customHeight="1">
      <c r="C910" s="19"/>
      <c r="G910" s="55"/>
      <c r="H910" s="12"/>
    </row>
    <row r="911" ht="14.25" customHeight="1">
      <c r="C911" s="19"/>
      <c r="G911" s="55"/>
      <c r="H911" s="12"/>
    </row>
    <row r="912" ht="14.25" customHeight="1">
      <c r="C912" s="19"/>
      <c r="G912" s="55"/>
      <c r="H912" s="12"/>
    </row>
    <row r="913" ht="14.25" customHeight="1">
      <c r="C913" s="19"/>
      <c r="G913" s="55"/>
      <c r="H913" s="12"/>
    </row>
    <row r="914" ht="14.25" customHeight="1">
      <c r="C914" s="19"/>
      <c r="G914" s="55"/>
      <c r="H914" s="12"/>
    </row>
    <row r="915" ht="14.25" customHeight="1">
      <c r="C915" s="19"/>
      <c r="G915" s="55"/>
      <c r="H915" s="12"/>
    </row>
    <row r="916" ht="14.25" customHeight="1">
      <c r="C916" s="19"/>
      <c r="G916" s="55"/>
      <c r="H916" s="12"/>
    </row>
    <row r="917" ht="14.25" customHeight="1">
      <c r="C917" s="19"/>
      <c r="G917" s="55"/>
      <c r="H917" s="12"/>
    </row>
    <row r="918" ht="14.25" customHeight="1">
      <c r="C918" s="19"/>
      <c r="G918" s="55"/>
      <c r="H918" s="12"/>
    </row>
    <row r="919" ht="14.25" customHeight="1">
      <c r="C919" s="19"/>
      <c r="G919" s="55"/>
      <c r="H919" s="12"/>
    </row>
    <row r="920" ht="14.25" customHeight="1">
      <c r="C920" s="19"/>
      <c r="G920" s="55"/>
      <c r="H920" s="12"/>
    </row>
    <row r="921" ht="14.25" customHeight="1">
      <c r="C921" s="19"/>
      <c r="G921" s="55"/>
      <c r="H921" s="12"/>
    </row>
    <row r="922" ht="14.25" customHeight="1">
      <c r="C922" s="19"/>
      <c r="G922" s="55"/>
      <c r="H922" s="12"/>
    </row>
    <row r="923" ht="14.25" customHeight="1">
      <c r="C923" s="19"/>
      <c r="G923" s="55"/>
      <c r="H923" s="12"/>
    </row>
    <row r="924" ht="14.25" customHeight="1">
      <c r="C924" s="19"/>
      <c r="G924" s="55"/>
      <c r="H924" s="12"/>
    </row>
    <row r="925" ht="14.25" customHeight="1">
      <c r="C925" s="19"/>
      <c r="G925" s="55"/>
      <c r="H925" s="12"/>
    </row>
    <row r="926" ht="14.25" customHeight="1">
      <c r="C926" s="19"/>
      <c r="G926" s="55"/>
      <c r="H926" s="12"/>
    </row>
    <row r="927" ht="14.25" customHeight="1">
      <c r="C927" s="19"/>
      <c r="G927" s="55"/>
      <c r="H927" s="12"/>
    </row>
    <row r="928" ht="14.25" customHeight="1">
      <c r="C928" s="19"/>
      <c r="G928" s="55"/>
      <c r="H928" s="12"/>
    </row>
    <row r="929" ht="14.25" customHeight="1">
      <c r="C929" s="19"/>
      <c r="G929" s="55"/>
      <c r="H929" s="12"/>
    </row>
    <row r="930" ht="14.25" customHeight="1">
      <c r="C930" s="19"/>
      <c r="G930" s="55"/>
      <c r="H930" s="12"/>
    </row>
    <row r="931" ht="14.25" customHeight="1">
      <c r="C931" s="19"/>
      <c r="G931" s="55"/>
      <c r="H931" s="12"/>
    </row>
    <row r="932" ht="14.25" customHeight="1">
      <c r="C932" s="19"/>
      <c r="G932" s="55"/>
      <c r="H932" s="12"/>
    </row>
    <row r="933" ht="14.25" customHeight="1">
      <c r="C933" s="19"/>
      <c r="G933" s="55"/>
      <c r="H933" s="12"/>
    </row>
    <row r="934" ht="14.25" customHeight="1">
      <c r="C934" s="19"/>
      <c r="G934" s="55"/>
      <c r="H934" s="12"/>
    </row>
    <row r="935" ht="14.25" customHeight="1">
      <c r="C935" s="19"/>
      <c r="G935" s="55"/>
      <c r="H935" s="12"/>
    </row>
    <row r="936" ht="14.25" customHeight="1">
      <c r="C936" s="19"/>
      <c r="G936" s="55"/>
      <c r="H936" s="12"/>
    </row>
    <row r="937" ht="14.25" customHeight="1">
      <c r="C937" s="19"/>
      <c r="G937" s="55"/>
      <c r="H937" s="12"/>
    </row>
    <row r="938" ht="14.25" customHeight="1">
      <c r="C938" s="19"/>
      <c r="G938" s="55"/>
      <c r="H938" s="12"/>
    </row>
    <row r="939" ht="14.25" customHeight="1">
      <c r="C939" s="19"/>
      <c r="G939" s="55"/>
      <c r="H939" s="12"/>
    </row>
    <row r="940" ht="14.25" customHeight="1">
      <c r="C940" s="19"/>
      <c r="G940" s="55"/>
      <c r="H940" s="12"/>
    </row>
    <row r="941" ht="14.25" customHeight="1">
      <c r="C941" s="19"/>
      <c r="G941" s="55"/>
      <c r="H941" s="12"/>
    </row>
    <row r="942" ht="14.25" customHeight="1">
      <c r="C942" s="19"/>
      <c r="G942" s="55"/>
      <c r="H942" s="12"/>
    </row>
    <row r="943" ht="14.25" customHeight="1">
      <c r="C943" s="19"/>
      <c r="G943" s="55"/>
      <c r="H943" s="12"/>
    </row>
    <row r="944" ht="14.25" customHeight="1">
      <c r="C944" s="19"/>
      <c r="G944" s="55"/>
      <c r="H944" s="12"/>
    </row>
    <row r="945" ht="14.25" customHeight="1">
      <c r="C945" s="19"/>
      <c r="G945" s="55"/>
      <c r="H945" s="12"/>
    </row>
    <row r="946" ht="14.25" customHeight="1">
      <c r="C946" s="19"/>
      <c r="G946" s="55"/>
      <c r="H946" s="12"/>
    </row>
    <row r="947" ht="14.25" customHeight="1">
      <c r="C947" s="19"/>
      <c r="G947" s="55"/>
      <c r="H947" s="12"/>
    </row>
    <row r="948" ht="14.25" customHeight="1">
      <c r="C948" s="19"/>
      <c r="G948" s="55"/>
      <c r="H948" s="12"/>
    </row>
    <row r="949" ht="14.25" customHeight="1">
      <c r="C949" s="19"/>
      <c r="G949" s="55"/>
      <c r="H949" s="12"/>
    </row>
    <row r="950" ht="14.25" customHeight="1">
      <c r="C950" s="19"/>
      <c r="G950" s="55"/>
      <c r="H950" s="12"/>
    </row>
    <row r="951" ht="14.25" customHeight="1">
      <c r="C951" s="19"/>
      <c r="G951" s="55"/>
      <c r="H951" s="12"/>
    </row>
    <row r="952" ht="14.25" customHeight="1">
      <c r="C952" s="19"/>
      <c r="G952" s="55"/>
      <c r="H952" s="12"/>
    </row>
    <row r="953" ht="14.25" customHeight="1">
      <c r="C953" s="19"/>
      <c r="G953" s="55"/>
      <c r="H953" s="12"/>
    </row>
    <row r="954" ht="14.25" customHeight="1">
      <c r="C954" s="19"/>
      <c r="G954" s="55"/>
      <c r="H954" s="12"/>
    </row>
    <row r="955" ht="14.25" customHeight="1">
      <c r="C955" s="19"/>
      <c r="G955" s="55"/>
      <c r="H955" s="12"/>
    </row>
    <row r="956" ht="14.25" customHeight="1">
      <c r="C956" s="19"/>
      <c r="G956" s="55"/>
      <c r="H956" s="12"/>
    </row>
    <row r="957" ht="14.25" customHeight="1">
      <c r="C957" s="19"/>
      <c r="G957" s="55"/>
      <c r="H957" s="12"/>
    </row>
    <row r="958" ht="14.25" customHeight="1">
      <c r="C958" s="19"/>
      <c r="G958" s="55"/>
      <c r="H958" s="12"/>
    </row>
    <row r="959" ht="14.25" customHeight="1">
      <c r="C959" s="19"/>
      <c r="G959" s="55"/>
      <c r="H959" s="12"/>
    </row>
    <row r="960" ht="14.25" customHeight="1">
      <c r="C960" s="19"/>
      <c r="G960" s="55"/>
      <c r="H960" s="12"/>
    </row>
    <row r="961" ht="14.25" customHeight="1">
      <c r="C961" s="19"/>
      <c r="G961" s="55"/>
      <c r="H961" s="12"/>
    </row>
    <row r="962" ht="14.25" customHeight="1">
      <c r="C962" s="19"/>
      <c r="G962" s="55"/>
      <c r="H962" s="12"/>
    </row>
    <row r="963" ht="14.25" customHeight="1">
      <c r="C963" s="19"/>
      <c r="G963" s="55"/>
      <c r="H963" s="12"/>
    </row>
    <row r="964" ht="14.25" customHeight="1">
      <c r="C964" s="19"/>
      <c r="G964" s="55"/>
      <c r="H964" s="12"/>
    </row>
    <row r="965" ht="14.25" customHeight="1">
      <c r="C965" s="19"/>
      <c r="G965" s="55"/>
      <c r="H965" s="12"/>
    </row>
    <row r="966" ht="14.25" customHeight="1">
      <c r="C966" s="19"/>
      <c r="G966" s="55"/>
      <c r="H966" s="12"/>
    </row>
    <row r="967" ht="14.25" customHeight="1">
      <c r="C967" s="19"/>
      <c r="G967" s="55"/>
      <c r="H967" s="12"/>
    </row>
    <row r="968" ht="14.25" customHeight="1">
      <c r="C968" s="19"/>
      <c r="G968" s="55"/>
      <c r="H968" s="12"/>
    </row>
    <row r="969" ht="14.25" customHeight="1">
      <c r="C969" s="19"/>
      <c r="G969" s="55"/>
      <c r="H969" s="12"/>
    </row>
    <row r="970" ht="14.25" customHeight="1">
      <c r="C970" s="19"/>
      <c r="G970" s="55"/>
      <c r="H970" s="12"/>
    </row>
    <row r="971" ht="14.25" customHeight="1">
      <c r="C971" s="19"/>
      <c r="G971" s="55"/>
      <c r="H971" s="12"/>
    </row>
    <row r="972" ht="14.25" customHeight="1">
      <c r="C972" s="19"/>
      <c r="G972" s="55"/>
      <c r="H972" s="12"/>
    </row>
    <row r="973" ht="14.25" customHeight="1">
      <c r="C973" s="19"/>
      <c r="G973" s="55"/>
      <c r="H973" s="12"/>
    </row>
    <row r="974" ht="14.25" customHeight="1">
      <c r="C974" s="19"/>
      <c r="G974" s="55"/>
      <c r="H974" s="12"/>
    </row>
    <row r="975" ht="14.25" customHeight="1">
      <c r="C975" s="19"/>
      <c r="G975" s="55"/>
      <c r="H975" s="12"/>
    </row>
    <row r="976" ht="14.25" customHeight="1">
      <c r="C976" s="19"/>
      <c r="G976" s="55"/>
      <c r="H976" s="12"/>
    </row>
    <row r="977" ht="14.25" customHeight="1">
      <c r="C977" s="19"/>
      <c r="G977" s="55"/>
      <c r="H977" s="12"/>
    </row>
    <row r="978" ht="14.25" customHeight="1">
      <c r="C978" s="19"/>
      <c r="G978" s="55"/>
      <c r="H978" s="12"/>
    </row>
    <row r="979" ht="14.25" customHeight="1">
      <c r="C979" s="19"/>
      <c r="G979" s="55"/>
      <c r="H979" s="12"/>
    </row>
    <row r="980" ht="14.25" customHeight="1">
      <c r="C980" s="19"/>
      <c r="G980" s="55"/>
      <c r="H980" s="12"/>
    </row>
    <row r="981" ht="14.25" customHeight="1">
      <c r="C981" s="19"/>
      <c r="G981" s="55"/>
      <c r="H981" s="12"/>
    </row>
    <row r="982" ht="14.25" customHeight="1">
      <c r="C982" s="19"/>
      <c r="G982" s="55"/>
      <c r="H982" s="12"/>
    </row>
    <row r="983" ht="14.25" customHeight="1">
      <c r="C983" s="19"/>
      <c r="G983" s="55"/>
      <c r="H983" s="12"/>
    </row>
    <row r="984" ht="14.25" customHeight="1">
      <c r="C984" s="19"/>
      <c r="G984" s="55"/>
      <c r="H984" s="12"/>
    </row>
    <row r="985" ht="14.25" customHeight="1">
      <c r="C985" s="19"/>
      <c r="G985" s="55"/>
      <c r="H985" s="12"/>
    </row>
    <row r="986" ht="14.25" customHeight="1">
      <c r="C986" s="19"/>
      <c r="G986" s="55"/>
      <c r="H986" s="12"/>
    </row>
    <row r="987" ht="14.25" customHeight="1">
      <c r="C987" s="19"/>
      <c r="G987" s="55"/>
      <c r="H987" s="12"/>
    </row>
    <row r="988" ht="14.25" customHeight="1">
      <c r="C988" s="19"/>
      <c r="G988" s="55"/>
      <c r="H988" s="12"/>
    </row>
    <row r="989" ht="14.25" customHeight="1">
      <c r="C989" s="19"/>
      <c r="G989" s="55"/>
      <c r="H989" s="12"/>
    </row>
    <row r="990" ht="14.25" customHeight="1">
      <c r="C990" s="19"/>
      <c r="G990" s="55"/>
      <c r="H990" s="12"/>
    </row>
    <row r="991" ht="14.25" customHeight="1">
      <c r="C991" s="19"/>
      <c r="G991" s="55"/>
      <c r="H991" s="12"/>
    </row>
    <row r="992" ht="14.25" customHeight="1">
      <c r="C992" s="19"/>
      <c r="G992" s="55"/>
      <c r="H992" s="12"/>
    </row>
    <row r="993" ht="14.25" customHeight="1">
      <c r="C993" s="19"/>
      <c r="G993" s="55"/>
      <c r="H993" s="12"/>
    </row>
    <row r="994" ht="14.25" customHeight="1">
      <c r="C994" s="19"/>
      <c r="G994" s="55"/>
      <c r="H994" s="12"/>
    </row>
    <row r="995" ht="14.25" customHeight="1">
      <c r="C995" s="19"/>
      <c r="G995" s="55"/>
      <c r="H995" s="12"/>
    </row>
    <row r="996" ht="14.25" customHeight="1">
      <c r="C996" s="19"/>
      <c r="G996" s="55"/>
      <c r="H996" s="12"/>
    </row>
    <row r="997" ht="14.25" customHeight="1">
      <c r="C997" s="19"/>
      <c r="G997" s="55"/>
      <c r="H997" s="12"/>
    </row>
    <row r="998" ht="14.25" customHeight="1">
      <c r="C998" s="19"/>
      <c r="G998" s="55"/>
      <c r="H998" s="12"/>
    </row>
    <row r="999" ht="14.25" customHeight="1">
      <c r="C999" s="19"/>
      <c r="G999" s="55"/>
      <c r="H999" s="12"/>
    </row>
    <row r="1000" ht="14.25" customHeight="1">
      <c r="C1000" s="19"/>
      <c r="G1000" s="55"/>
      <c r="H1000" s="12"/>
    </row>
    <row r="1001" ht="14.25" customHeight="1">
      <c r="C1001" s="19"/>
      <c r="G1001" s="55"/>
      <c r="H1001" s="12"/>
    </row>
    <row r="1002" ht="14.25" customHeight="1">
      <c r="C1002" s="19"/>
      <c r="G1002" s="55"/>
      <c r="H1002" s="12"/>
    </row>
    <row r="1003" ht="14.25" customHeight="1">
      <c r="C1003" s="19"/>
      <c r="G1003" s="55"/>
      <c r="H1003" s="12"/>
    </row>
    <row r="1004" ht="14.25" customHeight="1">
      <c r="C1004" s="19"/>
      <c r="G1004" s="55"/>
      <c r="H1004" s="12"/>
    </row>
    <row r="1005" ht="14.25" customHeight="1">
      <c r="C1005" s="19"/>
      <c r="G1005" s="55"/>
      <c r="H1005" s="12"/>
    </row>
    <row r="1006" ht="14.25" customHeight="1">
      <c r="C1006" s="19"/>
      <c r="G1006" s="55"/>
      <c r="H1006" s="12"/>
    </row>
    <row r="1007" ht="14.25" customHeight="1">
      <c r="C1007" s="19"/>
      <c r="G1007" s="55"/>
      <c r="H1007" s="12"/>
    </row>
    <row r="1008" ht="14.25" customHeight="1">
      <c r="C1008" s="19"/>
      <c r="G1008" s="55"/>
      <c r="H1008" s="12"/>
    </row>
    <row r="1009" ht="14.25" customHeight="1">
      <c r="C1009" s="19"/>
      <c r="G1009" s="55"/>
      <c r="H1009" s="12"/>
    </row>
    <row r="1010" ht="14.25" customHeight="1">
      <c r="C1010" s="19"/>
      <c r="G1010" s="55"/>
      <c r="H1010" s="12"/>
    </row>
    <row r="1011" ht="14.25" customHeight="1">
      <c r="C1011" s="19"/>
      <c r="G1011" s="55"/>
      <c r="H1011" s="12"/>
    </row>
    <row r="1012" ht="14.25" customHeight="1">
      <c r="C1012" s="19"/>
      <c r="G1012" s="55"/>
      <c r="H1012" s="12"/>
    </row>
    <row r="1013" ht="14.25" customHeight="1">
      <c r="C1013" s="19"/>
      <c r="G1013" s="55"/>
      <c r="H1013" s="12"/>
    </row>
    <row r="1014" ht="14.25" customHeight="1">
      <c r="C1014" s="19"/>
      <c r="G1014" s="55"/>
      <c r="H1014" s="12"/>
    </row>
  </sheetData>
  <mergeCells count="11">
    <mergeCell ref="B5:D5"/>
    <mergeCell ref="B6:D6"/>
    <mergeCell ref="F6:G6"/>
    <mergeCell ref="F54:I54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8.86"/>
    <col customWidth="1" min="3" max="4" width="17.86"/>
    <col customWidth="1" min="5" max="5" width="39.57"/>
    <col customWidth="1" min="6" max="6" width="13.71"/>
    <col customWidth="1" min="7" max="7" width="22.29"/>
    <col customWidth="1" min="8" max="8" width="13.43"/>
    <col customWidth="1" min="9" max="9" width="24.29"/>
    <col customWidth="1" min="10" max="28" width="8.71"/>
  </cols>
  <sheetData>
    <row r="1" ht="37.5" customHeight="1">
      <c r="A1" s="11" t="s">
        <v>42</v>
      </c>
    </row>
    <row r="2" ht="23.25" customHeight="1">
      <c r="B2" s="19"/>
      <c r="C2" s="13" t="s">
        <v>43</v>
      </c>
      <c r="G2" s="55"/>
      <c r="H2" s="193"/>
    </row>
    <row r="3" ht="14.25" customHeight="1">
      <c r="A3" s="14" t="s">
        <v>44</v>
      </c>
      <c r="B3" s="18" t="s">
        <v>585</v>
      </c>
      <c r="E3" s="194" t="s">
        <v>46</v>
      </c>
      <c r="F3" s="18" t="s">
        <v>586</v>
      </c>
      <c r="H3" s="193"/>
    </row>
    <row r="4" ht="14.25" customHeight="1">
      <c r="A4" s="14" t="s">
        <v>48</v>
      </c>
      <c r="B4" s="18" t="s">
        <v>28</v>
      </c>
      <c r="E4" s="194" t="s">
        <v>105</v>
      </c>
      <c r="F4" s="18">
        <v>9.008216100135E12</v>
      </c>
      <c r="H4" s="193"/>
    </row>
    <row r="5" ht="14.25" customHeight="1">
      <c r="A5" s="14" t="s">
        <v>51</v>
      </c>
      <c r="B5" s="18" t="s">
        <v>231</v>
      </c>
      <c r="E5" s="194" t="s">
        <v>53</v>
      </c>
      <c r="F5" s="18" t="s">
        <v>28</v>
      </c>
      <c r="H5" s="193"/>
    </row>
    <row r="6" ht="14.25" customHeight="1">
      <c r="A6" s="14" t="s">
        <v>54</v>
      </c>
      <c r="B6" s="18"/>
      <c r="E6" s="194" t="s">
        <v>55</v>
      </c>
      <c r="F6" s="18" t="s">
        <v>587</v>
      </c>
      <c r="H6" s="193"/>
    </row>
    <row r="7" ht="14.25" customHeight="1">
      <c r="B7" s="19"/>
      <c r="C7" s="195"/>
      <c r="D7" s="196"/>
      <c r="E7" s="196"/>
      <c r="G7" s="55"/>
      <c r="H7" s="193"/>
    </row>
    <row r="8" ht="14.25" customHeight="1">
      <c r="B8" s="19"/>
      <c r="C8" s="195"/>
      <c r="D8" s="196"/>
      <c r="E8" s="196"/>
      <c r="G8" s="55"/>
      <c r="H8" s="193"/>
    </row>
    <row r="9" ht="14.25" customHeight="1">
      <c r="A9" s="20" t="s">
        <v>56</v>
      </c>
      <c r="B9" s="21" t="s">
        <v>107</v>
      </c>
      <c r="C9" s="197" t="s">
        <v>58</v>
      </c>
      <c r="D9" s="198" t="s">
        <v>59</v>
      </c>
      <c r="E9" s="198" t="s">
        <v>60</v>
      </c>
      <c r="F9" s="20" t="s">
        <v>61</v>
      </c>
      <c r="G9" s="58" t="s">
        <v>62</v>
      </c>
      <c r="H9" s="81" t="s">
        <v>63</v>
      </c>
      <c r="I9" s="20" t="s">
        <v>64</v>
      </c>
    </row>
    <row r="10" ht="14.25" customHeight="1">
      <c r="A10" s="199" t="s">
        <v>588</v>
      </c>
      <c r="B10" s="200">
        <v>7.611166E7</v>
      </c>
      <c r="C10" s="201" t="s">
        <v>589</v>
      </c>
      <c r="D10" s="202" t="s">
        <v>326</v>
      </c>
      <c r="E10" s="203" t="s">
        <v>590</v>
      </c>
      <c r="F10" s="204">
        <v>1.0</v>
      </c>
      <c r="G10" s="204">
        <v>1.0</v>
      </c>
      <c r="H10" s="205">
        <f t="shared" ref="H10:H40" si="1">200*G10</f>
        <v>200</v>
      </c>
      <c r="I10" s="206" t="s">
        <v>591</v>
      </c>
    </row>
    <row r="11" ht="14.25" customHeight="1">
      <c r="A11" s="199" t="s">
        <v>592</v>
      </c>
      <c r="B11" s="207" t="s">
        <v>593</v>
      </c>
      <c r="C11" s="201" t="s">
        <v>594</v>
      </c>
      <c r="D11" s="202" t="s">
        <v>595</v>
      </c>
      <c r="E11" s="203" t="s">
        <v>596</v>
      </c>
      <c r="F11" s="208">
        <v>2.0</v>
      </c>
      <c r="G11" s="208">
        <v>2.0</v>
      </c>
      <c r="H11" s="205">
        <f t="shared" si="1"/>
        <v>400</v>
      </c>
      <c r="I11" s="209" t="s">
        <v>597</v>
      </c>
    </row>
    <row r="12" ht="14.25" customHeight="1">
      <c r="A12" s="199" t="s">
        <v>598</v>
      </c>
      <c r="B12" s="200">
        <v>7.651885E7</v>
      </c>
      <c r="C12" s="201" t="s">
        <v>594</v>
      </c>
      <c r="D12" s="202" t="s">
        <v>599</v>
      </c>
      <c r="E12" s="203" t="s">
        <v>600</v>
      </c>
      <c r="F12" s="208">
        <v>1.0</v>
      </c>
      <c r="G12" s="208">
        <v>1.0</v>
      </c>
      <c r="H12" s="205">
        <f t="shared" si="1"/>
        <v>200</v>
      </c>
      <c r="I12" s="210" t="s">
        <v>601</v>
      </c>
    </row>
    <row r="13" ht="14.25" customHeight="1">
      <c r="A13" s="199" t="s">
        <v>602</v>
      </c>
      <c r="B13" s="207" t="s">
        <v>593</v>
      </c>
      <c r="C13" s="201" t="s">
        <v>603</v>
      </c>
      <c r="D13" s="202" t="s">
        <v>604</v>
      </c>
      <c r="E13" s="203" t="s">
        <v>605</v>
      </c>
      <c r="F13" s="208">
        <v>2.0</v>
      </c>
      <c r="G13" s="208">
        <v>2.0</v>
      </c>
      <c r="H13" s="205">
        <f t="shared" si="1"/>
        <v>400</v>
      </c>
      <c r="I13" s="210" t="s">
        <v>606</v>
      </c>
    </row>
    <row r="14" ht="14.25" customHeight="1">
      <c r="A14" s="199" t="s">
        <v>607</v>
      </c>
      <c r="B14" s="200">
        <v>7.6179671E7</v>
      </c>
      <c r="C14" s="201" t="s">
        <v>603</v>
      </c>
      <c r="D14" s="202" t="s">
        <v>608</v>
      </c>
      <c r="E14" s="203" t="s">
        <v>609</v>
      </c>
      <c r="F14" s="208">
        <v>1.0</v>
      </c>
      <c r="G14" s="208">
        <v>1.0</v>
      </c>
      <c r="H14" s="205">
        <f t="shared" si="1"/>
        <v>200</v>
      </c>
      <c r="I14" s="210" t="s">
        <v>610</v>
      </c>
    </row>
    <row r="15" ht="14.25" customHeight="1">
      <c r="A15" s="199" t="s">
        <v>611</v>
      </c>
      <c r="B15" s="200">
        <v>7.6549107E7</v>
      </c>
      <c r="C15" s="201" t="s">
        <v>603</v>
      </c>
      <c r="D15" s="202" t="s">
        <v>612</v>
      </c>
      <c r="E15" s="203" t="s">
        <v>613</v>
      </c>
      <c r="F15" s="208">
        <v>3.0</v>
      </c>
      <c r="G15" s="208">
        <v>3.0</v>
      </c>
      <c r="H15" s="205">
        <f t="shared" si="1"/>
        <v>600</v>
      </c>
      <c r="I15" s="210" t="s">
        <v>614</v>
      </c>
    </row>
    <row r="16" ht="14.25" customHeight="1">
      <c r="A16" s="199" t="s">
        <v>615</v>
      </c>
      <c r="B16" s="200">
        <v>7.6276078E7</v>
      </c>
      <c r="C16" s="201" t="s">
        <v>603</v>
      </c>
      <c r="D16" s="202" t="s">
        <v>616</v>
      </c>
      <c r="E16" s="203" t="s">
        <v>617</v>
      </c>
      <c r="F16" s="208">
        <v>1.0</v>
      </c>
      <c r="G16" s="208">
        <v>1.0</v>
      </c>
      <c r="H16" s="205">
        <f t="shared" si="1"/>
        <v>200</v>
      </c>
      <c r="I16" s="210" t="s">
        <v>618</v>
      </c>
    </row>
    <row r="17" ht="14.25" customHeight="1">
      <c r="A17" s="199" t="s">
        <v>619</v>
      </c>
      <c r="B17" s="200">
        <v>7.8315049E7</v>
      </c>
      <c r="C17" s="201" t="s">
        <v>620</v>
      </c>
      <c r="D17" s="202" t="s">
        <v>621</v>
      </c>
      <c r="E17" s="203" t="s">
        <v>622</v>
      </c>
      <c r="F17" s="208">
        <v>2.0</v>
      </c>
      <c r="G17" s="208">
        <v>2.0</v>
      </c>
      <c r="H17" s="205">
        <f t="shared" si="1"/>
        <v>400</v>
      </c>
      <c r="I17" s="210" t="s">
        <v>623</v>
      </c>
    </row>
    <row r="18" ht="14.25" customHeight="1">
      <c r="A18" s="199" t="s">
        <v>624</v>
      </c>
      <c r="B18" s="200">
        <v>7.6663848E7</v>
      </c>
      <c r="C18" s="201" t="s">
        <v>620</v>
      </c>
      <c r="D18" s="202" t="s">
        <v>625</v>
      </c>
      <c r="E18" s="203" t="s">
        <v>626</v>
      </c>
      <c r="F18" s="208">
        <v>3.0</v>
      </c>
      <c r="G18" s="208">
        <v>3.0</v>
      </c>
      <c r="H18" s="205">
        <f t="shared" si="1"/>
        <v>600</v>
      </c>
      <c r="I18" s="210" t="s">
        <v>627</v>
      </c>
    </row>
    <row r="19" ht="14.25" customHeight="1">
      <c r="A19" s="199" t="s">
        <v>628</v>
      </c>
      <c r="B19" s="200">
        <v>7.6535056E7</v>
      </c>
      <c r="C19" s="201" t="s">
        <v>620</v>
      </c>
      <c r="D19" s="202" t="s">
        <v>616</v>
      </c>
      <c r="E19" s="203" t="s">
        <v>629</v>
      </c>
      <c r="F19" s="208">
        <v>3.0</v>
      </c>
      <c r="G19" s="208">
        <v>3.0</v>
      </c>
      <c r="H19" s="205">
        <f t="shared" si="1"/>
        <v>600</v>
      </c>
      <c r="I19" s="23"/>
    </row>
    <row r="20" ht="14.25" customHeight="1">
      <c r="A20" s="199" t="s">
        <v>630</v>
      </c>
      <c r="B20" s="200">
        <v>7.6516372E7</v>
      </c>
      <c r="C20" s="201" t="s">
        <v>631</v>
      </c>
      <c r="D20" s="202" t="s">
        <v>632</v>
      </c>
      <c r="E20" s="203" t="s">
        <v>368</v>
      </c>
      <c r="F20" s="208">
        <v>2.0</v>
      </c>
      <c r="G20" s="208">
        <v>2.0</v>
      </c>
      <c r="H20" s="205">
        <f t="shared" si="1"/>
        <v>400</v>
      </c>
      <c r="I20" s="23"/>
    </row>
    <row r="21" ht="14.25" customHeight="1">
      <c r="A21" s="199" t="s">
        <v>633</v>
      </c>
      <c r="B21" s="200">
        <v>7.8663241E7</v>
      </c>
      <c r="C21" s="201" t="s">
        <v>631</v>
      </c>
      <c r="D21" s="202" t="s">
        <v>634</v>
      </c>
      <c r="E21" s="203" t="s">
        <v>635</v>
      </c>
      <c r="F21" s="208">
        <v>1.0</v>
      </c>
      <c r="G21" s="208">
        <v>1.0</v>
      </c>
      <c r="H21" s="205">
        <f t="shared" si="1"/>
        <v>200</v>
      </c>
      <c r="I21" s="23"/>
    </row>
    <row r="22" ht="14.25" customHeight="1">
      <c r="A22" s="199" t="s">
        <v>636</v>
      </c>
      <c r="B22" s="200">
        <v>7.6179671E7</v>
      </c>
      <c r="C22" s="201" t="s">
        <v>631</v>
      </c>
      <c r="D22" s="202" t="s">
        <v>637</v>
      </c>
      <c r="E22" s="203" t="s">
        <v>293</v>
      </c>
      <c r="F22" s="208">
        <v>1.0</v>
      </c>
      <c r="G22" s="208">
        <v>1.0</v>
      </c>
      <c r="H22" s="205">
        <f t="shared" si="1"/>
        <v>200</v>
      </c>
      <c r="I22" s="23"/>
    </row>
    <row r="23" ht="14.25" customHeight="1">
      <c r="A23" s="199" t="s">
        <v>638</v>
      </c>
      <c r="B23" s="200">
        <v>7.6179671E7</v>
      </c>
      <c r="C23" s="201" t="s">
        <v>631</v>
      </c>
      <c r="D23" s="202" t="s">
        <v>639</v>
      </c>
      <c r="E23" s="203" t="s">
        <v>626</v>
      </c>
      <c r="F23" s="208">
        <v>2.0</v>
      </c>
      <c r="G23" s="208">
        <v>2.0</v>
      </c>
      <c r="H23" s="205">
        <f t="shared" si="1"/>
        <v>400</v>
      </c>
      <c r="I23" s="23"/>
    </row>
    <row r="24" ht="14.25" customHeight="1">
      <c r="A24" s="199" t="s">
        <v>640</v>
      </c>
      <c r="B24" s="200">
        <v>7.6616821E7</v>
      </c>
      <c r="C24" s="201" t="s">
        <v>641</v>
      </c>
      <c r="D24" s="202" t="s">
        <v>642</v>
      </c>
      <c r="E24" s="203" t="s">
        <v>608</v>
      </c>
      <c r="F24" s="208">
        <v>1.0</v>
      </c>
      <c r="G24" s="208">
        <v>1.0</v>
      </c>
      <c r="H24" s="205">
        <f t="shared" si="1"/>
        <v>200</v>
      </c>
      <c r="I24" s="23"/>
    </row>
    <row r="25" ht="14.25" customHeight="1">
      <c r="A25" s="199" t="s">
        <v>643</v>
      </c>
      <c r="B25" s="200">
        <v>7.6524972E7</v>
      </c>
      <c r="C25" s="201" t="s">
        <v>641</v>
      </c>
      <c r="D25" s="202" t="s">
        <v>644</v>
      </c>
      <c r="E25" s="203" t="s">
        <v>645</v>
      </c>
      <c r="F25" s="208">
        <v>1.0</v>
      </c>
      <c r="G25" s="208">
        <v>1.0</v>
      </c>
      <c r="H25" s="205">
        <f t="shared" si="1"/>
        <v>200</v>
      </c>
      <c r="I25" s="23"/>
    </row>
    <row r="26" ht="14.25" customHeight="1">
      <c r="A26" s="199" t="s">
        <v>646</v>
      </c>
      <c r="B26" s="200">
        <v>7.6524972E7</v>
      </c>
      <c r="C26" s="201" t="s">
        <v>647</v>
      </c>
      <c r="D26" s="202" t="s">
        <v>648</v>
      </c>
      <c r="E26" s="203" t="s">
        <v>649</v>
      </c>
      <c r="F26" s="208">
        <v>1.0</v>
      </c>
      <c r="G26" s="208">
        <v>1.0</v>
      </c>
      <c r="H26" s="205">
        <f t="shared" si="1"/>
        <v>200</v>
      </c>
      <c r="I26" s="23"/>
    </row>
    <row r="27" ht="14.25" customHeight="1">
      <c r="A27" s="199" t="s">
        <v>650</v>
      </c>
      <c r="B27" s="207" t="s">
        <v>593</v>
      </c>
      <c r="C27" s="201" t="s">
        <v>641</v>
      </c>
      <c r="D27" s="202" t="s">
        <v>651</v>
      </c>
      <c r="E27" s="203" t="s">
        <v>652</v>
      </c>
      <c r="F27" s="208">
        <v>1.0</v>
      </c>
      <c r="G27" s="208">
        <v>1.0</v>
      </c>
      <c r="H27" s="205">
        <f t="shared" si="1"/>
        <v>200</v>
      </c>
      <c r="I27" s="23"/>
    </row>
    <row r="28" ht="14.25" customHeight="1">
      <c r="A28" s="199" t="s">
        <v>653</v>
      </c>
      <c r="B28" s="200">
        <v>7.677447E7</v>
      </c>
      <c r="C28" s="201" t="s">
        <v>641</v>
      </c>
      <c r="D28" s="202" t="s">
        <v>654</v>
      </c>
      <c r="E28" s="203" t="s">
        <v>655</v>
      </c>
      <c r="F28" s="208">
        <v>1.0</v>
      </c>
      <c r="G28" s="208">
        <v>1.0</v>
      </c>
      <c r="H28" s="205">
        <f t="shared" si="1"/>
        <v>200</v>
      </c>
      <c r="I28" s="23"/>
    </row>
    <row r="29" ht="14.25" customHeight="1">
      <c r="A29" s="199" t="s">
        <v>656</v>
      </c>
      <c r="B29" s="207" t="s">
        <v>593</v>
      </c>
      <c r="C29" s="201" t="s">
        <v>641</v>
      </c>
      <c r="D29" s="202" t="s">
        <v>657</v>
      </c>
      <c r="E29" s="203" t="s">
        <v>658</v>
      </c>
      <c r="F29" s="208">
        <v>1.0</v>
      </c>
      <c r="G29" s="208">
        <v>1.0</v>
      </c>
      <c r="H29" s="205">
        <f t="shared" si="1"/>
        <v>200</v>
      </c>
      <c r="I29" s="23"/>
    </row>
    <row r="30" ht="14.25" customHeight="1">
      <c r="A30" s="199" t="s">
        <v>659</v>
      </c>
      <c r="B30" s="200">
        <v>7.6634524E7</v>
      </c>
      <c r="C30" s="201" t="s">
        <v>641</v>
      </c>
      <c r="D30" s="202" t="s">
        <v>660</v>
      </c>
      <c r="E30" s="203" t="s">
        <v>661</v>
      </c>
      <c r="F30" s="208">
        <v>1.0</v>
      </c>
      <c r="G30" s="208">
        <v>1.0</v>
      </c>
      <c r="H30" s="205">
        <f t="shared" si="1"/>
        <v>200</v>
      </c>
      <c r="I30" s="23"/>
    </row>
    <row r="31" ht="14.25" customHeight="1">
      <c r="A31" s="199" t="s">
        <v>650</v>
      </c>
      <c r="B31" s="207" t="s">
        <v>593</v>
      </c>
      <c r="C31" s="201" t="s">
        <v>647</v>
      </c>
      <c r="D31" s="202" t="s">
        <v>662</v>
      </c>
      <c r="E31" s="203" t="s">
        <v>663</v>
      </c>
      <c r="F31" s="208">
        <v>1.0</v>
      </c>
      <c r="G31" s="208">
        <v>1.0</v>
      </c>
      <c r="H31" s="205">
        <f t="shared" si="1"/>
        <v>200</v>
      </c>
      <c r="I31" s="23"/>
    </row>
    <row r="32" ht="14.25" customHeight="1">
      <c r="A32" s="199" t="s">
        <v>664</v>
      </c>
      <c r="B32" s="207" t="s">
        <v>593</v>
      </c>
      <c r="C32" s="201" t="s">
        <v>665</v>
      </c>
      <c r="D32" s="202" t="s">
        <v>666</v>
      </c>
      <c r="E32" s="203" t="s">
        <v>667</v>
      </c>
      <c r="F32" s="208">
        <v>2.0</v>
      </c>
      <c r="G32" s="208">
        <v>2.0</v>
      </c>
      <c r="H32" s="205">
        <f t="shared" si="1"/>
        <v>400</v>
      </c>
      <c r="I32" s="23"/>
    </row>
    <row r="33" ht="14.25" customHeight="1">
      <c r="A33" s="199" t="s">
        <v>668</v>
      </c>
      <c r="B33" s="200">
        <v>7.6403785E7</v>
      </c>
      <c r="C33" s="201" t="s">
        <v>665</v>
      </c>
      <c r="D33" s="202" t="s">
        <v>669</v>
      </c>
      <c r="E33" s="203" t="s">
        <v>670</v>
      </c>
      <c r="F33" s="208">
        <v>1.0</v>
      </c>
      <c r="G33" s="208">
        <v>1.0</v>
      </c>
      <c r="H33" s="205">
        <f t="shared" si="1"/>
        <v>200</v>
      </c>
      <c r="I33" s="23"/>
    </row>
    <row r="34" ht="14.25" customHeight="1">
      <c r="A34" s="199" t="s">
        <v>671</v>
      </c>
      <c r="B34" s="207" t="s">
        <v>593</v>
      </c>
      <c r="C34" s="201" t="s">
        <v>665</v>
      </c>
      <c r="D34" s="202" t="s">
        <v>672</v>
      </c>
      <c r="E34" s="203" t="s">
        <v>673</v>
      </c>
      <c r="F34" s="208">
        <v>2.0</v>
      </c>
      <c r="G34" s="208">
        <v>2.0</v>
      </c>
      <c r="H34" s="205">
        <f t="shared" si="1"/>
        <v>400</v>
      </c>
      <c r="I34" s="23"/>
    </row>
    <row r="35" ht="14.25" customHeight="1">
      <c r="A35" s="199" t="s">
        <v>674</v>
      </c>
      <c r="B35" s="200">
        <v>7.6232017E7</v>
      </c>
      <c r="C35" s="201" t="s">
        <v>675</v>
      </c>
      <c r="D35" s="202" t="s">
        <v>676</v>
      </c>
      <c r="E35" s="203" t="s">
        <v>677</v>
      </c>
      <c r="F35" s="208">
        <v>2.0</v>
      </c>
      <c r="G35" s="208">
        <v>2.0</v>
      </c>
      <c r="H35" s="205">
        <f t="shared" si="1"/>
        <v>400</v>
      </c>
      <c r="I35" s="23"/>
    </row>
    <row r="36" ht="14.25" customHeight="1">
      <c r="A36" s="199" t="s">
        <v>678</v>
      </c>
      <c r="B36" s="207" t="s">
        <v>593</v>
      </c>
      <c r="C36" s="201" t="s">
        <v>679</v>
      </c>
      <c r="D36" s="202" t="s">
        <v>608</v>
      </c>
      <c r="E36" s="203" t="s">
        <v>609</v>
      </c>
      <c r="F36" s="208">
        <v>1.0</v>
      </c>
      <c r="G36" s="208">
        <v>1.0</v>
      </c>
      <c r="H36" s="205">
        <f t="shared" si="1"/>
        <v>200</v>
      </c>
      <c r="I36" s="23"/>
    </row>
    <row r="37" ht="14.25" customHeight="1">
      <c r="A37" s="199" t="s">
        <v>680</v>
      </c>
      <c r="B37" s="200">
        <v>7.6314337E7</v>
      </c>
      <c r="C37" s="201" t="s">
        <v>681</v>
      </c>
      <c r="D37" s="202" t="s">
        <v>682</v>
      </c>
      <c r="E37" s="203" t="s">
        <v>683</v>
      </c>
      <c r="F37" s="208">
        <v>2.0</v>
      </c>
      <c r="G37" s="208">
        <v>2.0</v>
      </c>
      <c r="H37" s="205">
        <f t="shared" si="1"/>
        <v>400</v>
      </c>
      <c r="I37" s="23"/>
    </row>
    <row r="38" ht="14.25" customHeight="1">
      <c r="A38" s="199" t="s">
        <v>684</v>
      </c>
      <c r="B38" s="200">
        <v>7.6065685E7</v>
      </c>
      <c r="C38" s="201" t="s">
        <v>685</v>
      </c>
      <c r="D38" s="202" t="s">
        <v>686</v>
      </c>
      <c r="E38" s="203" t="s">
        <v>639</v>
      </c>
      <c r="F38" s="208">
        <v>3.0</v>
      </c>
      <c r="G38" s="208">
        <v>3.0</v>
      </c>
      <c r="H38" s="205">
        <f t="shared" si="1"/>
        <v>600</v>
      </c>
      <c r="I38" s="23"/>
    </row>
    <row r="39" ht="14.25" customHeight="1">
      <c r="A39" s="199" t="s">
        <v>687</v>
      </c>
      <c r="B39" s="207" t="s">
        <v>593</v>
      </c>
      <c r="C39" s="201" t="s">
        <v>688</v>
      </c>
      <c r="D39" s="202" t="s">
        <v>689</v>
      </c>
      <c r="E39" s="203" t="s">
        <v>690</v>
      </c>
      <c r="F39" s="208">
        <v>2.0</v>
      </c>
      <c r="G39" s="208">
        <v>2.0</v>
      </c>
      <c r="H39" s="205">
        <f t="shared" si="1"/>
        <v>400</v>
      </c>
      <c r="I39" s="23"/>
    </row>
    <row r="40" ht="14.25" customHeight="1">
      <c r="A40" s="199" t="s">
        <v>691</v>
      </c>
      <c r="B40" s="200">
        <v>7.6264709E7</v>
      </c>
      <c r="C40" s="201" t="s">
        <v>692</v>
      </c>
      <c r="D40" s="202" t="s">
        <v>677</v>
      </c>
      <c r="E40" s="203" t="s">
        <v>637</v>
      </c>
      <c r="F40" s="208">
        <v>2.0</v>
      </c>
      <c r="G40" s="208">
        <v>2.0</v>
      </c>
      <c r="H40" s="205">
        <f t="shared" si="1"/>
        <v>400</v>
      </c>
      <c r="I40" s="23"/>
    </row>
    <row r="41" ht="19.5" customHeight="1">
      <c r="A41" s="199"/>
      <c r="B41" s="200"/>
      <c r="C41" s="211"/>
      <c r="D41" s="212"/>
      <c r="E41" s="212" t="s">
        <v>41</v>
      </c>
      <c r="F41" s="40">
        <f t="shared" ref="F41:H41" si="2">SUM(F10:F40)</f>
        <v>50</v>
      </c>
      <c r="G41" s="40">
        <f t="shared" si="2"/>
        <v>50</v>
      </c>
      <c r="H41" s="74">
        <f t="shared" si="2"/>
        <v>10000</v>
      </c>
      <c r="I41" s="42"/>
    </row>
    <row r="42" ht="18.75" customHeight="1">
      <c r="A42" s="73"/>
      <c r="B42" s="75"/>
      <c r="C42" s="211"/>
      <c r="D42" s="212"/>
      <c r="E42" s="213" t="s">
        <v>100</v>
      </c>
      <c r="F42" s="46">
        <f>COUNT(G10:G40)</f>
        <v>31</v>
      </c>
      <c r="G42" s="47"/>
      <c r="H42" s="47"/>
      <c r="I42" s="48"/>
    </row>
    <row r="43" ht="14.25" customHeight="1">
      <c r="A43" s="214"/>
      <c r="B43" s="215"/>
      <c r="C43" s="216"/>
      <c r="D43" s="217"/>
      <c r="E43" s="217"/>
      <c r="F43" s="214"/>
      <c r="G43" s="218"/>
      <c r="H43" s="219"/>
      <c r="I43" s="15"/>
    </row>
    <row r="44" ht="14.25" customHeight="1">
      <c r="B44" s="19"/>
      <c r="C44" s="195"/>
      <c r="D44" s="49" t="s">
        <v>101</v>
      </c>
      <c r="E44" s="50"/>
      <c r="G44" s="55"/>
      <c r="H44" s="193"/>
    </row>
    <row r="45" ht="14.25" customHeight="1">
      <c r="B45" s="19"/>
      <c r="C45" s="195"/>
      <c r="D45" s="51" t="s">
        <v>102</v>
      </c>
      <c r="E45" s="50"/>
      <c r="G45" s="55"/>
      <c r="H45" s="193"/>
    </row>
    <row r="46" ht="14.25" customHeight="1">
      <c r="B46" s="19"/>
      <c r="C46" s="195"/>
      <c r="D46" s="52" t="s">
        <v>58</v>
      </c>
      <c r="E46" s="53"/>
      <c r="G46" s="55"/>
      <c r="H46" s="193"/>
    </row>
    <row r="47" ht="14.25" customHeight="1">
      <c r="B47" s="19"/>
      <c r="C47" s="195"/>
      <c r="D47" s="196"/>
      <c r="E47" s="196"/>
      <c r="G47" s="55"/>
      <c r="H47" s="193"/>
    </row>
    <row r="48" ht="14.25" customHeight="1">
      <c r="B48" s="19"/>
      <c r="C48" s="195"/>
      <c r="D48" s="196"/>
      <c r="E48" s="196"/>
      <c r="G48" s="55"/>
      <c r="H48" s="193"/>
    </row>
    <row r="49" ht="14.25" customHeight="1">
      <c r="B49" s="19"/>
      <c r="C49" s="195"/>
      <c r="D49" s="196"/>
      <c r="E49" s="196"/>
      <c r="G49" s="55"/>
      <c r="H49" s="193"/>
    </row>
    <row r="50" ht="14.25" customHeight="1">
      <c r="B50" s="19"/>
      <c r="C50" s="195"/>
      <c r="D50" s="196"/>
      <c r="E50" s="196"/>
      <c r="G50" s="55"/>
      <c r="H50" s="193"/>
    </row>
    <row r="51" ht="14.25" customHeight="1">
      <c r="B51" s="19"/>
      <c r="C51" s="195"/>
      <c r="D51" s="196"/>
      <c r="E51" s="196"/>
      <c r="G51" s="55"/>
      <c r="H51" s="193"/>
    </row>
    <row r="52" ht="14.25" customHeight="1">
      <c r="B52" s="19"/>
      <c r="C52" s="195"/>
      <c r="D52" s="196"/>
      <c r="E52" s="196"/>
      <c r="G52" s="55"/>
      <c r="H52" s="193"/>
    </row>
    <row r="53" ht="14.25" customHeight="1">
      <c r="B53" s="19"/>
      <c r="C53" s="195"/>
      <c r="D53" s="196"/>
      <c r="E53" s="196"/>
      <c r="G53" s="55"/>
      <c r="H53" s="193"/>
    </row>
    <row r="54" ht="14.25" customHeight="1">
      <c r="B54" s="19"/>
      <c r="C54" s="195"/>
      <c r="D54" s="196"/>
      <c r="E54" s="196"/>
      <c r="G54" s="55"/>
      <c r="H54" s="193"/>
    </row>
    <row r="55" ht="14.25" customHeight="1">
      <c r="B55" s="19"/>
      <c r="C55" s="195"/>
      <c r="D55" s="196"/>
      <c r="E55" s="196"/>
      <c r="G55" s="55"/>
      <c r="H55" s="193"/>
    </row>
    <row r="56" ht="14.25" customHeight="1">
      <c r="B56" s="19"/>
      <c r="C56" s="195"/>
      <c r="D56" s="196"/>
      <c r="E56" s="196"/>
      <c r="G56" s="55"/>
      <c r="H56" s="193"/>
    </row>
    <row r="57" ht="14.25" customHeight="1">
      <c r="B57" s="19"/>
      <c r="C57" s="195"/>
      <c r="D57" s="196"/>
      <c r="E57" s="196"/>
      <c r="G57" s="55"/>
      <c r="H57" s="193"/>
    </row>
    <row r="58" ht="14.25" customHeight="1">
      <c r="B58" s="19"/>
      <c r="C58" s="195"/>
      <c r="D58" s="196"/>
      <c r="E58" s="196"/>
      <c r="G58" s="55"/>
      <c r="H58" s="193"/>
    </row>
    <row r="59" ht="14.25" customHeight="1">
      <c r="B59" s="19"/>
      <c r="C59" s="195"/>
      <c r="D59" s="196"/>
      <c r="E59" s="196"/>
      <c r="G59" s="55"/>
      <c r="H59" s="193"/>
    </row>
    <row r="60" ht="14.25" customHeight="1">
      <c r="B60" s="19"/>
      <c r="C60" s="195"/>
      <c r="D60" s="196"/>
      <c r="E60" s="196"/>
      <c r="G60" s="55"/>
      <c r="H60" s="193"/>
    </row>
    <row r="61" ht="14.25" customHeight="1">
      <c r="B61" s="19"/>
      <c r="C61" s="195"/>
      <c r="D61" s="196"/>
      <c r="E61" s="196"/>
      <c r="G61" s="55"/>
      <c r="H61" s="193"/>
    </row>
    <row r="62" ht="14.25" customHeight="1">
      <c r="B62" s="19"/>
      <c r="C62" s="195"/>
      <c r="D62" s="196"/>
      <c r="E62" s="196"/>
      <c r="G62" s="55"/>
      <c r="H62" s="193"/>
    </row>
    <row r="63" ht="14.25" customHeight="1">
      <c r="B63" s="19"/>
      <c r="C63" s="195"/>
      <c r="D63" s="196"/>
      <c r="E63" s="196"/>
      <c r="G63" s="55"/>
      <c r="H63" s="193"/>
    </row>
    <row r="64" ht="14.25" customHeight="1">
      <c r="B64" s="19"/>
      <c r="C64" s="195"/>
      <c r="D64" s="196"/>
      <c r="E64" s="196"/>
      <c r="G64" s="55"/>
      <c r="H64" s="193"/>
    </row>
    <row r="65" ht="14.25" customHeight="1">
      <c r="B65" s="19"/>
      <c r="C65" s="195"/>
      <c r="D65" s="196"/>
      <c r="E65" s="196"/>
      <c r="G65" s="55"/>
      <c r="H65" s="193"/>
    </row>
    <row r="66" ht="14.25" customHeight="1">
      <c r="B66" s="19"/>
      <c r="C66" s="195"/>
      <c r="D66" s="196"/>
      <c r="E66" s="196"/>
      <c r="G66" s="55"/>
      <c r="H66" s="193"/>
    </row>
    <row r="67" ht="14.25" customHeight="1">
      <c r="B67" s="19"/>
      <c r="C67" s="195"/>
      <c r="D67" s="196"/>
      <c r="E67" s="196"/>
      <c r="G67" s="55"/>
      <c r="H67" s="193"/>
    </row>
    <row r="68" ht="14.25" customHeight="1">
      <c r="B68" s="19"/>
      <c r="C68" s="195"/>
      <c r="D68" s="196"/>
      <c r="E68" s="196"/>
      <c r="G68" s="55"/>
      <c r="H68" s="193"/>
    </row>
    <row r="69" ht="14.25" customHeight="1">
      <c r="B69" s="19"/>
      <c r="C69" s="195"/>
      <c r="D69" s="196"/>
      <c r="E69" s="196"/>
      <c r="G69" s="55"/>
      <c r="H69" s="193"/>
    </row>
    <row r="70" ht="14.25" customHeight="1">
      <c r="B70" s="19"/>
      <c r="C70" s="195"/>
      <c r="D70" s="196"/>
      <c r="E70" s="196"/>
      <c r="G70" s="55"/>
      <c r="H70" s="193"/>
    </row>
    <row r="71" ht="14.25" customHeight="1">
      <c r="B71" s="19"/>
      <c r="C71" s="195"/>
      <c r="D71" s="196"/>
      <c r="E71" s="196"/>
      <c r="G71" s="55"/>
      <c r="H71" s="193"/>
    </row>
    <row r="72" ht="14.25" customHeight="1">
      <c r="B72" s="19"/>
      <c r="C72" s="195"/>
      <c r="D72" s="196"/>
      <c r="E72" s="196"/>
      <c r="G72" s="55"/>
      <c r="H72" s="193"/>
    </row>
    <row r="73" ht="14.25" customHeight="1">
      <c r="B73" s="19"/>
      <c r="C73" s="195"/>
      <c r="D73" s="196"/>
      <c r="E73" s="196"/>
      <c r="G73" s="55"/>
      <c r="H73" s="193"/>
    </row>
    <row r="74" ht="14.25" customHeight="1">
      <c r="B74" s="19"/>
      <c r="C74" s="195"/>
      <c r="D74" s="196"/>
      <c r="E74" s="196"/>
      <c r="G74" s="55"/>
      <c r="H74" s="193"/>
    </row>
    <row r="75" ht="14.25" customHeight="1">
      <c r="B75" s="19"/>
      <c r="C75" s="195"/>
      <c r="D75" s="196"/>
      <c r="E75" s="196"/>
      <c r="G75" s="55"/>
      <c r="H75" s="193"/>
    </row>
    <row r="76" ht="14.25" customHeight="1">
      <c r="B76" s="19"/>
      <c r="C76" s="195"/>
      <c r="D76" s="196"/>
      <c r="E76" s="196"/>
      <c r="G76" s="55"/>
      <c r="H76" s="193"/>
    </row>
    <row r="77" ht="14.25" customHeight="1">
      <c r="B77" s="19"/>
      <c r="C77" s="195"/>
      <c r="D77" s="196"/>
      <c r="E77" s="196"/>
      <c r="G77" s="55"/>
      <c r="H77" s="193"/>
    </row>
    <row r="78" ht="14.25" customHeight="1">
      <c r="B78" s="19"/>
      <c r="C78" s="195"/>
      <c r="D78" s="196"/>
      <c r="E78" s="196"/>
      <c r="G78" s="55"/>
      <c r="H78" s="193"/>
    </row>
    <row r="79" ht="14.25" customHeight="1">
      <c r="B79" s="19"/>
      <c r="C79" s="195"/>
      <c r="D79" s="196"/>
      <c r="E79" s="196"/>
      <c r="G79" s="55"/>
      <c r="H79" s="193"/>
    </row>
    <row r="80" ht="14.25" customHeight="1">
      <c r="B80" s="19"/>
      <c r="C80" s="195"/>
      <c r="D80" s="196"/>
      <c r="E80" s="196"/>
      <c r="G80" s="55"/>
      <c r="H80" s="193"/>
    </row>
    <row r="81" ht="14.25" customHeight="1">
      <c r="B81" s="19"/>
      <c r="C81" s="195"/>
      <c r="D81" s="196"/>
      <c r="E81" s="196"/>
      <c r="G81" s="55"/>
      <c r="H81" s="193"/>
    </row>
    <row r="82" ht="14.25" customHeight="1">
      <c r="B82" s="19"/>
      <c r="C82" s="195"/>
      <c r="D82" s="196"/>
      <c r="E82" s="196"/>
      <c r="G82" s="55"/>
      <c r="H82" s="193"/>
    </row>
    <row r="83" ht="14.25" customHeight="1">
      <c r="B83" s="19"/>
      <c r="C83" s="195"/>
      <c r="D83" s="196"/>
      <c r="E83" s="196"/>
      <c r="G83" s="55"/>
      <c r="H83" s="193"/>
    </row>
    <row r="84" ht="14.25" customHeight="1">
      <c r="B84" s="19"/>
      <c r="C84" s="195"/>
      <c r="D84" s="196"/>
      <c r="E84" s="196"/>
      <c r="G84" s="55"/>
      <c r="H84" s="193"/>
    </row>
    <row r="85" ht="14.25" customHeight="1">
      <c r="B85" s="19"/>
      <c r="C85" s="195"/>
      <c r="D85" s="196"/>
      <c r="E85" s="196"/>
      <c r="G85" s="55"/>
      <c r="H85" s="193"/>
    </row>
    <row r="86" ht="14.25" customHeight="1">
      <c r="B86" s="19"/>
      <c r="C86" s="195"/>
      <c r="D86" s="196"/>
      <c r="E86" s="196"/>
      <c r="G86" s="55"/>
      <c r="H86" s="193"/>
    </row>
    <row r="87" ht="14.25" customHeight="1">
      <c r="B87" s="19"/>
      <c r="C87" s="195"/>
      <c r="D87" s="196"/>
      <c r="E87" s="196"/>
      <c r="G87" s="55"/>
      <c r="H87" s="193"/>
    </row>
    <row r="88" ht="14.25" customHeight="1">
      <c r="B88" s="19"/>
      <c r="C88" s="195"/>
      <c r="D88" s="196"/>
      <c r="E88" s="196"/>
      <c r="G88" s="55"/>
      <c r="H88" s="193"/>
    </row>
    <row r="89" ht="14.25" customHeight="1">
      <c r="B89" s="19"/>
      <c r="C89" s="195"/>
      <c r="D89" s="196"/>
      <c r="E89" s="196"/>
      <c r="G89" s="55"/>
      <c r="H89" s="193"/>
    </row>
    <row r="90" ht="14.25" customHeight="1">
      <c r="B90" s="19"/>
      <c r="C90" s="195"/>
      <c r="D90" s="196"/>
      <c r="E90" s="196"/>
      <c r="G90" s="55"/>
      <c r="H90" s="193"/>
    </row>
    <row r="91" ht="14.25" customHeight="1">
      <c r="B91" s="19"/>
      <c r="C91" s="195"/>
      <c r="D91" s="196"/>
      <c r="E91" s="196"/>
      <c r="G91" s="55"/>
      <c r="H91" s="193"/>
    </row>
    <row r="92" ht="14.25" customHeight="1">
      <c r="B92" s="19"/>
      <c r="C92" s="195"/>
      <c r="D92" s="196"/>
      <c r="E92" s="196"/>
      <c r="G92" s="55"/>
      <c r="H92" s="193"/>
    </row>
    <row r="93" ht="14.25" customHeight="1">
      <c r="B93" s="19"/>
      <c r="C93" s="195"/>
      <c r="D93" s="196"/>
      <c r="E93" s="196"/>
      <c r="G93" s="55"/>
      <c r="H93" s="193"/>
    </row>
    <row r="94" ht="14.25" customHeight="1">
      <c r="B94" s="19"/>
      <c r="C94" s="195"/>
      <c r="D94" s="196"/>
      <c r="E94" s="196"/>
      <c r="G94" s="55"/>
      <c r="H94" s="193"/>
    </row>
    <row r="95" ht="14.25" customHeight="1">
      <c r="B95" s="19"/>
      <c r="C95" s="195"/>
      <c r="D95" s="196"/>
      <c r="E95" s="196"/>
      <c r="G95" s="55"/>
      <c r="H95" s="193"/>
    </row>
    <row r="96" ht="14.25" customHeight="1">
      <c r="B96" s="19"/>
      <c r="C96" s="195"/>
      <c r="D96" s="196"/>
      <c r="E96" s="196"/>
      <c r="G96" s="55"/>
      <c r="H96" s="193"/>
    </row>
    <row r="97" ht="14.25" customHeight="1">
      <c r="B97" s="19"/>
      <c r="C97" s="195"/>
      <c r="D97" s="196"/>
      <c r="E97" s="196"/>
      <c r="G97" s="55"/>
      <c r="H97" s="193"/>
    </row>
    <row r="98" ht="14.25" customHeight="1">
      <c r="B98" s="19"/>
      <c r="C98" s="195"/>
      <c r="D98" s="196"/>
      <c r="E98" s="196"/>
      <c r="G98" s="55"/>
      <c r="H98" s="193"/>
    </row>
    <row r="99" ht="14.25" customHeight="1">
      <c r="B99" s="19"/>
      <c r="C99" s="195"/>
      <c r="D99" s="196"/>
      <c r="E99" s="196"/>
      <c r="G99" s="55"/>
      <c r="H99" s="193"/>
    </row>
    <row r="100" ht="14.25" customHeight="1">
      <c r="B100" s="19"/>
      <c r="C100" s="195"/>
      <c r="D100" s="196"/>
      <c r="E100" s="196"/>
      <c r="G100" s="55"/>
      <c r="H100" s="193"/>
    </row>
    <row r="101" ht="14.25" customHeight="1">
      <c r="B101" s="19"/>
      <c r="C101" s="195"/>
      <c r="D101" s="196"/>
      <c r="E101" s="196"/>
      <c r="G101" s="55"/>
      <c r="H101" s="193"/>
    </row>
    <row r="102" ht="14.25" customHeight="1">
      <c r="B102" s="19"/>
      <c r="C102" s="195"/>
      <c r="D102" s="196"/>
      <c r="E102" s="196"/>
      <c r="G102" s="55"/>
      <c r="H102" s="193"/>
    </row>
    <row r="103" ht="14.25" customHeight="1">
      <c r="B103" s="19"/>
      <c r="C103" s="195"/>
      <c r="D103" s="196"/>
      <c r="E103" s="196"/>
      <c r="G103" s="55"/>
      <c r="H103" s="193"/>
    </row>
    <row r="104" ht="14.25" customHeight="1">
      <c r="B104" s="19"/>
      <c r="C104" s="195"/>
      <c r="D104" s="196"/>
      <c r="E104" s="196"/>
      <c r="G104" s="55"/>
      <c r="H104" s="193"/>
    </row>
    <row r="105" ht="14.25" customHeight="1">
      <c r="B105" s="19"/>
      <c r="C105" s="195"/>
      <c r="D105" s="196"/>
      <c r="E105" s="196"/>
      <c r="G105" s="55"/>
      <c r="H105" s="193"/>
    </row>
    <row r="106" ht="14.25" customHeight="1">
      <c r="B106" s="19"/>
      <c r="C106" s="195"/>
      <c r="D106" s="196"/>
      <c r="E106" s="196"/>
      <c r="G106" s="55"/>
      <c r="H106" s="193"/>
    </row>
    <row r="107" ht="14.25" customHeight="1">
      <c r="B107" s="19"/>
      <c r="C107" s="195"/>
      <c r="D107" s="196"/>
      <c r="E107" s="196"/>
      <c r="G107" s="55"/>
      <c r="H107" s="193"/>
    </row>
    <row r="108" ht="14.25" customHeight="1">
      <c r="B108" s="19"/>
      <c r="C108" s="195"/>
      <c r="D108" s="196"/>
      <c r="E108" s="196"/>
      <c r="G108" s="55"/>
      <c r="H108" s="193"/>
    </row>
    <row r="109" ht="14.25" customHeight="1">
      <c r="B109" s="19"/>
      <c r="C109" s="195"/>
      <c r="D109" s="196"/>
      <c r="E109" s="196"/>
      <c r="G109" s="55"/>
      <c r="H109" s="193"/>
    </row>
    <row r="110" ht="14.25" customHeight="1">
      <c r="B110" s="19"/>
      <c r="C110" s="195"/>
      <c r="D110" s="196"/>
      <c r="E110" s="196"/>
      <c r="G110" s="55"/>
      <c r="H110" s="193"/>
    </row>
    <row r="111" ht="14.25" customHeight="1">
      <c r="B111" s="19"/>
      <c r="C111" s="195"/>
      <c r="D111" s="196"/>
      <c r="E111" s="196"/>
      <c r="G111" s="55"/>
      <c r="H111" s="193"/>
    </row>
    <row r="112" ht="14.25" customHeight="1">
      <c r="B112" s="19"/>
      <c r="C112" s="195"/>
      <c r="D112" s="196"/>
      <c r="E112" s="196"/>
      <c r="G112" s="55"/>
      <c r="H112" s="193"/>
    </row>
    <row r="113" ht="14.25" customHeight="1">
      <c r="B113" s="19"/>
      <c r="C113" s="195"/>
      <c r="D113" s="196"/>
      <c r="E113" s="196"/>
      <c r="G113" s="55"/>
      <c r="H113" s="193"/>
    </row>
    <row r="114" ht="14.25" customHeight="1">
      <c r="B114" s="19"/>
      <c r="C114" s="195"/>
      <c r="D114" s="196"/>
      <c r="E114" s="196"/>
      <c r="G114" s="55"/>
      <c r="H114" s="193"/>
    </row>
    <row r="115" ht="14.25" customHeight="1">
      <c r="B115" s="19"/>
      <c r="C115" s="195"/>
      <c r="D115" s="196"/>
      <c r="E115" s="196"/>
      <c r="G115" s="55"/>
      <c r="H115" s="193"/>
    </row>
    <row r="116" ht="14.25" customHeight="1">
      <c r="B116" s="19"/>
      <c r="C116" s="195"/>
      <c r="D116" s="196"/>
      <c r="E116" s="196"/>
      <c r="G116" s="55"/>
      <c r="H116" s="193"/>
    </row>
    <row r="117" ht="14.25" customHeight="1">
      <c r="B117" s="19"/>
      <c r="C117" s="195"/>
      <c r="D117" s="196"/>
      <c r="E117" s="196"/>
      <c r="G117" s="55"/>
      <c r="H117" s="193"/>
    </row>
    <row r="118" ht="14.25" customHeight="1">
      <c r="B118" s="19"/>
      <c r="C118" s="195"/>
      <c r="D118" s="196"/>
      <c r="E118" s="196"/>
      <c r="G118" s="55"/>
      <c r="H118" s="193"/>
    </row>
    <row r="119" ht="14.25" customHeight="1">
      <c r="B119" s="19"/>
      <c r="C119" s="195"/>
      <c r="D119" s="196"/>
      <c r="E119" s="196"/>
      <c r="G119" s="55"/>
      <c r="H119" s="193"/>
    </row>
    <row r="120" ht="14.25" customHeight="1">
      <c r="B120" s="19"/>
      <c r="C120" s="195"/>
      <c r="D120" s="196"/>
      <c r="E120" s="196"/>
      <c r="G120" s="55"/>
      <c r="H120" s="193"/>
    </row>
    <row r="121" ht="14.25" customHeight="1">
      <c r="B121" s="19"/>
      <c r="C121" s="195"/>
      <c r="D121" s="196"/>
      <c r="E121" s="196"/>
      <c r="G121" s="55"/>
      <c r="H121" s="193"/>
    </row>
    <row r="122" ht="14.25" customHeight="1">
      <c r="B122" s="19"/>
      <c r="C122" s="195"/>
      <c r="D122" s="196"/>
      <c r="E122" s="196"/>
      <c r="G122" s="55"/>
      <c r="H122" s="193"/>
    </row>
    <row r="123" ht="14.25" customHeight="1">
      <c r="B123" s="19"/>
      <c r="C123" s="195"/>
      <c r="D123" s="196"/>
      <c r="E123" s="196"/>
      <c r="G123" s="55"/>
      <c r="H123" s="193"/>
    </row>
    <row r="124" ht="14.25" customHeight="1">
      <c r="B124" s="19"/>
      <c r="C124" s="195"/>
      <c r="D124" s="196"/>
      <c r="E124" s="196"/>
      <c r="G124" s="55"/>
      <c r="H124" s="193"/>
    </row>
    <row r="125" ht="14.25" customHeight="1">
      <c r="B125" s="19"/>
      <c r="C125" s="195"/>
      <c r="D125" s="196"/>
      <c r="E125" s="196"/>
      <c r="G125" s="55"/>
      <c r="H125" s="193"/>
    </row>
    <row r="126" ht="14.25" customHeight="1">
      <c r="B126" s="19"/>
      <c r="C126" s="195"/>
      <c r="D126" s="196"/>
      <c r="E126" s="196"/>
      <c r="G126" s="55"/>
      <c r="H126" s="193"/>
    </row>
    <row r="127" ht="14.25" customHeight="1">
      <c r="B127" s="19"/>
      <c r="C127" s="195"/>
      <c r="D127" s="196"/>
      <c r="E127" s="196"/>
      <c r="G127" s="55"/>
      <c r="H127" s="193"/>
    </row>
    <row r="128" ht="14.25" customHeight="1">
      <c r="B128" s="19"/>
      <c r="C128" s="195"/>
      <c r="D128" s="196"/>
      <c r="E128" s="196"/>
      <c r="G128" s="55"/>
      <c r="H128" s="193"/>
    </row>
    <row r="129" ht="14.25" customHeight="1">
      <c r="B129" s="19"/>
      <c r="C129" s="195"/>
      <c r="D129" s="196"/>
      <c r="E129" s="196"/>
      <c r="G129" s="55"/>
      <c r="H129" s="193"/>
    </row>
    <row r="130" ht="14.25" customHeight="1">
      <c r="B130" s="19"/>
      <c r="C130" s="195"/>
      <c r="D130" s="196"/>
      <c r="E130" s="196"/>
      <c r="G130" s="55"/>
      <c r="H130" s="193"/>
    </row>
    <row r="131" ht="14.25" customHeight="1">
      <c r="B131" s="19"/>
      <c r="C131" s="195"/>
      <c r="D131" s="196"/>
      <c r="E131" s="196"/>
      <c r="G131" s="55"/>
      <c r="H131" s="193"/>
    </row>
    <row r="132" ht="14.25" customHeight="1">
      <c r="B132" s="19"/>
      <c r="C132" s="195"/>
      <c r="D132" s="196"/>
      <c r="E132" s="196"/>
      <c r="G132" s="55"/>
      <c r="H132" s="193"/>
    </row>
    <row r="133" ht="14.25" customHeight="1">
      <c r="B133" s="19"/>
      <c r="C133" s="195"/>
      <c r="D133" s="196"/>
      <c r="E133" s="196"/>
      <c r="G133" s="55"/>
      <c r="H133" s="193"/>
    </row>
    <row r="134" ht="14.25" customHeight="1">
      <c r="B134" s="19"/>
      <c r="C134" s="195"/>
      <c r="D134" s="196"/>
      <c r="E134" s="196"/>
      <c r="G134" s="55"/>
      <c r="H134" s="193"/>
    </row>
    <row r="135" ht="14.25" customHeight="1">
      <c r="B135" s="19"/>
      <c r="C135" s="195"/>
      <c r="D135" s="196"/>
      <c r="E135" s="196"/>
      <c r="G135" s="55"/>
      <c r="H135" s="193"/>
    </row>
    <row r="136" ht="14.25" customHeight="1">
      <c r="B136" s="19"/>
      <c r="C136" s="195"/>
      <c r="D136" s="196"/>
      <c r="E136" s="196"/>
      <c r="G136" s="55"/>
      <c r="H136" s="193"/>
    </row>
    <row r="137" ht="14.25" customHeight="1">
      <c r="B137" s="19"/>
      <c r="C137" s="195"/>
      <c r="D137" s="196"/>
      <c r="E137" s="196"/>
      <c r="G137" s="55"/>
      <c r="H137" s="193"/>
    </row>
    <row r="138" ht="14.25" customHeight="1">
      <c r="B138" s="19"/>
      <c r="C138" s="195"/>
      <c r="D138" s="196"/>
      <c r="E138" s="196"/>
      <c r="G138" s="55"/>
      <c r="H138" s="193"/>
    </row>
    <row r="139" ht="14.25" customHeight="1">
      <c r="B139" s="19"/>
      <c r="C139" s="195"/>
      <c r="D139" s="196"/>
      <c r="E139" s="196"/>
      <c r="G139" s="55"/>
      <c r="H139" s="193"/>
    </row>
    <row r="140" ht="14.25" customHeight="1">
      <c r="B140" s="19"/>
      <c r="C140" s="195"/>
      <c r="D140" s="196"/>
      <c r="E140" s="196"/>
      <c r="G140" s="55"/>
      <c r="H140" s="193"/>
    </row>
    <row r="141" ht="14.25" customHeight="1">
      <c r="B141" s="19"/>
      <c r="C141" s="195"/>
      <c r="D141" s="196"/>
      <c r="E141" s="196"/>
      <c r="G141" s="55"/>
      <c r="H141" s="193"/>
    </row>
    <row r="142" ht="14.25" customHeight="1">
      <c r="B142" s="19"/>
      <c r="C142" s="195"/>
      <c r="D142" s="196"/>
      <c r="E142" s="196"/>
      <c r="G142" s="55"/>
      <c r="H142" s="193"/>
    </row>
    <row r="143" ht="14.25" customHeight="1">
      <c r="B143" s="19"/>
      <c r="C143" s="195"/>
      <c r="D143" s="196"/>
      <c r="E143" s="196"/>
      <c r="G143" s="55"/>
      <c r="H143" s="193"/>
    </row>
    <row r="144" ht="14.25" customHeight="1">
      <c r="B144" s="19"/>
      <c r="C144" s="195"/>
      <c r="D144" s="196"/>
      <c r="E144" s="196"/>
      <c r="G144" s="55"/>
      <c r="H144" s="193"/>
    </row>
    <row r="145" ht="14.25" customHeight="1">
      <c r="B145" s="19"/>
      <c r="C145" s="195"/>
      <c r="D145" s="196"/>
      <c r="E145" s="196"/>
      <c r="G145" s="55"/>
      <c r="H145" s="193"/>
    </row>
    <row r="146" ht="14.25" customHeight="1">
      <c r="B146" s="19"/>
      <c r="C146" s="195"/>
      <c r="D146" s="196"/>
      <c r="E146" s="196"/>
      <c r="G146" s="55"/>
      <c r="H146" s="193"/>
    </row>
    <row r="147" ht="14.25" customHeight="1">
      <c r="B147" s="19"/>
      <c r="C147" s="195"/>
      <c r="D147" s="196"/>
      <c r="E147" s="196"/>
      <c r="G147" s="55"/>
      <c r="H147" s="193"/>
    </row>
    <row r="148" ht="14.25" customHeight="1">
      <c r="B148" s="19"/>
      <c r="C148" s="195"/>
      <c r="D148" s="196"/>
      <c r="E148" s="196"/>
      <c r="G148" s="55"/>
      <c r="H148" s="193"/>
    </row>
    <row r="149" ht="14.25" customHeight="1">
      <c r="B149" s="19"/>
      <c r="C149" s="195"/>
      <c r="D149" s="196"/>
      <c r="E149" s="196"/>
      <c r="G149" s="55"/>
      <c r="H149" s="193"/>
    </row>
    <row r="150" ht="14.25" customHeight="1">
      <c r="B150" s="19"/>
      <c r="C150" s="195"/>
      <c r="D150" s="196"/>
      <c r="E150" s="196"/>
      <c r="G150" s="55"/>
      <c r="H150" s="193"/>
    </row>
    <row r="151" ht="14.25" customHeight="1">
      <c r="B151" s="19"/>
      <c r="C151" s="195"/>
      <c r="D151" s="196"/>
      <c r="E151" s="196"/>
      <c r="G151" s="55"/>
      <c r="H151" s="193"/>
    </row>
    <row r="152" ht="14.25" customHeight="1">
      <c r="B152" s="19"/>
      <c r="C152" s="195"/>
      <c r="D152" s="196"/>
      <c r="E152" s="196"/>
      <c r="G152" s="55"/>
      <c r="H152" s="193"/>
    </row>
    <row r="153" ht="14.25" customHeight="1">
      <c r="B153" s="19"/>
      <c r="C153" s="195"/>
      <c r="D153" s="196"/>
      <c r="E153" s="196"/>
      <c r="G153" s="55"/>
      <c r="H153" s="193"/>
    </row>
    <row r="154" ht="14.25" customHeight="1">
      <c r="B154" s="19"/>
      <c r="C154" s="195"/>
      <c r="D154" s="196"/>
      <c r="E154" s="196"/>
      <c r="G154" s="55"/>
      <c r="H154" s="193"/>
    </row>
    <row r="155" ht="14.25" customHeight="1">
      <c r="B155" s="19"/>
      <c r="C155" s="195"/>
      <c r="D155" s="196"/>
      <c r="E155" s="196"/>
      <c r="G155" s="55"/>
      <c r="H155" s="193"/>
    </row>
    <row r="156" ht="14.25" customHeight="1">
      <c r="B156" s="19"/>
      <c r="C156" s="195"/>
      <c r="D156" s="196"/>
      <c r="E156" s="196"/>
      <c r="G156" s="55"/>
      <c r="H156" s="193"/>
    </row>
    <row r="157" ht="14.25" customHeight="1">
      <c r="B157" s="19"/>
      <c r="C157" s="195"/>
      <c r="D157" s="196"/>
      <c r="E157" s="196"/>
      <c r="G157" s="55"/>
      <c r="H157" s="193"/>
    </row>
    <row r="158" ht="14.25" customHeight="1">
      <c r="B158" s="19"/>
      <c r="C158" s="195"/>
      <c r="D158" s="196"/>
      <c r="E158" s="196"/>
      <c r="G158" s="55"/>
      <c r="H158" s="193"/>
    </row>
    <row r="159" ht="14.25" customHeight="1">
      <c r="B159" s="19"/>
      <c r="C159" s="195"/>
      <c r="D159" s="196"/>
      <c r="E159" s="196"/>
      <c r="G159" s="55"/>
      <c r="H159" s="193"/>
    </row>
    <row r="160" ht="14.25" customHeight="1">
      <c r="B160" s="19"/>
      <c r="C160" s="195"/>
      <c r="D160" s="196"/>
      <c r="E160" s="196"/>
      <c r="G160" s="55"/>
      <c r="H160" s="193"/>
    </row>
    <row r="161" ht="14.25" customHeight="1">
      <c r="B161" s="19"/>
      <c r="C161" s="195"/>
      <c r="D161" s="196"/>
      <c r="E161" s="196"/>
      <c r="G161" s="55"/>
      <c r="H161" s="193"/>
    </row>
    <row r="162" ht="14.25" customHeight="1">
      <c r="B162" s="19"/>
      <c r="C162" s="195"/>
      <c r="D162" s="196"/>
      <c r="E162" s="196"/>
      <c r="G162" s="55"/>
      <c r="H162" s="193"/>
    </row>
    <row r="163" ht="14.25" customHeight="1">
      <c r="B163" s="19"/>
      <c r="C163" s="195"/>
      <c r="D163" s="196"/>
      <c r="E163" s="196"/>
      <c r="G163" s="55"/>
      <c r="H163" s="193"/>
    </row>
    <row r="164" ht="14.25" customHeight="1">
      <c r="B164" s="19"/>
      <c r="C164" s="195"/>
      <c r="D164" s="196"/>
      <c r="E164" s="196"/>
      <c r="G164" s="55"/>
      <c r="H164" s="193"/>
    </row>
    <row r="165" ht="14.25" customHeight="1">
      <c r="B165" s="19"/>
      <c r="C165" s="195"/>
      <c r="D165" s="196"/>
      <c r="E165" s="196"/>
      <c r="G165" s="55"/>
      <c r="H165" s="193"/>
    </row>
    <row r="166" ht="14.25" customHeight="1">
      <c r="B166" s="19"/>
      <c r="C166" s="195"/>
      <c r="D166" s="196"/>
      <c r="E166" s="196"/>
      <c r="G166" s="55"/>
      <c r="H166" s="193"/>
    </row>
    <row r="167" ht="14.25" customHeight="1">
      <c r="B167" s="19"/>
      <c r="C167" s="195"/>
      <c r="D167" s="196"/>
      <c r="E167" s="196"/>
      <c r="G167" s="55"/>
      <c r="H167" s="193"/>
    </row>
    <row r="168" ht="14.25" customHeight="1">
      <c r="B168" s="19"/>
      <c r="C168" s="195"/>
      <c r="D168" s="196"/>
      <c r="E168" s="196"/>
      <c r="G168" s="55"/>
      <c r="H168" s="193"/>
    </row>
    <row r="169" ht="14.25" customHeight="1">
      <c r="B169" s="19"/>
      <c r="C169" s="195"/>
      <c r="D169" s="196"/>
      <c r="E169" s="196"/>
      <c r="G169" s="55"/>
      <c r="H169" s="193"/>
    </row>
    <row r="170" ht="14.25" customHeight="1">
      <c r="B170" s="19"/>
      <c r="C170" s="195"/>
      <c r="D170" s="196"/>
      <c r="E170" s="196"/>
      <c r="G170" s="55"/>
      <c r="H170" s="193"/>
    </row>
    <row r="171" ht="14.25" customHeight="1">
      <c r="B171" s="19"/>
      <c r="C171" s="195"/>
      <c r="D171" s="196"/>
      <c r="E171" s="196"/>
      <c r="G171" s="55"/>
      <c r="H171" s="193"/>
    </row>
    <row r="172" ht="14.25" customHeight="1">
      <c r="B172" s="19"/>
      <c r="C172" s="195"/>
      <c r="D172" s="196"/>
      <c r="E172" s="196"/>
      <c r="G172" s="55"/>
      <c r="H172" s="193"/>
    </row>
    <row r="173" ht="14.25" customHeight="1">
      <c r="B173" s="19"/>
      <c r="C173" s="195"/>
      <c r="D173" s="196"/>
      <c r="E173" s="196"/>
      <c r="G173" s="55"/>
      <c r="H173" s="193"/>
    </row>
    <row r="174" ht="14.25" customHeight="1">
      <c r="B174" s="19"/>
      <c r="C174" s="195"/>
      <c r="D174" s="196"/>
      <c r="E174" s="196"/>
      <c r="G174" s="55"/>
      <c r="H174" s="193"/>
    </row>
    <row r="175" ht="14.25" customHeight="1">
      <c r="B175" s="19"/>
      <c r="C175" s="195"/>
      <c r="D175" s="196"/>
      <c r="E175" s="196"/>
      <c r="G175" s="55"/>
      <c r="H175" s="193"/>
    </row>
    <row r="176" ht="14.25" customHeight="1">
      <c r="B176" s="19"/>
      <c r="C176" s="195"/>
      <c r="D176" s="196"/>
      <c r="E176" s="196"/>
      <c r="G176" s="55"/>
      <c r="H176" s="193"/>
    </row>
    <row r="177" ht="14.25" customHeight="1">
      <c r="B177" s="19"/>
      <c r="C177" s="195"/>
      <c r="D177" s="196"/>
      <c r="E177" s="196"/>
      <c r="G177" s="55"/>
      <c r="H177" s="193"/>
    </row>
    <row r="178" ht="14.25" customHeight="1">
      <c r="B178" s="19"/>
      <c r="C178" s="195"/>
      <c r="D178" s="196"/>
      <c r="E178" s="196"/>
      <c r="G178" s="55"/>
      <c r="H178" s="193"/>
    </row>
    <row r="179" ht="14.25" customHeight="1">
      <c r="B179" s="19"/>
      <c r="C179" s="195"/>
      <c r="D179" s="196"/>
      <c r="E179" s="196"/>
      <c r="G179" s="55"/>
      <c r="H179" s="193"/>
    </row>
    <row r="180" ht="14.25" customHeight="1">
      <c r="B180" s="19"/>
      <c r="C180" s="195"/>
      <c r="D180" s="196"/>
      <c r="E180" s="196"/>
      <c r="G180" s="55"/>
      <c r="H180" s="193"/>
    </row>
    <row r="181" ht="14.25" customHeight="1">
      <c r="B181" s="19"/>
      <c r="C181" s="195"/>
      <c r="D181" s="196"/>
      <c r="E181" s="196"/>
      <c r="G181" s="55"/>
      <c r="H181" s="193"/>
    </row>
    <row r="182" ht="14.25" customHeight="1">
      <c r="B182" s="19"/>
      <c r="C182" s="195"/>
      <c r="D182" s="196"/>
      <c r="E182" s="196"/>
      <c r="G182" s="55"/>
      <c r="H182" s="193"/>
    </row>
    <row r="183" ht="14.25" customHeight="1">
      <c r="B183" s="19"/>
      <c r="C183" s="195"/>
      <c r="D183" s="196"/>
      <c r="E183" s="196"/>
      <c r="G183" s="55"/>
      <c r="H183" s="193"/>
    </row>
    <row r="184" ht="14.25" customHeight="1">
      <c r="B184" s="19"/>
      <c r="C184" s="195"/>
      <c r="D184" s="196"/>
      <c r="E184" s="196"/>
      <c r="G184" s="55"/>
      <c r="H184" s="193"/>
    </row>
    <row r="185" ht="14.25" customHeight="1">
      <c r="B185" s="19"/>
      <c r="C185" s="195"/>
      <c r="D185" s="196"/>
      <c r="E185" s="196"/>
      <c r="G185" s="55"/>
      <c r="H185" s="193"/>
    </row>
    <row r="186" ht="14.25" customHeight="1">
      <c r="B186" s="19"/>
      <c r="C186" s="195"/>
      <c r="D186" s="196"/>
      <c r="E186" s="196"/>
      <c r="G186" s="55"/>
      <c r="H186" s="193"/>
    </row>
    <row r="187" ht="14.25" customHeight="1">
      <c r="B187" s="19"/>
      <c r="C187" s="195"/>
      <c r="D187" s="196"/>
      <c r="E187" s="196"/>
      <c r="G187" s="55"/>
      <c r="H187" s="193"/>
    </row>
    <row r="188" ht="14.25" customHeight="1">
      <c r="B188" s="19"/>
      <c r="C188" s="195"/>
      <c r="D188" s="196"/>
      <c r="E188" s="196"/>
      <c r="G188" s="55"/>
      <c r="H188" s="193"/>
    </row>
    <row r="189" ht="14.25" customHeight="1">
      <c r="B189" s="19"/>
      <c r="C189" s="195"/>
      <c r="D189" s="196"/>
      <c r="E189" s="196"/>
      <c r="G189" s="55"/>
      <c r="H189" s="193"/>
    </row>
    <row r="190" ht="14.25" customHeight="1">
      <c r="B190" s="19"/>
      <c r="C190" s="195"/>
      <c r="D190" s="196"/>
      <c r="E190" s="196"/>
      <c r="G190" s="55"/>
      <c r="H190" s="193"/>
    </row>
    <row r="191" ht="14.25" customHeight="1">
      <c r="B191" s="19"/>
      <c r="C191" s="195"/>
      <c r="D191" s="196"/>
      <c r="E191" s="196"/>
      <c r="G191" s="55"/>
      <c r="H191" s="193"/>
    </row>
    <row r="192" ht="14.25" customHeight="1">
      <c r="B192" s="19"/>
      <c r="C192" s="195"/>
      <c r="D192" s="196"/>
      <c r="E192" s="196"/>
      <c r="G192" s="55"/>
      <c r="H192" s="193"/>
    </row>
    <row r="193" ht="14.25" customHeight="1">
      <c r="B193" s="19"/>
      <c r="C193" s="195"/>
      <c r="D193" s="196"/>
      <c r="E193" s="196"/>
      <c r="G193" s="55"/>
      <c r="H193" s="193"/>
    </row>
    <row r="194" ht="14.25" customHeight="1">
      <c r="B194" s="19"/>
      <c r="C194" s="195"/>
      <c r="D194" s="196"/>
      <c r="E194" s="196"/>
      <c r="G194" s="55"/>
      <c r="H194" s="193"/>
    </row>
    <row r="195" ht="14.25" customHeight="1">
      <c r="B195" s="19"/>
      <c r="C195" s="195"/>
      <c r="D195" s="196"/>
      <c r="E195" s="196"/>
      <c r="G195" s="55"/>
      <c r="H195" s="193"/>
    </row>
    <row r="196" ht="14.25" customHeight="1">
      <c r="B196" s="19"/>
      <c r="C196" s="195"/>
      <c r="D196" s="196"/>
      <c r="E196" s="196"/>
      <c r="G196" s="55"/>
      <c r="H196" s="193"/>
    </row>
    <row r="197" ht="14.25" customHeight="1">
      <c r="B197" s="19"/>
      <c r="C197" s="195"/>
      <c r="D197" s="196"/>
      <c r="E197" s="196"/>
      <c r="G197" s="55"/>
      <c r="H197" s="193"/>
    </row>
    <row r="198" ht="14.25" customHeight="1">
      <c r="B198" s="19"/>
      <c r="C198" s="195"/>
      <c r="D198" s="196"/>
      <c r="E198" s="196"/>
      <c r="G198" s="55"/>
      <c r="H198" s="193"/>
    </row>
    <row r="199" ht="14.25" customHeight="1">
      <c r="B199" s="19"/>
      <c r="C199" s="195"/>
      <c r="D199" s="196"/>
      <c r="E199" s="196"/>
      <c r="G199" s="55"/>
      <c r="H199" s="193"/>
    </row>
    <row r="200" ht="14.25" customHeight="1">
      <c r="B200" s="19"/>
      <c r="C200" s="195"/>
      <c r="D200" s="196"/>
      <c r="E200" s="196"/>
      <c r="G200" s="55"/>
      <c r="H200" s="193"/>
    </row>
    <row r="201" ht="14.25" customHeight="1">
      <c r="B201" s="19"/>
      <c r="C201" s="195"/>
      <c r="D201" s="196"/>
      <c r="E201" s="196"/>
      <c r="G201" s="55"/>
      <c r="H201" s="193"/>
    </row>
    <row r="202" ht="14.25" customHeight="1">
      <c r="B202" s="19"/>
      <c r="C202" s="195"/>
      <c r="D202" s="196"/>
      <c r="E202" s="196"/>
      <c r="G202" s="55"/>
      <c r="H202" s="193"/>
    </row>
    <row r="203" ht="14.25" customHeight="1">
      <c r="B203" s="19"/>
      <c r="C203" s="195"/>
      <c r="D203" s="196"/>
      <c r="E203" s="196"/>
      <c r="G203" s="55"/>
      <c r="H203" s="193"/>
    </row>
    <row r="204" ht="14.25" customHeight="1">
      <c r="B204" s="19"/>
      <c r="C204" s="195"/>
      <c r="D204" s="196"/>
      <c r="E204" s="196"/>
      <c r="G204" s="55"/>
      <c r="H204" s="193"/>
    </row>
    <row r="205" ht="14.25" customHeight="1">
      <c r="B205" s="19"/>
      <c r="C205" s="195"/>
      <c r="D205" s="196"/>
      <c r="E205" s="196"/>
      <c r="G205" s="55"/>
      <c r="H205" s="193"/>
    </row>
    <row r="206" ht="14.25" customHeight="1">
      <c r="B206" s="19"/>
      <c r="C206" s="195"/>
      <c r="D206" s="196"/>
      <c r="E206" s="196"/>
      <c r="G206" s="55"/>
      <c r="H206" s="193"/>
    </row>
    <row r="207" ht="14.25" customHeight="1">
      <c r="B207" s="19"/>
      <c r="C207" s="195"/>
      <c r="D207" s="196"/>
      <c r="E207" s="196"/>
      <c r="G207" s="55"/>
      <c r="H207" s="193"/>
    </row>
    <row r="208" ht="14.25" customHeight="1">
      <c r="B208" s="19"/>
      <c r="C208" s="195"/>
      <c r="D208" s="196"/>
      <c r="E208" s="196"/>
      <c r="G208" s="55"/>
      <c r="H208" s="193"/>
    </row>
    <row r="209" ht="14.25" customHeight="1">
      <c r="B209" s="19"/>
      <c r="C209" s="195"/>
      <c r="D209" s="196"/>
      <c r="E209" s="196"/>
      <c r="G209" s="55"/>
      <c r="H209" s="193"/>
    </row>
    <row r="210" ht="14.25" customHeight="1">
      <c r="B210" s="19"/>
      <c r="C210" s="195"/>
      <c r="D210" s="196"/>
      <c r="E210" s="196"/>
      <c r="G210" s="55"/>
      <c r="H210" s="193"/>
    </row>
    <row r="211" ht="14.25" customHeight="1">
      <c r="B211" s="19"/>
      <c r="C211" s="195"/>
      <c r="D211" s="196"/>
      <c r="E211" s="196"/>
      <c r="G211" s="55"/>
      <c r="H211" s="193"/>
    </row>
    <row r="212" ht="14.25" customHeight="1">
      <c r="B212" s="19"/>
      <c r="C212" s="195"/>
      <c r="D212" s="196"/>
      <c r="E212" s="196"/>
      <c r="G212" s="55"/>
      <c r="H212" s="193"/>
    </row>
    <row r="213" ht="14.25" customHeight="1">
      <c r="B213" s="19"/>
      <c r="C213" s="195"/>
      <c r="D213" s="196"/>
      <c r="E213" s="196"/>
      <c r="G213" s="55"/>
      <c r="H213" s="193"/>
    </row>
    <row r="214" ht="14.25" customHeight="1">
      <c r="B214" s="19"/>
      <c r="C214" s="195"/>
      <c r="D214" s="196"/>
      <c r="E214" s="196"/>
      <c r="G214" s="55"/>
      <c r="H214" s="193"/>
    </row>
    <row r="215" ht="14.25" customHeight="1">
      <c r="B215" s="19"/>
      <c r="C215" s="195"/>
      <c r="D215" s="196"/>
      <c r="E215" s="196"/>
      <c r="G215" s="55"/>
      <c r="H215" s="193"/>
    </row>
    <row r="216" ht="14.25" customHeight="1">
      <c r="B216" s="19"/>
      <c r="C216" s="195"/>
      <c r="D216" s="196"/>
      <c r="E216" s="196"/>
      <c r="G216" s="55"/>
      <c r="H216" s="193"/>
    </row>
    <row r="217" ht="14.25" customHeight="1">
      <c r="B217" s="19"/>
      <c r="C217" s="195"/>
      <c r="D217" s="196"/>
      <c r="E217" s="196"/>
      <c r="G217" s="55"/>
      <c r="H217" s="193"/>
    </row>
    <row r="218" ht="14.25" customHeight="1">
      <c r="B218" s="19"/>
      <c r="C218" s="195"/>
      <c r="D218" s="196"/>
      <c r="E218" s="196"/>
      <c r="G218" s="55"/>
      <c r="H218" s="193"/>
    </row>
    <row r="219" ht="14.25" customHeight="1">
      <c r="B219" s="19"/>
      <c r="C219" s="195"/>
      <c r="D219" s="196"/>
      <c r="E219" s="196"/>
      <c r="G219" s="55"/>
      <c r="H219" s="193"/>
    </row>
    <row r="220" ht="14.25" customHeight="1">
      <c r="B220" s="19"/>
      <c r="C220" s="195"/>
      <c r="D220" s="196"/>
      <c r="E220" s="196"/>
      <c r="G220" s="55"/>
      <c r="H220" s="193"/>
    </row>
    <row r="221" ht="14.25" customHeight="1">
      <c r="B221" s="19"/>
      <c r="C221" s="195"/>
      <c r="D221" s="196"/>
      <c r="E221" s="196"/>
      <c r="G221" s="55"/>
      <c r="H221" s="193"/>
    </row>
    <row r="222" ht="14.25" customHeight="1">
      <c r="B222" s="19"/>
      <c r="C222" s="195"/>
      <c r="D222" s="196"/>
      <c r="E222" s="196"/>
      <c r="G222" s="55"/>
      <c r="H222" s="193"/>
    </row>
    <row r="223" ht="14.25" customHeight="1">
      <c r="B223" s="19"/>
      <c r="C223" s="195"/>
      <c r="D223" s="196"/>
      <c r="E223" s="196"/>
      <c r="G223" s="55"/>
      <c r="H223" s="193"/>
    </row>
    <row r="224" ht="14.25" customHeight="1">
      <c r="B224" s="19"/>
      <c r="C224" s="195"/>
      <c r="D224" s="196"/>
      <c r="E224" s="196"/>
      <c r="G224" s="55"/>
      <c r="H224" s="193"/>
    </row>
    <row r="225" ht="14.25" customHeight="1">
      <c r="B225" s="19"/>
      <c r="C225" s="195"/>
      <c r="D225" s="196"/>
      <c r="E225" s="196"/>
      <c r="G225" s="55"/>
      <c r="H225" s="193"/>
    </row>
    <row r="226" ht="14.25" customHeight="1">
      <c r="B226" s="19"/>
      <c r="C226" s="195"/>
      <c r="D226" s="196"/>
      <c r="E226" s="196"/>
      <c r="G226" s="55"/>
      <c r="H226" s="193"/>
    </row>
    <row r="227" ht="14.25" customHeight="1">
      <c r="B227" s="19"/>
      <c r="C227" s="195"/>
      <c r="D227" s="196"/>
      <c r="E227" s="196"/>
      <c r="G227" s="55"/>
      <c r="H227" s="193"/>
    </row>
    <row r="228" ht="14.25" customHeight="1">
      <c r="B228" s="19"/>
      <c r="C228" s="195"/>
      <c r="D228" s="196"/>
      <c r="E228" s="196"/>
      <c r="G228" s="55"/>
      <c r="H228" s="193"/>
    </row>
    <row r="229" ht="14.25" customHeight="1">
      <c r="B229" s="19"/>
      <c r="C229" s="195"/>
      <c r="D229" s="196"/>
      <c r="E229" s="196"/>
      <c r="G229" s="55"/>
      <c r="H229" s="193"/>
    </row>
    <row r="230" ht="14.25" customHeight="1">
      <c r="B230" s="19"/>
      <c r="C230" s="195"/>
      <c r="D230" s="196"/>
      <c r="E230" s="196"/>
      <c r="G230" s="55"/>
      <c r="H230" s="193"/>
    </row>
    <row r="231" ht="14.25" customHeight="1">
      <c r="B231" s="19"/>
      <c r="C231" s="195"/>
      <c r="D231" s="196"/>
      <c r="E231" s="196"/>
      <c r="G231" s="55"/>
      <c r="H231" s="193"/>
    </row>
    <row r="232" ht="14.25" customHeight="1">
      <c r="B232" s="19"/>
      <c r="C232" s="195"/>
      <c r="D232" s="196"/>
      <c r="E232" s="196"/>
      <c r="G232" s="55"/>
      <c r="H232" s="193"/>
    </row>
    <row r="233" ht="14.25" customHeight="1">
      <c r="B233" s="19"/>
      <c r="C233" s="195"/>
      <c r="D233" s="196"/>
      <c r="E233" s="196"/>
      <c r="G233" s="55"/>
      <c r="H233" s="193"/>
    </row>
    <row r="234" ht="14.25" customHeight="1">
      <c r="B234" s="19"/>
      <c r="C234" s="195"/>
      <c r="D234" s="196"/>
      <c r="E234" s="196"/>
      <c r="G234" s="55"/>
      <c r="H234" s="193"/>
    </row>
    <row r="235" ht="14.25" customHeight="1">
      <c r="B235" s="19"/>
      <c r="C235" s="195"/>
      <c r="D235" s="196"/>
      <c r="E235" s="196"/>
      <c r="G235" s="55"/>
      <c r="H235" s="193"/>
    </row>
    <row r="236" ht="14.25" customHeight="1">
      <c r="B236" s="19"/>
      <c r="C236" s="195"/>
      <c r="D236" s="196"/>
      <c r="E236" s="196"/>
      <c r="G236" s="55"/>
      <c r="H236" s="193"/>
    </row>
    <row r="237" ht="14.25" customHeight="1">
      <c r="B237" s="19"/>
      <c r="C237" s="195"/>
      <c r="D237" s="196"/>
      <c r="E237" s="196"/>
      <c r="G237" s="55"/>
      <c r="H237" s="193"/>
    </row>
    <row r="238" ht="14.25" customHeight="1">
      <c r="B238" s="19"/>
      <c r="C238" s="195"/>
      <c r="D238" s="196"/>
      <c r="E238" s="196"/>
      <c r="G238" s="55"/>
      <c r="H238" s="193"/>
    </row>
    <row r="239" ht="14.25" customHeight="1">
      <c r="B239" s="19"/>
      <c r="C239" s="195"/>
      <c r="D239" s="196"/>
      <c r="E239" s="196"/>
      <c r="G239" s="55"/>
      <c r="H239" s="193"/>
    </row>
    <row r="240" ht="14.25" customHeight="1">
      <c r="B240" s="19"/>
      <c r="C240" s="195"/>
      <c r="D240" s="196"/>
      <c r="E240" s="196"/>
      <c r="G240" s="55"/>
      <c r="H240" s="193"/>
    </row>
    <row r="241" ht="14.25" customHeight="1">
      <c r="B241" s="19"/>
      <c r="C241" s="195"/>
      <c r="D241" s="196"/>
      <c r="E241" s="196"/>
      <c r="G241" s="55"/>
      <c r="H241" s="193"/>
    </row>
    <row r="242" ht="14.25" customHeight="1">
      <c r="B242" s="19"/>
      <c r="C242" s="195"/>
      <c r="D242" s="196"/>
      <c r="E242" s="196"/>
      <c r="G242" s="55"/>
      <c r="H242" s="193"/>
    </row>
    <row r="243" ht="14.25" customHeight="1">
      <c r="B243" s="19"/>
      <c r="C243" s="195"/>
      <c r="D243" s="196"/>
      <c r="E243" s="196"/>
      <c r="G243" s="55"/>
      <c r="H243" s="193"/>
    </row>
    <row r="244" ht="14.25" customHeight="1">
      <c r="B244" s="19"/>
      <c r="C244" s="195"/>
      <c r="D244" s="196"/>
      <c r="E244" s="196"/>
      <c r="G244" s="55"/>
      <c r="H244" s="193"/>
    </row>
    <row r="245" ht="14.25" customHeight="1">
      <c r="B245" s="19"/>
      <c r="C245" s="195"/>
      <c r="D245" s="196"/>
      <c r="E245" s="196"/>
      <c r="G245" s="55"/>
      <c r="H245" s="193"/>
    </row>
    <row r="246" ht="14.25" customHeight="1">
      <c r="B246" s="19"/>
      <c r="C246" s="195"/>
      <c r="D246" s="196"/>
      <c r="E246" s="196"/>
      <c r="G246" s="55"/>
      <c r="H246" s="193"/>
    </row>
    <row r="247" ht="14.25" customHeight="1">
      <c r="B247" s="19"/>
      <c r="C247" s="195"/>
      <c r="D247" s="196"/>
      <c r="E247" s="196"/>
      <c r="G247" s="55"/>
      <c r="H247" s="193"/>
    </row>
    <row r="248" ht="14.25" customHeight="1">
      <c r="B248" s="19"/>
      <c r="C248" s="195"/>
      <c r="D248" s="196"/>
      <c r="E248" s="196"/>
      <c r="G248" s="55"/>
      <c r="H248" s="193"/>
    </row>
    <row r="249" ht="14.25" customHeight="1">
      <c r="B249" s="19"/>
      <c r="C249" s="195"/>
      <c r="D249" s="196"/>
      <c r="E249" s="196"/>
      <c r="G249" s="55"/>
      <c r="H249" s="193"/>
    </row>
    <row r="250" ht="14.25" customHeight="1">
      <c r="B250" s="19"/>
      <c r="C250" s="195"/>
      <c r="D250" s="196"/>
      <c r="E250" s="196"/>
      <c r="G250" s="55"/>
      <c r="H250" s="193"/>
    </row>
    <row r="251" ht="14.25" customHeight="1">
      <c r="B251" s="19"/>
      <c r="C251" s="195"/>
      <c r="D251" s="196"/>
      <c r="E251" s="196"/>
      <c r="G251" s="55"/>
      <c r="H251" s="193"/>
    </row>
    <row r="252" ht="14.25" customHeight="1">
      <c r="B252" s="19"/>
      <c r="C252" s="195"/>
      <c r="D252" s="196"/>
      <c r="E252" s="196"/>
      <c r="G252" s="55"/>
      <c r="H252" s="193"/>
    </row>
    <row r="253" ht="14.25" customHeight="1">
      <c r="B253" s="19"/>
      <c r="C253" s="195"/>
      <c r="D253" s="196"/>
      <c r="E253" s="196"/>
      <c r="G253" s="55"/>
      <c r="H253" s="193"/>
    </row>
    <row r="254" ht="14.25" customHeight="1">
      <c r="B254" s="19"/>
      <c r="C254" s="195"/>
      <c r="D254" s="196"/>
      <c r="E254" s="196"/>
      <c r="G254" s="55"/>
      <c r="H254" s="193"/>
    </row>
    <row r="255" ht="14.25" customHeight="1">
      <c r="B255" s="19"/>
      <c r="C255" s="195"/>
      <c r="D255" s="196"/>
      <c r="E255" s="196"/>
      <c r="G255" s="55"/>
      <c r="H255" s="193"/>
    </row>
    <row r="256" ht="14.25" customHeight="1">
      <c r="B256" s="19"/>
      <c r="C256" s="195"/>
      <c r="D256" s="196"/>
      <c r="E256" s="196"/>
      <c r="G256" s="55"/>
      <c r="H256" s="193"/>
    </row>
    <row r="257" ht="14.25" customHeight="1">
      <c r="B257" s="19"/>
      <c r="C257" s="195"/>
      <c r="D257" s="196"/>
      <c r="E257" s="196"/>
      <c r="G257" s="55"/>
      <c r="H257" s="193"/>
    </row>
    <row r="258" ht="14.25" customHeight="1">
      <c r="B258" s="19"/>
      <c r="C258" s="195"/>
      <c r="D258" s="196"/>
      <c r="E258" s="196"/>
      <c r="G258" s="55"/>
      <c r="H258" s="193"/>
    </row>
    <row r="259" ht="14.25" customHeight="1">
      <c r="B259" s="19"/>
      <c r="C259" s="195"/>
      <c r="D259" s="196"/>
      <c r="E259" s="196"/>
      <c r="G259" s="55"/>
      <c r="H259" s="193"/>
    </row>
    <row r="260" ht="14.25" customHeight="1">
      <c r="B260" s="19"/>
      <c r="C260" s="195"/>
      <c r="D260" s="196"/>
      <c r="E260" s="196"/>
      <c r="G260" s="55"/>
      <c r="H260" s="193"/>
    </row>
    <row r="261" ht="14.25" customHeight="1">
      <c r="B261" s="19"/>
      <c r="C261" s="195"/>
      <c r="D261" s="196"/>
      <c r="E261" s="196"/>
      <c r="G261" s="55"/>
      <c r="H261" s="193"/>
    </row>
    <row r="262" ht="14.25" customHeight="1">
      <c r="B262" s="19"/>
      <c r="C262" s="195"/>
      <c r="D262" s="196"/>
      <c r="E262" s="196"/>
      <c r="G262" s="55"/>
      <c r="H262" s="193"/>
    </row>
    <row r="263" ht="14.25" customHeight="1">
      <c r="B263" s="19"/>
      <c r="C263" s="195"/>
      <c r="D263" s="196"/>
      <c r="E263" s="196"/>
      <c r="G263" s="55"/>
      <c r="H263" s="193"/>
    </row>
    <row r="264" ht="14.25" customHeight="1">
      <c r="B264" s="19"/>
      <c r="C264" s="195"/>
      <c r="D264" s="196"/>
      <c r="E264" s="196"/>
      <c r="G264" s="55"/>
      <c r="H264" s="193"/>
    </row>
    <row r="265" ht="14.25" customHeight="1">
      <c r="B265" s="19"/>
      <c r="C265" s="195"/>
      <c r="D265" s="196"/>
      <c r="E265" s="196"/>
      <c r="G265" s="55"/>
      <c r="H265" s="193"/>
    </row>
    <row r="266" ht="14.25" customHeight="1">
      <c r="B266" s="19"/>
      <c r="C266" s="195"/>
      <c r="D266" s="196"/>
      <c r="E266" s="196"/>
      <c r="G266" s="55"/>
      <c r="H266" s="193"/>
    </row>
    <row r="267" ht="14.25" customHeight="1">
      <c r="B267" s="19"/>
      <c r="C267" s="195"/>
      <c r="D267" s="196"/>
      <c r="E267" s="196"/>
      <c r="G267" s="55"/>
      <c r="H267" s="193"/>
    </row>
    <row r="268" ht="14.25" customHeight="1">
      <c r="B268" s="19"/>
      <c r="C268" s="195"/>
      <c r="D268" s="196"/>
      <c r="E268" s="196"/>
      <c r="G268" s="55"/>
      <c r="H268" s="193"/>
    </row>
    <row r="269" ht="14.25" customHeight="1">
      <c r="B269" s="19"/>
      <c r="C269" s="195"/>
      <c r="D269" s="196"/>
      <c r="E269" s="196"/>
      <c r="G269" s="55"/>
      <c r="H269" s="193"/>
    </row>
    <row r="270" ht="14.25" customHeight="1">
      <c r="B270" s="19"/>
      <c r="C270" s="195"/>
      <c r="D270" s="196"/>
      <c r="E270" s="196"/>
      <c r="G270" s="55"/>
      <c r="H270" s="193"/>
    </row>
    <row r="271" ht="14.25" customHeight="1">
      <c r="B271" s="19"/>
      <c r="C271" s="195"/>
      <c r="D271" s="196"/>
      <c r="E271" s="196"/>
      <c r="G271" s="55"/>
      <c r="H271" s="193"/>
    </row>
    <row r="272" ht="14.25" customHeight="1">
      <c r="B272" s="19"/>
      <c r="C272" s="195"/>
      <c r="D272" s="196"/>
      <c r="E272" s="196"/>
      <c r="G272" s="55"/>
      <c r="H272" s="193"/>
    </row>
    <row r="273" ht="14.25" customHeight="1">
      <c r="B273" s="19"/>
      <c r="C273" s="195"/>
      <c r="D273" s="196"/>
      <c r="E273" s="196"/>
      <c r="G273" s="55"/>
      <c r="H273" s="193"/>
    </row>
    <row r="274" ht="14.25" customHeight="1">
      <c r="B274" s="19"/>
      <c r="C274" s="195"/>
      <c r="D274" s="196"/>
      <c r="E274" s="196"/>
      <c r="G274" s="55"/>
      <c r="H274" s="193"/>
    </row>
    <row r="275" ht="14.25" customHeight="1">
      <c r="B275" s="19"/>
      <c r="C275" s="195"/>
      <c r="D275" s="196"/>
      <c r="E275" s="196"/>
      <c r="G275" s="55"/>
      <c r="H275" s="193"/>
    </row>
    <row r="276" ht="14.25" customHeight="1">
      <c r="B276" s="19"/>
      <c r="C276" s="195"/>
      <c r="D276" s="196"/>
      <c r="E276" s="196"/>
      <c r="G276" s="55"/>
      <c r="H276" s="193"/>
    </row>
    <row r="277" ht="14.25" customHeight="1">
      <c r="B277" s="19"/>
      <c r="C277" s="195"/>
      <c r="D277" s="196"/>
      <c r="E277" s="196"/>
      <c r="G277" s="55"/>
      <c r="H277" s="193"/>
    </row>
    <row r="278" ht="14.25" customHeight="1">
      <c r="B278" s="19"/>
      <c r="C278" s="195"/>
      <c r="D278" s="196"/>
      <c r="E278" s="196"/>
      <c r="G278" s="55"/>
      <c r="H278" s="193"/>
    </row>
    <row r="279" ht="14.25" customHeight="1">
      <c r="B279" s="19"/>
      <c r="C279" s="195"/>
      <c r="D279" s="196"/>
      <c r="E279" s="196"/>
      <c r="G279" s="55"/>
      <c r="H279" s="193"/>
    </row>
    <row r="280" ht="14.25" customHeight="1">
      <c r="B280" s="19"/>
      <c r="C280" s="195"/>
      <c r="D280" s="196"/>
      <c r="E280" s="196"/>
      <c r="G280" s="55"/>
      <c r="H280" s="193"/>
    </row>
    <row r="281" ht="14.25" customHeight="1">
      <c r="B281" s="19"/>
      <c r="C281" s="195"/>
      <c r="D281" s="196"/>
      <c r="E281" s="196"/>
      <c r="G281" s="55"/>
      <c r="H281" s="193"/>
    </row>
    <row r="282" ht="14.25" customHeight="1">
      <c r="B282" s="19"/>
      <c r="C282" s="195"/>
      <c r="D282" s="196"/>
      <c r="E282" s="196"/>
      <c r="G282" s="55"/>
      <c r="H282" s="193"/>
    </row>
    <row r="283" ht="14.25" customHeight="1">
      <c r="B283" s="19"/>
      <c r="C283" s="195"/>
      <c r="D283" s="196"/>
      <c r="E283" s="196"/>
      <c r="G283" s="55"/>
      <c r="H283" s="193"/>
    </row>
    <row r="284" ht="14.25" customHeight="1">
      <c r="B284" s="19"/>
      <c r="C284" s="195"/>
      <c r="D284" s="196"/>
      <c r="E284" s="196"/>
      <c r="G284" s="55"/>
      <c r="H284" s="193"/>
    </row>
    <row r="285" ht="14.25" customHeight="1">
      <c r="B285" s="19"/>
      <c r="C285" s="195"/>
      <c r="D285" s="196"/>
      <c r="E285" s="196"/>
      <c r="G285" s="55"/>
      <c r="H285" s="193"/>
    </row>
    <row r="286" ht="14.25" customHeight="1">
      <c r="B286" s="19"/>
      <c r="C286" s="195"/>
      <c r="D286" s="196"/>
      <c r="E286" s="196"/>
      <c r="G286" s="55"/>
      <c r="H286" s="193"/>
    </row>
    <row r="287" ht="14.25" customHeight="1">
      <c r="B287" s="19"/>
      <c r="C287" s="195"/>
      <c r="D287" s="196"/>
      <c r="E287" s="196"/>
      <c r="G287" s="55"/>
      <c r="H287" s="193"/>
    </row>
    <row r="288" ht="14.25" customHeight="1">
      <c r="B288" s="19"/>
      <c r="C288" s="195"/>
      <c r="D288" s="196"/>
      <c r="E288" s="196"/>
      <c r="G288" s="55"/>
      <c r="H288" s="193"/>
    </row>
    <row r="289" ht="14.25" customHeight="1">
      <c r="B289" s="19"/>
      <c r="C289" s="195"/>
      <c r="D289" s="196"/>
      <c r="E289" s="196"/>
      <c r="G289" s="55"/>
      <c r="H289" s="193"/>
    </row>
    <row r="290" ht="14.25" customHeight="1">
      <c r="B290" s="19"/>
      <c r="C290" s="195"/>
      <c r="D290" s="196"/>
      <c r="E290" s="196"/>
      <c r="G290" s="55"/>
      <c r="H290" s="193"/>
    </row>
    <row r="291" ht="14.25" customHeight="1">
      <c r="B291" s="19"/>
      <c r="C291" s="195"/>
      <c r="D291" s="196"/>
      <c r="E291" s="196"/>
      <c r="G291" s="55"/>
      <c r="H291" s="193"/>
    </row>
    <row r="292" ht="14.25" customHeight="1">
      <c r="B292" s="19"/>
      <c r="C292" s="195"/>
      <c r="D292" s="196"/>
      <c r="E292" s="196"/>
      <c r="G292" s="55"/>
      <c r="H292" s="193"/>
    </row>
    <row r="293" ht="14.25" customHeight="1">
      <c r="B293" s="19"/>
      <c r="C293" s="195"/>
      <c r="D293" s="196"/>
      <c r="E293" s="196"/>
      <c r="G293" s="55"/>
      <c r="H293" s="193"/>
    </row>
    <row r="294" ht="14.25" customHeight="1">
      <c r="B294" s="19"/>
      <c r="C294" s="195"/>
      <c r="D294" s="196"/>
      <c r="E294" s="196"/>
      <c r="G294" s="55"/>
      <c r="H294" s="193"/>
    </row>
    <row r="295" ht="14.25" customHeight="1">
      <c r="B295" s="19"/>
      <c r="C295" s="195"/>
      <c r="D295" s="196"/>
      <c r="E295" s="196"/>
      <c r="G295" s="55"/>
      <c r="H295" s="193"/>
    </row>
    <row r="296" ht="14.25" customHeight="1">
      <c r="B296" s="19"/>
      <c r="C296" s="195"/>
      <c r="D296" s="196"/>
      <c r="E296" s="196"/>
      <c r="G296" s="55"/>
      <c r="H296" s="193"/>
    </row>
    <row r="297" ht="14.25" customHeight="1">
      <c r="B297" s="19"/>
      <c r="C297" s="195"/>
      <c r="D297" s="196"/>
      <c r="E297" s="196"/>
      <c r="G297" s="55"/>
      <c r="H297" s="193"/>
    </row>
    <row r="298" ht="14.25" customHeight="1">
      <c r="B298" s="19"/>
      <c r="C298" s="195"/>
      <c r="D298" s="196"/>
      <c r="E298" s="196"/>
      <c r="G298" s="55"/>
      <c r="H298" s="193"/>
    </row>
    <row r="299" ht="14.25" customHeight="1">
      <c r="B299" s="19"/>
      <c r="C299" s="195"/>
      <c r="D299" s="196"/>
      <c r="E299" s="196"/>
      <c r="G299" s="55"/>
      <c r="H299" s="193"/>
    </row>
    <row r="300" ht="14.25" customHeight="1">
      <c r="B300" s="19"/>
      <c r="C300" s="195"/>
      <c r="D300" s="196"/>
      <c r="E300" s="196"/>
      <c r="G300" s="55"/>
      <c r="H300" s="193"/>
    </row>
    <row r="301" ht="14.25" customHeight="1">
      <c r="B301" s="19"/>
      <c r="C301" s="195"/>
      <c r="D301" s="196"/>
      <c r="E301" s="196"/>
      <c r="G301" s="55"/>
      <c r="H301" s="193"/>
    </row>
    <row r="302" ht="14.25" customHeight="1">
      <c r="B302" s="19"/>
      <c r="C302" s="195"/>
      <c r="D302" s="196"/>
      <c r="E302" s="196"/>
      <c r="G302" s="55"/>
      <c r="H302" s="193"/>
    </row>
    <row r="303" ht="14.25" customHeight="1">
      <c r="B303" s="19"/>
      <c r="C303" s="195"/>
      <c r="D303" s="196"/>
      <c r="E303" s="196"/>
      <c r="G303" s="55"/>
      <c r="H303" s="193"/>
    </row>
    <row r="304" ht="14.25" customHeight="1">
      <c r="B304" s="19"/>
      <c r="C304" s="195"/>
      <c r="D304" s="196"/>
      <c r="E304" s="196"/>
      <c r="G304" s="55"/>
      <c r="H304" s="193"/>
    </row>
    <row r="305" ht="14.25" customHeight="1">
      <c r="B305" s="19"/>
      <c r="C305" s="195"/>
      <c r="D305" s="196"/>
      <c r="E305" s="196"/>
      <c r="G305" s="55"/>
      <c r="H305" s="193"/>
    </row>
    <row r="306" ht="14.25" customHeight="1">
      <c r="B306" s="19"/>
      <c r="C306" s="195"/>
      <c r="D306" s="196"/>
      <c r="E306" s="196"/>
      <c r="G306" s="55"/>
      <c r="H306" s="193"/>
    </row>
    <row r="307" ht="14.25" customHeight="1">
      <c r="B307" s="19"/>
      <c r="C307" s="195"/>
      <c r="D307" s="196"/>
      <c r="E307" s="196"/>
      <c r="G307" s="55"/>
      <c r="H307" s="193"/>
    </row>
    <row r="308" ht="14.25" customHeight="1">
      <c r="B308" s="19"/>
      <c r="C308" s="195"/>
      <c r="D308" s="196"/>
      <c r="E308" s="196"/>
      <c r="G308" s="55"/>
      <c r="H308" s="193"/>
    </row>
    <row r="309" ht="14.25" customHeight="1">
      <c r="B309" s="19"/>
      <c r="C309" s="195"/>
      <c r="D309" s="196"/>
      <c r="E309" s="196"/>
      <c r="G309" s="55"/>
      <c r="H309" s="193"/>
    </row>
    <row r="310" ht="14.25" customHeight="1">
      <c r="B310" s="19"/>
      <c r="C310" s="195"/>
      <c r="D310" s="196"/>
      <c r="E310" s="196"/>
      <c r="G310" s="55"/>
      <c r="H310" s="193"/>
    </row>
    <row r="311" ht="14.25" customHeight="1">
      <c r="B311" s="19"/>
      <c r="C311" s="195"/>
      <c r="D311" s="196"/>
      <c r="E311" s="196"/>
      <c r="G311" s="55"/>
      <c r="H311" s="193"/>
    </row>
    <row r="312" ht="14.25" customHeight="1">
      <c r="B312" s="19"/>
      <c r="C312" s="195"/>
      <c r="D312" s="196"/>
      <c r="E312" s="196"/>
      <c r="G312" s="55"/>
      <c r="H312" s="193"/>
    </row>
    <row r="313" ht="14.25" customHeight="1">
      <c r="B313" s="19"/>
      <c r="C313" s="195"/>
      <c r="D313" s="196"/>
      <c r="E313" s="196"/>
      <c r="G313" s="55"/>
      <c r="H313" s="193"/>
    </row>
    <row r="314" ht="14.25" customHeight="1">
      <c r="B314" s="19"/>
      <c r="C314" s="195"/>
      <c r="D314" s="196"/>
      <c r="E314" s="196"/>
      <c r="G314" s="55"/>
      <c r="H314" s="193"/>
    </row>
    <row r="315" ht="14.25" customHeight="1">
      <c r="B315" s="19"/>
      <c r="C315" s="195"/>
      <c r="D315" s="196"/>
      <c r="E315" s="196"/>
      <c r="G315" s="55"/>
      <c r="H315" s="193"/>
    </row>
    <row r="316" ht="14.25" customHeight="1">
      <c r="B316" s="19"/>
      <c r="C316" s="195"/>
      <c r="D316" s="196"/>
      <c r="E316" s="196"/>
      <c r="G316" s="55"/>
      <c r="H316" s="193"/>
    </row>
    <row r="317" ht="14.25" customHeight="1">
      <c r="B317" s="19"/>
      <c r="C317" s="195"/>
      <c r="D317" s="196"/>
      <c r="E317" s="196"/>
      <c r="G317" s="55"/>
      <c r="H317" s="193"/>
    </row>
    <row r="318" ht="14.25" customHeight="1">
      <c r="B318" s="19"/>
      <c r="C318" s="195"/>
      <c r="D318" s="196"/>
      <c r="E318" s="196"/>
      <c r="G318" s="55"/>
      <c r="H318" s="193"/>
    </row>
    <row r="319" ht="14.25" customHeight="1">
      <c r="B319" s="19"/>
      <c r="C319" s="195"/>
      <c r="D319" s="196"/>
      <c r="E319" s="196"/>
      <c r="G319" s="55"/>
      <c r="H319" s="193"/>
    </row>
    <row r="320" ht="14.25" customHeight="1">
      <c r="B320" s="19"/>
      <c r="C320" s="195"/>
      <c r="D320" s="196"/>
      <c r="E320" s="196"/>
      <c r="G320" s="55"/>
      <c r="H320" s="193"/>
    </row>
    <row r="321" ht="14.25" customHeight="1">
      <c r="B321" s="19"/>
      <c r="C321" s="195"/>
      <c r="D321" s="196"/>
      <c r="E321" s="196"/>
      <c r="G321" s="55"/>
      <c r="H321" s="193"/>
    </row>
    <row r="322" ht="14.25" customHeight="1">
      <c r="B322" s="19"/>
      <c r="C322" s="195"/>
      <c r="D322" s="196"/>
      <c r="E322" s="196"/>
      <c r="G322" s="55"/>
      <c r="H322" s="193"/>
    </row>
    <row r="323" ht="14.25" customHeight="1">
      <c r="B323" s="19"/>
      <c r="C323" s="195"/>
      <c r="D323" s="196"/>
      <c r="E323" s="196"/>
      <c r="G323" s="55"/>
      <c r="H323" s="193"/>
    </row>
    <row r="324" ht="14.25" customHeight="1">
      <c r="B324" s="19"/>
      <c r="C324" s="195"/>
      <c r="D324" s="196"/>
      <c r="E324" s="196"/>
      <c r="G324" s="55"/>
      <c r="H324" s="193"/>
    </row>
    <row r="325" ht="14.25" customHeight="1">
      <c r="B325" s="19"/>
      <c r="C325" s="195"/>
      <c r="D325" s="196"/>
      <c r="E325" s="196"/>
      <c r="G325" s="55"/>
      <c r="H325" s="193"/>
    </row>
    <row r="326" ht="14.25" customHeight="1">
      <c r="B326" s="19"/>
      <c r="C326" s="195"/>
      <c r="D326" s="196"/>
      <c r="E326" s="196"/>
      <c r="G326" s="55"/>
      <c r="H326" s="193"/>
    </row>
    <row r="327" ht="14.25" customHeight="1">
      <c r="B327" s="19"/>
      <c r="C327" s="195"/>
      <c r="D327" s="196"/>
      <c r="E327" s="196"/>
      <c r="G327" s="55"/>
      <c r="H327" s="193"/>
    </row>
    <row r="328" ht="14.25" customHeight="1">
      <c r="B328" s="19"/>
      <c r="C328" s="195"/>
      <c r="D328" s="196"/>
      <c r="E328" s="196"/>
      <c r="G328" s="55"/>
      <c r="H328" s="193"/>
    </row>
    <row r="329" ht="14.25" customHeight="1">
      <c r="B329" s="19"/>
      <c r="C329" s="195"/>
      <c r="D329" s="196"/>
      <c r="E329" s="196"/>
      <c r="G329" s="55"/>
      <c r="H329" s="193"/>
    </row>
    <row r="330" ht="14.25" customHeight="1">
      <c r="B330" s="19"/>
      <c r="C330" s="195"/>
      <c r="D330" s="196"/>
      <c r="E330" s="196"/>
      <c r="G330" s="55"/>
      <c r="H330" s="193"/>
    </row>
    <row r="331" ht="14.25" customHeight="1">
      <c r="B331" s="19"/>
      <c r="C331" s="195"/>
      <c r="D331" s="196"/>
      <c r="E331" s="196"/>
      <c r="G331" s="55"/>
      <c r="H331" s="193"/>
    </row>
    <row r="332" ht="14.25" customHeight="1">
      <c r="B332" s="19"/>
      <c r="C332" s="195"/>
      <c r="D332" s="196"/>
      <c r="E332" s="196"/>
      <c r="G332" s="55"/>
      <c r="H332" s="193"/>
    </row>
    <row r="333" ht="14.25" customHeight="1">
      <c r="B333" s="19"/>
      <c r="C333" s="195"/>
      <c r="D333" s="196"/>
      <c r="E333" s="196"/>
      <c r="G333" s="55"/>
      <c r="H333" s="193"/>
    </row>
    <row r="334" ht="14.25" customHeight="1">
      <c r="B334" s="19"/>
      <c r="C334" s="195"/>
      <c r="D334" s="196"/>
      <c r="E334" s="196"/>
      <c r="G334" s="55"/>
      <c r="H334" s="193"/>
    </row>
    <row r="335" ht="14.25" customHeight="1">
      <c r="B335" s="19"/>
      <c r="C335" s="195"/>
      <c r="D335" s="196"/>
      <c r="E335" s="196"/>
      <c r="G335" s="55"/>
      <c r="H335" s="193"/>
    </row>
    <row r="336" ht="14.25" customHeight="1">
      <c r="B336" s="19"/>
      <c r="C336" s="195"/>
      <c r="D336" s="196"/>
      <c r="E336" s="196"/>
      <c r="G336" s="55"/>
      <c r="H336" s="193"/>
    </row>
    <row r="337" ht="14.25" customHeight="1">
      <c r="B337" s="19"/>
      <c r="C337" s="195"/>
      <c r="D337" s="196"/>
      <c r="E337" s="196"/>
      <c r="G337" s="55"/>
      <c r="H337" s="193"/>
    </row>
    <row r="338" ht="14.25" customHeight="1">
      <c r="B338" s="19"/>
      <c r="C338" s="195"/>
      <c r="D338" s="196"/>
      <c r="E338" s="196"/>
      <c r="G338" s="55"/>
      <c r="H338" s="193"/>
    </row>
    <row r="339" ht="14.25" customHeight="1">
      <c r="B339" s="19"/>
      <c r="C339" s="195"/>
      <c r="D339" s="196"/>
      <c r="E339" s="196"/>
      <c r="G339" s="55"/>
      <c r="H339" s="193"/>
    </row>
    <row r="340" ht="14.25" customHeight="1">
      <c r="B340" s="19"/>
      <c r="C340" s="195"/>
      <c r="D340" s="196"/>
      <c r="E340" s="196"/>
      <c r="G340" s="55"/>
      <c r="H340" s="193"/>
    </row>
    <row r="341" ht="14.25" customHeight="1">
      <c r="B341" s="19"/>
      <c r="C341" s="195"/>
      <c r="D341" s="196"/>
      <c r="E341" s="196"/>
      <c r="G341" s="55"/>
      <c r="H341" s="193"/>
    </row>
    <row r="342" ht="14.25" customHeight="1">
      <c r="B342" s="19"/>
      <c r="C342" s="195"/>
      <c r="D342" s="196"/>
      <c r="E342" s="196"/>
      <c r="G342" s="55"/>
      <c r="H342" s="193"/>
    </row>
    <row r="343" ht="14.25" customHeight="1">
      <c r="B343" s="19"/>
      <c r="C343" s="195"/>
      <c r="D343" s="196"/>
      <c r="E343" s="196"/>
      <c r="G343" s="55"/>
      <c r="H343" s="193"/>
    </row>
    <row r="344" ht="14.25" customHeight="1">
      <c r="B344" s="19"/>
      <c r="C344" s="195"/>
      <c r="D344" s="196"/>
      <c r="E344" s="196"/>
      <c r="G344" s="55"/>
      <c r="H344" s="193"/>
    </row>
    <row r="345" ht="14.25" customHeight="1">
      <c r="B345" s="19"/>
      <c r="C345" s="195"/>
      <c r="D345" s="196"/>
      <c r="E345" s="196"/>
      <c r="G345" s="55"/>
      <c r="H345" s="193"/>
    </row>
    <row r="346" ht="14.25" customHeight="1">
      <c r="B346" s="19"/>
      <c r="C346" s="195"/>
      <c r="D346" s="196"/>
      <c r="E346" s="196"/>
      <c r="G346" s="55"/>
      <c r="H346" s="193"/>
    </row>
    <row r="347" ht="14.25" customHeight="1">
      <c r="B347" s="19"/>
      <c r="C347" s="195"/>
      <c r="D347" s="196"/>
      <c r="E347" s="196"/>
      <c r="G347" s="55"/>
      <c r="H347" s="193"/>
    </row>
    <row r="348" ht="14.25" customHeight="1">
      <c r="B348" s="19"/>
      <c r="C348" s="195"/>
      <c r="D348" s="196"/>
      <c r="E348" s="196"/>
      <c r="G348" s="55"/>
      <c r="H348" s="193"/>
    </row>
    <row r="349" ht="14.25" customHeight="1">
      <c r="B349" s="19"/>
      <c r="C349" s="195"/>
      <c r="D349" s="196"/>
      <c r="E349" s="196"/>
      <c r="G349" s="55"/>
      <c r="H349" s="193"/>
    </row>
    <row r="350" ht="14.25" customHeight="1">
      <c r="B350" s="19"/>
      <c r="C350" s="195"/>
      <c r="D350" s="196"/>
      <c r="E350" s="196"/>
      <c r="G350" s="55"/>
      <c r="H350" s="193"/>
    </row>
    <row r="351" ht="14.25" customHeight="1">
      <c r="B351" s="19"/>
      <c r="C351" s="195"/>
      <c r="D351" s="196"/>
      <c r="E351" s="196"/>
      <c r="G351" s="55"/>
      <c r="H351" s="193"/>
    </row>
    <row r="352" ht="14.25" customHeight="1">
      <c r="B352" s="19"/>
      <c r="C352" s="195"/>
      <c r="D352" s="196"/>
      <c r="E352" s="196"/>
      <c r="G352" s="55"/>
      <c r="H352" s="193"/>
    </row>
    <row r="353" ht="14.25" customHeight="1">
      <c r="B353" s="19"/>
      <c r="C353" s="195"/>
      <c r="D353" s="196"/>
      <c r="E353" s="196"/>
      <c r="G353" s="55"/>
      <c r="H353" s="193"/>
    </row>
    <row r="354" ht="14.25" customHeight="1">
      <c r="B354" s="19"/>
      <c r="C354" s="195"/>
      <c r="D354" s="196"/>
      <c r="E354" s="196"/>
      <c r="G354" s="55"/>
      <c r="H354" s="193"/>
    </row>
    <row r="355" ht="14.25" customHeight="1">
      <c r="B355" s="19"/>
      <c r="C355" s="195"/>
      <c r="D355" s="196"/>
      <c r="E355" s="196"/>
      <c r="G355" s="55"/>
      <c r="H355" s="193"/>
    </row>
    <row r="356" ht="14.25" customHeight="1">
      <c r="B356" s="19"/>
      <c r="C356" s="195"/>
      <c r="D356" s="196"/>
      <c r="E356" s="196"/>
      <c r="G356" s="55"/>
      <c r="H356" s="193"/>
    </row>
    <row r="357" ht="14.25" customHeight="1">
      <c r="B357" s="19"/>
      <c r="C357" s="195"/>
      <c r="D357" s="196"/>
      <c r="E357" s="196"/>
      <c r="G357" s="55"/>
      <c r="H357" s="193"/>
    </row>
    <row r="358" ht="14.25" customHeight="1">
      <c r="B358" s="19"/>
      <c r="C358" s="195"/>
      <c r="D358" s="196"/>
      <c r="E358" s="196"/>
      <c r="G358" s="55"/>
      <c r="H358" s="193"/>
    </row>
    <row r="359" ht="14.25" customHeight="1">
      <c r="B359" s="19"/>
      <c r="C359" s="195"/>
      <c r="D359" s="196"/>
      <c r="E359" s="196"/>
      <c r="G359" s="55"/>
      <c r="H359" s="193"/>
    </row>
    <row r="360" ht="14.25" customHeight="1">
      <c r="B360" s="19"/>
      <c r="C360" s="195"/>
      <c r="D360" s="196"/>
      <c r="E360" s="196"/>
      <c r="G360" s="55"/>
      <c r="H360" s="193"/>
    </row>
    <row r="361" ht="14.25" customHeight="1">
      <c r="B361" s="19"/>
      <c r="C361" s="195"/>
      <c r="D361" s="196"/>
      <c r="E361" s="196"/>
      <c r="G361" s="55"/>
      <c r="H361" s="193"/>
    </row>
    <row r="362" ht="14.25" customHeight="1">
      <c r="B362" s="19"/>
      <c r="C362" s="195"/>
      <c r="D362" s="196"/>
      <c r="E362" s="196"/>
      <c r="G362" s="55"/>
      <c r="H362" s="193"/>
    </row>
    <row r="363" ht="14.25" customHeight="1">
      <c r="B363" s="19"/>
      <c r="C363" s="195"/>
      <c r="D363" s="196"/>
      <c r="E363" s="196"/>
      <c r="G363" s="55"/>
      <c r="H363" s="193"/>
    </row>
    <row r="364" ht="14.25" customHeight="1">
      <c r="B364" s="19"/>
      <c r="C364" s="195"/>
      <c r="D364" s="196"/>
      <c r="E364" s="196"/>
      <c r="G364" s="55"/>
      <c r="H364" s="193"/>
    </row>
    <row r="365" ht="14.25" customHeight="1">
      <c r="B365" s="19"/>
      <c r="C365" s="195"/>
      <c r="D365" s="196"/>
      <c r="E365" s="196"/>
      <c r="G365" s="55"/>
      <c r="H365" s="193"/>
    </row>
    <row r="366" ht="14.25" customHeight="1">
      <c r="B366" s="19"/>
      <c r="C366" s="195"/>
      <c r="D366" s="196"/>
      <c r="E366" s="196"/>
      <c r="G366" s="55"/>
      <c r="H366" s="193"/>
    </row>
    <row r="367" ht="14.25" customHeight="1">
      <c r="B367" s="19"/>
      <c r="C367" s="195"/>
      <c r="D367" s="196"/>
      <c r="E367" s="196"/>
      <c r="G367" s="55"/>
      <c r="H367" s="193"/>
    </row>
    <row r="368" ht="14.25" customHeight="1">
      <c r="B368" s="19"/>
      <c r="C368" s="195"/>
      <c r="D368" s="196"/>
      <c r="E368" s="196"/>
      <c r="G368" s="55"/>
      <c r="H368" s="193"/>
    </row>
    <row r="369" ht="14.25" customHeight="1">
      <c r="B369" s="19"/>
      <c r="C369" s="195"/>
      <c r="D369" s="196"/>
      <c r="E369" s="196"/>
      <c r="G369" s="55"/>
      <c r="H369" s="193"/>
    </row>
    <row r="370" ht="14.25" customHeight="1">
      <c r="B370" s="19"/>
      <c r="C370" s="195"/>
      <c r="D370" s="196"/>
      <c r="E370" s="196"/>
      <c r="G370" s="55"/>
      <c r="H370" s="193"/>
    </row>
    <row r="371" ht="14.25" customHeight="1">
      <c r="B371" s="19"/>
      <c r="C371" s="195"/>
      <c r="D371" s="196"/>
      <c r="E371" s="196"/>
      <c r="G371" s="55"/>
      <c r="H371" s="193"/>
    </row>
    <row r="372" ht="14.25" customHeight="1">
      <c r="B372" s="19"/>
      <c r="C372" s="195"/>
      <c r="D372" s="196"/>
      <c r="E372" s="196"/>
      <c r="G372" s="55"/>
      <c r="H372" s="193"/>
    </row>
    <row r="373" ht="14.25" customHeight="1">
      <c r="B373" s="19"/>
      <c r="C373" s="195"/>
      <c r="D373" s="196"/>
      <c r="E373" s="196"/>
      <c r="G373" s="55"/>
      <c r="H373" s="193"/>
    </row>
    <row r="374" ht="14.25" customHeight="1">
      <c r="B374" s="19"/>
      <c r="C374" s="195"/>
      <c r="D374" s="196"/>
      <c r="E374" s="196"/>
      <c r="G374" s="55"/>
      <c r="H374" s="193"/>
    </row>
    <row r="375" ht="14.25" customHeight="1">
      <c r="B375" s="19"/>
      <c r="C375" s="195"/>
      <c r="D375" s="196"/>
      <c r="E375" s="196"/>
      <c r="G375" s="55"/>
      <c r="H375" s="193"/>
    </row>
    <row r="376" ht="14.25" customHeight="1">
      <c r="B376" s="19"/>
      <c r="C376" s="195"/>
      <c r="D376" s="196"/>
      <c r="E376" s="196"/>
      <c r="G376" s="55"/>
      <c r="H376" s="193"/>
    </row>
    <row r="377" ht="14.25" customHeight="1">
      <c r="B377" s="19"/>
      <c r="C377" s="195"/>
      <c r="D377" s="196"/>
      <c r="E377" s="196"/>
      <c r="G377" s="55"/>
      <c r="H377" s="193"/>
    </row>
    <row r="378" ht="14.25" customHeight="1">
      <c r="B378" s="19"/>
      <c r="C378" s="195"/>
      <c r="D378" s="196"/>
      <c r="E378" s="196"/>
      <c r="G378" s="55"/>
      <c r="H378" s="193"/>
    </row>
    <row r="379" ht="14.25" customHeight="1">
      <c r="B379" s="19"/>
      <c r="C379" s="195"/>
      <c r="D379" s="196"/>
      <c r="E379" s="196"/>
      <c r="G379" s="55"/>
      <c r="H379" s="193"/>
    </row>
    <row r="380" ht="14.25" customHeight="1">
      <c r="B380" s="19"/>
      <c r="C380" s="195"/>
      <c r="D380" s="196"/>
      <c r="E380" s="196"/>
      <c r="G380" s="55"/>
      <c r="H380" s="193"/>
    </row>
    <row r="381" ht="14.25" customHeight="1">
      <c r="B381" s="19"/>
      <c r="C381" s="195"/>
      <c r="D381" s="196"/>
      <c r="E381" s="196"/>
      <c r="G381" s="55"/>
      <c r="H381" s="193"/>
    </row>
    <row r="382" ht="14.25" customHeight="1">
      <c r="B382" s="19"/>
      <c r="C382" s="195"/>
      <c r="D382" s="196"/>
      <c r="E382" s="196"/>
      <c r="G382" s="55"/>
      <c r="H382" s="193"/>
    </row>
    <row r="383" ht="14.25" customHeight="1">
      <c r="B383" s="19"/>
      <c r="C383" s="195"/>
      <c r="D383" s="196"/>
      <c r="E383" s="196"/>
      <c r="G383" s="55"/>
      <c r="H383" s="193"/>
    </row>
    <row r="384" ht="14.25" customHeight="1">
      <c r="B384" s="19"/>
      <c r="C384" s="195"/>
      <c r="D384" s="196"/>
      <c r="E384" s="196"/>
      <c r="G384" s="55"/>
      <c r="H384" s="193"/>
    </row>
    <row r="385" ht="14.25" customHeight="1">
      <c r="B385" s="19"/>
      <c r="C385" s="195"/>
      <c r="D385" s="196"/>
      <c r="E385" s="196"/>
      <c r="G385" s="55"/>
      <c r="H385" s="193"/>
    </row>
    <row r="386" ht="14.25" customHeight="1">
      <c r="B386" s="19"/>
      <c r="C386" s="195"/>
      <c r="D386" s="196"/>
      <c r="E386" s="196"/>
      <c r="G386" s="55"/>
      <c r="H386" s="193"/>
    </row>
    <row r="387" ht="14.25" customHeight="1">
      <c r="B387" s="19"/>
      <c r="C387" s="195"/>
      <c r="D387" s="196"/>
      <c r="E387" s="196"/>
      <c r="G387" s="55"/>
      <c r="H387" s="193"/>
    </row>
    <row r="388" ht="14.25" customHeight="1">
      <c r="B388" s="19"/>
      <c r="C388" s="195"/>
      <c r="D388" s="196"/>
      <c r="E388" s="196"/>
      <c r="G388" s="55"/>
      <c r="H388" s="193"/>
    </row>
    <row r="389" ht="14.25" customHeight="1">
      <c r="B389" s="19"/>
      <c r="C389" s="195"/>
      <c r="D389" s="196"/>
      <c r="E389" s="196"/>
      <c r="G389" s="55"/>
      <c r="H389" s="193"/>
    </row>
    <row r="390" ht="14.25" customHeight="1">
      <c r="B390" s="19"/>
      <c r="C390" s="195"/>
      <c r="D390" s="196"/>
      <c r="E390" s="196"/>
      <c r="G390" s="55"/>
      <c r="H390" s="193"/>
    </row>
    <row r="391" ht="14.25" customHeight="1">
      <c r="B391" s="19"/>
      <c r="C391" s="195"/>
      <c r="D391" s="196"/>
      <c r="E391" s="196"/>
      <c r="G391" s="55"/>
      <c r="H391" s="193"/>
    </row>
    <row r="392" ht="14.25" customHeight="1">
      <c r="B392" s="19"/>
      <c r="C392" s="195"/>
      <c r="D392" s="196"/>
      <c r="E392" s="196"/>
      <c r="G392" s="55"/>
      <c r="H392" s="193"/>
    </row>
    <row r="393" ht="14.25" customHeight="1">
      <c r="B393" s="19"/>
      <c r="C393" s="195"/>
      <c r="D393" s="196"/>
      <c r="E393" s="196"/>
      <c r="G393" s="55"/>
      <c r="H393" s="193"/>
    </row>
    <row r="394" ht="14.25" customHeight="1">
      <c r="B394" s="19"/>
      <c r="C394" s="195"/>
      <c r="D394" s="196"/>
      <c r="E394" s="196"/>
      <c r="G394" s="55"/>
      <c r="H394" s="193"/>
    </row>
    <row r="395" ht="14.25" customHeight="1">
      <c r="B395" s="19"/>
      <c r="C395" s="195"/>
      <c r="D395" s="196"/>
      <c r="E395" s="196"/>
      <c r="G395" s="55"/>
      <c r="H395" s="193"/>
    </row>
    <row r="396" ht="14.25" customHeight="1">
      <c r="B396" s="19"/>
      <c r="C396" s="195"/>
      <c r="D396" s="196"/>
      <c r="E396" s="196"/>
      <c r="G396" s="55"/>
      <c r="H396" s="193"/>
    </row>
    <row r="397" ht="14.25" customHeight="1">
      <c r="B397" s="19"/>
      <c r="C397" s="195"/>
      <c r="D397" s="196"/>
      <c r="E397" s="196"/>
      <c r="G397" s="55"/>
      <c r="H397" s="193"/>
    </row>
    <row r="398" ht="14.25" customHeight="1">
      <c r="B398" s="19"/>
      <c r="C398" s="195"/>
      <c r="D398" s="196"/>
      <c r="E398" s="196"/>
      <c r="G398" s="55"/>
      <c r="H398" s="193"/>
    </row>
    <row r="399" ht="14.25" customHeight="1">
      <c r="B399" s="19"/>
      <c r="C399" s="195"/>
      <c r="D399" s="196"/>
      <c r="E399" s="196"/>
      <c r="G399" s="55"/>
      <c r="H399" s="193"/>
    </row>
    <row r="400" ht="14.25" customHeight="1">
      <c r="B400" s="19"/>
      <c r="C400" s="195"/>
      <c r="D400" s="196"/>
      <c r="E400" s="196"/>
      <c r="G400" s="55"/>
      <c r="H400" s="193"/>
    </row>
    <row r="401" ht="14.25" customHeight="1">
      <c r="B401" s="19"/>
      <c r="C401" s="195"/>
      <c r="D401" s="196"/>
      <c r="E401" s="196"/>
      <c r="G401" s="55"/>
      <c r="H401" s="193"/>
    </row>
    <row r="402" ht="14.25" customHeight="1">
      <c r="B402" s="19"/>
      <c r="C402" s="195"/>
      <c r="D402" s="196"/>
      <c r="E402" s="196"/>
      <c r="G402" s="55"/>
      <c r="H402" s="193"/>
    </row>
    <row r="403" ht="14.25" customHeight="1">
      <c r="B403" s="19"/>
      <c r="C403" s="195"/>
      <c r="D403" s="196"/>
      <c r="E403" s="196"/>
      <c r="G403" s="55"/>
      <c r="H403" s="193"/>
    </row>
    <row r="404" ht="14.25" customHeight="1">
      <c r="B404" s="19"/>
      <c r="C404" s="195"/>
      <c r="D404" s="196"/>
      <c r="E404" s="196"/>
      <c r="G404" s="55"/>
      <c r="H404" s="193"/>
    </row>
    <row r="405" ht="14.25" customHeight="1">
      <c r="B405" s="19"/>
      <c r="C405" s="195"/>
      <c r="D405" s="196"/>
      <c r="E405" s="196"/>
      <c r="G405" s="55"/>
      <c r="H405" s="193"/>
    </row>
    <row r="406" ht="14.25" customHeight="1">
      <c r="B406" s="19"/>
      <c r="C406" s="195"/>
      <c r="D406" s="196"/>
      <c r="E406" s="196"/>
      <c r="G406" s="55"/>
      <c r="H406" s="193"/>
    </row>
    <row r="407" ht="14.25" customHeight="1">
      <c r="B407" s="19"/>
      <c r="C407" s="195"/>
      <c r="D407" s="196"/>
      <c r="E407" s="196"/>
      <c r="G407" s="55"/>
      <c r="H407" s="193"/>
    </row>
    <row r="408" ht="14.25" customHeight="1">
      <c r="B408" s="19"/>
      <c r="C408" s="195"/>
      <c r="D408" s="196"/>
      <c r="E408" s="196"/>
      <c r="G408" s="55"/>
      <c r="H408" s="193"/>
    </row>
    <row r="409" ht="14.25" customHeight="1">
      <c r="B409" s="19"/>
      <c r="C409" s="195"/>
      <c r="D409" s="196"/>
      <c r="E409" s="196"/>
      <c r="G409" s="55"/>
      <c r="H409" s="193"/>
    </row>
    <row r="410" ht="14.25" customHeight="1">
      <c r="B410" s="19"/>
      <c r="C410" s="195"/>
      <c r="D410" s="196"/>
      <c r="E410" s="196"/>
      <c r="G410" s="55"/>
      <c r="H410" s="193"/>
    </row>
    <row r="411" ht="14.25" customHeight="1">
      <c r="B411" s="19"/>
      <c r="C411" s="195"/>
      <c r="D411" s="196"/>
      <c r="E411" s="196"/>
      <c r="G411" s="55"/>
      <c r="H411" s="193"/>
    </row>
    <row r="412" ht="14.25" customHeight="1">
      <c r="B412" s="19"/>
      <c r="C412" s="195"/>
      <c r="D412" s="196"/>
      <c r="E412" s="196"/>
      <c r="G412" s="55"/>
      <c r="H412" s="193"/>
    </row>
    <row r="413" ht="14.25" customHeight="1">
      <c r="B413" s="19"/>
      <c r="C413" s="195"/>
      <c r="D413" s="196"/>
      <c r="E413" s="196"/>
      <c r="G413" s="55"/>
      <c r="H413" s="193"/>
    </row>
    <row r="414" ht="14.25" customHeight="1">
      <c r="B414" s="19"/>
      <c r="C414" s="195"/>
      <c r="D414" s="196"/>
      <c r="E414" s="196"/>
      <c r="G414" s="55"/>
      <c r="H414" s="193"/>
    </row>
    <row r="415" ht="14.25" customHeight="1">
      <c r="B415" s="19"/>
      <c r="C415" s="195"/>
      <c r="D415" s="196"/>
      <c r="E415" s="196"/>
      <c r="G415" s="55"/>
      <c r="H415" s="193"/>
    </row>
    <row r="416" ht="14.25" customHeight="1">
      <c r="B416" s="19"/>
      <c r="C416" s="195"/>
      <c r="D416" s="196"/>
      <c r="E416" s="196"/>
      <c r="G416" s="55"/>
      <c r="H416" s="193"/>
    </row>
    <row r="417" ht="14.25" customHeight="1">
      <c r="B417" s="19"/>
      <c r="C417" s="195"/>
      <c r="D417" s="196"/>
      <c r="E417" s="196"/>
      <c r="G417" s="55"/>
      <c r="H417" s="193"/>
    </row>
    <row r="418" ht="14.25" customHeight="1">
      <c r="B418" s="19"/>
      <c r="C418" s="195"/>
      <c r="D418" s="196"/>
      <c r="E418" s="196"/>
      <c r="G418" s="55"/>
      <c r="H418" s="193"/>
    </row>
    <row r="419" ht="14.25" customHeight="1">
      <c r="B419" s="19"/>
      <c r="C419" s="195"/>
      <c r="D419" s="196"/>
      <c r="E419" s="196"/>
      <c r="G419" s="55"/>
      <c r="H419" s="193"/>
    </row>
    <row r="420" ht="14.25" customHeight="1">
      <c r="B420" s="19"/>
      <c r="C420" s="195"/>
      <c r="D420" s="196"/>
      <c r="E420" s="196"/>
      <c r="G420" s="55"/>
      <c r="H420" s="193"/>
    </row>
    <row r="421" ht="14.25" customHeight="1">
      <c r="B421" s="19"/>
      <c r="C421" s="195"/>
      <c r="D421" s="196"/>
      <c r="E421" s="196"/>
      <c r="G421" s="55"/>
      <c r="H421" s="193"/>
    </row>
    <row r="422" ht="14.25" customHeight="1">
      <c r="B422" s="19"/>
      <c r="C422" s="195"/>
      <c r="D422" s="196"/>
      <c r="E422" s="196"/>
      <c r="G422" s="55"/>
      <c r="H422" s="193"/>
    </row>
    <row r="423" ht="14.25" customHeight="1">
      <c r="B423" s="19"/>
      <c r="C423" s="195"/>
      <c r="D423" s="196"/>
      <c r="E423" s="196"/>
      <c r="G423" s="55"/>
      <c r="H423" s="193"/>
    </row>
    <row r="424" ht="14.25" customHeight="1">
      <c r="B424" s="19"/>
      <c r="C424" s="195"/>
      <c r="D424" s="196"/>
      <c r="E424" s="196"/>
      <c r="G424" s="55"/>
      <c r="H424" s="193"/>
    </row>
    <row r="425" ht="14.25" customHeight="1">
      <c r="B425" s="19"/>
      <c r="C425" s="195"/>
      <c r="D425" s="196"/>
      <c r="E425" s="196"/>
      <c r="G425" s="55"/>
      <c r="H425" s="193"/>
    </row>
    <row r="426" ht="14.25" customHeight="1">
      <c r="B426" s="19"/>
      <c r="C426" s="195"/>
      <c r="D426" s="196"/>
      <c r="E426" s="196"/>
      <c r="G426" s="55"/>
      <c r="H426" s="193"/>
    </row>
    <row r="427" ht="14.25" customHeight="1">
      <c r="B427" s="19"/>
      <c r="C427" s="195"/>
      <c r="D427" s="196"/>
      <c r="E427" s="196"/>
      <c r="G427" s="55"/>
      <c r="H427" s="193"/>
    </row>
    <row r="428" ht="14.25" customHeight="1">
      <c r="B428" s="19"/>
      <c r="C428" s="195"/>
      <c r="D428" s="196"/>
      <c r="E428" s="196"/>
      <c r="G428" s="55"/>
      <c r="H428" s="193"/>
    </row>
    <row r="429" ht="14.25" customHeight="1">
      <c r="B429" s="19"/>
      <c r="C429" s="195"/>
      <c r="D429" s="196"/>
      <c r="E429" s="196"/>
      <c r="G429" s="55"/>
      <c r="H429" s="193"/>
    </row>
    <row r="430" ht="14.25" customHeight="1">
      <c r="B430" s="19"/>
      <c r="C430" s="195"/>
      <c r="D430" s="196"/>
      <c r="E430" s="196"/>
      <c r="G430" s="55"/>
      <c r="H430" s="193"/>
    </row>
    <row r="431" ht="14.25" customHeight="1">
      <c r="B431" s="19"/>
      <c r="C431" s="195"/>
      <c r="D431" s="196"/>
      <c r="E431" s="196"/>
      <c r="G431" s="55"/>
      <c r="H431" s="193"/>
    </row>
    <row r="432" ht="14.25" customHeight="1">
      <c r="B432" s="19"/>
      <c r="C432" s="195"/>
      <c r="D432" s="196"/>
      <c r="E432" s="196"/>
      <c r="G432" s="55"/>
      <c r="H432" s="193"/>
    </row>
    <row r="433" ht="14.25" customHeight="1">
      <c r="B433" s="19"/>
      <c r="C433" s="195"/>
      <c r="D433" s="196"/>
      <c r="E433" s="196"/>
      <c r="G433" s="55"/>
      <c r="H433" s="193"/>
    </row>
    <row r="434" ht="14.25" customHeight="1">
      <c r="B434" s="19"/>
      <c r="C434" s="195"/>
      <c r="D434" s="196"/>
      <c r="E434" s="196"/>
      <c r="G434" s="55"/>
      <c r="H434" s="193"/>
    </row>
    <row r="435" ht="14.25" customHeight="1">
      <c r="B435" s="19"/>
      <c r="C435" s="195"/>
      <c r="D435" s="196"/>
      <c r="E435" s="196"/>
      <c r="G435" s="55"/>
      <c r="H435" s="193"/>
    </row>
    <row r="436" ht="14.25" customHeight="1">
      <c r="B436" s="19"/>
      <c r="C436" s="195"/>
      <c r="D436" s="196"/>
      <c r="E436" s="196"/>
      <c r="G436" s="55"/>
      <c r="H436" s="193"/>
    </row>
    <row r="437" ht="14.25" customHeight="1">
      <c r="B437" s="19"/>
      <c r="C437" s="195"/>
      <c r="D437" s="196"/>
      <c r="E437" s="196"/>
      <c r="G437" s="55"/>
      <c r="H437" s="193"/>
    </row>
    <row r="438" ht="14.25" customHeight="1">
      <c r="B438" s="19"/>
      <c r="C438" s="195"/>
      <c r="D438" s="196"/>
      <c r="E438" s="196"/>
      <c r="G438" s="55"/>
      <c r="H438" s="193"/>
    </row>
    <row r="439" ht="14.25" customHeight="1">
      <c r="B439" s="19"/>
      <c r="C439" s="195"/>
      <c r="D439" s="196"/>
      <c r="E439" s="196"/>
      <c r="G439" s="55"/>
      <c r="H439" s="193"/>
    </row>
    <row r="440" ht="14.25" customHeight="1">
      <c r="B440" s="19"/>
      <c r="C440" s="195"/>
      <c r="D440" s="196"/>
      <c r="E440" s="196"/>
      <c r="G440" s="55"/>
      <c r="H440" s="193"/>
    </row>
    <row r="441" ht="14.25" customHeight="1">
      <c r="B441" s="19"/>
      <c r="C441" s="195"/>
      <c r="D441" s="196"/>
      <c r="E441" s="196"/>
      <c r="G441" s="55"/>
      <c r="H441" s="193"/>
    </row>
    <row r="442" ht="14.25" customHeight="1">
      <c r="B442" s="19"/>
      <c r="C442" s="195"/>
      <c r="D442" s="196"/>
      <c r="E442" s="196"/>
      <c r="G442" s="55"/>
      <c r="H442" s="193"/>
    </row>
    <row r="443" ht="14.25" customHeight="1">
      <c r="B443" s="19"/>
      <c r="C443" s="195"/>
      <c r="D443" s="196"/>
      <c r="E443" s="196"/>
      <c r="G443" s="55"/>
      <c r="H443" s="193"/>
    </row>
    <row r="444" ht="14.25" customHeight="1">
      <c r="B444" s="19"/>
      <c r="C444" s="195"/>
      <c r="D444" s="196"/>
      <c r="E444" s="196"/>
      <c r="G444" s="55"/>
      <c r="H444" s="193"/>
    </row>
    <row r="445" ht="14.25" customHeight="1">
      <c r="B445" s="19"/>
      <c r="C445" s="195"/>
      <c r="D445" s="196"/>
      <c r="E445" s="196"/>
      <c r="G445" s="55"/>
      <c r="H445" s="193"/>
    </row>
    <row r="446" ht="14.25" customHeight="1">
      <c r="B446" s="19"/>
      <c r="C446" s="195"/>
      <c r="D446" s="196"/>
      <c r="E446" s="196"/>
      <c r="G446" s="55"/>
      <c r="H446" s="193"/>
    </row>
    <row r="447" ht="14.25" customHeight="1">
      <c r="B447" s="19"/>
      <c r="C447" s="195"/>
      <c r="D447" s="196"/>
      <c r="E447" s="196"/>
      <c r="G447" s="55"/>
      <c r="H447" s="193"/>
    </row>
    <row r="448" ht="14.25" customHeight="1">
      <c r="B448" s="19"/>
      <c r="C448" s="195"/>
      <c r="D448" s="196"/>
      <c r="E448" s="196"/>
      <c r="G448" s="55"/>
      <c r="H448" s="193"/>
    </row>
    <row r="449" ht="14.25" customHeight="1">
      <c r="B449" s="19"/>
      <c r="C449" s="195"/>
      <c r="D449" s="196"/>
      <c r="E449" s="196"/>
      <c r="G449" s="55"/>
      <c r="H449" s="193"/>
    </row>
    <row r="450" ht="14.25" customHeight="1">
      <c r="B450" s="19"/>
      <c r="C450" s="195"/>
      <c r="D450" s="196"/>
      <c r="E450" s="196"/>
      <c r="G450" s="55"/>
      <c r="H450" s="193"/>
    </row>
    <row r="451" ht="14.25" customHeight="1">
      <c r="B451" s="19"/>
      <c r="C451" s="195"/>
      <c r="D451" s="196"/>
      <c r="E451" s="196"/>
      <c r="G451" s="55"/>
      <c r="H451" s="193"/>
    </row>
    <row r="452" ht="14.25" customHeight="1">
      <c r="B452" s="19"/>
      <c r="C452" s="195"/>
      <c r="D452" s="196"/>
      <c r="E452" s="196"/>
      <c r="G452" s="55"/>
      <c r="H452" s="193"/>
    </row>
    <row r="453" ht="14.25" customHeight="1">
      <c r="B453" s="19"/>
      <c r="C453" s="195"/>
      <c r="D453" s="196"/>
      <c r="E453" s="196"/>
      <c r="G453" s="55"/>
      <c r="H453" s="193"/>
    </row>
    <row r="454" ht="14.25" customHeight="1">
      <c r="B454" s="19"/>
      <c r="C454" s="195"/>
      <c r="D454" s="196"/>
      <c r="E454" s="196"/>
      <c r="G454" s="55"/>
      <c r="H454" s="193"/>
    </row>
    <row r="455" ht="14.25" customHeight="1">
      <c r="B455" s="19"/>
      <c r="C455" s="195"/>
      <c r="D455" s="196"/>
      <c r="E455" s="196"/>
      <c r="G455" s="55"/>
      <c r="H455" s="193"/>
    </row>
    <row r="456" ht="14.25" customHeight="1">
      <c r="B456" s="19"/>
      <c r="C456" s="195"/>
      <c r="D456" s="196"/>
      <c r="E456" s="196"/>
      <c r="G456" s="55"/>
      <c r="H456" s="193"/>
    </row>
    <row r="457" ht="14.25" customHeight="1">
      <c r="B457" s="19"/>
      <c r="C457" s="195"/>
      <c r="D457" s="196"/>
      <c r="E457" s="196"/>
      <c r="G457" s="55"/>
      <c r="H457" s="193"/>
    </row>
    <row r="458" ht="14.25" customHeight="1">
      <c r="B458" s="19"/>
      <c r="C458" s="195"/>
      <c r="D458" s="196"/>
      <c r="E458" s="196"/>
      <c r="G458" s="55"/>
      <c r="H458" s="193"/>
    </row>
    <row r="459" ht="14.25" customHeight="1">
      <c r="B459" s="19"/>
      <c r="C459" s="195"/>
      <c r="D459" s="196"/>
      <c r="E459" s="196"/>
      <c r="G459" s="55"/>
      <c r="H459" s="193"/>
    </row>
    <row r="460" ht="14.25" customHeight="1">
      <c r="B460" s="19"/>
      <c r="C460" s="195"/>
      <c r="D460" s="196"/>
      <c r="E460" s="196"/>
      <c r="G460" s="55"/>
      <c r="H460" s="193"/>
    </row>
    <row r="461" ht="14.25" customHeight="1">
      <c r="B461" s="19"/>
      <c r="C461" s="195"/>
      <c r="D461" s="196"/>
      <c r="E461" s="196"/>
      <c r="G461" s="55"/>
      <c r="H461" s="193"/>
    </row>
    <row r="462" ht="14.25" customHeight="1">
      <c r="B462" s="19"/>
      <c r="C462" s="195"/>
      <c r="D462" s="196"/>
      <c r="E462" s="196"/>
      <c r="G462" s="55"/>
      <c r="H462" s="193"/>
    </row>
    <row r="463" ht="14.25" customHeight="1">
      <c r="B463" s="19"/>
      <c r="C463" s="195"/>
      <c r="D463" s="196"/>
      <c r="E463" s="196"/>
      <c r="G463" s="55"/>
      <c r="H463" s="193"/>
    </row>
    <row r="464" ht="14.25" customHeight="1">
      <c r="B464" s="19"/>
      <c r="C464" s="195"/>
      <c r="D464" s="196"/>
      <c r="E464" s="196"/>
      <c r="G464" s="55"/>
      <c r="H464" s="193"/>
    </row>
    <row r="465" ht="14.25" customHeight="1">
      <c r="B465" s="19"/>
      <c r="C465" s="195"/>
      <c r="D465" s="196"/>
      <c r="E465" s="196"/>
      <c r="G465" s="55"/>
      <c r="H465" s="193"/>
    </row>
    <row r="466" ht="14.25" customHeight="1">
      <c r="B466" s="19"/>
      <c r="C466" s="195"/>
      <c r="D466" s="196"/>
      <c r="E466" s="196"/>
      <c r="G466" s="55"/>
      <c r="H466" s="193"/>
    </row>
    <row r="467" ht="14.25" customHeight="1">
      <c r="B467" s="19"/>
      <c r="C467" s="195"/>
      <c r="D467" s="196"/>
      <c r="E467" s="196"/>
      <c r="G467" s="55"/>
      <c r="H467" s="193"/>
    </row>
    <row r="468" ht="14.25" customHeight="1">
      <c r="B468" s="19"/>
      <c r="C468" s="195"/>
      <c r="D468" s="196"/>
      <c r="E468" s="196"/>
      <c r="G468" s="55"/>
      <c r="H468" s="193"/>
    </row>
    <row r="469" ht="14.25" customHeight="1">
      <c r="B469" s="19"/>
      <c r="C469" s="195"/>
      <c r="D469" s="196"/>
      <c r="E469" s="196"/>
      <c r="G469" s="55"/>
      <c r="H469" s="193"/>
    </row>
    <row r="470" ht="14.25" customHeight="1">
      <c r="B470" s="19"/>
      <c r="C470" s="195"/>
      <c r="D470" s="196"/>
      <c r="E470" s="196"/>
      <c r="G470" s="55"/>
      <c r="H470" s="193"/>
    </row>
    <row r="471" ht="14.25" customHeight="1">
      <c r="B471" s="19"/>
      <c r="C471" s="195"/>
      <c r="D471" s="196"/>
      <c r="E471" s="196"/>
      <c r="G471" s="55"/>
      <c r="H471" s="193"/>
    </row>
    <row r="472" ht="14.25" customHeight="1">
      <c r="B472" s="19"/>
      <c r="C472" s="195"/>
      <c r="D472" s="196"/>
      <c r="E472" s="196"/>
      <c r="G472" s="55"/>
      <c r="H472" s="193"/>
    </row>
    <row r="473" ht="14.25" customHeight="1">
      <c r="B473" s="19"/>
      <c r="C473" s="195"/>
      <c r="D473" s="196"/>
      <c r="E473" s="196"/>
      <c r="G473" s="55"/>
      <c r="H473" s="193"/>
    </row>
    <row r="474" ht="14.25" customHeight="1">
      <c r="B474" s="19"/>
      <c r="C474" s="195"/>
      <c r="D474" s="196"/>
      <c r="E474" s="196"/>
      <c r="G474" s="55"/>
      <c r="H474" s="193"/>
    </row>
    <row r="475" ht="14.25" customHeight="1">
      <c r="B475" s="19"/>
      <c r="C475" s="195"/>
      <c r="D475" s="196"/>
      <c r="E475" s="196"/>
      <c r="G475" s="55"/>
      <c r="H475" s="193"/>
    </row>
    <row r="476" ht="14.25" customHeight="1">
      <c r="B476" s="19"/>
      <c r="C476" s="195"/>
      <c r="D476" s="196"/>
      <c r="E476" s="196"/>
      <c r="G476" s="55"/>
      <c r="H476" s="193"/>
    </row>
    <row r="477" ht="14.25" customHeight="1">
      <c r="B477" s="19"/>
      <c r="C477" s="195"/>
      <c r="D477" s="196"/>
      <c r="E477" s="196"/>
      <c r="G477" s="55"/>
      <c r="H477" s="193"/>
    </row>
    <row r="478" ht="14.25" customHeight="1">
      <c r="B478" s="19"/>
      <c r="C478" s="195"/>
      <c r="D478" s="196"/>
      <c r="E478" s="196"/>
      <c r="G478" s="55"/>
      <c r="H478" s="193"/>
    </row>
    <row r="479" ht="14.25" customHeight="1">
      <c r="B479" s="19"/>
      <c r="C479" s="195"/>
      <c r="D479" s="196"/>
      <c r="E479" s="196"/>
      <c r="G479" s="55"/>
      <c r="H479" s="193"/>
    </row>
    <row r="480" ht="14.25" customHeight="1">
      <c r="B480" s="19"/>
      <c r="C480" s="195"/>
      <c r="D480" s="196"/>
      <c r="E480" s="196"/>
      <c r="G480" s="55"/>
      <c r="H480" s="193"/>
    </row>
    <row r="481" ht="14.25" customHeight="1">
      <c r="B481" s="19"/>
      <c r="C481" s="195"/>
      <c r="D481" s="196"/>
      <c r="E481" s="196"/>
      <c r="G481" s="55"/>
      <c r="H481" s="193"/>
    </row>
    <row r="482" ht="14.25" customHeight="1">
      <c r="B482" s="19"/>
      <c r="C482" s="195"/>
      <c r="D482" s="196"/>
      <c r="E482" s="196"/>
      <c r="G482" s="55"/>
      <c r="H482" s="193"/>
    </row>
    <row r="483" ht="14.25" customHeight="1">
      <c r="B483" s="19"/>
      <c r="C483" s="195"/>
      <c r="D483" s="196"/>
      <c r="E483" s="196"/>
      <c r="G483" s="55"/>
      <c r="H483" s="193"/>
    </row>
    <row r="484" ht="14.25" customHeight="1">
      <c r="B484" s="19"/>
      <c r="C484" s="195"/>
      <c r="D484" s="196"/>
      <c r="E484" s="196"/>
      <c r="G484" s="55"/>
      <c r="H484" s="193"/>
    </row>
    <row r="485" ht="14.25" customHeight="1">
      <c r="B485" s="19"/>
      <c r="C485" s="195"/>
      <c r="D485" s="196"/>
      <c r="E485" s="196"/>
      <c r="G485" s="55"/>
      <c r="H485" s="193"/>
    </row>
    <row r="486" ht="14.25" customHeight="1">
      <c r="B486" s="19"/>
      <c r="C486" s="195"/>
      <c r="D486" s="196"/>
      <c r="E486" s="196"/>
      <c r="G486" s="55"/>
      <c r="H486" s="193"/>
    </row>
    <row r="487" ht="14.25" customHeight="1">
      <c r="B487" s="19"/>
      <c r="C487" s="195"/>
      <c r="D487" s="196"/>
      <c r="E487" s="196"/>
      <c r="G487" s="55"/>
      <c r="H487" s="193"/>
    </row>
    <row r="488" ht="14.25" customHeight="1">
      <c r="B488" s="19"/>
      <c r="C488" s="195"/>
      <c r="D488" s="196"/>
      <c r="E488" s="196"/>
      <c r="G488" s="55"/>
      <c r="H488" s="193"/>
    </row>
    <row r="489" ht="14.25" customHeight="1">
      <c r="B489" s="19"/>
      <c r="C489" s="195"/>
      <c r="D489" s="196"/>
      <c r="E489" s="196"/>
      <c r="G489" s="55"/>
      <c r="H489" s="193"/>
    </row>
    <row r="490" ht="14.25" customHeight="1">
      <c r="B490" s="19"/>
      <c r="C490" s="195"/>
      <c r="D490" s="196"/>
      <c r="E490" s="196"/>
      <c r="G490" s="55"/>
      <c r="H490" s="193"/>
    </row>
    <row r="491" ht="14.25" customHeight="1">
      <c r="B491" s="19"/>
      <c r="C491" s="195"/>
      <c r="D491" s="196"/>
      <c r="E491" s="196"/>
      <c r="G491" s="55"/>
      <c r="H491" s="193"/>
    </row>
    <row r="492" ht="14.25" customHeight="1">
      <c r="B492" s="19"/>
      <c r="C492" s="195"/>
      <c r="D492" s="196"/>
      <c r="E492" s="196"/>
      <c r="G492" s="55"/>
      <c r="H492" s="193"/>
    </row>
    <row r="493" ht="14.25" customHeight="1">
      <c r="B493" s="19"/>
      <c r="C493" s="195"/>
      <c r="D493" s="196"/>
      <c r="E493" s="196"/>
      <c r="G493" s="55"/>
      <c r="H493" s="193"/>
    </row>
    <row r="494" ht="14.25" customHeight="1">
      <c r="B494" s="19"/>
      <c r="C494" s="195"/>
      <c r="D494" s="196"/>
      <c r="E494" s="196"/>
      <c r="G494" s="55"/>
      <c r="H494" s="193"/>
    </row>
    <row r="495" ht="14.25" customHeight="1">
      <c r="B495" s="19"/>
      <c r="C495" s="195"/>
      <c r="D495" s="196"/>
      <c r="E495" s="196"/>
      <c r="G495" s="55"/>
      <c r="H495" s="193"/>
    </row>
    <row r="496" ht="14.25" customHeight="1">
      <c r="B496" s="19"/>
      <c r="C496" s="195"/>
      <c r="D496" s="196"/>
      <c r="E496" s="196"/>
      <c r="G496" s="55"/>
      <c r="H496" s="193"/>
    </row>
    <row r="497" ht="14.25" customHeight="1">
      <c r="B497" s="19"/>
      <c r="C497" s="195"/>
      <c r="D497" s="196"/>
      <c r="E497" s="196"/>
      <c r="G497" s="55"/>
      <c r="H497" s="193"/>
    </row>
    <row r="498" ht="14.25" customHeight="1">
      <c r="B498" s="19"/>
      <c r="C498" s="195"/>
      <c r="D498" s="196"/>
      <c r="E498" s="196"/>
      <c r="G498" s="55"/>
      <c r="H498" s="193"/>
    </row>
    <row r="499" ht="14.25" customHeight="1">
      <c r="B499" s="19"/>
      <c r="C499" s="195"/>
      <c r="D499" s="196"/>
      <c r="E499" s="196"/>
      <c r="G499" s="55"/>
      <c r="H499" s="193"/>
    </row>
    <row r="500" ht="14.25" customHeight="1">
      <c r="B500" s="19"/>
      <c r="C500" s="195"/>
      <c r="D500" s="196"/>
      <c r="E500" s="196"/>
      <c r="G500" s="55"/>
      <c r="H500" s="193"/>
    </row>
    <row r="501" ht="14.25" customHeight="1">
      <c r="B501" s="19"/>
      <c r="C501" s="195"/>
      <c r="D501" s="196"/>
      <c r="E501" s="196"/>
      <c r="G501" s="55"/>
      <c r="H501" s="193"/>
    </row>
    <row r="502" ht="14.25" customHeight="1">
      <c r="B502" s="19"/>
      <c r="C502" s="195"/>
      <c r="D502" s="196"/>
      <c r="E502" s="196"/>
      <c r="G502" s="55"/>
      <c r="H502" s="193"/>
    </row>
    <row r="503" ht="14.25" customHeight="1">
      <c r="B503" s="19"/>
      <c r="C503" s="195"/>
      <c r="D503" s="196"/>
      <c r="E503" s="196"/>
      <c r="G503" s="55"/>
      <c r="H503" s="193"/>
    </row>
    <row r="504" ht="14.25" customHeight="1">
      <c r="B504" s="19"/>
      <c r="C504" s="195"/>
      <c r="D504" s="196"/>
      <c r="E504" s="196"/>
      <c r="G504" s="55"/>
      <c r="H504" s="193"/>
    </row>
    <row r="505" ht="14.25" customHeight="1">
      <c r="B505" s="19"/>
      <c r="C505" s="195"/>
      <c r="D505" s="196"/>
      <c r="E505" s="196"/>
      <c r="G505" s="55"/>
      <c r="H505" s="193"/>
    </row>
    <row r="506" ht="14.25" customHeight="1">
      <c r="B506" s="19"/>
      <c r="C506" s="195"/>
      <c r="D506" s="196"/>
      <c r="E506" s="196"/>
      <c r="G506" s="55"/>
      <c r="H506" s="193"/>
    </row>
    <row r="507" ht="14.25" customHeight="1">
      <c r="B507" s="19"/>
      <c r="C507" s="195"/>
      <c r="D507" s="196"/>
      <c r="E507" s="196"/>
      <c r="G507" s="55"/>
      <c r="H507" s="193"/>
    </row>
    <row r="508" ht="14.25" customHeight="1">
      <c r="B508" s="19"/>
      <c r="C508" s="195"/>
      <c r="D508" s="196"/>
      <c r="E508" s="196"/>
      <c r="G508" s="55"/>
      <c r="H508" s="193"/>
    </row>
    <row r="509" ht="14.25" customHeight="1">
      <c r="B509" s="19"/>
      <c r="C509" s="195"/>
      <c r="D509" s="196"/>
      <c r="E509" s="196"/>
      <c r="G509" s="55"/>
      <c r="H509" s="193"/>
    </row>
    <row r="510" ht="14.25" customHeight="1">
      <c r="B510" s="19"/>
      <c r="C510" s="195"/>
      <c r="D510" s="196"/>
      <c r="E510" s="196"/>
      <c r="G510" s="55"/>
      <c r="H510" s="193"/>
    </row>
    <row r="511" ht="14.25" customHeight="1">
      <c r="B511" s="19"/>
      <c r="C511" s="195"/>
      <c r="D511" s="196"/>
      <c r="E511" s="196"/>
      <c r="G511" s="55"/>
      <c r="H511" s="193"/>
    </row>
    <row r="512" ht="14.25" customHeight="1">
      <c r="B512" s="19"/>
      <c r="C512" s="195"/>
      <c r="D512" s="196"/>
      <c r="E512" s="196"/>
      <c r="G512" s="55"/>
      <c r="H512" s="193"/>
    </row>
    <row r="513" ht="14.25" customHeight="1">
      <c r="B513" s="19"/>
      <c r="C513" s="195"/>
      <c r="D513" s="196"/>
      <c r="E513" s="196"/>
      <c r="G513" s="55"/>
      <c r="H513" s="193"/>
    </row>
    <row r="514" ht="14.25" customHeight="1">
      <c r="B514" s="19"/>
      <c r="C514" s="195"/>
      <c r="D514" s="196"/>
      <c r="E514" s="196"/>
      <c r="G514" s="55"/>
      <c r="H514" s="193"/>
    </row>
    <row r="515" ht="14.25" customHeight="1">
      <c r="B515" s="19"/>
      <c r="C515" s="195"/>
      <c r="D515" s="196"/>
      <c r="E515" s="196"/>
      <c r="G515" s="55"/>
      <c r="H515" s="193"/>
    </row>
    <row r="516" ht="14.25" customHeight="1">
      <c r="B516" s="19"/>
      <c r="C516" s="195"/>
      <c r="D516" s="196"/>
      <c r="E516" s="196"/>
      <c r="G516" s="55"/>
      <c r="H516" s="193"/>
    </row>
    <row r="517" ht="14.25" customHeight="1">
      <c r="B517" s="19"/>
      <c r="C517" s="195"/>
      <c r="D517" s="196"/>
      <c r="E517" s="196"/>
      <c r="G517" s="55"/>
      <c r="H517" s="193"/>
    </row>
    <row r="518" ht="14.25" customHeight="1">
      <c r="B518" s="19"/>
      <c r="C518" s="195"/>
      <c r="D518" s="196"/>
      <c r="E518" s="196"/>
      <c r="G518" s="55"/>
      <c r="H518" s="193"/>
    </row>
    <row r="519" ht="14.25" customHeight="1">
      <c r="B519" s="19"/>
      <c r="C519" s="195"/>
      <c r="D519" s="196"/>
      <c r="E519" s="196"/>
      <c r="G519" s="55"/>
      <c r="H519" s="193"/>
    </row>
    <row r="520" ht="14.25" customHeight="1">
      <c r="B520" s="19"/>
      <c r="C520" s="195"/>
      <c r="D520" s="196"/>
      <c r="E520" s="196"/>
      <c r="G520" s="55"/>
      <c r="H520" s="193"/>
    </row>
    <row r="521" ht="14.25" customHeight="1">
      <c r="B521" s="19"/>
      <c r="C521" s="195"/>
      <c r="D521" s="196"/>
      <c r="E521" s="196"/>
      <c r="G521" s="55"/>
      <c r="H521" s="193"/>
    </row>
    <row r="522" ht="14.25" customHeight="1">
      <c r="B522" s="19"/>
      <c r="C522" s="195"/>
      <c r="D522" s="196"/>
      <c r="E522" s="196"/>
      <c r="G522" s="55"/>
      <c r="H522" s="193"/>
    </row>
    <row r="523" ht="14.25" customHeight="1">
      <c r="B523" s="19"/>
      <c r="C523" s="195"/>
      <c r="D523" s="196"/>
      <c r="E523" s="196"/>
      <c r="G523" s="55"/>
      <c r="H523" s="193"/>
    </row>
    <row r="524" ht="14.25" customHeight="1">
      <c r="B524" s="19"/>
      <c r="C524" s="195"/>
      <c r="D524" s="196"/>
      <c r="E524" s="196"/>
      <c r="G524" s="55"/>
      <c r="H524" s="193"/>
    </row>
    <row r="525" ht="14.25" customHeight="1">
      <c r="B525" s="19"/>
      <c r="C525" s="195"/>
      <c r="D525" s="196"/>
      <c r="E525" s="196"/>
      <c r="G525" s="55"/>
      <c r="H525" s="193"/>
    </row>
    <row r="526" ht="14.25" customHeight="1">
      <c r="B526" s="19"/>
      <c r="C526" s="195"/>
      <c r="D526" s="196"/>
      <c r="E526" s="196"/>
      <c r="G526" s="55"/>
      <c r="H526" s="193"/>
    </row>
    <row r="527" ht="14.25" customHeight="1">
      <c r="B527" s="19"/>
      <c r="C527" s="195"/>
      <c r="D527" s="196"/>
      <c r="E527" s="196"/>
      <c r="G527" s="55"/>
      <c r="H527" s="193"/>
    </row>
    <row r="528" ht="14.25" customHeight="1">
      <c r="B528" s="19"/>
      <c r="C528" s="195"/>
      <c r="D528" s="196"/>
      <c r="E528" s="196"/>
      <c r="G528" s="55"/>
      <c r="H528" s="193"/>
    </row>
    <row r="529" ht="14.25" customHeight="1">
      <c r="B529" s="19"/>
      <c r="C529" s="195"/>
      <c r="D529" s="196"/>
      <c r="E529" s="196"/>
      <c r="G529" s="55"/>
      <c r="H529" s="193"/>
    </row>
    <row r="530" ht="14.25" customHeight="1">
      <c r="B530" s="19"/>
      <c r="C530" s="195"/>
      <c r="D530" s="196"/>
      <c r="E530" s="196"/>
      <c r="G530" s="55"/>
      <c r="H530" s="193"/>
    </row>
    <row r="531" ht="14.25" customHeight="1">
      <c r="B531" s="19"/>
      <c r="C531" s="195"/>
      <c r="D531" s="196"/>
      <c r="E531" s="196"/>
      <c r="G531" s="55"/>
      <c r="H531" s="193"/>
    </row>
    <row r="532" ht="14.25" customHeight="1">
      <c r="B532" s="19"/>
      <c r="C532" s="195"/>
      <c r="D532" s="196"/>
      <c r="E532" s="196"/>
      <c r="G532" s="55"/>
      <c r="H532" s="193"/>
    </row>
    <row r="533" ht="14.25" customHeight="1">
      <c r="B533" s="19"/>
      <c r="C533" s="195"/>
      <c r="D533" s="196"/>
      <c r="E533" s="196"/>
      <c r="G533" s="55"/>
      <c r="H533" s="193"/>
    </row>
    <row r="534" ht="14.25" customHeight="1">
      <c r="B534" s="19"/>
      <c r="C534" s="195"/>
      <c r="D534" s="196"/>
      <c r="E534" s="196"/>
      <c r="G534" s="55"/>
      <c r="H534" s="193"/>
    </row>
    <row r="535" ht="14.25" customHeight="1">
      <c r="B535" s="19"/>
      <c r="C535" s="195"/>
      <c r="D535" s="196"/>
      <c r="E535" s="196"/>
      <c r="G535" s="55"/>
      <c r="H535" s="193"/>
    </row>
    <row r="536" ht="14.25" customHeight="1">
      <c r="B536" s="19"/>
      <c r="C536" s="195"/>
      <c r="D536" s="196"/>
      <c r="E536" s="196"/>
      <c r="G536" s="55"/>
      <c r="H536" s="193"/>
    </row>
    <row r="537" ht="14.25" customHeight="1">
      <c r="B537" s="19"/>
      <c r="C537" s="195"/>
      <c r="D537" s="196"/>
      <c r="E537" s="196"/>
      <c r="G537" s="55"/>
      <c r="H537" s="193"/>
    </row>
    <row r="538" ht="14.25" customHeight="1">
      <c r="B538" s="19"/>
      <c r="C538" s="195"/>
      <c r="D538" s="196"/>
      <c r="E538" s="196"/>
      <c r="G538" s="55"/>
      <c r="H538" s="193"/>
    </row>
    <row r="539" ht="14.25" customHeight="1">
      <c r="B539" s="19"/>
      <c r="C539" s="195"/>
      <c r="D539" s="196"/>
      <c r="E539" s="196"/>
      <c r="G539" s="55"/>
      <c r="H539" s="193"/>
    </row>
    <row r="540" ht="14.25" customHeight="1">
      <c r="B540" s="19"/>
      <c r="C540" s="195"/>
      <c r="D540" s="196"/>
      <c r="E540" s="196"/>
      <c r="G540" s="55"/>
      <c r="H540" s="193"/>
    </row>
    <row r="541" ht="14.25" customHeight="1">
      <c r="B541" s="19"/>
      <c r="C541" s="195"/>
      <c r="D541" s="196"/>
      <c r="E541" s="196"/>
      <c r="G541" s="55"/>
      <c r="H541" s="193"/>
    </row>
    <row r="542" ht="14.25" customHeight="1">
      <c r="B542" s="19"/>
      <c r="C542" s="195"/>
      <c r="D542" s="196"/>
      <c r="E542" s="196"/>
      <c r="G542" s="55"/>
      <c r="H542" s="193"/>
    </row>
    <row r="543" ht="14.25" customHeight="1">
      <c r="B543" s="19"/>
      <c r="C543" s="195"/>
      <c r="D543" s="196"/>
      <c r="E543" s="196"/>
      <c r="G543" s="55"/>
      <c r="H543" s="193"/>
    </row>
    <row r="544" ht="14.25" customHeight="1">
      <c r="B544" s="19"/>
      <c r="C544" s="195"/>
      <c r="D544" s="196"/>
      <c r="E544" s="196"/>
      <c r="G544" s="55"/>
      <c r="H544" s="193"/>
    </row>
    <row r="545" ht="14.25" customHeight="1">
      <c r="B545" s="19"/>
      <c r="C545" s="195"/>
      <c r="D545" s="196"/>
      <c r="E545" s="196"/>
      <c r="G545" s="55"/>
      <c r="H545" s="193"/>
    </row>
    <row r="546" ht="14.25" customHeight="1">
      <c r="B546" s="19"/>
      <c r="C546" s="195"/>
      <c r="D546" s="196"/>
      <c r="E546" s="196"/>
      <c r="G546" s="55"/>
      <c r="H546" s="193"/>
    </row>
    <row r="547" ht="14.25" customHeight="1">
      <c r="B547" s="19"/>
      <c r="C547" s="195"/>
      <c r="D547" s="196"/>
      <c r="E547" s="196"/>
      <c r="G547" s="55"/>
      <c r="H547" s="193"/>
    </row>
    <row r="548" ht="14.25" customHeight="1">
      <c r="B548" s="19"/>
      <c r="C548" s="195"/>
      <c r="D548" s="196"/>
      <c r="E548" s="196"/>
      <c r="G548" s="55"/>
      <c r="H548" s="193"/>
    </row>
    <row r="549" ht="14.25" customHeight="1">
      <c r="B549" s="19"/>
      <c r="C549" s="195"/>
      <c r="D549" s="196"/>
      <c r="E549" s="196"/>
      <c r="G549" s="55"/>
      <c r="H549" s="193"/>
    </row>
    <row r="550" ht="14.25" customHeight="1">
      <c r="B550" s="19"/>
      <c r="C550" s="195"/>
      <c r="D550" s="196"/>
      <c r="E550" s="196"/>
      <c r="G550" s="55"/>
      <c r="H550" s="193"/>
    </row>
    <row r="551" ht="14.25" customHeight="1">
      <c r="B551" s="19"/>
      <c r="C551" s="195"/>
      <c r="D551" s="196"/>
      <c r="E551" s="196"/>
      <c r="G551" s="55"/>
      <c r="H551" s="193"/>
    </row>
    <row r="552" ht="14.25" customHeight="1">
      <c r="B552" s="19"/>
      <c r="C552" s="195"/>
      <c r="D552" s="196"/>
      <c r="E552" s="196"/>
      <c r="G552" s="55"/>
      <c r="H552" s="193"/>
    </row>
    <row r="553" ht="14.25" customHeight="1">
      <c r="B553" s="19"/>
      <c r="C553" s="195"/>
      <c r="D553" s="196"/>
      <c r="E553" s="196"/>
      <c r="G553" s="55"/>
      <c r="H553" s="193"/>
    </row>
    <row r="554" ht="14.25" customHeight="1">
      <c r="B554" s="19"/>
      <c r="C554" s="195"/>
      <c r="D554" s="196"/>
      <c r="E554" s="196"/>
      <c r="G554" s="55"/>
      <c r="H554" s="193"/>
    </row>
    <row r="555" ht="14.25" customHeight="1">
      <c r="B555" s="19"/>
      <c r="C555" s="195"/>
      <c r="D555" s="196"/>
      <c r="E555" s="196"/>
      <c r="G555" s="55"/>
      <c r="H555" s="193"/>
    </row>
    <row r="556" ht="14.25" customHeight="1">
      <c r="B556" s="19"/>
      <c r="C556" s="195"/>
      <c r="D556" s="196"/>
      <c r="E556" s="196"/>
      <c r="G556" s="55"/>
      <c r="H556" s="193"/>
    </row>
    <row r="557" ht="14.25" customHeight="1">
      <c r="B557" s="19"/>
      <c r="C557" s="195"/>
      <c r="D557" s="196"/>
      <c r="E557" s="196"/>
      <c r="G557" s="55"/>
      <c r="H557" s="193"/>
    </row>
    <row r="558" ht="14.25" customHeight="1">
      <c r="B558" s="19"/>
      <c r="C558" s="195"/>
      <c r="D558" s="196"/>
      <c r="E558" s="196"/>
      <c r="G558" s="55"/>
      <c r="H558" s="193"/>
    </row>
    <row r="559" ht="14.25" customHeight="1">
      <c r="B559" s="19"/>
      <c r="C559" s="195"/>
      <c r="D559" s="196"/>
      <c r="E559" s="196"/>
      <c r="G559" s="55"/>
      <c r="H559" s="193"/>
    </row>
    <row r="560" ht="14.25" customHeight="1">
      <c r="B560" s="19"/>
      <c r="C560" s="195"/>
      <c r="D560" s="196"/>
      <c r="E560" s="196"/>
      <c r="G560" s="55"/>
      <c r="H560" s="193"/>
    </row>
    <row r="561" ht="14.25" customHeight="1">
      <c r="B561" s="19"/>
      <c r="C561" s="195"/>
      <c r="D561" s="196"/>
      <c r="E561" s="196"/>
      <c r="G561" s="55"/>
      <c r="H561" s="193"/>
    </row>
    <row r="562" ht="14.25" customHeight="1">
      <c r="B562" s="19"/>
      <c r="C562" s="195"/>
      <c r="D562" s="196"/>
      <c r="E562" s="196"/>
      <c r="G562" s="55"/>
      <c r="H562" s="193"/>
    </row>
    <row r="563" ht="14.25" customHeight="1">
      <c r="B563" s="19"/>
      <c r="C563" s="195"/>
      <c r="D563" s="196"/>
      <c r="E563" s="196"/>
      <c r="G563" s="55"/>
      <c r="H563" s="193"/>
    </row>
    <row r="564" ht="14.25" customHeight="1">
      <c r="B564" s="19"/>
      <c r="C564" s="195"/>
      <c r="D564" s="196"/>
      <c r="E564" s="196"/>
      <c r="G564" s="55"/>
      <c r="H564" s="193"/>
    </row>
    <row r="565" ht="14.25" customHeight="1">
      <c r="B565" s="19"/>
      <c r="C565" s="195"/>
      <c r="D565" s="196"/>
      <c r="E565" s="196"/>
      <c r="G565" s="55"/>
      <c r="H565" s="193"/>
    </row>
    <row r="566" ht="14.25" customHeight="1">
      <c r="B566" s="19"/>
      <c r="C566" s="195"/>
      <c r="D566" s="196"/>
      <c r="E566" s="196"/>
      <c r="G566" s="55"/>
      <c r="H566" s="193"/>
    </row>
    <row r="567" ht="14.25" customHeight="1">
      <c r="B567" s="19"/>
      <c r="C567" s="195"/>
      <c r="D567" s="196"/>
      <c r="E567" s="196"/>
      <c r="G567" s="55"/>
      <c r="H567" s="193"/>
    </row>
    <row r="568" ht="14.25" customHeight="1">
      <c r="B568" s="19"/>
      <c r="C568" s="195"/>
      <c r="D568" s="196"/>
      <c r="E568" s="196"/>
      <c r="G568" s="55"/>
      <c r="H568" s="193"/>
    </row>
    <row r="569" ht="14.25" customHeight="1">
      <c r="B569" s="19"/>
      <c r="C569" s="195"/>
      <c r="D569" s="196"/>
      <c r="E569" s="196"/>
      <c r="G569" s="55"/>
      <c r="H569" s="193"/>
    </row>
    <row r="570" ht="14.25" customHeight="1">
      <c r="B570" s="19"/>
      <c r="C570" s="195"/>
      <c r="D570" s="196"/>
      <c r="E570" s="196"/>
      <c r="G570" s="55"/>
      <c r="H570" s="193"/>
    </row>
    <row r="571" ht="14.25" customHeight="1">
      <c r="B571" s="19"/>
      <c r="C571" s="195"/>
      <c r="D571" s="196"/>
      <c r="E571" s="196"/>
      <c r="G571" s="55"/>
      <c r="H571" s="193"/>
    </row>
    <row r="572" ht="14.25" customHeight="1">
      <c r="B572" s="19"/>
      <c r="C572" s="195"/>
      <c r="D572" s="196"/>
      <c r="E572" s="196"/>
      <c r="G572" s="55"/>
      <c r="H572" s="193"/>
    </row>
    <row r="573" ht="14.25" customHeight="1">
      <c r="B573" s="19"/>
      <c r="C573" s="195"/>
      <c r="D573" s="196"/>
      <c r="E573" s="196"/>
      <c r="G573" s="55"/>
      <c r="H573" s="193"/>
    </row>
    <row r="574" ht="14.25" customHeight="1">
      <c r="B574" s="19"/>
      <c r="C574" s="195"/>
      <c r="D574" s="196"/>
      <c r="E574" s="196"/>
      <c r="G574" s="55"/>
      <c r="H574" s="193"/>
    </row>
    <row r="575" ht="14.25" customHeight="1">
      <c r="B575" s="19"/>
      <c r="C575" s="195"/>
      <c r="D575" s="196"/>
      <c r="E575" s="196"/>
      <c r="G575" s="55"/>
      <c r="H575" s="193"/>
    </row>
    <row r="576" ht="14.25" customHeight="1">
      <c r="B576" s="19"/>
      <c r="C576" s="195"/>
      <c r="D576" s="196"/>
      <c r="E576" s="196"/>
      <c r="G576" s="55"/>
      <c r="H576" s="193"/>
    </row>
    <row r="577" ht="14.25" customHeight="1">
      <c r="B577" s="19"/>
      <c r="C577" s="195"/>
      <c r="D577" s="196"/>
      <c r="E577" s="196"/>
      <c r="G577" s="55"/>
      <c r="H577" s="193"/>
    </row>
    <row r="578" ht="14.25" customHeight="1">
      <c r="B578" s="19"/>
      <c r="C578" s="195"/>
      <c r="D578" s="196"/>
      <c r="E578" s="196"/>
      <c r="G578" s="55"/>
      <c r="H578" s="193"/>
    </row>
    <row r="579" ht="14.25" customHeight="1">
      <c r="B579" s="19"/>
      <c r="C579" s="195"/>
      <c r="D579" s="196"/>
      <c r="E579" s="196"/>
      <c r="G579" s="55"/>
      <c r="H579" s="193"/>
    </row>
    <row r="580" ht="14.25" customHeight="1">
      <c r="B580" s="19"/>
      <c r="C580" s="195"/>
      <c r="D580" s="196"/>
      <c r="E580" s="196"/>
      <c r="G580" s="55"/>
      <c r="H580" s="193"/>
    </row>
    <row r="581" ht="14.25" customHeight="1">
      <c r="B581" s="19"/>
      <c r="C581" s="195"/>
      <c r="D581" s="196"/>
      <c r="E581" s="196"/>
      <c r="G581" s="55"/>
      <c r="H581" s="193"/>
    </row>
    <row r="582" ht="14.25" customHeight="1">
      <c r="B582" s="19"/>
      <c r="C582" s="195"/>
      <c r="D582" s="196"/>
      <c r="E582" s="196"/>
      <c r="G582" s="55"/>
      <c r="H582" s="193"/>
    </row>
    <row r="583" ht="14.25" customHeight="1">
      <c r="B583" s="19"/>
      <c r="C583" s="195"/>
      <c r="D583" s="196"/>
      <c r="E583" s="196"/>
      <c r="G583" s="55"/>
      <c r="H583" s="193"/>
    </row>
    <row r="584" ht="14.25" customHeight="1">
      <c r="B584" s="19"/>
      <c r="C584" s="195"/>
      <c r="D584" s="196"/>
      <c r="E584" s="196"/>
      <c r="G584" s="55"/>
      <c r="H584" s="193"/>
    </row>
    <row r="585" ht="14.25" customHeight="1">
      <c r="B585" s="19"/>
      <c r="C585" s="195"/>
      <c r="D585" s="196"/>
      <c r="E585" s="196"/>
      <c r="G585" s="55"/>
      <c r="H585" s="193"/>
    </row>
    <row r="586" ht="14.25" customHeight="1">
      <c r="B586" s="19"/>
      <c r="C586" s="195"/>
      <c r="D586" s="196"/>
      <c r="E586" s="196"/>
      <c r="G586" s="55"/>
      <c r="H586" s="193"/>
    </row>
    <row r="587" ht="14.25" customHeight="1">
      <c r="B587" s="19"/>
      <c r="C587" s="195"/>
      <c r="D587" s="196"/>
      <c r="E587" s="196"/>
      <c r="G587" s="55"/>
      <c r="H587" s="193"/>
    </row>
    <row r="588" ht="14.25" customHeight="1">
      <c r="B588" s="19"/>
      <c r="C588" s="195"/>
      <c r="D588" s="196"/>
      <c r="E588" s="196"/>
      <c r="G588" s="55"/>
      <c r="H588" s="193"/>
    </row>
    <row r="589" ht="14.25" customHeight="1">
      <c r="B589" s="19"/>
      <c r="C589" s="195"/>
      <c r="D589" s="196"/>
      <c r="E589" s="196"/>
      <c r="G589" s="55"/>
      <c r="H589" s="193"/>
    </row>
    <row r="590" ht="14.25" customHeight="1">
      <c r="B590" s="19"/>
      <c r="C590" s="195"/>
      <c r="D590" s="196"/>
      <c r="E590" s="196"/>
      <c r="G590" s="55"/>
      <c r="H590" s="193"/>
    </row>
    <row r="591" ht="14.25" customHeight="1">
      <c r="B591" s="19"/>
      <c r="C591" s="195"/>
      <c r="D591" s="196"/>
      <c r="E591" s="196"/>
      <c r="G591" s="55"/>
      <c r="H591" s="193"/>
    </row>
    <row r="592" ht="14.25" customHeight="1">
      <c r="B592" s="19"/>
      <c r="C592" s="195"/>
      <c r="D592" s="196"/>
      <c r="E592" s="196"/>
      <c r="G592" s="55"/>
      <c r="H592" s="193"/>
    </row>
    <row r="593" ht="14.25" customHeight="1">
      <c r="B593" s="19"/>
      <c r="C593" s="195"/>
      <c r="D593" s="196"/>
      <c r="E593" s="196"/>
      <c r="G593" s="55"/>
      <c r="H593" s="193"/>
    </row>
    <row r="594" ht="14.25" customHeight="1">
      <c r="B594" s="19"/>
      <c r="C594" s="195"/>
      <c r="D594" s="196"/>
      <c r="E594" s="196"/>
      <c r="G594" s="55"/>
      <c r="H594" s="193"/>
    </row>
    <row r="595" ht="14.25" customHeight="1">
      <c r="B595" s="19"/>
      <c r="C595" s="195"/>
      <c r="D595" s="196"/>
      <c r="E595" s="196"/>
      <c r="G595" s="55"/>
      <c r="H595" s="193"/>
    </row>
    <row r="596" ht="14.25" customHeight="1">
      <c r="B596" s="19"/>
      <c r="C596" s="195"/>
      <c r="D596" s="196"/>
      <c r="E596" s="196"/>
      <c r="G596" s="55"/>
      <c r="H596" s="193"/>
    </row>
    <row r="597" ht="14.25" customHeight="1">
      <c r="B597" s="19"/>
      <c r="C597" s="195"/>
      <c r="D597" s="196"/>
      <c r="E597" s="196"/>
      <c r="G597" s="55"/>
      <c r="H597" s="193"/>
    </row>
    <row r="598" ht="14.25" customHeight="1">
      <c r="B598" s="19"/>
      <c r="C598" s="195"/>
      <c r="D598" s="196"/>
      <c r="E598" s="196"/>
      <c r="G598" s="55"/>
      <c r="H598" s="193"/>
    </row>
    <row r="599" ht="14.25" customHeight="1">
      <c r="B599" s="19"/>
      <c r="C599" s="195"/>
      <c r="D599" s="196"/>
      <c r="E599" s="196"/>
      <c r="G599" s="55"/>
      <c r="H599" s="193"/>
    </row>
    <row r="600" ht="14.25" customHeight="1">
      <c r="B600" s="19"/>
      <c r="C600" s="195"/>
      <c r="D600" s="196"/>
      <c r="E600" s="196"/>
      <c r="G600" s="55"/>
      <c r="H600" s="193"/>
    </row>
    <row r="601" ht="14.25" customHeight="1">
      <c r="B601" s="19"/>
      <c r="C601" s="195"/>
      <c r="D601" s="196"/>
      <c r="E601" s="196"/>
      <c r="G601" s="55"/>
      <c r="H601" s="193"/>
    </row>
    <row r="602" ht="14.25" customHeight="1">
      <c r="B602" s="19"/>
      <c r="C602" s="195"/>
      <c r="D602" s="196"/>
      <c r="E602" s="196"/>
      <c r="G602" s="55"/>
      <c r="H602" s="193"/>
    </row>
    <row r="603" ht="14.25" customHeight="1">
      <c r="B603" s="19"/>
      <c r="C603" s="195"/>
      <c r="D603" s="196"/>
      <c r="E603" s="196"/>
      <c r="G603" s="55"/>
      <c r="H603" s="193"/>
    </row>
    <row r="604" ht="14.25" customHeight="1">
      <c r="B604" s="19"/>
      <c r="C604" s="195"/>
      <c r="D604" s="196"/>
      <c r="E604" s="196"/>
      <c r="G604" s="55"/>
      <c r="H604" s="193"/>
    </row>
    <row r="605" ht="14.25" customHeight="1">
      <c r="B605" s="19"/>
      <c r="C605" s="195"/>
      <c r="D605" s="196"/>
      <c r="E605" s="196"/>
      <c r="G605" s="55"/>
      <c r="H605" s="193"/>
    </row>
    <row r="606" ht="14.25" customHeight="1">
      <c r="B606" s="19"/>
      <c r="C606" s="195"/>
      <c r="D606" s="196"/>
      <c r="E606" s="196"/>
      <c r="G606" s="55"/>
      <c r="H606" s="193"/>
    </row>
    <row r="607" ht="14.25" customHeight="1">
      <c r="B607" s="19"/>
      <c r="C607" s="195"/>
      <c r="D607" s="196"/>
      <c r="E607" s="196"/>
      <c r="G607" s="55"/>
      <c r="H607" s="193"/>
    </row>
    <row r="608" ht="14.25" customHeight="1">
      <c r="B608" s="19"/>
      <c r="C608" s="195"/>
      <c r="D608" s="196"/>
      <c r="E608" s="196"/>
      <c r="G608" s="55"/>
      <c r="H608" s="193"/>
    </row>
    <row r="609" ht="14.25" customHeight="1">
      <c r="B609" s="19"/>
      <c r="C609" s="195"/>
      <c r="D609" s="196"/>
      <c r="E609" s="196"/>
      <c r="G609" s="55"/>
      <c r="H609" s="193"/>
    </row>
    <row r="610" ht="14.25" customHeight="1">
      <c r="B610" s="19"/>
      <c r="C610" s="195"/>
      <c r="D610" s="196"/>
      <c r="E610" s="196"/>
      <c r="G610" s="55"/>
      <c r="H610" s="193"/>
    </row>
    <row r="611" ht="14.25" customHeight="1">
      <c r="B611" s="19"/>
      <c r="C611" s="195"/>
      <c r="D611" s="196"/>
      <c r="E611" s="196"/>
      <c r="G611" s="55"/>
      <c r="H611" s="193"/>
    </row>
    <row r="612" ht="14.25" customHeight="1">
      <c r="B612" s="19"/>
      <c r="C612" s="195"/>
      <c r="D612" s="196"/>
      <c r="E612" s="196"/>
      <c r="G612" s="55"/>
      <c r="H612" s="193"/>
    </row>
    <row r="613" ht="14.25" customHeight="1">
      <c r="B613" s="19"/>
      <c r="C613" s="195"/>
      <c r="D613" s="196"/>
      <c r="E613" s="196"/>
      <c r="G613" s="55"/>
      <c r="H613" s="193"/>
    </row>
    <row r="614" ht="14.25" customHeight="1">
      <c r="B614" s="19"/>
      <c r="C614" s="195"/>
      <c r="D614" s="196"/>
      <c r="E614" s="196"/>
      <c r="G614" s="55"/>
      <c r="H614" s="193"/>
    </row>
    <row r="615" ht="14.25" customHeight="1">
      <c r="B615" s="19"/>
      <c r="C615" s="195"/>
      <c r="D615" s="196"/>
      <c r="E615" s="196"/>
      <c r="G615" s="55"/>
      <c r="H615" s="193"/>
    </row>
    <row r="616" ht="14.25" customHeight="1">
      <c r="B616" s="19"/>
      <c r="C616" s="195"/>
      <c r="D616" s="196"/>
      <c r="E616" s="196"/>
      <c r="G616" s="55"/>
      <c r="H616" s="193"/>
    </row>
    <row r="617" ht="14.25" customHeight="1">
      <c r="B617" s="19"/>
      <c r="C617" s="195"/>
      <c r="D617" s="196"/>
      <c r="E617" s="196"/>
      <c r="G617" s="55"/>
      <c r="H617" s="193"/>
    </row>
    <row r="618" ht="14.25" customHeight="1">
      <c r="B618" s="19"/>
      <c r="C618" s="195"/>
      <c r="D618" s="196"/>
      <c r="E618" s="196"/>
      <c r="G618" s="55"/>
      <c r="H618" s="193"/>
    </row>
    <row r="619" ht="14.25" customHeight="1">
      <c r="B619" s="19"/>
      <c r="C619" s="195"/>
      <c r="D619" s="196"/>
      <c r="E619" s="196"/>
      <c r="G619" s="55"/>
      <c r="H619" s="193"/>
    </row>
    <row r="620" ht="14.25" customHeight="1">
      <c r="B620" s="19"/>
      <c r="C620" s="195"/>
      <c r="D620" s="196"/>
      <c r="E620" s="196"/>
      <c r="G620" s="55"/>
      <c r="H620" s="193"/>
    </row>
    <row r="621" ht="14.25" customHeight="1">
      <c r="B621" s="19"/>
      <c r="C621" s="195"/>
      <c r="D621" s="196"/>
      <c r="E621" s="196"/>
      <c r="G621" s="55"/>
      <c r="H621" s="193"/>
    </row>
    <row r="622" ht="14.25" customHeight="1">
      <c r="B622" s="19"/>
      <c r="C622" s="195"/>
      <c r="D622" s="196"/>
      <c r="E622" s="196"/>
      <c r="G622" s="55"/>
      <c r="H622" s="193"/>
    </row>
    <row r="623" ht="14.25" customHeight="1">
      <c r="B623" s="19"/>
      <c r="C623" s="195"/>
      <c r="D623" s="196"/>
      <c r="E623" s="196"/>
      <c r="G623" s="55"/>
      <c r="H623" s="193"/>
    </row>
    <row r="624" ht="14.25" customHeight="1">
      <c r="B624" s="19"/>
      <c r="C624" s="195"/>
      <c r="D624" s="196"/>
      <c r="E624" s="196"/>
      <c r="G624" s="55"/>
      <c r="H624" s="193"/>
    </row>
    <row r="625" ht="14.25" customHeight="1">
      <c r="B625" s="19"/>
      <c r="C625" s="195"/>
      <c r="D625" s="196"/>
      <c r="E625" s="196"/>
      <c r="G625" s="55"/>
      <c r="H625" s="193"/>
    </row>
    <row r="626" ht="14.25" customHeight="1">
      <c r="B626" s="19"/>
      <c r="C626" s="195"/>
      <c r="D626" s="196"/>
      <c r="E626" s="196"/>
      <c r="G626" s="55"/>
      <c r="H626" s="193"/>
    </row>
    <row r="627" ht="14.25" customHeight="1">
      <c r="B627" s="19"/>
      <c r="C627" s="195"/>
      <c r="D627" s="196"/>
      <c r="E627" s="196"/>
      <c r="G627" s="55"/>
      <c r="H627" s="193"/>
    </row>
    <row r="628" ht="14.25" customHeight="1">
      <c r="B628" s="19"/>
      <c r="C628" s="195"/>
      <c r="D628" s="196"/>
      <c r="E628" s="196"/>
      <c r="G628" s="55"/>
      <c r="H628" s="193"/>
    </row>
    <row r="629" ht="14.25" customHeight="1">
      <c r="B629" s="19"/>
      <c r="C629" s="195"/>
      <c r="D629" s="196"/>
      <c r="E629" s="196"/>
      <c r="G629" s="55"/>
      <c r="H629" s="193"/>
    </row>
    <row r="630" ht="14.25" customHeight="1">
      <c r="B630" s="19"/>
      <c r="C630" s="195"/>
      <c r="D630" s="196"/>
      <c r="E630" s="196"/>
      <c r="G630" s="55"/>
      <c r="H630" s="193"/>
    </row>
    <row r="631" ht="14.25" customHeight="1">
      <c r="B631" s="19"/>
      <c r="C631" s="195"/>
      <c r="D631" s="196"/>
      <c r="E631" s="196"/>
      <c r="G631" s="55"/>
      <c r="H631" s="193"/>
    </row>
    <row r="632" ht="14.25" customHeight="1">
      <c r="B632" s="19"/>
      <c r="C632" s="195"/>
      <c r="D632" s="196"/>
      <c r="E632" s="196"/>
      <c r="G632" s="55"/>
      <c r="H632" s="193"/>
    </row>
    <row r="633" ht="14.25" customHeight="1">
      <c r="B633" s="19"/>
      <c r="C633" s="195"/>
      <c r="D633" s="196"/>
      <c r="E633" s="196"/>
      <c r="G633" s="55"/>
      <c r="H633" s="193"/>
    </row>
    <row r="634" ht="14.25" customHeight="1">
      <c r="B634" s="19"/>
      <c r="C634" s="195"/>
      <c r="D634" s="196"/>
      <c r="E634" s="196"/>
      <c r="G634" s="55"/>
      <c r="H634" s="193"/>
    </row>
    <row r="635" ht="14.25" customHeight="1">
      <c r="B635" s="19"/>
      <c r="C635" s="195"/>
      <c r="D635" s="196"/>
      <c r="E635" s="196"/>
      <c r="G635" s="55"/>
      <c r="H635" s="193"/>
    </row>
    <row r="636" ht="14.25" customHeight="1">
      <c r="B636" s="19"/>
      <c r="C636" s="195"/>
      <c r="D636" s="196"/>
      <c r="E636" s="196"/>
      <c r="G636" s="55"/>
      <c r="H636" s="193"/>
    </row>
    <row r="637" ht="14.25" customHeight="1">
      <c r="B637" s="19"/>
      <c r="C637" s="195"/>
      <c r="D637" s="196"/>
      <c r="E637" s="196"/>
      <c r="G637" s="55"/>
      <c r="H637" s="193"/>
    </row>
    <row r="638" ht="14.25" customHeight="1">
      <c r="B638" s="19"/>
      <c r="C638" s="195"/>
      <c r="D638" s="196"/>
      <c r="E638" s="196"/>
      <c r="G638" s="55"/>
      <c r="H638" s="193"/>
    </row>
    <row r="639" ht="14.25" customHeight="1">
      <c r="B639" s="19"/>
      <c r="C639" s="195"/>
      <c r="D639" s="196"/>
      <c r="E639" s="196"/>
      <c r="G639" s="55"/>
      <c r="H639" s="193"/>
    </row>
    <row r="640" ht="14.25" customHeight="1">
      <c r="B640" s="19"/>
      <c r="C640" s="195"/>
      <c r="D640" s="196"/>
      <c r="E640" s="196"/>
      <c r="G640" s="55"/>
      <c r="H640" s="193"/>
    </row>
    <row r="641" ht="14.25" customHeight="1">
      <c r="B641" s="19"/>
      <c r="C641" s="195"/>
      <c r="D641" s="196"/>
      <c r="E641" s="196"/>
      <c r="G641" s="55"/>
      <c r="H641" s="193"/>
    </row>
    <row r="642" ht="14.25" customHeight="1">
      <c r="B642" s="19"/>
      <c r="C642" s="195"/>
      <c r="D642" s="196"/>
      <c r="E642" s="196"/>
      <c r="G642" s="55"/>
      <c r="H642" s="193"/>
    </row>
    <row r="643" ht="14.25" customHeight="1">
      <c r="B643" s="19"/>
      <c r="C643" s="195"/>
      <c r="D643" s="196"/>
      <c r="E643" s="196"/>
      <c r="G643" s="55"/>
      <c r="H643" s="193"/>
    </row>
    <row r="644" ht="14.25" customHeight="1">
      <c r="B644" s="19"/>
      <c r="C644" s="195"/>
      <c r="D644" s="196"/>
      <c r="E644" s="196"/>
      <c r="G644" s="55"/>
      <c r="H644" s="193"/>
    </row>
    <row r="645" ht="14.25" customHeight="1">
      <c r="B645" s="19"/>
      <c r="C645" s="195"/>
      <c r="D645" s="196"/>
      <c r="E645" s="196"/>
      <c r="G645" s="55"/>
      <c r="H645" s="193"/>
    </row>
    <row r="646" ht="14.25" customHeight="1">
      <c r="B646" s="19"/>
      <c r="C646" s="195"/>
      <c r="D646" s="196"/>
      <c r="E646" s="196"/>
      <c r="G646" s="55"/>
      <c r="H646" s="193"/>
    </row>
    <row r="647" ht="14.25" customHeight="1">
      <c r="B647" s="19"/>
      <c r="C647" s="195"/>
      <c r="D647" s="196"/>
      <c r="E647" s="196"/>
      <c r="G647" s="55"/>
      <c r="H647" s="193"/>
    </row>
    <row r="648" ht="14.25" customHeight="1">
      <c r="B648" s="19"/>
      <c r="C648" s="195"/>
      <c r="D648" s="196"/>
      <c r="E648" s="196"/>
      <c r="G648" s="55"/>
      <c r="H648" s="193"/>
    </row>
    <row r="649" ht="14.25" customHeight="1">
      <c r="B649" s="19"/>
      <c r="C649" s="195"/>
      <c r="D649" s="196"/>
      <c r="E649" s="196"/>
      <c r="G649" s="55"/>
      <c r="H649" s="193"/>
    </row>
    <row r="650" ht="14.25" customHeight="1">
      <c r="B650" s="19"/>
      <c r="C650" s="195"/>
      <c r="D650" s="196"/>
      <c r="E650" s="196"/>
      <c r="G650" s="55"/>
      <c r="H650" s="193"/>
    </row>
    <row r="651" ht="14.25" customHeight="1">
      <c r="B651" s="19"/>
      <c r="C651" s="195"/>
      <c r="D651" s="196"/>
      <c r="E651" s="196"/>
      <c r="G651" s="55"/>
      <c r="H651" s="193"/>
    </row>
    <row r="652" ht="14.25" customHeight="1">
      <c r="B652" s="19"/>
      <c r="C652" s="195"/>
      <c r="D652" s="196"/>
      <c r="E652" s="196"/>
      <c r="G652" s="55"/>
      <c r="H652" s="193"/>
    </row>
    <row r="653" ht="14.25" customHeight="1">
      <c r="B653" s="19"/>
      <c r="C653" s="195"/>
      <c r="D653" s="196"/>
      <c r="E653" s="196"/>
      <c r="G653" s="55"/>
      <c r="H653" s="193"/>
    </row>
    <row r="654" ht="14.25" customHeight="1">
      <c r="B654" s="19"/>
      <c r="C654" s="195"/>
      <c r="D654" s="196"/>
      <c r="E654" s="196"/>
      <c r="G654" s="55"/>
      <c r="H654" s="193"/>
    </row>
    <row r="655" ht="14.25" customHeight="1">
      <c r="B655" s="19"/>
      <c r="C655" s="195"/>
      <c r="D655" s="196"/>
      <c r="E655" s="196"/>
      <c r="G655" s="55"/>
      <c r="H655" s="193"/>
    </row>
    <row r="656" ht="14.25" customHeight="1">
      <c r="B656" s="19"/>
      <c r="C656" s="195"/>
      <c r="D656" s="196"/>
      <c r="E656" s="196"/>
      <c r="G656" s="55"/>
      <c r="H656" s="193"/>
    </row>
    <row r="657" ht="14.25" customHeight="1">
      <c r="B657" s="19"/>
      <c r="C657" s="195"/>
      <c r="D657" s="196"/>
      <c r="E657" s="196"/>
      <c r="G657" s="55"/>
      <c r="H657" s="193"/>
    </row>
    <row r="658" ht="14.25" customHeight="1">
      <c r="B658" s="19"/>
      <c r="C658" s="195"/>
      <c r="D658" s="196"/>
      <c r="E658" s="196"/>
      <c r="G658" s="55"/>
      <c r="H658" s="193"/>
    </row>
    <row r="659" ht="14.25" customHeight="1">
      <c r="B659" s="19"/>
      <c r="C659" s="195"/>
      <c r="D659" s="196"/>
      <c r="E659" s="196"/>
      <c r="G659" s="55"/>
      <c r="H659" s="193"/>
    </row>
    <row r="660" ht="14.25" customHeight="1">
      <c r="B660" s="19"/>
      <c r="C660" s="195"/>
      <c r="D660" s="196"/>
      <c r="E660" s="196"/>
      <c r="G660" s="55"/>
      <c r="H660" s="193"/>
    </row>
    <row r="661" ht="14.25" customHeight="1">
      <c r="B661" s="19"/>
      <c r="C661" s="195"/>
      <c r="D661" s="196"/>
      <c r="E661" s="196"/>
      <c r="G661" s="55"/>
      <c r="H661" s="193"/>
    </row>
    <row r="662" ht="14.25" customHeight="1">
      <c r="B662" s="19"/>
      <c r="C662" s="195"/>
      <c r="D662" s="196"/>
      <c r="E662" s="196"/>
      <c r="G662" s="55"/>
      <c r="H662" s="193"/>
    </row>
    <row r="663" ht="14.25" customHeight="1">
      <c r="B663" s="19"/>
      <c r="C663" s="195"/>
      <c r="D663" s="196"/>
      <c r="E663" s="196"/>
      <c r="G663" s="55"/>
      <c r="H663" s="193"/>
    </row>
    <row r="664" ht="14.25" customHeight="1">
      <c r="B664" s="19"/>
      <c r="C664" s="195"/>
      <c r="D664" s="196"/>
      <c r="E664" s="196"/>
      <c r="G664" s="55"/>
      <c r="H664" s="193"/>
    </row>
    <row r="665" ht="14.25" customHeight="1">
      <c r="B665" s="19"/>
      <c r="C665" s="195"/>
      <c r="D665" s="196"/>
      <c r="E665" s="196"/>
      <c r="G665" s="55"/>
      <c r="H665" s="193"/>
    </row>
    <row r="666" ht="14.25" customHeight="1">
      <c r="B666" s="19"/>
      <c r="C666" s="195"/>
      <c r="D666" s="196"/>
      <c r="E666" s="196"/>
      <c r="G666" s="55"/>
      <c r="H666" s="193"/>
    </row>
    <row r="667" ht="14.25" customHeight="1">
      <c r="B667" s="19"/>
      <c r="C667" s="195"/>
      <c r="D667" s="196"/>
      <c r="E667" s="196"/>
      <c r="G667" s="55"/>
      <c r="H667" s="193"/>
    </row>
    <row r="668" ht="14.25" customHeight="1">
      <c r="B668" s="19"/>
      <c r="C668" s="195"/>
      <c r="D668" s="196"/>
      <c r="E668" s="196"/>
      <c r="G668" s="55"/>
      <c r="H668" s="193"/>
    </row>
    <row r="669" ht="14.25" customHeight="1">
      <c r="B669" s="19"/>
      <c r="C669" s="195"/>
      <c r="D669" s="196"/>
      <c r="E669" s="196"/>
      <c r="G669" s="55"/>
      <c r="H669" s="193"/>
    </row>
    <row r="670" ht="14.25" customHeight="1">
      <c r="B670" s="19"/>
      <c r="C670" s="195"/>
      <c r="D670" s="196"/>
      <c r="E670" s="196"/>
      <c r="G670" s="55"/>
      <c r="H670" s="193"/>
    </row>
    <row r="671" ht="14.25" customHeight="1">
      <c r="B671" s="19"/>
      <c r="C671" s="195"/>
      <c r="D671" s="196"/>
      <c r="E671" s="196"/>
      <c r="G671" s="55"/>
      <c r="H671" s="193"/>
    </row>
    <row r="672" ht="14.25" customHeight="1">
      <c r="B672" s="19"/>
      <c r="C672" s="195"/>
      <c r="D672" s="196"/>
      <c r="E672" s="196"/>
      <c r="G672" s="55"/>
      <c r="H672" s="193"/>
    </row>
    <row r="673" ht="14.25" customHeight="1">
      <c r="B673" s="19"/>
      <c r="C673" s="195"/>
      <c r="D673" s="196"/>
      <c r="E673" s="196"/>
      <c r="G673" s="55"/>
      <c r="H673" s="193"/>
    </row>
    <row r="674" ht="14.25" customHeight="1">
      <c r="B674" s="19"/>
      <c r="C674" s="195"/>
      <c r="D674" s="196"/>
      <c r="E674" s="196"/>
      <c r="G674" s="55"/>
      <c r="H674" s="193"/>
    </row>
    <row r="675" ht="14.25" customHeight="1">
      <c r="B675" s="19"/>
      <c r="C675" s="195"/>
      <c r="D675" s="196"/>
      <c r="E675" s="196"/>
      <c r="G675" s="55"/>
      <c r="H675" s="193"/>
    </row>
    <row r="676" ht="14.25" customHeight="1">
      <c r="B676" s="19"/>
      <c r="C676" s="195"/>
      <c r="D676" s="196"/>
      <c r="E676" s="196"/>
      <c r="G676" s="55"/>
      <c r="H676" s="193"/>
    </row>
    <row r="677" ht="14.25" customHeight="1">
      <c r="B677" s="19"/>
      <c r="C677" s="195"/>
      <c r="D677" s="196"/>
      <c r="E677" s="196"/>
      <c r="G677" s="55"/>
      <c r="H677" s="193"/>
    </row>
    <row r="678" ht="14.25" customHeight="1">
      <c r="B678" s="19"/>
      <c r="C678" s="195"/>
      <c r="D678" s="196"/>
      <c r="E678" s="196"/>
      <c r="G678" s="55"/>
      <c r="H678" s="193"/>
    </row>
    <row r="679" ht="14.25" customHeight="1">
      <c r="B679" s="19"/>
      <c r="C679" s="195"/>
      <c r="D679" s="196"/>
      <c r="E679" s="196"/>
      <c r="G679" s="55"/>
      <c r="H679" s="193"/>
    </row>
    <row r="680" ht="14.25" customHeight="1">
      <c r="B680" s="19"/>
      <c r="C680" s="195"/>
      <c r="D680" s="196"/>
      <c r="E680" s="196"/>
      <c r="G680" s="55"/>
      <c r="H680" s="193"/>
    </row>
    <row r="681" ht="14.25" customHeight="1">
      <c r="B681" s="19"/>
      <c r="C681" s="195"/>
      <c r="D681" s="196"/>
      <c r="E681" s="196"/>
      <c r="G681" s="55"/>
      <c r="H681" s="193"/>
    </row>
    <row r="682" ht="14.25" customHeight="1">
      <c r="B682" s="19"/>
      <c r="C682" s="195"/>
      <c r="D682" s="196"/>
      <c r="E682" s="196"/>
      <c r="G682" s="55"/>
      <c r="H682" s="193"/>
    </row>
    <row r="683" ht="14.25" customHeight="1">
      <c r="B683" s="19"/>
      <c r="C683" s="195"/>
      <c r="D683" s="196"/>
      <c r="E683" s="196"/>
      <c r="G683" s="55"/>
      <c r="H683" s="193"/>
    </row>
    <row r="684" ht="14.25" customHeight="1">
      <c r="B684" s="19"/>
      <c r="C684" s="195"/>
      <c r="D684" s="196"/>
      <c r="E684" s="196"/>
      <c r="G684" s="55"/>
      <c r="H684" s="193"/>
    </row>
    <row r="685" ht="14.25" customHeight="1">
      <c r="B685" s="19"/>
      <c r="C685" s="195"/>
      <c r="D685" s="196"/>
      <c r="E685" s="196"/>
      <c r="G685" s="55"/>
      <c r="H685" s="193"/>
    </row>
    <row r="686" ht="14.25" customHeight="1">
      <c r="B686" s="19"/>
      <c r="C686" s="195"/>
      <c r="D686" s="196"/>
      <c r="E686" s="196"/>
      <c r="G686" s="55"/>
      <c r="H686" s="193"/>
    </row>
    <row r="687" ht="14.25" customHeight="1">
      <c r="B687" s="19"/>
      <c r="C687" s="195"/>
      <c r="D687" s="196"/>
      <c r="E687" s="196"/>
      <c r="G687" s="55"/>
      <c r="H687" s="193"/>
    </row>
    <row r="688" ht="14.25" customHeight="1">
      <c r="B688" s="19"/>
      <c r="C688" s="195"/>
      <c r="D688" s="196"/>
      <c r="E688" s="196"/>
      <c r="G688" s="55"/>
      <c r="H688" s="193"/>
    </row>
    <row r="689" ht="14.25" customHeight="1">
      <c r="B689" s="19"/>
      <c r="C689" s="195"/>
      <c r="D689" s="196"/>
      <c r="E689" s="196"/>
      <c r="G689" s="55"/>
      <c r="H689" s="193"/>
    </row>
    <row r="690" ht="14.25" customHeight="1">
      <c r="B690" s="19"/>
      <c r="C690" s="195"/>
      <c r="D690" s="196"/>
      <c r="E690" s="196"/>
      <c r="G690" s="55"/>
      <c r="H690" s="193"/>
    </row>
    <row r="691" ht="14.25" customHeight="1">
      <c r="B691" s="19"/>
      <c r="C691" s="195"/>
      <c r="D691" s="196"/>
      <c r="E691" s="196"/>
      <c r="G691" s="55"/>
      <c r="H691" s="193"/>
    </row>
    <row r="692" ht="14.25" customHeight="1">
      <c r="B692" s="19"/>
      <c r="C692" s="195"/>
      <c r="D692" s="196"/>
      <c r="E692" s="196"/>
      <c r="G692" s="55"/>
      <c r="H692" s="193"/>
    </row>
    <row r="693" ht="14.25" customHeight="1">
      <c r="B693" s="19"/>
      <c r="C693" s="195"/>
      <c r="D693" s="196"/>
      <c r="E693" s="196"/>
      <c r="G693" s="55"/>
      <c r="H693" s="193"/>
    </row>
    <row r="694" ht="14.25" customHeight="1">
      <c r="B694" s="19"/>
      <c r="C694" s="195"/>
      <c r="D694" s="196"/>
      <c r="E694" s="196"/>
      <c r="G694" s="55"/>
      <c r="H694" s="193"/>
    </row>
    <row r="695" ht="14.25" customHeight="1">
      <c r="B695" s="19"/>
      <c r="C695" s="195"/>
      <c r="D695" s="196"/>
      <c r="E695" s="196"/>
      <c r="G695" s="55"/>
      <c r="H695" s="193"/>
    </row>
    <row r="696" ht="14.25" customHeight="1">
      <c r="B696" s="19"/>
      <c r="C696" s="195"/>
      <c r="D696" s="196"/>
      <c r="E696" s="196"/>
      <c r="G696" s="55"/>
      <c r="H696" s="193"/>
    </row>
    <row r="697" ht="14.25" customHeight="1">
      <c r="B697" s="19"/>
      <c r="C697" s="195"/>
      <c r="D697" s="196"/>
      <c r="E697" s="196"/>
      <c r="G697" s="55"/>
      <c r="H697" s="193"/>
    </row>
    <row r="698" ht="14.25" customHeight="1">
      <c r="B698" s="19"/>
      <c r="C698" s="195"/>
      <c r="D698" s="196"/>
      <c r="E698" s="196"/>
      <c r="G698" s="55"/>
      <c r="H698" s="193"/>
    </row>
    <row r="699" ht="14.25" customHeight="1">
      <c r="B699" s="19"/>
      <c r="C699" s="195"/>
      <c r="D699" s="196"/>
      <c r="E699" s="196"/>
      <c r="G699" s="55"/>
      <c r="H699" s="193"/>
    </row>
    <row r="700" ht="14.25" customHeight="1">
      <c r="B700" s="19"/>
      <c r="C700" s="195"/>
      <c r="D700" s="196"/>
      <c r="E700" s="196"/>
      <c r="G700" s="55"/>
      <c r="H700" s="193"/>
    </row>
    <row r="701" ht="14.25" customHeight="1">
      <c r="B701" s="19"/>
      <c r="C701" s="195"/>
      <c r="D701" s="196"/>
      <c r="E701" s="196"/>
      <c r="G701" s="55"/>
      <c r="H701" s="193"/>
    </row>
    <row r="702" ht="14.25" customHeight="1">
      <c r="B702" s="19"/>
      <c r="C702" s="195"/>
      <c r="D702" s="196"/>
      <c r="E702" s="196"/>
      <c r="G702" s="55"/>
      <c r="H702" s="193"/>
    </row>
    <row r="703" ht="14.25" customHeight="1">
      <c r="B703" s="19"/>
      <c r="C703" s="195"/>
      <c r="D703" s="196"/>
      <c r="E703" s="196"/>
      <c r="G703" s="55"/>
      <c r="H703" s="193"/>
    </row>
    <row r="704" ht="14.25" customHeight="1">
      <c r="B704" s="19"/>
      <c r="C704" s="195"/>
      <c r="D704" s="196"/>
      <c r="E704" s="196"/>
      <c r="G704" s="55"/>
      <c r="H704" s="193"/>
    </row>
    <row r="705" ht="14.25" customHeight="1">
      <c r="B705" s="19"/>
      <c r="C705" s="195"/>
      <c r="D705" s="196"/>
      <c r="E705" s="196"/>
      <c r="G705" s="55"/>
      <c r="H705" s="193"/>
    </row>
    <row r="706" ht="14.25" customHeight="1">
      <c r="B706" s="19"/>
      <c r="C706" s="195"/>
      <c r="D706" s="196"/>
      <c r="E706" s="196"/>
      <c r="G706" s="55"/>
      <c r="H706" s="193"/>
    </row>
    <row r="707" ht="14.25" customHeight="1">
      <c r="B707" s="19"/>
      <c r="C707" s="195"/>
      <c r="D707" s="196"/>
      <c r="E707" s="196"/>
      <c r="G707" s="55"/>
      <c r="H707" s="193"/>
    </row>
    <row r="708" ht="14.25" customHeight="1">
      <c r="B708" s="19"/>
      <c r="C708" s="195"/>
      <c r="D708" s="196"/>
      <c r="E708" s="196"/>
      <c r="G708" s="55"/>
      <c r="H708" s="193"/>
    </row>
    <row r="709" ht="14.25" customHeight="1">
      <c r="B709" s="19"/>
      <c r="C709" s="195"/>
      <c r="D709" s="196"/>
      <c r="E709" s="196"/>
      <c r="G709" s="55"/>
      <c r="H709" s="193"/>
    </row>
    <row r="710" ht="14.25" customHeight="1">
      <c r="B710" s="19"/>
      <c r="C710" s="195"/>
      <c r="D710" s="196"/>
      <c r="E710" s="196"/>
      <c r="G710" s="55"/>
      <c r="H710" s="193"/>
    </row>
    <row r="711" ht="14.25" customHeight="1">
      <c r="B711" s="19"/>
      <c r="C711" s="195"/>
      <c r="D711" s="196"/>
      <c r="E711" s="196"/>
      <c r="G711" s="55"/>
      <c r="H711" s="193"/>
    </row>
    <row r="712" ht="14.25" customHeight="1">
      <c r="B712" s="19"/>
      <c r="C712" s="195"/>
      <c r="D712" s="196"/>
      <c r="E712" s="196"/>
      <c r="G712" s="55"/>
      <c r="H712" s="193"/>
    </row>
    <row r="713" ht="14.25" customHeight="1">
      <c r="B713" s="19"/>
      <c r="C713" s="195"/>
      <c r="D713" s="196"/>
      <c r="E713" s="196"/>
      <c r="G713" s="55"/>
      <c r="H713" s="193"/>
    </row>
    <row r="714" ht="14.25" customHeight="1">
      <c r="B714" s="19"/>
      <c r="C714" s="195"/>
      <c r="D714" s="196"/>
      <c r="E714" s="196"/>
      <c r="G714" s="55"/>
      <c r="H714" s="193"/>
    </row>
    <row r="715" ht="14.25" customHeight="1">
      <c r="B715" s="19"/>
      <c r="C715" s="195"/>
      <c r="D715" s="196"/>
      <c r="E715" s="196"/>
      <c r="G715" s="55"/>
      <c r="H715" s="193"/>
    </row>
    <row r="716" ht="14.25" customHeight="1">
      <c r="B716" s="19"/>
      <c r="C716" s="195"/>
      <c r="D716" s="196"/>
      <c r="E716" s="196"/>
      <c r="G716" s="55"/>
      <c r="H716" s="193"/>
    </row>
    <row r="717" ht="14.25" customHeight="1">
      <c r="B717" s="19"/>
      <c r="C717" s="195"/>
      <c r="D717" s="196"/>
      <c r="E717" s="196"/>
      <c r="G717" s="55"/>
      <c r="H717" s="193"/>
    </row>
    <row r="718" ht="14.25" customHeight="1">
      <c r="B718" s="19"/>
      <c r="C718" s="195"/>
      <c r="D718" s="196"/>
      <c r="E718" s="196"/>
      <c r="G718" s="55"/>
      <c r="H718" s="193"/>
    </row>
    <row r="719" ht="14.25" customHeight="1">
      <c r="B719" s="19"/>
      <c r="C719" s="195"/>
      <c r="D719" s="196"/>
      <c r="E719" s="196"/>
      <c r="G719" s="55"/>
      <c r="H719" s="193"/>
    </row>
    <row r="720" ht="14.25" customHeight="1">
      <c r="B720" s="19"/>
      <c r="C720" s="195"/>
      <c r="D720" s="196"/>
      <c r="E720" s="196"/>
      <c r="G720" s="55"/>
      <c r="H720" s="193"/>
    </row>
    <row r="721" ht="14.25" customHeight="1">
      <c r="B721" s="19"/>
      <c r="C721" s="195"/>
      <c r="D721" s="196"/>
      <c r="E721" s="196"/>
      <c r="G721" s="55"/>
      <c r="H721" s="193"/>
    </row>
    <row r="722" ht="14.25" customHeight="1">
      <c r="B722" s="19"/>
      <c r="C722" s="195"/>
      <c r="D722" s="196"/>
      <c r="E722" s="196"/>
      <c r="G722" s="55"/>
      <c r="H722" s="193"/>
    </row>
    <row r="723" ht="14.25" customHeight="1">
      <c r="B723" s="19"/>
      <c r="C723" s="195"/>
      <c r="D723" s="196"/>
      <c r="E723" s="196"/>
      <c r="G723" s="55"/>
      <c r="H723" s="193"/>
    </row>
    <row r="724" ht="14.25" customHeight="1">
      <c r="B724" s="19"/>
      <c r="C724" s="195"/>
      <c r="D724" s="196"/>
      <c r="E724" s="196"/>
      <c r="G724" s="55"/>
      <c r="H724" s="193"/>
    </row>
    <row r="725" ht="14.25" customHeight="1">
      <c r="B725" s="19"/>
      <c r="C725" s="195"/>
      <c r="D725" s="196"/>
      <c r="E725" s="196"/>
      <c r="G725" s="55"/>
      <c r="H725" s="193"/>
    </row>
    <row r="726" ht="14.25" customHeight="1">
      <c r="B726" s="19"/>
      <c r="C726" s="195"/>
      <c r="D726" s="196"/>
      <c r="E726" s="196"/>
      <c r="G726" s="55"/>
      <c r="H726" s="193"/>
    </row>
    <row r="727" ht="14.25" customHeight="1">
      <c r="B727" s="19"/>
      <c r="C727" s="195"/>
      <c r="D727" s="196"/>
      <c r="E727" s="196"/>
      <c r="G727" s="55"/>
      <c r="H727" s="193"/>
    </row>
    <row r="728" ht="14.25" customHeight="1">
      <c r="B728" s="19"/>
      <c r="C728" s="195"/>
      <c r="D728" s="196"/>
      <c r="E728" s="196"/>
      <c r="G728" s="55"/>
      <c r="H728" s="193"/>
    </row>
    <row r="729" ht="14.25" customHeight="1">
      <c r="B729" s="19"/>
      <c r="C729" s="195"/>
      <c r="D729" s="196"/>
      <c r="E729" s="196"/>
      <c r="G729" s="55"/>
      <c r="H729" s="193"/>
    </row>
    <row r="730" ht="14.25" customHeight="1">
      <c r="B730" s="19"/>
      <c r="C730" s="195"/>
      <c r="D730" s="196"/>
      <c r="E730" s="196"/>
      <c r="G730" s="55"/>
      <c r="H730" s="193"/>
    </row>
    <row r="731" ht="14.25" customHeight="1">
      <c r="B731" s="19"/>
      <c r="C731" s="195"/>
      <c r="D731" s="196"/>
      <c r="E731" s="196"/>
      <c r="G731" s="55"/>
      <c r="H731" s="193"/>
    </row>
    <row r="732" ht="14.25" customHeight="1">
      <c r="B732" s="19"/>
      <c r="C732" s="195"/>
      <c r="D732" s="196"/>
      <c r="E732" s="196"/>
      <c r="G732" s="55"/>
      <c r="H732" s="193"/>
    </row>
    <row r="733" ht="14.25" customHeight="1">
      <c r="B733" s="19"/>
      <c r="C733" s="195"/>
      <c r="D733" s="196"/>
      <c r="E733" s="196"/>
      <c r="G733" s="55"/>
      <c r="H733" s="193"/>
    </row>
    <row r="734" ht="14.25" customHeight="1">
      <c r="B734" s="19"/>
      <c r="C734" s="195"/>
      <c r="D734" s="196"/>
      <c r="E734" s="196"/>
      <c r="G734" s="55"/>
      <c r="H734" s="193"/>
    </row>
    <row r="735" ht="14.25" customHeight="1">
      <c r="B735" s="19"/>
      <c r="C735" s="195"/>
      <c r="D735" s="196"/>
      <c r="E735" s="196"/>
      <c r="G735" s="55"/>
      <c r="H735" s="193"/>
    </row>
    <row r="736" ht="14.25" customHeight="1">
      <c r="B736" s="19"/>
      <c r="C736" s="195"/>
      <c r="D736" s="196"/>
      <c r="E736" s="196"/>
      <c r="G736" s="55"/>
      <c r="H736" s="193"/>
    </row>
    <row r="737" ht="14.25" customHeight="1">
      <c r="B737" s="19"/>
      <c r="C737" s="195"/>
      <c r="D737" s="196"/>
      <c r="E737" s="196"/>
      <c r="G737" s="55"/>
      <c r="H737" s="193"/>
    </row>
    <row r="738" ht="14.25" customHeight="1">
      <c r="B738" s="19"/>
      <c r="C738" s="195"/>
      <c r="D738" s="196"/>
      <c r="E738" s="196"/>
      <c r="G738" s="55"/>
      <c r="H738" s="193"/>
    </row>
    <row r="739" ht="14.25" customHeight="1">
      <c r="B739" s="19"/>
      <c r="C739" s="195"/>
      <c r="D739" s="196"/>
      <c r="E739" s="196"/>
      <c r="G739" s="55"/>
      <c r="H739" s="193"/>
    </row>
    <row r="740" ht="14.25" customHeight="1">
      <c r="B740" s="19"/>
      <c r="C740" s="195"/>
      <c r="D740" s="196"/>
      <c r="E740" s="196"/>
      <c r="G740" s="55"/>
      <c r="H740" s="193"/>
    </row>
    <row r="741" ht="14.25" customHeight="1">
      <c r="B741" s="19"/>
      <c r="C741" s="195"/>
      <c r="D741" s="196"/>
      <c r="E741" s="196"/>
      <c r="G741" s="55"/>
      <c r="H741" s="193"/>
    </row>
    <row r="742" ht="14.25" customHeight="1">
      <c r="B742" s="19"/>
      <c r="C742" s="195"/>
      <c r="D742" s="196"/>
      <c r="E742" s="196"/>
      <c r="G742" s="55"/>
      <c r="H742" s="193"/>
    </row>
    <row r="743" ht="14.25" customHeight="1">
      <c r="B743" s="19"/>
      <c r="C743" s="195"/>
      <c r="D743" s="196"/>
      <c r="E743" s="196"/>
      <c r="G743" s="55"/>
      <c r="H743" s="193"/>
    </row>
    <row r="744" ht="14.25" customHeight="1">
      <c r="B744" s="19"/>
      <c r="C744" s="195"/>
      <c r="D744" s="196"/>
      <c r="E744" s="196"/>
      <c r="G744" s="55"/>
      <c r="H744" s="193"/>
    </row>
    <row r="745" ht="14.25" customHeight="1">
      <c r="B745" s="19"/>
      <c r="C745" s="195"/>
      <c r="D745" s="196"/>
      <c r="E745" s="196"/>
      <c r="G745" s="55"/>
      <c r="H745" s="193"/>
    </row>
    <row r="746" ht="14.25" customHeight="1">
      <c r="B746" s="19"/>
      <c r="C746" s="195"/>
      <c r="D746" s="196"/>
      <c r="E746" s="196"/>
      <c r="G746" s="55"/>
      <c r="H746" s="193"/>
    </row>
    <row r="747" ht="14.25" customHeight="1">
      <c r="B747" s="19"/>
      <c r="C747" s="195"/>
      <c r="D747" s="196"/>
      <c r="E747" s="196"/>
      <c r="G747" s="55"/>
      <c r="H747" s="193"/>
    </row>
    <row r="748" ht="14.25" customHeight="1">
      <c r="B748" s="19"/>
      <c r="C748" s="195"/>
      <c r="D748" s="196"/>
      <c r="E748" s="196"/>
      <c r="G748" s="55"/>
      <c r="H748" s="193"/>
    </row>
    <row r="749" ht="14.25" customHeight="1">
      <c r="B749" s="19"/>
      <c r="C749" s="195"/>
      <c r="D749" s="196"/>
      <c r="E749" s="196"/>
      <c r="G749" s="55"/>
      <c r="H749" s="193"/>
    </row>
    <row r="750" ht="14.25" customHeight="1">
      <c r="B750" s="19"/>
      <c r="C750" s="195"/>
      <c r="D750" s="196"/>
      <c r="E750" s="196"/>
      <c r="G750" s="55"/>
      <c r="H750" s="193"/>
    </row>
    <row r="751" ht="14.25" customHeight="1">
      <c r="B751" s="19"/>
      <c r="C751" s="195"/>
      <c r="D751" s="196"/>
      <c r="E751" s="196"/>
      <c r="G751" s="55"/>
      <c r="H751" s="193"/>
    </row>
    <row r="752" ht="14.25" customHeight="1">
      <c r="B752" s="19"/>
      <c r="C752" s="195"/>
      <c r="D752" s="196"/>
      <c r="E752" s="196"/>
      <c r="G752" s="55"/>
      <c r="H752" s="193"/>
    </row>
    <row r="753" ht="14.25" customHeight="1">
      <c r="B753" s="19"/>
      <c r="C753" s="195"/>
      <c r="D753" s="196"/>
      <c r="E753" s="196"/>
      <c r="G753" s="55"/>
      <c r="H753" s="193"/>
    </row>
    <row r="754" ht="14.25" customHeight="1">
      <c r="B754" s="19"/>
      <c r="C754" s="195"/>
      <c r="D754" s="196"/>
      <c r="E754" s="196"/>
      <c r="G754" s="55"/>
      <c r="H754" s="193"/>
    </row>
    <row r="755" ht="14.25" customHeight="1">
      <c r="B755" s="19"/>
      <c r="C755" s="195"/>
      <c r="D755" s="196"/>
      <c r="E755" s="196"/>
      <c r="G755" s="55"/>
      <c r="H755" s="193"/>
    </row>
    <row r="756" ht="14.25" customHeight="1">
      <c r="B756" s="19"/>
      <c r="C756" s="195"/>
      <c r="D756" s="196"/>
      <c r="E756" s="196"/>
      <c r="G756" s="55"/>
      <c r="H756" s="193"/>
    </row>
    <row r="757" ht="14.25" customHeight="1">
      <c r="B757" s="19"/>
      <c r="C757" s="195"/>
      <c r="D757" s="196"/>
      <c r="E757" s="196"/>
      <c r="G757" s="55"/>
      <c r="H757" s="193"/>
    </row>
    <row r="758" ht="14.25" customHeight="1">
      <c r="B758" s="19"/>
      <c r="C758" s="195"/>
      <c r="D758" s="196"/>
      <c r="E758" s="196"/>
      <c r="G758" s="55"/>
      <c r="H758" s="193"/>
    </row>
    <row r="759" ht="14.25" customHeight="1">
      <c r="B759" s="19"/>
      <c r="C759" s="195"/>
      <c r="D759" s="196"/>
      <c r="E759" s="196"/>
      <c r="G759" s="55"/>
      <c r="H759" s="193"/>
    </row>
    <row r="760" ht="14.25" customHeight="1">
      <c r="B760" s="19"/>
      <c r="C760" s="195"/>
      <c r="D760" s="196"/>
      <c r="E760" s="196"/>
      <c r="G760" s="55"/>
      <c r="H760" s="193"/>
    </row>
    <row r="761" ht="14.25" customHeight="1">
      <c r="B761" s="19"/>
      <c r="C761" s="195"/>
      <c r="D761" s="196"/>
      <c r="E761" s="196"/>
      <c r="G761" s="55"/>
      <c r="H761" s="193"/>
    </row>
    <row r="762" ht="14.25" customHeight="1">
      <c r="B762" s="19"/>
      <c r="C762" s="195"/>
      <c r="D762" s="196"/>
      <c r="E762" s="196"/>
      <c r="G762" s="55"/>
      <c r="H762" s="193"/>
    </row>
    <row r="763" ht="14.25" customHeight="1">
      <c r="B763" s="19"/>
      <c r="C763" s="195"/>
      <c r="D763" s="196"/>
      <c r="E763" s="196"/>
      <c r="G763" s="55"/>
      <c r="H763" s="193"/>
    </row>
    <row r="764" ht="14.25" customHeight="1">
      <c r="B764" s="19"/>
      <c r="C764" s="195"/>
      <c r="D764" s="196"/>
      <c r="E764" s="196"/>
      <c r="G764" s="55"/>
      <c r="H764" s="193"/>
    </row>
    <row r="765" ht="14.25" customHeight="1">
      <c r="B765" s="19"/>
      <c r="C765" s="195"/>
      <c r="D765" s="196"/>
      <c r="E765" s="196"/>
      <c r="G765" s="55"/>
      <c r="H765" s="193"/>
    </row>
    <row r="766" ht="14.25" customHeight="1">
      <c r="B766" s="19"/>
      <c r="C766" s="195"/>
      <c r="D766" s="196"/>
      <c r="E766" s="196"/>
      <c r="G766" s="55"/>
      <c r="H766" s="193"/>
    </row>
    <row r="767" ht="14.25" customHeight="1">
      <c r="B767" s="19"/>
      <c r="C767" s="195"/>
      <c r="D767" s="196"/>
      <c r="E767" s="196"/>
      <c r="G767" s="55"/>
      <c r="H767" s="193"/>
    </row>
    <row r="768" ht="14.25" customHeight="1">
      <c r="B768" s="19"/>
      <c r="C768" s="195"/>
      <c r="D768" s="196"/>
      <c r="E768" s="196"/>
      <c r="G768" s="55"/>
      <c r="H768" s="193"/>
    </row>
    <row r="769" ht="14.25" customHeight="1">
      <c r="B769" s="19"/>
      <c r="C769" s="195"/>
      <c r="D769" s="196"/>
      <c r="E769" s="196"/>
      <c r="G769" s="55"/>
      <c r="H769" s="193"/>
    </row>
    <row r="770" ht="14.25" customHeight="1">
      <c r="B770" s="19"/>
      <c r="C770" s="195"/>
      <c r="D770" s="196"/>
      <c r="E770" s="196"/>
      <c r="G770" s="55"/>
      <c r="H770" s="193"/>
    </row>
    <row r="771" ht="14.25" customHeight="1">
      <c r="B771" s="19"/>
      <c r="C771" s="195"/>
      <c r="D771" s="196"/>
      <c r="E771" s="196"/>
      <c r="G771" s="55"/>
      <c r="H771" s="193"/>
    </row>
    <row r="772" ht="14.25" customHeight="1">
      <c r="B772" s="19"/>
      <c r="C772" s="195"/>
      <c r="D772" s="196"/>
      <c r="E772" s="196"/>
      <c r="G772" s="55"/>
      <c r="H772" s="193"/>
    </row>
    <row r="773" ht="14.25" customHeight="1">
      <c r="B773" s="19"/>
      <c r="C773" s="195"/>
      <c r="D773" s="196"/>
      <c r="E773" s="196"/>
      <c r="G773" s="55"/>
      <c r="H773" s="193"/>
    </row>
    <row r="774" ht="14.25" customHeight="1">
      <c r="B774" s="19"/>
      <c r="C774" s="195"/>
      <c r="D774" s="196"/>
      <c r="E774" s="196"/>
      <c r="G774" s="55"/>
      <c r="H774" s="193"/>
    </row>
    <row r="775" ht="14.25" customHeight="1">
      <c r="B775" s="19"/>
      <c r="C775" s="195"/>
      <c r="D775" s="196"/>
      <c r="E775" s="196"/>
      <c r="G775" s="55"/>
      <c r="H775" s="193"/>
    </row>
    <row r="776" ht="14.25" customHeight="1">
      <c r="B776" s="19"/>
      <c r="C776" s="195"/>
      <c r="D776" s="196"/>
      <c r="E776" s="196"/>
      <c r="G776" s="55"/>
      <c r="H776" s="193"/>
    </row>
    <row r="777" ht="14.25" customHeight="1">
      <c r="B777" s="19"/>
      <c r="C777" s="195"/>
      <c r="D777" s="196"/>
      <c r="E777" s="196"/>
      <c r="G777" s="55"/>
      <c r="H777" s="193"/>
    </row>
    <row r="778" ht="14.25" customHeight="1">
      <c r="B778" s="19"/>
      <c r="C778" s="195"/>
      <c r="D778" s="196"/>
      <c r="E778" s="196"/>
      <c r="G778" s="55"/>
      <c r="H778" s="193"/>
    </row>
    <row r="779" ht="14.25" customHeight="1">
      <c r="B779" s="19"/>
      <c r="C779" s="195"/>
      <c r="D779" s="196"/>
      <c r="E779" s="196"/>
      <c r="G779" s="55"/>
      <c r="H779" s="193"/>
    </row>
    <row r="780" ht="14.25" customHeight="1">
      <c r="B780" s="19"/>
      <c r="C780" s="195"/>
      <c r="D780" s="196"/>
      <c r="E780" s="196"/>
      <c r="G780" s="55"/>
      <c r="H780" s="193"/>
    </row>
    <row r="781" ht="14.25" customHeight="1">
      <c r="B781" s="19"/>
      <c r="C781" s="195"/>
      <c r="D781" s="196"/>
      <c r="E781" s="196"/>
      <c r="G781" s="55"/>
      <c r="H781" s="193"/>
    </row>
    <row r="782" ht="14.25" customHeight="1">
      <c r="B782" s="19"/>
      <c r="C782" s="195"/>
      <c r="D782" s="196"/>
      <c r="E782" s="196"/>
      <c r="G782" s="55"/>
      <c r="H782" s="193"/>
    </row>
    <row r="783" ht="14.25" customHeight="1">
      <c r="B783" s="19"/>
      <c r="C783" s="195"/>
      <c r="D783" s="196"/>
      <c r="E783" s="196"/>
      <c r="G783" s="55"/>
      <c r="H783" s="193"/>
    </row>
    <row r="784" ht="14.25" customHeight="1">
      <c r="B784" s="19"/>
      <c r="C784" s="195"/>
      <c r="D784" s="196"/>
      <c r="E784" s="196"/>
      <c r="G784" s="55"/>
      <c r="H784" s="193"/>
    </row>
    <row r="785" ht="14.25" customHeight="1">
      <c r="B785" s="19"/>
      <c r="C785" s="195"/>
      <c r="D785" s="196"/>
      <c r="E785" s="196"/>
      <c r="G785" s="55"/>
      <c r="H785" s="193"/>
    </row>
    <row r="786" ht="14.25" customHeight="1">
      <c r="B786" s="19"/>
      <c r="C786" s="195"/>
      <c r="D786" s="196"/>
      <c r="E786" s="196"/>
      <c r="G786" s="55"/>
      <c r="H786" s="193"/>
    </row>
    <row r="787" ht="14.25" customHeight="1">
      <c r="B787" s="19"/>
      <c r="C787" s="195"/>
      <c r="D787" s="196"/>
      <c r="E787" s="196"/>
      <c r="G787" s="55"/>
      <c r="H787" s="193"/>
    </row>
    <row r="788" ht="14.25" customHeight="1">
      <c r="B788" s="19"/>
      <c r="C788" s="195"/>
      <c r="D788" s="196"/>
      <c r="E788" s="196"/>
      <c r="G788" s="55"/>
      <c r="H788" s="193"/>
    </row>
    <row r="789" ht="14.25" customHeight="1">
      <c r="B789" s="19"/>
      <c r="C789" s="195"/>
      <c r="D789" s="196"/>
      <c r="E789" s="196"/>
      <c r="G789" s="55"/>
      <c r="H789" s="193"/>
    </row>
    <row r="790" ht="14.25" customHeight="1">
      <c r="B790" s="19"/>
      <c r="C790" s="195"/>
      <c r="D790" s="196"/>
      <c r="E790" s="196"/>
      <c r="G790" s="55"/>
      <c r="H790" s="193"/>
    </row>
    <row r="791" ht="14.25" customHeight="1">
      <c r="B791" s="19"/>
      <c r="C791" s="195"/>
      <c r="D791" s="196"/>
      <c r="E791" s="196"/>
      <c r="G791" s="55"/>
      <c r="H791" s="193"/>
    </row>
    <row r="792" ht="14.25" customHeight="1">
      <c r="B792" s="19"/>
      <c r="C792" s="195"/>
      <c r="D792" s="196"/>
      <c r="E792" s="196"/>
      <c r="G792" s="55"/>
      <c r="H792" s="193"/>
    </row>
    <row r="793" ht="14.25" customHeight="1">
      <c r="B793" s="19"/>
      <c r="C793" s="195"/>
      <c r="D793" s="196"/>
      <c r="E793" s="196"/>
      <c r="G793" s="55"/>
      <c r="H793" s="193"/>
    </row>
    <row r="794" ht="14.25" customHeight="1">
      <c r="B794" s="19"/>
      <c r="C794" s="195"/>
      <c r="D794" s="196"/>
      <c r="E794" s="196"/>
      <c r="G794" s="55"/>
      <c r="H794" s="193"/>
    </row>
    <row r="795" ht="14.25" customHeight="1">
      <c r="B795" s="19"/>
      <c r="C795" s="195"/>
      <c r="D795" s="196"/>
      <c r="E795" s="196"/>
      <c r="G795" s="55"/>
      <c r="H795" s="193"/>
    </row>
    <row r="796" ht="14.25" customHeight="1">
      <c r="B796" s="19"/>
      <c r="C796" s="195"/>
      <c r="D796" s="196"/>
      <c r="E796" s="196"/>
      <c r="G796" s="55"/>
      <c r="H796" s="193"/>
    </row>
    <row r="797" ht="14.25" customHeight="1">
      <c r="B797" s="19"/>
      <c r="C797" s="195"/>
      <c r="D797" s="196"/>
      <c r="E797" s="196"/>
      <c r="G797" s="55"/>
      <c r="H797" s="193"/>
    </row>
    <row r="798" ht="14.25" customHeight="1">
      <c r="B798" s="19"/>
      <c r="C798" s="195"/>
      <c r="D798" s="196"/>
      <c r="E798" s="196"/>
      <c r="G798" s="55"/>
      <c r="H798" s="193"/>
    </row>
    <row r="799" ht="14.25" customHeight="1">
      <c r="B799" s="19"/>
      <c r="C799" s="195"/>
      <c r="D799" s="196"/>
      <c r="E799" s="196"/>
      <c r="G799" s="55"/>
      <c r="H799" s="193"/>
    </row>
    <row r="800" ht="14.25" customHeight="1">
      <c r="B800" s="19"/>
      <c r="C800" s="195"/>
      <c r="D800" s="196"/>
      <c r="E800" s="196"/>
      <c r="G800" s="55"/>
      <c r="H800" s="193"/>
    </row>
    <row r="801" ht="14.25" customHeight="1">
      <c r="B801" s="19"/>
      <c r="C801" s="195"/>
      <c r="D801" s="196"/>
      <c r="E801" s="196"/>
      <c r="G801" s="55"/>
      <c r="H801" s="193"/>
    </row>
    <row r="802" ht="14.25" customHeight="1">
      <c r="B802" s="19"/>
      <c r="C802" s="195"/>
      <c r="D802" s="196"/>
      <c r="E802" s="196"/>
      <c r="G802" s="55"/>
      <c r="H802" s="193"/>
    </row>
    <row r="803" ht="14.25" customHeight="1">
      <c r="B803" s="19"/>
      <c r="C803" s="195"/>
      <c r="D803" s="196"/>
      <c r="E803" s="196"/>
      <c r="G803" s="55"/>
      <c r="H803" s="193"/>
    </row>
    <row r="804" ht="14.25" customHeight="1">
      <c r="B804" s="19"/>
      <c r="C804" s="195"/>
      <c r="D804" s="196"/>
      <c r="E804" s="196"/>
      <c r="G804" s="55"/>
      <c r="H804" s="193"/>
    </row>
    <row r="805" ht="14.25" customHeight="1">
      <c r="B805" s="19"/>
      <c r="C805" s="195"/>
      <c r="D805" s="196"/>
      <c r="E805" s="196"/>
      <c r="G805" s="55"/>
      <c r="H805" s="193"/>
    </row>
    <row r="806" ht="14.25" customHeight="1">
      <c r="B806" s="19"/>
      <c r="C806" s="195"/>
      <c r="D806" s="196"/>
      <c r="E806" s="196"/>
      <c r="G806" s="55"/>
      <c r="H806" s="193"/>
    </row>
    <row r="807" ht="14.25" customHeight="1">
      <c r="B807" s="19"/>
      <c r="C807" s="195"/>
      <c r="D807" s="196"/>
      <c r="E807" s="196"/>
      <c r="G807" s="55"/>
      <c r="H807" s="193"/>
    </row>
    <row r="808" ht="14.25" customHeight="1">
      <c r="B808" s="19"/>
      <c r="C808" s="195"/>
      <c r="D808" s="196"/>
      <c r="E808" s="196"/>
      <c r="G808" s="55"/>
      <c r="H808" s="193"/>
    </row>
    <row r="809" ht="14.25" customHeight="1">
      <c r="B809" s="19"/>
      <c r="C809" s="195"/>
      <c r="D809" s="196"/>
      <c r="E809" s="196"/>
      <c r="G809" s="55"/>
      <c r="H809" s="193"/>
    </row>
    <row r="810" ht="14.25" customHeight="1">
      <c r="B810" s="19"/>
      <c r="C810" s="195"/>
      <c r="D810" s="196"/>
      <c r="E810" s="196"/>
      <c r="G810" s="55"/>
      <c r="H810" s="193"/>
    </row>
    <row r="811" ht="14.25" customHeight="1">
      <c r="B811" s="19"/>
      <c r="C811" s="195"/>
      <c r="D811" s="196"/>
      <c r="E811" s="196"/>
      <c r="G811" s="55"/>
      <c r="H811" s="193"/>
    </row>
    <row r="812" ht="14.25" customHeight="1">
      <c r="B812" s="19"/>
      <c r="C812" s="195"/>
      <c r="D812" s="196"/>
      <c r="E812" s="196"/>
      <c r="G812" s="55"/>
      <c r="H812" s="193"/>
    </row>
    <row r="813" ht="14.25" customHeight="1">
      <c r="B813" s="19"/>
      <c r="C813" s="195"/>
      <c r="D813" s="196"/>
      <c r="E813" s="196"/>
      <c r="G813" s="55"/>
      <c r="H813" s="193"/>
    </row>
    <row r="814" ht="14.25" customHeight="1">
      <c r="B814" s="19"/>
      <c r="C814" s="195"/>
      <c r="D814" s="196"/>
      <c r="E814" s="196"/>
      <c r="G814" s="55"/>
      <c r="H814" s="193"/>
    </row>
    <row r="815" ht="14.25" customHeight="1">
      <c r="B815" s="19"/>
      <c r="C815" s="195"/>
      <c r="D815" s="196"/>
      <c r="E815" s="196"/>
      <c r="G815" s="55"/>
      <c r="H815" s="193"/>
    </row>
    <row r="816" ht="14.25" customHeight="1">
      <c r="B816" s="19"/>
      <c r="C816" s="195"/>
      <c r="D816" s="196"/>
      <c r="E816" s="196"/>
      <c r="G816" s="55"/>
      <c r="H816" s="193"/>
    </row>
    <row r="817" ht="14.25" customHeight="1">
      <c r="B817" s="19"/>
      <c r="C817" s="195"/>
      <c r="D817" s="196"/>
      <c r="E817" s="196"/>
      <c r="G817" s="55"/>
      <c r="H817" s="193"/>
    </row>
    <row r="818" ht="14.25" customHeight="1">
      <c r="B818" s="19"/>
      <c r="C818" s="195"/>
      <c r="D818" s="196"/>
      <c r="E818" s="196"/>
      <c r="G818" s="55"/>
      <c r="H818" s="193"/>
    </row>
    <row r="819" ht="14.25" customHeight="1">
      <c r="B819" s="19"/>
      <c r="C819" s="195"/>
      <c r="D819" s="196"/>
      <c r="E819" s="196"/>
      <c r="G819" s="55"/>
      <c r="H819" s="193"/>
    </row>
    <row r="820" ht="14.25" customHeight="1">
      <c r="B820" s="19"/>
      <c r="C820" s="195"/>
      <c r="D820" s="196"/>
      <c r="E820" s="196"/>
      <c r="G820" s="55"/>
      <c r="H820" s="193"/>
    </row>
    <row r="821" ht="14.25" customHeight="1">
      <c r="B821" s="19"/>
      <c r="C821" s="195"/>
      <c r="D821" s="196"/>
      <c r="E821" s="196"/>
      <c r="G821" s="55"/>
      <c r="H821" s="193"/>
    </row>
    <row r="822" ht="14.25" customHeight="1">
      <c r="B822" s="19"/>
      <c r="C822" s="195"/>
      <c r="D822" s="196"/>
      <c r="E822" s="196"/>
      <c r="G822" s="55"/>
      <c r="H822" s="193"/>
    </row>
    <row r="823" ht="14.25" customHeight="1">
      <c r="B823" s="19"/>
      <c r="C823" s="195"/>
      <c r="D823" s="196"/>
      <c r="E823" s="196"/>
      <c r="G823" s="55"/>
      <c r="H823" s="193"/>
    </row>
    <row r="824" ht="14.25" customHeight="1">
      <c r="B824" s="19"/>
      <c r="C824" s="195"/>
      <c r="D824" s="196"/>
      <c r="E824" s="196"/>
      <c r="G824" s="55"/>
      <c r="H824" s="193"/>
    </row>
    <row r="825" ht="14.25" customHeight="1">
      <c r="B825" s="19"/>
      <c r="C825" s="195"/>
      <c r="D825" s="196"/>
      <c r="E825" s="196"/>
      <c r="G825" s="55"/>
      <c r="H825" s="193"/>
    </row>
    <row r="826" ht="14.25" customHeight="1">
      <c r="B826" s="19"/>
      <c r="C826" s="195"/>
      <c r="D826" s="196"/>
      <c r="E826" s="196"/>
      <c r="G826" s="55"/>
      <c r="H826" s="193"/>
    </row>
    <row r="827" ht="14.25" customHeight="1">
      <c r="B827" s="19"/>
      <c r="C827" s="195"/>
      <c r="D827" s="196"/>
      <c r="E827" s="196"/>
      <c r="G827" s="55"/>
      <c r="H827" s="193"/>
    </row>
    <row r="828" ht="14.25" customHeight="1">
      <c r="B828" s="19"/>
      <c r="C828" s="195"/>
      <c r="D828" s="196"/>
      <c r="E828" s="196"/>
      <c r="G828" s="55"/>
      <c r="H828" s="193"/>
    </row>
    <row r="829" ht="14.25" customHeight="1">
      <c r="B829" s="19"/>
      <c r="C829" s="195"/>
      <c r="D829" s="196"/>
      <c r="E829" s="196"/>
      <c r="G829" s="55"/>
      <c r="H829" s="193"/>
    </row>
    <row r="830" ht="14.25" customHeight="1">
      <c r="B830" s="19"/>
      <c r="C830" s="195"/>
      <c r="D830" s="196"/>
      <c r="E830" s="196"/>
      <c r="G830" s="55"/>
      <c r="H830" s="193"/>
    </row>
    <row r="831" ht="14.25" customHeight="1">
      <c r="B831" s="19"/>
      <c r="C831" s="195"/>
      <c r="D831" s="196"/>
      <c r="E831" s="196"/>
      <c r="G831" s="55"/>
      <c r="H831" s="193"/>
    </row>
    <row r="832" ht="14.25" customHeight="1">
      <c r="B832" s="19"/>
      <c r="C832" s="195"/>
      <c r="D832" s="196"/>
      <c r="E832" s="196"/>
      <c r="G832" s="55"/>
      <c r="H832" s="193"/>
    </row>
    <row r="833" ht="14.25" customHeight="1">
      <c r="B833" s="19"/>
      <c r="C833" s="195"/>
      <c r="D833" s="196"/>
      <c r="E833" s="196"/>
      <c r="G833" s="55"/>
      <c r="H833" s="193"/>
    </row>
    <row r="834" ht="14.25" customHeight="1">
      <c r="B834" s="19"/>
      <c r="C834" s="195"/>
      <c r="D834" s="196"/>
      <c r="E834" s="196"/>
      <c r="G834" s="55"/>
      <c r="H834" s="193"/>
    </row>
    <row r="835" ht="14.25" customHeight="1">
      <c r="B835" s="19"/>
      <c r="C835" s="195"/>
      <c r="D835" s="196"/>
      <c r="E835" s="196"/>
      <c r="G835" s="55"/>
      <c r="H835" s="193"/>
    </row>
    <row r="836" ht="14.25" customHeight="1">
      <c r="B836" s="19"/>
      <c r="C836" s="195"/>
      <c r="D836" s="196"/>
      <c r="E836" s="196"/>
      <c r="G836" s="55"/>
      <c r="H836" s="193"/>
    </row>
    <row r="837" ht="14.25" customHeight="1">
      <c r="B837" s="19"/>
      <c r="C837" s="195"/>
      <c r="D837" s="196"/>
      <c r="E837" s="196"/>
      <c r="G837" s="55"/>
      <c r="H837" s="193"/>
    </row>
    <row r="838" ht="14.25" customHeight="1">
      <c r="B838" s="19"/>
      <c r="C838" s="195"/>
      <c r="D838" s="196"/>
      <c r="E838" s="196"/>
      <c r="G838" s="55"/>
      <c r="H838" s="193"/>
    </row>
    <row r="839" ht="14.25" customHeight="1">
      <c r="B839" s="19"/>
      <c r="C839" s="195"/>
      <c r="D839" s="196"/>
      <c r="E839" s="196"/>
      <c r="G839" s="55"/>
      <c r="H839" s="193"/>
    </row>
    <row r="840" ht="14.25" customHeight="1">
      <c r="B840" s="19"/>
      <c r="C840" s="195"/>
      <c r="D840" s="196"/>
      <c r="E840" s="196"/>
      <c r="G840" s="55"/>
      <c r="H840" s="193"/>
    </row>
    <row r="841" ht="14.25" customHeight="1">
      <c r="B841" s="19"/>
      <c r="C841" s="195"/>
      <c r="D841" s="196"/>
      <c r="E841" s="196"/>
      <c r="G841" s="55"/>
      <c r="H841" s="193"/>
    </row>
    <row r="842" ht="14.25" customHeight="1">
      <c r="B842" s="19"/>
      <c r="C842" s="195"/>
      <c r="D842" s="196"/>
      <c r="E842" s="196"/>
      <c r="G842" s="55"/>
      <c r="H842" s="193"/>
    </row>
    <row r="843" ht="14.25" customHeight="1">
      <c r="B843" s="19"/>
      <c r="C843" s="195"/>
      <c r="D843" s="196"/>
      <c r="E843" s="196"/>
      <c r="G843" s="55"/>
      <c r="H843" s="193"/>
    </row>
    <row r="844" ht="14.25" customHeight="1">
      <c r="B844" s="19"/>
      <c r="C844" s="195"/>
      <c r="D844" s="196"/>
      <c r="E844" s="196"/>
      <c r="G844" s="55"/>
      <c r="H844" s="193"/>
    </row>
    <row r="845" ht="14.25" customHeight="1">
      <c r="B845" s="19"/>
      <c r="C845" s="195"/>
      <c r="D845" s="196"/>
      <c r="E845" s="196"/>
      <c r="G845" s="55"/>
      <c r="H845" s="193"/>
    </row>
    <row r="846" ht="14.25" customHeight="1">
      <c r="B846" s="19"/>
      <c r="C846" s="195"/>
      <c r="D846" s="196"/>
      <c r="E846" s="196"/>
      <c r="G846" s="55"/>
      <c r="H846" s="193"/>
    </row>
    <row r="847" ht="14.25" customHeight="1">
      <c r="B847" s="19"/>
      <c r="C847" s="195"/>
      <c r="D847" s="196"/>
      <c r="E847" s="196"/>
      <c r="G847" s="55"/>
      <c r="H847" s="193"/>
    </row>
    <row r="848" ht="14.25" customHeight="1">
      <c r="B848" s="19"/>
      <c r="C848" s="195"/>
      <c r="D848" s="196"/>
      <c r="E848" s="196"/>
      <c r="G848" s="55"/>
      <c r="H848" s="193"/>
    </row>
    <row r="849" ht="14.25" customHeight="1">
      <c r="B849" s="19"/>
      <c r="C849" s="195"/>
      <c r="D849" s="196"/>
      <c r="E849" s="196"/>
      <c r="G849" s="55"/>
      <c r="H849" s="193"/>
    </row>
    <row r="850" ht="14.25" customHeight="1">
      <c r="B850" s="19"/>
      <c r="C850" s="195"/>
      <c r="D850" s="196"/>
      <c r="E850" s="196"/>
      <c r="G850" s="55"/>
      <c r="H850" s="193"/>
    </row>
    <row r="851" ht="14.25" customHeight="1">
      <c r="B851" s="19"/>
      <c r="C851" s="195"/>
      <c r="D851" s="196"/>
      <c r="E851" s="196"/>
      <c r="G851" s="55"/>
      <c r="H851" s="193"/>
    </row>
    <row r="852" ht="14.25" customHeight="1">
      <c r="B852" s="19"/>
      <c r="C852" s="195"/>
      <c r="D852" s="196"/>
      <c r="E852" s="196"/>
      <c r="G852" s="55"/>
      <c r="H852" s="193"/>
    </row>
    <row r="853" ht="14.25" customHeight="1">
      <c r="B853" s="19"/>
      <c r="C853" s="195"/>
      <c r="D853" s="196"/>
      <c r="E853" s="196"/>
      <c r="G853" s="55"/>
      <c r="H853" s="193"/>
    </row>
    <row r="854" ht="14.25" customHeight="1">
      <c r="B854" s="19"/>
      <c r="C854" s="195"/>
      <c r="D854" s="196"/>
      <c r="E854" s="196"/>
      <c r="G854" s="55"/>
      <c r="H854" s="193"/>
    </row>
    <row r="855" ht="14.25" customHeight="1">
      <c r="B855" s="19"/>
      <c r="C855" s="195"/>
      <c r="D855" s="196"/>
      <c r="E855" s="196"/>
      <c r="G855" s="55"/>
      <c r="H855" s="193"/>
    </row>
    <row r="856" ht="14.25" customHeight="1">
      <c r="B856" s="19"/>
      <c r="C856" s="195"/>
      <c r="D856" s="196"/>
      <c r="E856" s="196"/>
      <c r="G856" s="55"/>
      <c r="H856" s="193"/>
    </row>
    <row r="857" ht="14.25" customHeight="1">
      <c r="B857" s="19"/>
      <c r="C857" s="195"/>
      <c r="D857" s="196"/>
      <c r="E857" s="196"/>
      <c r="G857" s="55"/>
      <c r="H857" s="193"/>
    </row>
    <row r="858" ht="14.25" customHeight="1">
      <c r="B858" s="19"/>
      <c r="C858" s="195"/>
      <c r="D858" s="196"/>
      <c r="E858" s="196"/>
      <c r="G858" s="55"/>
      <c r="H858" s="193"/>
    </row>
    <row r="859" ht="14.25" customHeight="1">
      <c r="B859" s="19"/>
      <c r="C859" s="195"/>
      <c r="D859" s="196"/>
      <c r="E859" s="196"/>
      <c r="G859" s="55"/>
      <c r="H859" s="193"/>
    </row>
    <row r="860" ht="14.25" customHeight="1">
      <c r="B860" s="19"/>
      <c r="C860" s="195"/>
      <c r="D860" s="196"/>
      <c r="E860" s="196"/>
      <c r="G860" s="55"/>
      <c r="H860" s="193"/>
    </row>
    <row r="861" ht="14.25" customHeight="1">
      <c r="B861" s="19"/>
      <c r="C861" s="195"/>
      <c r="D861" s="196"/>
      <c r="E861" s="196"/>
      <c r="G861" s="55"/>
      <c r="H861" s="193"/>
    </row>
    <row r="862" ht="14.25" customHeight="1">
      <c r="B862" s="19"/>
      <c r="C862" s="195"/>
      <c r="D862" s="196"/>
      <c r="E862" s="196"/>
      <c r="G862" s="55"/>
      <c r="H862" s="193"/>
    </row>
    <row r="863" ht="14.25" customHeight="1">
      <c r="B863" s="19"/>
      <c r="C863" s="195"/>
      <c r="D863" s="196"/>
      <c r="E863" s="196"/>
      <c r="G863" s="55"/>
      <c r="H863" s="193"/>
    </row>
    <row r="864" ht="14.25" customHeight="1">
      <c r="B864" s="19"/>
      <c r="C864" s="195"/>
      <c r="D864" s="196"/>
      <c r="E864" s="196"/>
      <c r="G864" s="55"/>
      <c r="H864" s="193"/>
    </row>
    <row r="865" ht="14.25" customHeight="1">
      <c r="B865" s="19"/>
      <c r="C865" s="195"/>
      <c r="D865" s="196"/>
      <c r="E865" s="196"/>
      <c r="G865" s="55"/>
      <c r="H865" s="193"/>
    </row>
    <row r="866" ht="14.25" customHeight="1">
      <c r="B866" s="19"/>
      <c r="C866" s="195"/>
      <c r="D866" s="196"/>
      <c r="E866" s="196"/>
      <c r="G866" s="55"/>
      <c r="H866" s="193"/>
    </row>
    <row r="867" ht="14.25" customHeight="1">
      <c r="B867" s="19"/>
      <c r="C867" s="195"/>
      <c r="D867" s="196"/>
      <c r="E867" s="196"/>
      <c r="G867" s="55"/>
      <c r="H867" s="193"/>
    </row>
    <row r="868" ht="14.25" customHeight="1">
      <c r="B868" s="19"/>
      <c r="C868" s="195"/>
      <c r="D868" s="196"/>
      <c r="E868" s="196"/>
      <c r="G868" s="55"/>
      <c r="H868" s="193"/>
    </row>
    <row r="869" ht="14.25" customHeight="1">
      <c r="B869" s="19"/>
      <c r="C869" s="195"/>
      <c r="D869" s="196"/>
      <c r="E869" s="196"/>
      <c r="G869" s="55"/>
      <c r="H869" s="193"/>
    </row>
    <row r="870" ht="14.25" customHeight="1">
      <c r="B870" s="19"/>
      <c r="C870" s="195"/>
      <c r="D870" s="196"/>
      <c r="E870" s="196"/>
      <c r="G870" s="55"/>
      <c r="H870" s="193"/>
    </row>
    <row r="871" ht="14.25" customHeight="1">
      <c r="B871" s="19"/>
      <c r="C871" s="195"/>
      <c r="D871" s="196"/>
      <c r="E871" s="196"/>
      <c r="G871" s="55"/>
      <c r="H871" s="193"/>
    </row>
    <row r="872" ht="14.25" customHeight="1">
      <c r="B872" s="19"/>
      <c r="C872" s="195"/>
      <c r="D872" s="196"/>
      <c r="E872" s="196"/>
      <c r="G872" s="55"/>
      <c r="H872" s="193"/>
    </row>
    <row r="873" ht="14.25" customHeight="1">
      <c r="B873" s="19"/>
      <c r="C873" s="195"/>
      <c r="D873" s="196"/>
      <c r="E873" s="196"/>
      <c r="G873" s="55"/>
      <c r="H873" s="193"/>
    </row>
    <row r="874" ht="14.25" customHeight="1">
      <c r="B874" s="19"/>
      <c r="C874" s="195"/>
      <c r="D874" s="196"/>
      <c r="E874" s="196"/>
      <c r="G874" s="55"/>
      <c r="H874" s="193"/>
    </row>
    <row r="875" ht="14.25" customHeight="1">
      <c r="B875" s="19"/>
      <c r="C875" s="195"/>
      <c r="D875" s="196"/>
      <c r="E875" s="196"/>
      <c r="G875" s="55"/>
      <c r="H875" s="193"/>
    </row>
    <row r="876" ht="14.25" customHeight="1">
      <c r="B876" s="19"/>
      <c r="C876" s="195"/>
      <c r="D876" s="196"/>
      <c r="E876" s="196"/>
      <c r="G876" s="55"/>
      <c r="H876" s="193"/>
    </row>
    <row r="877" ht="14.25" customHeight="1">
      <c r="B877" s="19"/>
      <c r="C877" s="195"/>
      <c r="D877" s="196"/>
      <c r="E877" s="196"/>
      <c r="G877" s="55"/>
      <c r="H877" s="193"/>
    </row>
    <row r="878" ht="14.25" customHeight="1">
      <c r="B878" s="19"/>
      <c r="C878" s="195"/>
      <c r="D878" s="196"/>
      <c r="E878" s="196"/>
      <c r="G878" s="55"/>
      <c r="H878" s="193"/>
    </row>
    <row r="879" ht="14.25" customHeight="1">
      <c r="B879" s="19"/>
      <c r="C879" s="195"/>
      <c r="D879" s="196"/>
      <c r="E879" s="196"/>
      <c r="G879" s="55"/>
      <c r="H879" s="193"/>
    </row>
    <row r="880" ht="14.25" customHeight="1">
      <c r="B880" s="19"/>
      <c r="C880" s="195"/>
      <c r="D880" s="196"/>
      <c r="E880" s="196"/>
      <c r="G880" s="55"/>
      <c r="H880" s="193"/>
    </row>
    <row r="881" ht="14.25" customHeight="1">
      <c r="B881" s="19"/>
      <c r="C881" s="195"/>
      <c r="D881" s="196"/>
      <c r="E881" s="196"/>
      <c r="G881" s="55"/>
      <c r="H881" s="193"/>
    </row>
    <row r="882" ht="14.25" customHeight="1">
      <c r="B882" s="19"/>
      <c r="C882" s="195"/>
      <c r="D882" s="196"/>
      <c r="E882" s="196"/>
      <c r="G882" s="55"/>
      <c r="H882" s="193"/>
    </row>
    <row r="883" ht="14.25" customHeight="1">
      <c r="B883" s="19"/>
      <c r="C883" s="195"/>
      <c r="D883" s="196"/>
      <c r="E883" s="196"/>
      <c r="G883" s="55"/>
      <c r="H883" s="193"/>
    </row>
    <row r="884" ht="14.25" customHeight="1">
      <c r="B884" s="19"/>
      <c r="C884" s="195"/>
      <c r="D884" s="196"/>
      <c r="E884" s="196"/>
      <c r="G884" s="55"/>
      <c r="H884" s="193"/>
    </row>
    <row r="885" ht="14.25" customHeight="1">
      <c r="B885" s="19"/>
      <c r="C885" s="195"/>
      <c r="D885" s="196"/>
      <c r="E885" s="196"/>
      <c r="G885" s="55"/>
      <c r="H885" s="193"/>
    </row>
    <row r="886" ht="14.25" customHeight="1">
      <c r="B886" s="19"/>
      <c r="C886" s="195"/>
      <c r="D886" s="196"/>
      <c r="E886" s="196"/>
      <c r="G886" s="55"/>
      <c r="H886" s="193"/>
    </row>
    <row r="887" ht="14.25" customHeight="1">
      <c r="B887" s="19"/>
      <c r="C887" s="195"/>
      <c r="D887" s="196"/>
      <c r="E887" s="196"/>
      <c r="G887" s="55"/>
      <c r="H887" s="193"/>
    </row>
    <row r="888" ht="14.25" customHeight="1">
      <c r="B888" s="19"/>
      <c r="C888" s="195"/>
      <c r="D888" s="196"/>
      <c r="E888" s="196"/>
      <c r="G888" s="55"/>
      <c r="H888" s="193"/>
    </row>
    <row r="889" ht="14.25" customHeight="1">
      <c r="B889" s="19"/>
      <c r="C889" s="195"/>
      <c r="D889" s="196"/>
      <c r="E889" s="196"/>
      <c r="G889" s="55"/>
      <c r="H889" s="193"/>
    </row>
    <row r="890" ht="14.25" customHeight="1">
      <c r="B890" s="19"/>
      <c r="C890" s="195"/>
      <c r="D890" s="196"/>
      <c r="E890" s="196"/>
      <c r="G890" s="55"/>
      <c r="H890" s="193"/>
    </row>
    <row r="891" ht="14.25" customHeight="1">
      <c r="B891" s="19"/>
      <c r="C891" s="195"/>
      <c r="D891" s="196"/>
      <c r="E891" s="196"/>
      <c r="G891" s="55"/>
      <c r="H891" s="193"/>
    </row>
    <row r="892" ht="14.25" customHeight="1">
      <c r="B892" s="19"/>
      <c r="C892" s="195"/>
      <c r="D892" s="196"/>
      <c r="E892" s="196"/>
      <c r="G892" s="55"/>
      <c r="H892" s="193"/>
    </row>
    <row r="893" ht="14.25" customHeight="1">
      <c r="B893" s="19"/>
      <c r="C893" s="195"/>
      <c r="D893" s="196"/>
      <c r="E893" s="196"/>
      <c r="G893" s="55"/>
      <c r="H893" s="193"/>
    </row>
    <row r="894" ht="14.25" customHeight="1">
      <c r="B894" s="19"/>
      <c r="C894" s="195"/>
      <c r="D894" s="196"/>
      <c r="E894" s="196"/>
      <c r="G894" s="55"/>
      <c r="H894" s="193"/>
    </row>
    <row r="895" ht="14.25" customHeight="1">
      <c r="B895" s="19"/>
      <c r="C895" s="195"/>
      <c r="D895" s="196"/>
      <c r="E895" s="196"/>
      <c r="G895" s="55"/>
      <c r="H895" s="193"/>
    </row>
    <row r="896" ht="14.25" customHeight="1">
      <c r="B896" s="19"/>
      <c r="C896" s="195"/>
      <c r="D896" s="196"/>
      <c r="E896" s="196"/>
      <c r="G896" s="55"/>
      <c r="H896" s="193"/>
    </row>
    <row r="897" ht="14.25" customHeight="1">
      <c r="B897" s="19"/>
      <c r="C897" s="195"/>
      <c r="D897" s="196"/>
      <c r="E897" s="196"/>
      <c r="G897" s="55"/>
      <c r="H897" s="193"/>
    </row>
    <row r="898" ht="14.25" customHeight="1">
      <c r="B898" s="19"/>
      <c r="C898" s="195"/>
      <c r="D898" s="196"/>
      <c r="E898" s="196"/>
      <c r="G898" s="55"/>
      <c r="H898" s="193"/>
    </row>
    <row r="899" ht="14.25" customHeight="1">
      <c r="B899" s="19"/>
      <c r="C899" s="195"/>
      <c r="D899" s="196"/>
      <c r="E899" s="196"/>
      <c r="G899" s="55"/>
      <c r="H899" s="193"/>
    </row>
    <row r="900" ht="14.25" customHeight="1">
      <c r="B900" s="19"/>
      <c r="C900" s="195"/>
      <c r="D900" s="196"/>
      <c r="E900" s="196"/>
      <c r="G900" s="55"/>
      <c r="H900" s="193"/>
    </row>
    <row r="901" ht="14.25" customHeight="1">
      <c r="B901" s="19"/>
      <c r="C901" s="195"/>
      <c r="D901" s="196"/>
      <c r="E901" s="196"/>
      <c r="G901" s="55"/>
      <c r="H901" s="193"/>
    </row>
    <row r="902" ht="14.25" customHeight="1">
      <c r="B902" s="19"/>
      <c r="C902" s="195"/>
      <c r="D902" s="196"/>
      <c r="E902" s="196"/>
      <c r="G902" s="55"/>
      <c r="H902" s="193"/>
    </row>
    <row r="903" ht="14.25" customHeight="1">
      <c r="B903" s="19"/>
      <c r="C903" s="195"/>
      <c r="D903" s="196"/>
      <c r="E903" s="196"/>
      <c r="G903" s="55"/>
      <c r="H903" s="193"/>
    </row>
    <row r="904" ht="14.25" customHeight="1">
      <c r="B904" s="19"/>
      <c r="C904" s="195"/>
      <c r="D904" s="196"/>
      <c r="E904" s="196"/>
      <c r="G904" s="55"/>
      <c r="H904" s="193"/>
    </row>
    <row r="905" ht="14.25" customHeight="1">
      <c r="B905" s="19"/>
      <c r="C905" s="195"/>
      <c r="D905" s="196"/>
      <c r="E905" s="196"/>
      <c r="G905" s="55"/>
      <c r="H905" s="193"/>
    </row>
    <row r="906" ht="14.25" customHeight="1">
      <c r="B906" s="19"/>
      <c r="C906" s="195"/>
      <c r="D906" s="196"/>
      <c r="E906" s="196"/>
      <c r="G906" s="55"/>
      <c r="H906" s="193"/>
    </row>
    <row r="907" ht="14.25" customHeight="1">
      <c r="B907" s="19"/>
      <c r="C907" s="195"/>
      <c r="D907" s="196"/>
      <c r="E907" s="196"/>
      <c r="G907" s="55"/>
      <c r="H907" s="193"/>
    </row>
    <row r="908" ht="14.25" customHeight="1">
      <c r="B908" s="19"/>
      <c r="C908" s="195"/>
      <c r="D908" s="196"/>
      <c r="E908" s="196"/>
      <c r="G908" s="55"/>
      <c r="H908" s="193"/>
    </row>
    <row r="909" ht="14.25" customHeight="1">
      <c r="B909" s="19"/>
      <c r="C909" s="195"/>
      <c r="D909" s="196"/>
      <c r="E909" s="196"/>
      <c r="G909" s="55"/>
      <c r="H909" s="193"/>
    </row>
    <row r="910" ht="14.25" customHeight="1">
      <c r="B910" s="19"/>
      <c r="C910" s="195"/>
      <c r="D910" s="196"/>
      <c r="E910" s="196"/>
      <c r="G910" s="55"/>
      <c r="H910" s="193"/>
    </row>
    <row r="911" ht="14.25" customHeight="1">
      <c r="B911" s="19"/>
      <c r="C911" s="195"/>
      <c r="D911" s="196"/>
      <c r="E911" s="196"/>
      <c r="G911" s="55"/>
      <c r="H911" s="193"/>
    </row>
    <row r="912" ht="14.25" customHeight="1">
      <c r="B912" s="19"/>
      <c r="C912" s="195"/>
      <c r="D912" s="196"/>
      <c r="E912" s="196"/>
      <c r="G912" s="55"/>
      <c r="H912" s="193"/>
    </row>
    <row r="913" ht="14.25" customHeight="1">
      <c r="B913" s="19"/>
      <c r="C913" s="195"/>
      <c r="D913" s="196"/>
      <c r="E913" s="196"/>
      <c r="G913" s="55"/>
      <c r="H913" s="193"/>
    </row>
    <row r="914" ht="14.25" customHeight="1">
      <c r="B914" s="19"/>
      <c r="C914" s="195"/>
      <c r="D914" s="196"/>
      <c r="E914" s="196"/>
      <c r="G914" s="55"/>
      <c r="H914" s="193"/>
    </row>
    <row r="915" ht="14.25" customHeight="1">
      <c r="B915" s="19"/>
      <c r="C915" s="195"/>
      <c r="D915" s="196"/>
      <c r="E915" s="196"/>
      <c r="G915" s="55"/>
      <c r="H915" s="193"/>
    </row>
    <row r="916" ht="14.25" customHeight="1">
      <c r="B916" s="19"/>
      <c r="C916" s="195"/>
      <c r="D916" s="196"/>
      <c r="E916" s="196"/>
      <c r="G916" s="55"/>
      <c r="H916" s="193"/>
    </row>
    <row r="917" ht="14.25" customHeight="1">
      <c r="B917" s="19"/>
      <c r="C917" s="195"/>
      <c r="D917" s="196"/>
      <c r="E917" s="196"/>
      <c r="G917" s="55"/>
      <c r="H917" s="193"/>
    </row>
    <row r="918" ht="14.25" customHeight="1">
      <c r="B918" s="19"/>
      <c r="C918" s="195"/>
      <c r="D918" s="196"/>
      <c r="E918" s="196"/>
      <c r="G918" s="55"/>
      <c r="H918" s="193"/>
    </row>
    <row r="919" ht="14.25" customHeight="1">
      <c r="B919" s="19"/>
      <c r="C919" s="195"/>
      <c r="D919" s="196"/>
      <c r="E919" s="196"/>
      <c r="G919" s="55"/>
      <c r="H919" s="193"/>
    </row>
    <row r="920" ht="14.25" customHeight="1">
      <c r="B920" s="19"/>
      <c r="C920" s="195"/>
      <c r="D920" s="196"/>
      <c r="E920" s="196"/>
      <c r="G920" s="55"/>
      <c r="H920" s="193"/>
    </row>
    <row r="921" ht="14.25" customHeight="1">
      <c r="B921" s="19"/>
      <c r="C921" s="195"/>
      <c r="D921" s="196"/>
      <c r="E921" s="196"/>
      <c r="G921" s="55"/>
      <c r="H921" s="193"/>
    </row>
    <row r="922" ht="14.25" customHeight="1">
      <c r="B922" s="19"/>
      <c r="C922" s="195"/>
      <c r="D922" s="196"/>
      <c r="E922" s="196"/>
      <c r="G922" s="55"/>
      <c r="H922" s="193"/>
    </row>
    <row r="923" ht="14.25" customHeight="1">
      <c r="B923" s="19"/>
      <c r="C923" s="195"/>
      <c r="D923" s="196"/>
      <c r="E923" s="196"/>
      <c r="G923" s="55"/>
      <c r="H923" s="193"/>
    </row>
    <row r="924" ht="14.25" customHeight="1">
      <c r="B924" s="19"/>
      <c r="C924" s="195"/>
      <c r="D924" s="196"/>
      <c r="E924" s="196"/>
      <c r="G924" s="55"/>
      <c r="H924" s="193"/>
    </row>
    <row r="925" ht="14.25" customHeight="1">
      <c r="B925" s="19"/>
      <c r="C925" s="195"/>
      <c r="D925" s="196"/>
      <c r="E925" s="196"/>
      <c r="G925" s="55"/>
      <c r="H925" s="193"/>
    </row>
    <row r="926" ht="14.25" customHeight="1">
      <c r="B926" s="19"/>
      <c r="C926" s="195"/>
      <c r="D926" s="196"/>
      <c r="E926" s="196"/>
      <c r="G926" s="55"/>
      <c r="H926" s="193"/>
    </row>
    <row r="927" ht="14.25" customHeight="1">
      <c r="B927" s="19"/>
      <c r="C927" s="195"/>
      <c r="D927" s="196"/>
      <c r="E927" s="196"/>
      <c r="G927" s="55"/>
      <c r="H927" s="193"/>
    </row>
    <row r="928" ht="14.25" customHeight="1">
      <c r="B928" s="19"/>
      <c r="C928" s="195"/>
      <c r="D928" s="196"/>
      <c r="E928" s="196"/>
      <c r="G928" s="55"/>
      <c r="H928" s="193"/>
    </row>
    <row r="929" ht="14.25" customHeight="1">
      <c r="B929" s="19"/>
      <c r="C929" s="195"/>
      <c r="D929" s="196"/>
      <c r="E929" s="196"/>
      <c r="G929" s="55"/>
      <c r="H929" s="193"/>
    </row>
    <row r="930" ht="14.25" customHeight="1">
      <c r="B930" s="19"/>
      <c r="C930" s="195"/>
      <c r="D930" s="196"/>
      <c r="E930" s="196"/>
      <c r="G930" s="55"/>
      <c r="H930" s="193"/>
    </row>
    <row r="931" ht="14.25" customHeight="1">
      <c r="B931" s="19"/>
      <c r="C931" s="195"/>
      <c r="D931" s="196"/>
      <c r="E931" s="196"/>
      <c r="G931" s="55"/>
      <c r="H931" s="193"/>
    </row>
    <row r="932" ht="14.25" customHeight="1">
      <c r="B932" s="19"/>
      <c r="C932" s="195"/>
      <c r="D932" s="196"/>
      <c r="E932" s="196"/>
      <c r="G932" s="55"/>
      <c r="H932" s="193"/>
    </row>
    <row r="933" ht="14.25" customHeight="1">
      <c r="B933" s="19"/>
      <c r="C933" s="195"/>
      <c r="D933" s="196"/>
      <c r="E933" s="196"/>
      <c r="G933" s="55"/>
      <c r="H933" s="193"/>
    </row>
    <row r="934" ht="14.25" customHeight="1">
      <c r="B934" s="19"/>
      <c r="C934" s="195"/>
      <c r="D934" s="196"/>
      <c r="E934" s="196"/>
      <c r="G934" s="55"/>
      <c r="H934" s="193"/>
    </row>
    <row r="935" ht="14.25" customHeight="1">
      <c r="B935" s="19"/>
      <c r="C935" s="195"/>
      <c r="D935" s="196"/>
      <c r="E935" s="196"/>
      <c r="G935" s="55"/>
      <c r="H935" s="193"/>
    </row>
    <row r="936" ht="14.25" customHeight="1">
      <c r="B936" s="19"/>
      <c r="C936" s="195"/>
      <c r="D936" s="196"/>
      <c r="E936" s="196"/>
      <c r="G936" s="55"/>
      <c r="H936" s="193"/>
    </row>
    <row r="937" ht="14.25" customHeight="1">
      <c r="B937" s="19"/>
      <c r="C937" s="195"/>
      <c r="D937" s="196"/>
      <c r="E937" s="196"/>
      <c r="G937" s="55"/>
      <c r="H937" s="193"/>
    </row>
    <row r="938" ht="14.25" customHeight="1">
      <c r="B938" s="19"/>
      <c r="C938" s="195"/>
      <c r="D938" s="196"/>
      <c r="E938" s="196"/>
      <c r="G938" s="55"/>
      <c r="H938" s="193"/>
    </row>
    <row r="939" ht="14.25" customHeight="1">
      <c r="B939" s="19"/>
      <c r="C939" s="195"/>
      <c r="D939" s="196"/>
      <c r="E939" s="196"/>
      <c r="G939" s="55"/>
      <c r="H939" s="193"/>
    </row>
    <row r="940" ht="14.25" customHeight="1">
      <c r="B940" s="19"/>
      <c r="C940" s="195"/>
      <c r="D940" s="196"/>
      <c r="E940" s="196"/>
      <c r="G940" s="55"/>
      <c r="H940" s="193"/>
    </row>
    <row r="941" ht="14.25" customHeight="1">
      <c r="B941" s="19"/>
      <c r="C941" s="195"/>
      <c r="D941" s="196"/>
      <c r="E941" s="196"/>
      <c r="G941" s="55"/>
      <c r="H941" s="193"/>
    </row>
    <row r="942" ht="14.25" customHeight="1">
      <c r="B942" s="19"/>
      <c r="C942" s="195"/>
      <c r="D942" s="196"/>
      <c r="E942" s="196"/>
      <c r="G942" s="55"/>
      <c r="H942" s="193"/>
    </row>
    <row r="943" ht="14.25" customHeight="1">
      <c r="B943" s="19"/>
      <c r="C943" s="195"/>
      <c r="D943" s="196"/>
      <c r="E943" s="196"/>
      <c r="G943" s="55"/>
      <c r="H943" s="193"/>
    </row>
    <row r="944" ht="14.25" customHeight="1">
      <c r="B944" s="19"/>
      <c r="C944" s="195"/>
      <c r="D944" s="196"/>
      <c r="E944" s="196"/>
      <c r="G944" s="55"/>
      <c r="H944" s="193"/>
    </row>
    <row r="945" ht="14.25" customHeight="1">
      <c r="B945" s="19"/>
      <c r="C945" s="195"/>
      <c r="D945" s="196"/>
      <c r="E945" s="196"/>
      <c r="G945" s="55"/>
      <c r="H945" s="193"/>
    </row>
    <row r="946" ht="14.25" customHeight="1">
      <c r="B946" s="19"/>
      <c r="C946" s="195"/>
      <c r="D946" s="196"/>
      <c r="E946" s="196"/>
      <c r="G946" s="55"/>
      <c r="H946" s="193"/>
    </row>
    <row r="947" ht="14.25" customHeight="1">
      <c r="B947" s="19"/>
      <c r="C947" s="195"/>
      <c r="D947" s="196"/>
      <c r="E947" s="196"/>
      <c r="G947" s="55"/>
      <c r="H947" s="193"/>
    </row>
    <row r="948" ht="14.25" customHeight="1">
      <c r="B948" s="19"/>
      <c r="C948" s="195"/>
      <c r="D948" s="196"/>
      <c r="E948" s="196"/>
      <c r="G948" s="55"/>
      <c r="H948" s="193"/>
    </row>
    <row r="949" ht="14.25" customHeight="1">
      <c r="B949" s="19"/>
      <c r="C949" s="195"/>
      <c r="D949" s="196"/>
      <c r="E949" s="196"/>
      <c r="G949" s="55"/>
      <c r="H949" s="193"/>
    </row>
    <row r="950" ht="14.25" customHeight="1">
      <c r="B950" s="19"/>
      <c r="C950" s="195"/>
      <c r="D950" s="196"/>
      <c r="E950" s="196"/>
      <c r="G950" s="55"/>
      <c r="H950" s="193"/>
    </row>
    <row r="951" ht="14.25" customHeight="1">
      <c r="B951" s="19"/>
      <c r="C951" s="195"/>
      <c r="D951" s="196"/>
      <c r="E951" s="196"/>
      <c r="G951" s="55"/>
      <c r="H951" s="193"/>
    </row>
    <row r="952" ht="14.25" customHeight="1">
      <c r="B952" s="19"/>
      <c r="C952" s="195"/>
      <c r="D952" s="196"/>
      <c r="E952" s="196"/>
      <c r="G952" s="55"/>
      <c r="H952" s="193"/>
    </row>
    <row r="953" ht="14.25" customHeight="1">
      <c r="B953" s="19"/>
      <c r="C953" s="195"/>
      <c r="D953" s="196"/>
      <c r="E953" s="196"/>
      <c r="G953" s="55"/>
      <c r="H953" s="193"/>
    </row>
    <row r="954" ht="14.25" customHeight="1">
      <c r="B954" s="19"/>
      <c r="C954" s="195"/>
      <c r="D954" s="196"/>
      <c r="E954" s="196"/>
      <c r="G954" s="55"/>
      <c r="H954" s="193"/>
    </row>
    <row r="955" ht="14.25" customHeight="1">
      <c r="B955" s="19"/>
      <c r="C955" s="195"/>
      <c r="D955" s="196"/>
      <c r="E955" s="196"/>
      <c r="G955" s="55"/>
      <c r="H955" s="193"/>
    </row>
    <row r="956" ht="14.25" customHeight="1">
      <c r="B956" s="19"/>
      <c r="C956" s="195"/>
      <c r="D956" s="196"/>
      <c r="E956" s="196"/>
      <c r="G956" s="55"/>
      <c r="H956" s="193"/>
    </row>
    <row r="957" ht="14.25" customHeight="1">
      <c r="B957" s="19"/>
      <c r="C957" s="195"/>
      <c r="D957" s="196"/>
      <c r="E957" s="196"/>
      <c r="G957" s="55"/>
      <c r="H957" s="193"/>
    </row>
    <row r="958" ht="14.25" customHeight="1">
      <c r="B958" s="19"/>
      <c r="C958" s="195"/>
      <c r="D958" s="196"/>
      <c r="E958" s="196"/>
      <c r="G958" s="55"/>
      <c r="H958" s="193"/>
    </row>
    <row r="959" ht="14.25" customHeight="1">
      <c r="B959" s="19"/>
      <c r="C959" s="195"/>
      <c r="D959" s="196"/>
      <c r="E959" s="196"/>
      <c r="G959" s="55"/>
      <c r="H959" s="193"/>
    </row>
    <row r="960" ht="14.25" customHeight="1">
      <c r="B960" s="19"/>
      <c r="C960" s="195"/>
      <c r="D960" s="196"/>
      <c r="E960" s="196"/>
      <c r="G960" s="55"/>
      <c r="H960" s="193"/>
    </row>
    <row r="961" ht="14.25" customHeight="1">
      <c r="B961" s="19"/>
      <c r="C961" s="195"/>
      <c r="D961" s="196"/>
      <c r="E961" s="196"/>
      <c r="G961" s="55"/>
      <c r="H961" s="193"/>
    </row>
    <row r="962" ht="14.25" customHeight="1">
      <c r="B962" s="19"/>
      <c r="C962" s="195"/>
      <c r="D962" s="196"/>
      <c r="E962" s="196"/>
      <c r="G962" s="55"/>
      <c r="H962" s="193"/>
    </row>
    <row r="963" ht="14.25" customHeight="1">
      <c r="B963" s="19"/>
      <c r="C963" s="195"/>
      <c r="D963" s="196"/>
      <c r="E963" s="196"/>
      <c r="G963" s="55"/>
      <c r="H963" s="193"/>
    </row>
    <row r="964" ht="14.25" customHeight="1">
      <c r="B964" s="19"/>
      <c r="C964" s="195"/>
      <c r="D964" s="196"/>
      <c r="E964" s="196"/>
      <c r="G964" s="55"/>
      <c r="H964" s="193"/>
    </row>
    <row r="965" ht="14.25" customHeight="1">
      <c r="B965" s="19"/>
      <c r="C965" s="195"/>
      <c r="D965" s="196"/>
      <c r="E965" s="196"/>
      <c r="G965" s="55"/>
      <c r="H965" s="193"/>
    </row>
    <row r="966" ht="14.25" customHeight="1">
      <c r="B966" s="19"/>
      <c r="C966" s="195"/>
      <c r="D966" s="196"/>
      <c r="E966" s="196"/>
      <c r="G966" s="55"/>
      <c r="H966" s="193"/>
    </row>
    <row r="967" ht="14.25" customHeight="1">
      <c r="B967" s="19"/>
      <c r="C967" s="195"/>
      <c r="D967" s="196"/>
      <c r="E967" s="196"/>
      <c r="G967" s="55"/>
      <c r="H967" s="193"/>
    </row>
    <row r="968" ht="14.25" customHeight="1">
      <c r="B968" s="19"/>
      <c r="C968" s="195"/>
      <c r="D968" s="196"/>
      <c r="E968" s="196"/>
      <c r="G968" s="55"/>
      <c r="H968" s="193"/>
    </row>
    <row r="969" ht="14.25" customHeight="1">
      <c r="B969" s="19"/>
      <c r="C969" s="195"/>
      <c r="D969" s="196"/>
      <c r="E969" s="196"/>
      <c r="G969" s="55"/>
      <c r="H969" s="193"/>
    </row>
    <row r="970" ht="14.25" customHeight="1">
      <c r="B970" s="19"/>
      <c r="C970" s="195"/>
      <c r="D970" s="196"/>
      <c r="E970" s="196"/>
      <c r="G970" s="55"/>
      <c r="H970" s="193"/>
    </row>
    <row r="971" ht="14.25" customHeight="1">
      <c r="B971" s="19"/>
      <c r="C971" s="195"/>
      <c r="D971" s="196"/>
      <c r="E971" s="196"/>
      <c r="G971" s="55"/>
      <c r="H971" s="193"/>
    </row>
    <row r="972" ht="14.25" customHeight="1">
      <c r="B972" s="19"/>
      <c r="C972" s="195"/>
      <c r="D972" s="196"/>
      <c r="E972" s="196"/>
      <c r="G972" s="55"/>
      <c r="H972" s="193"/>
    </row>
    <row r="973" ht="14.25" customHeight="1">
      <c r="B973" s="19"/>
      <c r="C973" s="195"/>
      <c r="D973" s="196"/>
      <c r="E973" s="196"/>
      <c r="G973" s="55"/>
      <c r="H973" s="193"/>
    </row>
    <row r="974" ht="14.25" customHeight="1">
      <c r="B974" s="19"/>
      <c r="C974" s="195"/>
      <c r="D974" s="196"/>
      <c r="E974" s="196"/>
      <c r="G974" s="55"/>
      <c r="H974" s="193"/>
    </row>
    <row r="975" ht="14.25" customHeight="1">
      <c r="B975" s="19"/>
      <c r="C975" s="195"/>
      <c r="D975" s="196"/>
      <c r="E975" s="196"/>
      <c r="G975" s="55"/>
      <c r="H975" s="193"/>
    </row>
    <row r="976" ht="14.25" customHeight="1">
      <c r="B976" s="19"/>
      <c r="C976" s="195"/>
      <c r="D976" s="196"/>
      <c r="E976" s="196"/>
      <c r="G976" s="55"/>
      <c r="H976" s="193"/>
    </row>
    <row r="977" ht="14.25" customHeight="1">
      <c r="B977" s="19"/>
      <c r="C977" s="195"/>
      <c r="D977" s="196"/>
      <c r="E977" s="196"/>
      <c r="G977" s="55"/>
      <c r="H977" s="193"/>
    </row>
    <row r="978" ht="14.25" customHeight="1">
      <c r="B978" s="19"/>
      <c r="C978" s="195"/>
      <c r="D978" s="196"/>
      <c r="E978" s="196"/>
      <c r="G978" s="55"/>
      <c r="H978" s="193"/>
    </row>
    <row r="979" ht="14.25" customHeight="1">
      <c r="B979" s="19"/>
      <c r="C979" s="195"/>
      <c r="D979" s="196"/>
      <c r="E979" s="196"/>
      <c r="G979" s="55"/>
      <c r="H979" s="193"/>
    </row>
    <row r="980" ht="14.25" customHeight="1">
      <c r="B980" s="19"/>
      <c r="C980" s="195"/>
      <c r="D980" s="196"/>
      <c r="E980" s="196"/>
      <c r="G980" s="55"/>
      <c r="H980" s="193"/>
    </row>
    <row r="981" ht="14.25" customHeight="1">
      <c r="B981" s="19"/>
      <c r="C981" s="195"/>
      <c r="D981" s="196"/>
      <c r="E981" s="196"/>
      <c r="G981" s="55"/>
      <c r="H981" s="193"/>
    </row>
    <row r="982" ht="14.25" customHeight="1">
      <c r="B982" s="19"/>
      <c r="C982" s="195"/>
      <c r="D982" s="196"/>
      <c r="E982" s="196"/>
      <c r="G982" s="55"/>
      <c r="H982" s="193"/>
    </row>
    <row r="983" ht="14.25" customHeight="1">
      <c r="B983" s="19"/>
      <c r="C983" s="195"/>
      <c r="D983" s="196"/>
      <c r="E983" s="196"/>
      <c r="G983" s="55"/>
      <c r="H983" s="193"/>
    </row>
    <row r="984" ht="14.25" customHeight="1">
      <c r="B984" s="19"/>
      <c r="C984" s="195"/>
      <c r="D984" s="196"/>
      <c r="E984" s="196"/>
      <c r="G984" s="55"/>
      <c r="H984" s="193"/>
    </row>
    <row r="985" ht="14.25" customHeight="1">
      <c r="B985" s="19"/>
      <c r="C985" s="195"/>
      <c r="D985" s="196"/>
      <c r="E985" s="196"/>
      <c r="G985" s="55"/>
      <c r="H985" s="193"/>
    </row>
    <row r="986" ht="14.25" customHeight="1">
      <c r="B986" s="19"/>
      <c r="C986" s="195"/>
      <c r="D986" s="196"/>
      <c r="E986" s="196"/>
      <c r="G986" s="55"/>
      <c r="H986" s="193"/>
    </row>
    <row r="987" ht="14.25" customHeight="1">
      <c r="B987" s="19"/>
      <c r="C987" s="195"/>
      <c r="D987" s="196"/>
      <c r="E987" s="196"/>
      <c r="G987" s="55"/>
      <c r="H987" s="193"/>
    </row>
    <row r="988" ht="14.25" customHeight="1">
      <c r="B988" s="19"/>
      <c r="C988" s="195"/>
      <c r="D988" s="196"/>
      <c r="E988" s="196"/>
      <c r="G988" s="55"/>
      <c r="H988" s="193"/>
    </row>
    <row r="989" ht="14.25" customHeight="1">
      <c r="B989" s="19"/>
      <c r="C989" s="195"/>
      <c r="D989" s="196"/>
      <c r="E989" s="196"/>
      <c r="G989" s="55"/>
      <c r="H989" s="193"/>
    </row>
    <row r="990" ht="14.25" customHeight="1">
      <c r="B990" s="19"/>
      <c r="C990" s="195"/>
      <c r="D990" s="196"/>
      <c r="E990" s="196"/>
      <c r="G990" s="55"/>
      <c r="H990" s="193"/>
    </row>
    <row r="991" ht="14.25" customHeight="1">
      <c r="B991" s="19"/>
      <c r="C991" s="195"/>
      <c r="D991" s="196"/>
      <c r="E991" s="196"/>
      <c r="G991" s="55"/>
      <c r="H991" s="193"/>
    </row>
    <row r="992" ht="14.25" customHeight="1">
      <c r="B992" s="19"/>
      <c r="C992" s="195"/>
      <c r="D992" s="196"/>
      <c r="E992" s="196"/>
      <c r="G992" s="55"/>
      <c r="H992" s="193"/>
    </row>
    <row r="993" ht="14.25" customHeight="1">
      <c r="B993" s="19"/>
      <c r="C993" s="195"/>
      <c r="D993" s="196"/>
      <c r="E993" s="196"/>
      <c r="G993" s="55"/>
      <c r="H993" s="193"/>
    </row>
    <row r="994" ht="14.25" customHeight="1">
      <c r="B994" s="19"/>
      <c r="C994" s="195"/>
      <c r="D994" s="196"/>
      <c r="E994" s="196"/>
      <c r="G994" s="55"/>
      <c r="H994" s="193"/>
    </row>
    <row r="995" ht="14.25" customHeight="1">
      <c r="B995" s="19"/>
      <c r="C995" s="195"/>
      <c r="D995" s="196"/>
      <c r="E995" s="196"/>
      <c r="G995" s="55"/>
      <c r="H995" s="193"/>
    </row>
    <row r="996" ht="14.25" customHeight="1">
      <c r="B996" s="19"/>
      <c r="C996" s="195"/>
      <c r="D996" s="196"/>
      <c r="E996" s="196"/>
      <c r="G996" s="55"/>
      <c r="H996" s="193"/>
    </row>
    <row r="997" ht="14.25" customHeight="1">
      <c r="B997" s="19"/>
      <c r="C997" s="195"/>
      <c r="D997" s="196"/>
      <c r="E997" s="196"/>
      <c r="G997" s="55"/>
      <c r="H997" s="193"/>
    </row>
    <row r="998" ht="14.25" customHeight="1">
      <c r="B998" s="19"/>
      <c r="C998" s="195"/>
      <c r="D998" s="196"/>
      <c r="E998" s="196"/>
      <c r="G998" s="55"/>
      <c r="H998" s="193"/>
    </row>
    <row r="999" ht="14.25" customHeight="1">
      <c r="B999" s="19"/>
      <c r="C999" s="195"/>
      <c r="D999" s="196"/>
      <c r="E999" s="196"/>
      <c r="G999" s="55"/>
      <c r="H999" s="193"/>
    </row>
    <row r="1000" ht="14.25" customHeight="1">
      <c r="B1000" s="19"/>
      <c r="C1000" s="195"/>
      <c r="D1000" s="196"/>
      <c r="E1000" s="196"/>
      <c r="G1000" s="55"/>
      <c r="H1000" s="193"/>
    </row>
    <row r="1001" ht="14.25" customHeight="1">
      <c r="B1001" s="19"/>
      <c r="C1001" s="195"/>
      <c r="D1001" s="196"/>
      <c r="E1001" s="196"/>
      <c r="G1001" s="55"/>
      <c r="H1001" s="193"/>
    </row>
    <row r="1002" ht="14.25" customHeight="1">
      <c r="B1002" s="19"/>
      <c r="C1002" s="195"/>
      <c r="D1002" s="196"/>
      <c r="E1002" s="196"/>
      <c r="G1002" s="55"/>
      <c r="H1002" s="193"/>
    </row>
    <row r="1003" ht="14.25" customHeight="1">
      <c r="B1003" s="19"/>
      <c r="C1003" s="195"/>
      <c r="D1003" s="196"/>
      <c r="E1003" s="196"/>
      <c r="G1003" s="55"/>
      <c r="H1003" s="193"/>
    </row>
  </sheetData>
  <mergeCells count="11">
    <mergeCell ref="B5:D5"/>
    <mergeCell ref="B6:D6"/>
    <mergeCell ref="F6:G6"/>
    <mergeCell ref="F42:I42"/>
    <mergeCell ref="A1:H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39.71"/>
    <col customWidth="1" min="6" max="6" width="17.0"/>
    <col customWidth="1" min="7" max="7" width="22.29"/>
    <col customWidth="1" min="8" max="8" width="13.0"/>
    <col customWidth="1" min="9" max="9" width="24.57"/>
    <col customWidth="1" min="10" max="29" width="8.71"/>
  </cols>
  <sheetData>
    <row r="1" ht="30.0" customHeight="1">
      <c r="A1" s="11" t="s">
        <v>42</v>
      </c>
      <c r="H1" s="12"/>
    </row>
    <row r="2" ht="27.0" customHeight="1">
      <c r="B2" s="19"/>
      <c r="C2" s="13" t="s">
        <v>43</v>
      </c>
      <c r="F2" s="55"/>
      <c r="G2" s="55"/>
      <c r="H2" s="12"/>
    </row>
    <row r="3" ht="14.25" customHeight="1">
      <c r="A3" s="14" t="s">
        <v>44</v>
      </c>
      <c r="B3" s="18" t="s">
        <v>693</v>
      </c>
      <c r="E3" s="194" t="s">
        <v>46</v>
      </c>
      <c r="F3" s="218" t="s">
        <v>694</v>
      </c>
      <c r="H3" s="12"/>
    </row>
    <row r="4" ht="14.25" customHeight="1">
      <c r="A4" s="14" t="s">
        <v>48</v>
      </c>
      <c r="B4" s="18" t="s">
        <v>695</v>
      </c>
      <c r="E4" s="194" t="s">
        <v>105</v>
      </c>
      <c r="F4" s="218">
        <v>8.612041100482E12</v>
      </c>
      <c r="H4" s="12"/>
    </row>
    <row r="5" ht="14.25" customHeight="1">
      <c r="A5" s="14" t="s">
        <v>51</v>
      </c>
      <c r="B5" s="18" t="s">
        <v>52</v>
      </c>
      <c r="E5" s="194" t="s">
        <v>53</v>
      </c>
      <c r="F5" s="218" t="s">
        <v>695</v>
      </c>
      <c r="H5" s="12"/>
    </row>
    <row r="6" ht="14.25" customHeight="1">
      <c r="A6" s="14" t="s">
        <v>54</v>
      </c>
      <c r="B6" s="18"/>
      <c r="E6" s="194" t="s">
        <v>55</v>
      </c>
      <c r="F6" s="218">
        <v>9.110000140891E12</v>
      </c>
      <c r="H6" s="12"/>
    </row>
    <row r="7" ht="14.25" customHeight="1">
      <c r="B7" s="19"/>
      <c r="C7" s="195"/>
      <c r="D7" s="220"/>
      <c r="E7" s="220"/>
      <c r="F7" s="55"/>
      <c r="G7" s="55"/>
      <c r="H7" s="12"/>
    </row>
    <row r="8" ht="14.25" customHeight="1">
      <c r="B8" s="19"/>
      <c r="C8" s="195"/>
      <c r="D8" s="220"/>
      <c r="E8" s="220"/>
      <c r="F8" s="55"/>
      <c r="G8" s="55"/>
      <c r="H8" s="12"/>
    </row>
    <row r="9" ht="14.25" customHeight="1">
      <c r="A9" s="20" t="s">
        <v>56</v>
      </c>
      <c r="B9" s="21" t="s">
        <v>107</v>
      </c>
      <c r="C9" s="221" t="s">
        <v>58</v>
      </c>
      <c r="D9" s="198" t="s">
        <v>59</v>
      </c>
      <c r="E9" s="198" t="s">
        <v>60</v>
      </c>
      <c r="F9" s="58" t="s">
        <v>61</v>
      </c>
      <c r="G9" s="58" t="s">
        <v>62</v>
      </c>
      <c r="H9" s="22" t="s">
        <v>63</v>
      </c>
      <c r="I9" s="20" t="s">
        <v>64</v>
      </c>
    </row>
    <row r="10" ht="14.25" customHeight="1">
      <c r="A10" s="82" t="s">
        <v>696</v>
      </c>
      <c r="B10" s="82">
        <v>7.815266E7</v>
      </c>
      <c r="C10" s="222">
        <v>44968.0</v>
      </c>
      <c r="D10" s="220"/>
      <c r="E10" s="223"/>
      <c r="F10" s="63">
        <v>1.0</v>
      </c>
      <c r="G10" s="30">
        <v>1.0</v>
      </c>
      <c r="H10" s="27">
        <f t="shared" ref="H10:H33" si="1">G9:G10*200</f>
        <v>200</v>
      </c>
      <c r="I10" s="154" t="s">
        <v>697</v>
      </c>
    </row>
    <row r="11" ht="14.25" customHeight="1">
      <c r="A11" s="85" t="s">
        <v>698</v>
      </c>
      <c r="B11" s="85">
        <v>7.8344967E7</v>
      </c>
      <c r="C11" s="148">
        <v>44968.0</v>
      </c>
      <c r="D11" s="224"/>
      <c r="E11" s="224"/>
      <c r="F11" s="60">
        <v>1.0</v>
      </c>
      <c r="G11" s="30">
        <v>1.0</v>
      </c>
      <c r="H11" s="27">
        <f t="shared" si="1"/>
        <v>200</v>
      </c>
      <c r="I11" s="154" t="s">
        <v>697</v>
      </c>
    </row>
    <row r="12" ht="14.25" customHeight="1">
      <c r="A12" s="85" t="s">
        <v>699</v>
      </c>
      <c r="B12" s="85">
        <v>7.6729484E7</v>
      </c>
      <c r="C12" s="148">
        <v>45027.0</v>
      </c>
      <c r="D12" s="225">
        <v>0.3423611111111111</v>
      </c>
      <c r="E12" s="225">
        <v>0.3840277777777778</v>
      </c>
      <c r="F12" s="60">
        <v>1.0</v>
      </c>
      <c r="G12" s="30">
        <v>1.0</v>
      </c>
      <c r="H12" s="27">
        <f t="shared" si="1"/>
        <v>200</v>
      </c>
      <c r="I12" s="154" t="s">
        <v>700</v>
      </c>
    </row>
    <row r="13" ht="14.25" customHeight="1">
      <c r="A13" s="87" t="s">
        <v>701</v>
      </c>
      <c r="B13" s="87">
        <v>7.6790342E7</v>
      </c>
      <c r="C13" s="148">
        <v>45027.0</v>
      </c>
      <c r="D13" s="225">
        <v>0.4013888888888889</v>
      </c>
      <c r="E13" s="226">
        <v>0.44305555555555554</v>
      </c>
      <c r="F13" s="60">
        <v>1.0</v>
      </c>
      <c r="G13" s="30">
        <v>1.0</v>
      </c>
      <c r="H13" s="27">
        <f t="shared" si="1"/>
        <v>200</v>
      </c>
      <c r="I13" s="154" t="s">
        <v>700</v>
      </c>
    </row>
    <row r="14" ht="14.25" customHeight="1">
      <c r="A14" s="85" t="s">
        <v>702</v>
      </c>
      <c r="B14" s="85">
        <v>7.6514828E7</v>
      </c>
      <c r="C14" s="148">
        <v>45027.0</v>
      </c>
      <c r="D14" s="225">
        <v>0.475</v>
      </c>
      <c r="E14" s="225">
        <v>0.016666666666666666</v>
      </c>
      <c r="F14" s="60">
        <v>1.0</v>
      </c>
      <c r="G14" s="30">
        <v>1.0</v>
      </c>
      <c r="H14" s="27">
        <f t="shared" si="1"/>
        <v>200</v>
      </c>
      <c r="I14" s="154" t="s">
        <v>700</v>
      </c>
    </row>
    <row r="15" ht="14.25" customHeight="1">
      <c r="A15" s="85" t="s">
        <v>703</v>
      </c>
      <c r="B15" s="85">
        <v>7.6510522E7</v>
      </c>
      <c r="C15" s="227">
        <v>45027.0</v>
      </c>
      <c r="D15" s="225">
        <v>0.5256944444444445</v>
      </c>
      <c r="E15" s="225">
        <v>0.5673611111111111</v>
      </c>
      <c r="F15" s="60">
        <v>1.0</v>
      </c>
      <c r="G15" s="30">
        <v>1.0</v>
      </c>
      <c r="H15" s="27">
        <f t="shared" si="1"/>
        <v>200</v>
      </c>
      <c r="I15" s="154" t="s">
        <v>704</v>
      </c>
    </row>
    <row r="16" ht="14.25" customHeight="1">
      <c r="A16" s="87" t="s">
        <v>705</v>
      </c>
      <c r="B16" s="87">
        <v>7.6676653E7</v>
      </c>
      <c r="C16" s="222">
        <v>45027.0</v>
      </c>
      <c r="D16" s="225">
        <v>0.6069444444444444</v>
      </c>
      <c r="E16" s="225">
        <v>0.6486111111111111</v>
      </c>
      <c r="F16" s="69">
        <v>1.0</v>
      </c>
      <c r="G16" s="30">
        <v>1.0</v>
      </c>
      <c r="H16" s="27">
        <f t="shared" si="1"/>
        <v>200</v>
      </c>
      <c r="I16" s="154" t="s">
        <v>706</v>
      </c>
    </row>
    <row r="17" ht="14.25" customHeight="1">
      <c r="A17" s="85" t="s">
        <v>707</v>
      </c>
      <c r="B17" s="85">
        <v>7.6142997E7</v>
      </c>
      <c r="C17" s="148">
        <v>45027.0</v>
      </c>
      <c r="D17" s="225">
        <v>0.6680555555555555</v>
      </c>
      <c r="E17" s="225">
        <v>0.7097222222222223</v>
      </c>
      <c r="F17" s="60">
        <v>1.0</v>
      </c>
      <c r="G17" s="30">
        <v>1.0</v>
      </c>
      <c r="H17" s="27">
        <f t="shared" si="1"/>
        <v>200</v>
      </c>
      <c r="I17" s="154" t="s">
        <v>700</v>
      </c>
    </row>
    <row r="18" ht="14.25" customHeight="1">
      <c r="A18" s="87" t="s">
        <v>708</v>
      </c>
      <c r="B18" s="228">
        <v>7842686.0</v>
      </c>
      <c r="C18" s="148">
        <v>45027.0</v>
      </c>
      <c r="D18" s="225">
        <v>0.7201388888888889</v>
      </c>
      <c r="E18" s="225">
        <v>0.7618055555555555</v>
      </c>
      <c r="F18" s="60">
        <v>1.0</v>
      </c>
      <c r="G18" s="30">
        <v>1.0</v>
      </c>
      <c r="H18" s="27">
        <f t="shared" si="1"/>
        <v>200</v>
      </c>
      <c r="I18" s="154" t="s">
        <v>700</v>
      </c>
    </row>
    <row r="19" ht="14.25" customHeight="1">
      <c r="A19" s="85" t="s">
        <v>709</v>
      </c>
      <c r="B19" s="66">
        <v>7.6691064E7</v>
      </c>
      <c r="C19" s="148">
        <v>45118.0</v>
      </c>
      <c r="D19" s="225">
        <v>0.27361111111111114</v>
      </c>
      <c r="E19" s="225">
        <v>0.31527777777777777</v>
      </c>
      <c r="F19" s="60">
        <v>1.0</v>
      </c>
      <c r="G19" s="30">
        <v>1.0</v>
      </c>
      <c r="H19" s="27">
        <f t="shared" si="1"/>
        <v>200</v>
      </c>
      <c r="I19" s="154" t="s">
        <v>704</v>
      </c>
    </row>
    <row r="20" ht="14.25" customHeight="1">
      <c r="A20" s="87" t="s">
        <v>710</v>
      </c>
      <c r="B20" s="87">
        <v>7.8609381E7</v>
      </c>
      <c r="C20" s="148">
        <v>45118.0</v>
      </c>
      <c r="D20" s="225">
        <v>0.32708333333333334</v>
      </c>
      <c r="E20" s="225">
        <v>0.36875</v>
      </c>
      <c r="F20" s="69">
        <v>1.0</v>
      </c>
      <c r="G20" s="30">
        <v>1.0</v>
      </c>
      <c r="H20" s="27">
        <f t="shared" si="1"/>
        <v>200</v>
      </c>
      <c r="I20" s="154" t="s">
        <v>711</v>
      </c>
    </row>
    <row r="21" ht="14.25" customHeight="1">
      <c r="A21" s="85" t="s">
        <v>712</v>
      </c>
      <c r="B21" s="85">
        <v>7.6862063E7</v>
      </c>
      <c r="C21" s="148">
        <v>45118.0</v>
      </c>
      <c r="D21" s="225">
        <v>0.4027777777777778</v>
      </c>
      <c r="E21" s="225">
        <v>0.4861111111111111</v>
      </c>
      <c r="F21" s="60">
        <v>2.0</v>
      </c>
      <c r="G21" s="30">
        <v>2.0</v>
      </c>
      <c r="H21" s="27">
        <f t="shared" si="1"/>
        <v>400</v>
      </c>
      <c r="I21" s="154" t="s">
        <v>713</v>
      </c>
    </row>
    <row r="22" ht="14.25" customHeight="1">
      <c r="A22" s="85" t="s">
        <v>714</v>
      </c>
      <c r="B22" s="67">
        <v>7.6232912E7</v>
      </c>
      <c r="C22" s="148">
        <v>45118.0</v>
      </c>
      <c r="D22" s="225">
        <v>0.48680555555555555</v>
      </c>
      <c r="E22" s="225">
        <v>0.5701388888888889</v>
      </c>
      <c r="F22" s="60">
        <v>2.0</v>
      </c>
      <c r="G22" s="30">
        <v>2.0</v>
      </c>
      <c r="H22" s="27">
        <f t="shared" si="1"/>
        <v>400</v>
      </c>
      <c r="I22" s="154" t="s">
        <v>713</v>
      </c>
    </row>
    <row r="23" ht="14.25" customHeight="1">
      <c r="A23" s="85" t="s">
        <v>715</v>
      </c>
      <c r="B23" s="85">
        <v>7.6859834E7</v>
      </c>
      <c r="C23" s="148">
        <v>45118.0</v>
      </c>
      <c r="D23" s="225">
        <v>0.5743055555555555</v>
      </c>
      <c r="E23" s="225">
        <v>0.6159722222222223</v>
      </c>
      <c r="F23" s="60">
        <v>1.0</v>
      </c>
      <c r="G23" s="30">
        <v>1.0</v>
      </c>
      <c r="H23" s="27">
        <f t="shared" si="1"/>
        <v>200</v>
      </c>
      <c r="I23" s="154" t="s">
        <v>716</v>
      </c>
    </row>
    <row r="24">
      <c r="A24" s="88" t="s">
        <v>717</v>
      </c>
      <c r="B24" s="150">
        <v>7.6121175E7</v>
      </c>
      <c r="C24" s="227">
        <v>45149.0</v>
      </c>
      <c r="D24" s="229">
        <v>0.30833333333333335</v>
      </c>
      <c r="E24" s="229">
        <v>0.85</v>
      </c>
      <c r="F24" s="89">
        <v>1.0</v>
      </c>
      <c r="G24" s="89">
        <v>1.0</v>
      </c>
      <c r="H24" s="27">
        <f t="shared" si="1"/>
        <v>200</v>
      </c>
      <c r="I24" s="154" t="s">
        <v>711</v>
      </c>
    </row>
    <row r="25" ht="14.25" customHeight="1">
      <c r="A25" s="85" t="s">
        <v>718</v>
      </c>
      <c r="B25" s="85">
        <v>7.84498E7</v>
      </c>
      <c r="C25" s="148">
        <v>45149.0</v>
      </c>
      <c r="D25" s="225">
        <v>0.4236111111111111</v>
      </c>
      <c r="E25" s="225">
        <v>0.4652777777777778</v>
      </c>
      <c r="F25" s="60">
        <v>1.0</v>
      </c>
      <c r="G25" s="30">
        <v>1.0</v>
      </c>
      <c r="H25" s="27">
        <f t="shared" si="1"/>
        <v>200</v>
      </c>
      <c r="I25" s="154" t="s">
        <v>719</v>
      </c>
    </row>
    <row r="26" ht="14.25" customHeight="1">
      <c r="A26" s="85" t="s">
        <v>720</v>
      </c>
      <c r="B26" s="85">
        <v>7.8056711E7</v>
      </c>
      <c r="C26" s="148">
        <v>45149.0</v>
      </c>
      <c r="D26" s="225">
        <v>0.47430555555555554</v>
      </c>
      <c r="E26" s="225">
        <v>0.5090277777777777</v>
      </c>
      <c r="F26" s="60">
        <v>1.0</v>
      </c>
      <c r="G26" s="30">
        <v>1.0</v>
      </c>
      <c r="H26" s="27">
        <f t="shared" si="1"/>
        <v>200</v>
      </c>
      <c r="I26" s="154" t="s">
        <v>719</v>
      </c>
    </row>
    <row r="27" ht="14.25" customHeight="1">
      <c r="A27" s="85" t="s">
        <v>721</v>
      </c>
      <c r="B27" s="85">
        <v>7.6246754E7</v>
      </c>
      <c r="C27" s="148">
        <v>45149.0</v>
      </c>
      <c r="D27" s="225">
        <v>0.4930555555555556</v>
      </c>
      <c r="E27" s="225">
        <v>0.5347222222222222</v>
      </c>
      <c r="F27" s="60">
        <v>1.0</v>
      </c>
      <c r="G27" s="30">
        <v>1.0</v>
      </c>
      <c r="H27" s="27">
        <f t="shared" si="1"/>
        <v>200</v>
      </c>
      <c r="I27" s="154" t="s">
        <v>700</v>
      </c>
    </row>
    <row r="28" ht="14.25" customHeight="1">
      <c r="A28" s="85" t="s">
        <v>722</v>
      </c>
      <c r="B28" s="85">
        <v>7.8179383E7</v>
      </c>
      <c r="C28" s="148">
        <v>45149.0</v>
      </c>
      <c r="D28" s="225">
        <v>0.5222222222222223</v>
      </c>
      <c r="E28" s="225">
        <v>0.06388888888888888</v>
      </c>
      <c r="F28" s="60">
        <v>1.0</v>
      </c>
      <c r="G28" s="30">
        <v>1.0</v>
      </c>
      <c r="H28" s="27">
        <f t="shared" si="1"/>
        <v>200</v>
      </c>
      <c r="I28" s="154" t="s">
        <v>723</v>
      </c>
    </row>
    <row r="29" ht="14.25" customHeight="1">
      <c r="A29" s="85" t="s">
        <v>724</v>
      </c>
      <c r="B29" s="85">
        <v>7.6510671E7</v>
      </c>
      <c r="C29" s="148">
        <v>45149.0</v>
      </c>
      <c r="D29" s="225">
        <v>0.058333333333333334</v>
      </c>
      <c r="E29" s="225">
        <v>0.1</v>
      </c>
      <c r="F29" s="60">
        <v>1.0</v>
      </c>
      <c r="G29" s="30">
        <v>1.0</v>
      </c>
      <c r="H29" s="27">
        <f t="shared" si="1"/>
        <v>200</v>
      </c>
      <c r="I29" s="154" t="s">
        <v>700</v>
      </c>
    </row>
    <row r="30" ht="14.25" customHeight="1">
      <c r="A30" s="85" t="s">
        <v>725</v>
      </c>
      <c r="B30" s="67">
        <v>7.6233365E7</v>
      </c>
      <c r="C30" s="148">
        <v>45149.0</v>
      </c>
      <c r="D30" s="225">
        <v>0.6111111111111112</v>
      </c>
      <c r="E30" s="225">
        <v>0.6527777777777778</v>
      </c>
      <c r="F30" s="60">
        <v>1.0</v>
      </c>
      <c r="G30" s="30">
        <v>1.0</v>
      </c>
      <c r="H30" s="27">
        <f t="shared" si="1"/>
        <v>200</v>
      </c>
      <c r="I30" s="154" t="s">
        <v>716</v>
      </c>
    </row>
    <row r="31" ht="14.25" customHeight="1">
      <c r="A31" s="85" t="s">
        <v>726</v>
      </c>
      <c r="B31" s="64">
        <v>7.6451731E7</v>
      </c>
      <c r="C31" s="148">
        <v>45149.0</v>
      </c>
      <c r="D31" s="31">
        <v>0.6527777777777778</v>
      </c>
      <c r="E31" s="225">
        <v>0.6944444444444444</v>
      </c>
      <c r="F31" s="60">
        <v>2.0</v>
      </c>
      <c r="G31" s="30">
        <v>2.0</v>
      </c>
      <c r="H31" s="27">
        <f t="shared" si="1"/>
        <v>400</v>
      </c>
      <c r="I31" s="154" t="s">
        <v>700</v>
      </c>
    </row>
    <row r="32" ht="14.25" customHeight="1">
      <c r="A32" s="87" t="s">
        <v>727</v>
      </c>
      <c r="B32" s="67">
        <v>7.6651575E7</v>
      </c>
      <c r="C32" s="148">
        <v>45149.0</v>
      </c>
      <c r="D32" s="225">
        <v>0.7527777777777778</v>
      </c>
      <c r="E32" s="225">
        <v>0.7944444444444444</v>
      </c>
      <c r="F32" s="60">
        <v>1.0</v>
      </c>
      <c r="G32" s="30">
        <v>1.0</v>
      </c>
      <c r="H32" s="27">
        <f t="shared" si="1"/>
        <v>200</v>
      </c>
      <c r="I32" s="154" t="s">
        <v>728</v>
      </c>
    </row>
    <row r="33" ht="14.25" customHeight="1">
      <c r="A33" s="87" t="s">
        <v>729</v>
      </c>
      <c r="B33" s="230">
        <v>7.6698998E7</v>
      </c>
      <c r="C33" s="148">
        <v>45180.0</v>
      </c>
      <c r="D33" s="225">
        <v>0.2708333333333333</v>
      </c>
      <c r="E33" s="225">
        <v>0.3229166666666667</v>
      </c>
      <c r="F33" s="63">
        <v>1.0</v>
      </c>
      <c r="G33" s="30">
        <v>1.0</v>
      </c>
      <c r="H33" s="27">
        <f t="shared" si="1"/>
        <v>200</v>
      </c>
      <c r="I33" s="154" t="s">
        <v>719</v>
      </c>
    </row>
    <row r="34" ht="14.25" customHeight="1">
      <c r="A34" s="85" t="s">
        <v>730</v>
      </c>
      <c r="B34" s="85">
        <v>7.628837E7</v>
      </c>
      <c r="C34" s="148">
        <v>45210.0</v>
      </c>
      <c r="D34" s="225">
        <v>0.3527777777777778</v>
      </c>
      <c r="E34" s="225">
        <v>0.39444444444444443</v>
      </c>
      <c r="F34" s="60">
        <v>1.0</v>
      </c>
      <c r="G34" s="30">
        <v>1.0</v>
      </c>
      <c r="H34" s="27">
        <f>G24:G34*200</f>
        <v>200</v>
      </c>
      <c r="I34" s="154" t="s">
        <v>719</v>
      </c>
    </row>
    <row r="35" ht="14.25" customHeight="1">
      <c r="A35" s="87" t="s">
        <v>731</v>
      </c>
      <c r="B35" s="87">
        <v>7.8058315E7</v>
      </c>
      <c r="C35" s="231">
        <v>45210.0</v>
      </c>
      <c r="D35" s="232">
        <v>0.3909722222222222</v>
      </c>
      <c r="E35" s="232">
        <v>0.4326388888888889</v>
      </c>
      <c r="F35" s="63">
        <v>1.0</v>
      </c>
      <c r="G35" s="30">
        <v>1.0</v>
      </c>
      <c r="H35" s="181">
        <f>G35*200</f>
        <v>200</v>
      </c>
      <c r="I35" s="154" t="s">
        <v>719</v>
      </c>
    </row>
    <row r="36" ht="14.25" customHeight="1">
      <c r="A36" s="87" t="s">
        <v>732</v>
      </c>
      <c r="B36" s="87">
        <v>7.6375418E7</v>
      </c>
      <c r="C36" s="148">
        <v>45210.0</v>
      </c>
      <c r="D36" s="225">
        <v>0.4388888888888889</v>
      </c>
      <c r="E36" s="225">
        <v>0.48055555555555557</v>
      </c>
      <c r="F36" s="63">
        <v>1.0</v>
      </c>
      <c r="G36" s="30">
        <v>1.0</v>
      </c>
      <c r="H36" s="27">
        <f>G33:G36*200</f>
        <v>200</v>
      </c>
      <c r="I36" s="154" t="s">
        <v>700</v>
      </c>
    </row>
    <row r="37" ht="14.25" customHeight="1">
      <c r="A37" s="135" t="s">
        <v>733</v>
      </c>
      <c r="B37" s="135">
        <v>7.6305235E7</v>
      </c>
      <c r="C37" s="231">
        <v>45210.0</v>
      </c>
      <c r="D37" s="233">
        <v>0.48333333333333334</v>
      </c>
      <c r="E37" s="233">
        <v>0.525</v>
      </c>
      <c r="F37" s="116">
        <v>1.0</v>
      </c>
      <c r="G37" s="117">
        <v>1.0</v>
      </c>
      <c r="H37" s="181">
        <f>G37*200</f>
        <v>200</v>
      </c>
      <c r="I37" s="154" t="s">
        <v>700</v>
      </c>
    </row>
    <row r="38" ht="14.25" customHeight="1">
      <c r="A38" s="87" t="s">
        <v>734</v>
      </c>
      <c r="B38" s="87">
        <v>7.6319724E7</v>
      </c>
      <c r="C38" s="148">
        <v>45210.0</v>
      </c>
      <c r="D38" s="225">
        <v>0.5222222222222223</v>
      </c>
      <c r="E38" s="225">
        <v>0.5638888888888889</v>
      </c>
      <c r="F38" s="63">
        <v>1.0</v>
      </c>
      <c r="G38" s="30">
        <v>1.0</v>
      </c>
      <c r="H38" s="27">
        <f t="shared" ref="H38:H51" si="2">G37:G38*200</f>
        <v>200</v>
      </c>
      <c r="I38" s="154" t="s">
        <v>700</v>
      </c>
    </row>
    <row r="39" ht="14.25" customHeight="1">
      <c r="A39" s="85" t="s">
        <v>735</v>
      </c>
      <c r="B39" s="85">
        <v>7.8438788E7</v>
      </c>
      <c r="C39" s="148" t="s">
        <v>125</v>
      </c>
      <c r="D39" s="225">
        <v>0.2611111111111111</v>
      </c>
      <c r="E39" s="225">
        <v>0.30277777777777776</v>
      </c>
      <c r="F39" s="63">
        <v>1.0</v>
      </c>
      <c r="G39" s="30">
        <v>1.0</v>
      </c>
      <c r="H39" s="27">
        <f t="shared" si="2"/>
        <v>200</v>
      </c>
      <c r="I39" s="154" t="s">
        <v>700</v>
      </c>
    </row>
    <row r="40" ht="14.25" customHeight="1">
      <c r="A40" s="85" t="s">
        <v>736</v>
      </c>
      <c r="B40" s="85">
        <v>7.6657937E7</v>
      </c>
      <c r="C40" s="148" t="s">
        <v>125</v>
      </c>
      <c r="D40" s="225">
        <v>0.3090277777777778</v>
      </c>
      <c r="E40" s="225">
        <v>0.3506944444444444</v>
      </c>
      <c r="F40" s="63">
        <v>1.0</v>
      </c>
      <c r="G40" s="30">
        <v>1.0</v>
      </c>
      <c r="H40" s="27">
        <f t="shared" si="2"/>
        <v>200</v>
      </c>
      <c r="I40" s="154" t="s">
        <v>700</v>
      </c>
    </row>
    <row r="41" ht="14.25" customHeight="1">
      <c r="A41" s="85" t="s">
        <v>737</v>
      </c>
      <c r="B41" s="85">
        <v>7.6766857E7</v>
      </c>
      <c r="C41" s="148" t="s">
        <v>125</v>
      </c>
      <c r="D41" s="225">
        <v>0.3458333333333333</v>
      </c>
      <c r="E41" s="225">
        <v>0.3875</v>
      </c>
      <c r="F41" s="63">
        <v>1.0</v>
      </c>
      <c r="G41" s="30">
        <v>1.0</v>
      </c>
      <c r="H41" s="27">
        <f t="shared" si="2"/>
        <v>200</v>
      </c>
      <c r="I41" s="154" t="s">
        <v>700</v>
      </c>
    </row>
    <row r="42" ht="14.25" customHeight="1">
      <c r="A42" s="85" t="s">
        <v>738</v>
      </c>
      <c r="B42" s="85">
        <v>7.6555761E7</v>
      </c>
      <c r="C42" s="148" t="s">
        <v>125</v>
      </c>
      <c r="D42" s="225">
        <v>0.3763888888888889</v>
      </c>
      <c r="E42" s="225">
        <v>0.41805555555555557</v>
      </c>
      <c r="F42" s="63">
        <v>1.0</v>
      </c>
      <c r="G42" s="30">
        <v>1.0</v>
      </c>
      <c r="H42" s="27">
        <f t="shared" si="2"/>
        <v>200</v>
      </c>
      <c r="I42" s="154" t="s">
        <v>739</v>
      </c>
    </row>
    <row r="43" ht="14.25" customHeight="1">
      <c r="A43" s="85" t="s">
        <v>740</v>
      </c>
      <c r="B43" s="150">
        <v>7.6963176E7</v>
      </c>
      <c r="C43" s="148" t="s">
        <v>125</v>
      </c>
      <c r="D43" s="225">
        <v>0.4201388888888889</v>
      </c>
      <c r="E43" s="225">
        <v>0.4618055555555556</v>
      </c>
      <c r="F43" s="63">
        <v>1.0</v>
      </c>
      <c r="G43" s="30">
        <v>1.0</v>
      </c>
      <c r="H43" s="27">
        <f t="shared" si="2"/>
        <v>200</v>
      </c>
      <c r="I43" s="154" t="s">
        <v>741</v>
      </c>
    </row>
    <row r="44" ht="14.25" customHeight="1">
      <c r="A44" s="85" t="s">
        <v>742</v>
      </c>
      <c r="B44" s="234">
        <v>7.6967881E7</v>
      </c>
      <c r="C44" s="148" t="s">
        <v>125</v>
      </c>
      <c r="D44" s="225">
        <v>0.4444444444444444</v>
      </c>
      <c r="E44" s="225">
        <v>0.4861111111111111</v>
      </c>
      <c r="F44" s="63">
        <v>1.0</v>
      </c>
      <c r="G44" s="30">
        <v>1.0</v>
      </c>
      <c r="H44" s="27">
        <f t="shared" si="2"/>
        <v>200</v>
      </c>
      <c r="I44" s="154" t="s">
        <v>741</v>
      </c>
    </row>
    <row r="45" ht="14.25" customHeight="1">
      <c r="A45" s="85" t="s">
        <v>743</v>
      </c>
      <c r="B45" s="234">
        <v>7.6047714E7</v>
      </c>
      <c r="C45" s="148" t="s">
        <v>125</v>
      </c>
      <c r="D45" s="225">
        <v>0.4736111111111111</v>
      </c>
      <c r="E45" s="225">
        <v>0.5152777777777777</v>
      </c>
      <c r="F45" s="63">
        <v>1.0</v>
      </c>
      <c r="G45" s="30">
        <v>1.0</v>
      </c>
      <c r="H45" s="27">
        <f t="shared" si="2"/>
        <v>200</v>
      </c>
      <c r="I45" s="154" t="s">
        <v>744</v>
      </c>
    </row>
    <row r="46" ht="14.25" customHeight="1">
      <c r="A46" s="85" t="s">
        <v>745</v>
      </c>
      <c r="B46" s="234">
        <v>7.6321604E7</v>
      </c>
      <c r="C46" s="148" t="s">
        <v>125</v>
      </c>
      <c r="D46" s="225">
        <v>0.6215277777777778</v>
      </c>
      <c r="E46" s="225">
        <v>0.6631944444444444</v>
      </c>
      <c r="F46" s="63">
        <v>1.0</v>
      </c>
      <c r="G46" s="30">
        <v>1.0</v>
      </c>
      <c r="H46" s="27">
        <f t="shared" si="2"/>
        <v>200</v>
      </c>
      <c r="I46" s="154" t="s">
        <v>741</v>
      </c>
    </row>
    <row r="47" ht="14.25" customHeight="1">
      <c r="A47" s="85" t="s">
        <v>746</v>
      </c>
      <c r="B47" s="234">
        <v>7.6156728E7</v>
      </c>
      <c r="C47" s="148" t="s">
        <v>125</v>
      </c>
      <c r="D47" s="225">
        <v>0.6083333333333333</v>
      </c>
      <c r="E47" s="225">
        <v>0.65</v>
      </c>
      <c r="F47" s="63">
        <v>1.0</v>
      </c>
      <c r="G47" s="30">
        <v>1.0</v>
      </c>
      <c r="H47" s="27">
        <f t="shared" si="2"/>
        <v>200</v>
      </c>
      <c r="I47" s="154" t="s">
        <v>741</v>
      </c>
    </row>
    <row r="48" ht="14.25" customHeight="1">
      <c r="A48" s="85" t="s">
        <v>747</v>
      </c>
      <c r="B48" s="234">
        <v>7.8282326E7</v>
      </c>
      <c r="C48" s="148" t="s">
        <v>125</v>
      </c>
      <c r="D48" s="225">
        <v>0.6409722222222223</v>
      </c>
      <c r="E48" s="225">
        <v>0.6826388888888889</v>
      </c>
      <c r="F48" s="63">
        <v>1.0</v>
      </c>
      <c r="G48" s="30">
        <v>1.0</v>
      </c>
      <c r="H48" s="27">
        <f t="shared" si="2"/>
        <v>200</v>
      </c>
      <c r="I48" s="154" t="s">
        <v>741</v>
      </c>
    </row>
    <row r="49" ht="14.25" customHeight="1">
      <c r="A49" s="85" t="s">
        <v>748</v>
      </c>
      <c r="B49" s="235" t="s">
        <v>81</v>
      </c>
      <c r="C49" s="148" t="s">
        <v>125</v>
      </c>
      <c r="D49" s="225">
        <v>0.6770833333333334</v>
      </c>
      <c r="E49" s="225">
        <v>0.7604166666666666</v>
      </c>
      <c r="F49" s="63">
        <v>2.0</v>
      </c>
      <c r="G49" s="30">
        <v>2.0</v>
      </c>
      <c r="H49" s="27">
        <f t="shared" si="2"/>
        <v>400</v>
      </c>
      <c r="I49" s="154" t="s">
        <v>749</v>
      </c>
    </row>
    <row r="50" ht="14.25" customHeight="1">
      <c r="A50" s="85" t="s">
        <v>750</v>
      </c>
      <c r="B50" s="234">
        <v>7.6159436E7</v>
      </c>
      <c r="C50" s="148" t="s">
        <v>125</v>
      </c>
      <c r="D50" s="225">
        <v>0.7430555555555556</v>
      </c>
      <c r="E50" s="225">
        <v>0.7847222222222222</v>
      </c>
      <c r="F50" s="63">
        <v>1.0</v>
      </c>
      <c r="G50" s="30">
        <v>1.0</v>
      </c>
      <c r="H50" s="27">
        <f t="shared" si="2"/>
        <v>200</v>
      </c>
      <c r="I50" s="154" t="s">
        <v>741</v>
      </c>
    </row>
    <row r="51" ht="14.25" customHeight="1">
      <c r="A51" s="85" t="s">
        <v>751</v>
      </c>
      <c r="B51" s="234">
        <v>7.6159436E7</v>
      </c>
      <c r="C51" s="70" t="s">
        <v>125</v>
      </c>
      <c r="D51" s="225">
        <v>0.7430555555555556</v>
      </c>
      <c r="E51" s="225">
        <v>0.7847222222222222</v>
      </c>
      <c r="F51" s="63">
        <v>1.0</v>
      </c>
      <c r="G51" s="30">
        <v>1.0</v>
      </c>
      <c r="H51" s="27">
        <f t="shared" si="2"/>
        <v>200</v>
      </c>
      <c r="I51" s="154" t="s">
        <v>741</v>
      </c>
    </row>
    <row r="52" ht="14.25" customHeight="1">
      <c r="A52" s="85" t="s">
        <v>752</v>
      </c>
      <c r="B52" s="234">
        <v>7.6974467E7</v>
      </c>
      <c r="C52" s="70" t="s">
        <v>129</v>
      </c>
      <c r="D52" s="225">
        <v>0.45</v>
      </c>
      <c r="E52" s="225">
        <v>0.49166666666666664</v>
      </c>
      <c r="F52" s="63">
        <v>1.0</v>
      </c>
      <c r="G52" s="30">
        <v>1.0</v>
      </c>
      <c r="H52" s="27">
        <f>G50:G52*200</f>
        <v>200</v>
      </c>
      <c r="I52" s="154" t="s">
        <v>741</v>
      </c>
    </row>
    <row r="53" ht="14.25" customHeight="1">
      <c r="A53" s="85" t="s">
        <v>753</v>
      </c>
      <c r="B53" s="234">
        <v>7.6250988E7</v>
      </c>
      <c r="C53" s="70" t="s">
        <v>129</v>
      </c>
      <c r="D53" s="225">
        <v>0.49930555555555556</v>
      </c>
      <c r="E53" s="225">
        <v>0.5409722222222222</v>
      </c>
      <c r="F53" s="63">
        <v>1.0</v>
      </c>
      <c r="G53" s="30">
        <v>1.0</v>
      </c>
      <c r="H53" s="27">
        <f t="shared" ref="H53:H55" si="3">G52:G53*200</f>
        <v>200</v>
      </c>
      <c r="I53" s="154" t="s">
        <v>741</v>
      </c>
    </row>
    <row r="54" ht="14.25" customHeight="1">
      <c r="A54" s="85" t="s">
        <v>754</v>
      </c>
      <c r="B54" s="234">
        <v>7.6790284E7</v>
      </c>
      <c r="C54" s="70" t="s">
        <v>129</v>
      </c>
      <c r="D54" s="225">
        <v>0.5416666666666666</v>
      </c>
      <c r="E54" s="225">
        <v>0.5833333333333334</v>
      </c>
      <c r="F54" s="63">
        <v>1.0</v>
      </c>
      <c r="G54" s="30">
        <v>1.0</v>
      </c>
      <c r="H54" s="27">
        <f t="shared" si="3"/>
        <v>200</v>
      </c>
      <c r="I54" s="154" t="s">
        <v>755</v>
      </c>
    </row>
    <row r="55" ht="14.25" customHeight="1">
      <c r="A55" s="85" t="s">
        <v>756</v>
      </c>
      <c r="B55" s="234" t="s">
        <v>757</v>
      </c>
      <c r="C55" s="70" t="s">
        <v>129</v>
      </c>
      <c r="D55" s="225">
        <v>0.7173611111111111</v>
      </c>
      <c r="E55" s="225">
        <v>0.7590277777777777</v>
      </c>
      <c r="F55" s="63">
        <v>1.0</v>
      </c>
      <c r="G55" s="30">
        <v>1.0</v>
      </c>
      <c r="H55" s="27">
        <f t="shared" si="3"/>
        <v>200</v>
      </c>
      <c r="I55" s="154" t="s">
        <v>758</v>
      </c>
    </row>
    <row r="56" ht="18.0" customHeight="1">
      <c r="A56" s="91"/>
      <c r="B56" s="91"/>
      <c r="C56" s="236"/>
      <c r="D56" s="224"/>
      <c r="E56" s="212" t="s">
        <v>41</v>
      </c>
      <c r="F56" s="40">
        <f>SUM(F9:F55)</f>
        <v>50</v>
      </c>
      <c r="G56" s="40">
        <f>SUM(G10:G55)</f>
        <v>50</v>
      </c>
      <c r="H56" s="74">
        <f>SUM(H9:H55)</f>
        <v>10000</v>
      </c>
      <c r="I56" s="42"/>
    </row>
    <row r="57" ht="21.75" customHeight="1">
      <c r="A57" s="73"/>
      <c r="B57" s="75"/>
      <c r="C57" s="237"/>
      <c r="D57" s="212"/>
      <c r="E57" s="213" t="s">
        <v>100</v>
      </c>
      <c r="F57" s="46">
        <f>COUNT(G10:G55)</f>
        <v>46</v>
      </c>
      <c r="G57" s="47"/>
      <c r="H57" s="47"/>
      <c r="I57" s="48"/>
    </row>
    <row r="58" ht="14.25" customHeight="1">
      <c r="B58" s="19"/>
      <c r="C58" s="195"/>
      <c r="D58" s="220"/>
      <c r="E58" s="220"/>
      <c r="F58" s="55"/>
      <c r="G58" s="55"/>
      <c r="H58" s="12"/>
    </row>
    <row r="59" ht="14.25" customHeight="1">
      <c r="B59" s="19"/>
      <c r="C59" s="195"/>
      <c r="D59" s="49" t="s">
        <v>101</v>
      </c>
      <c r="E59" s="50"/>
      <c r="F59" s="55"/>
      <c r="G59" s="55"/>
      <c r="H59" s="12"/>
    </row>
    <row r="60" ht="14.25" customHeight="1">
      <c r="B60" s="19"/>
      <c r="C60" s="195"/>
      <c r="D60" s="51" t="s">
        <v>102</v>
      </c>
      <c r="E60" s="50"/>
      <c r="F60" s="55"/>
      <c r="G60" s="55"/>
      <c r="H60" s="12"/>
    </row>
    <row r="61" ht="14.25" customHeight="1">
      <c r="B61" s="19"/>
      <c r="C61" s="195"/>
      <c r="D61" s="52" t="s">
        <v>58</v>
      </c>
      <c r="E61" s="53"/>
      <c r="F61" s="55"/>
      <c r="G61" s="55"/>
      <c r="H61" s="12"/>
    </row>
    <row r="62" ht="14.25" customHeight="1">
      <c r="B62" s="19"/>
      <c r="C62" s="195"/>
      <c r="D62" s="220"/>
      <c r="E62" s="220"/>
      <c r="F62" s="55"/>
      <c r="G62" s="55"/>
      <c r="H62" s="12"/>
    </row>
    <row r="63" ht="14.25" customHeight="1">
      <c r="B63" s="19"/>
      <c r="C63" s="195"/>
      <c r="D63" s="220"/>
      <c r="E63" s="220"/>
      <c r="F63" s="55"/>
      <c r="G63" s="55"/>
      <c r="H63" s="12"/>
    </row>
    <row r="64" ht="14.25" customHeight="1">
      <c r="B64" s="19"/>
      <c r="C64" s="195"/>
      <c r="D64" s="220"/>
      <c r="E64" s="220"/>
      <c r="F64" s="55"/>
      <c r="G64" s="55"/>
      <c r="H64" s="12"/>
    </row>
    <row r="65" ht="14.25" customHeight="1">
      <c r="B65" s="19"/>
      <c r="C65" s="195"/>
      <c r="D65" s="220"/>
      <c r="E65" s="220"/>
      <c r="F65" s="55"/>
      <c r="G65" s="55"/>
      <c r="H65" s="12"/>
    </row>
    <row r="66" ht="14.25" customHeight="1">
      <c r="B66" s="19"/>
      <c r="C66" s="195"/>
      <c r="D66" s="220"/>
      <c r="E66" s="220"/>
      <c r="F66" s="55"/>
      <c r="G66" s="55"/>
      <c r="H66" s="12"/>
    </row>
    <row r="67" ht="14.25" customHeight="1">
      <c r="B67" s="19"/>
      <c r="C67" s="195"/>
      <c r="D67" s="220"/>
      <c r="E67" s="220"/>
      <c r="F67" s="55"/>
      <c r="G67" s="55"/>
      <c r="H67" s="12"/>
    </row>
    <row r="68" ht="14.25" customHeight="1">
      <c r="B68" s="19"/>
      <c r="C68" s="195"/>
      <c r="D68" s="220"/>
      <c r="E68" s="220"/>
      <c r="F68" s="55"/>
      <c r="G68" s="55"/>
      <c r="H68" s="12"/>
    </row>
    <row r="69" ht="14.25" customHeight="1">
      <c r="B69" s="19"/>
      <c r="C69" s="195"/>
      <c r="D69" s="220"/>
      <c r="E69" s="220"/>
      <c r="F69" s="55"/>
      <c r="G69" s="55"/>
      <c r="H69" s="12"/>
    </row>
    <row r="70" ht="14.25" customHeight="1">
      <c r="B70" s="19"/>
      <c r="C70" s="195"/>
      <c r="D70" s="220"/>
      <c r="E70" s="220"/>
      <c r="F70" s="55"/>
      <c r="G70" s="55"/>
      <c r="H70" s="12"/>
    </row>
    <row r="71" ht="14.25" customHeight="1">
      <c r="B71" s="19"/>
      <c r="C71" s="195"/>
      <c r="D71" s="220"/>
      <c r="E71" s="220"/>
      <c r="F71" s="55"/>
      <c r="G71" s="55"/>
      <c r="H71" s="12"/>
    </row>
    <row r="72" ht="14.25" customHeight="1">
      <c r="B72" s="19"/>
      <c r="C72" s="195"/>
      <c r="D72" s="220"/>
      <c r="E72" s="220"/>
      <c r="F72" s="55"/>
      <c r="G72" s="55"/>
      <c r="H72" s="12"/>
    </row>
    <row r="73" ht="14.25" customHeight="1">
      <c r="B73" s="19"/>
      <c r="C73" s="195"/>
      <c r="D73" s="220"/>
      <c r="E73" s="220"/>
      <c r="F73" s="55"/>
      <c r="G73" s="55"/>
      <c r="H73" s="12"/>
    </row>
    <row r="74" ht="14.25" customHeight="1">
      <c r="B74" s="19"/>
      <c r="C74" s="195"/>
      <c r="D74" s="220"/>
      <c r="E74" s="220"/>
      <c r="F74" s="55"/>
      <c r="G74" s="55"/>
      <c r="H74" s="12"/>
    </row>
    <row r="75" ht="14.25" customHeight="1">
      <c r="B75" s="19"/>
      <c r="C75" s="195"/>
      <c r="D75" s="220"/>
      <c r="E75" s="220"/>
      <c r="F75" s="55"/>
      <c r="G75" s="55"/>
      <c r="H75" s="12"/>
    </row>
    <row r="76" ht="14.25" customHeight="1">
      <c r="B76" s="19"/>
      <c r="C76" s="195"/>
      <c r="D76" s="220"/>
      <c r="E76" s="220"/>
      <c r="F76" s="55"/>
      <c r="G76" s="55"/>
      <c r="H76" s="12"/>
    </row>
    <row r="77" ht="14.25" customHeight="1">
      <c r="B77" s="19"/>
      <c r="C77" s="195"/>
      <c r="D77" s="220"/>
      <c r="E77" s="220"/>
      <c r="F77" s="55"/>
      <c r="G77" s="55"/>
      <c r="H77" s="12"/>
    </row>
    <row r="78" ht="14.25" customHeight="1">
      <c r="B78" s="19"/>
      <c r="C78" s="195"/>
      <c r="D78" s="220"/>
      <c r="E78" s="220"/>
      <c r="F78" s="55"/>
      <c r="G78" s="55"/>
      <c r="H78" s="12"/>
    </row>
    <row r="79" ht="14.25" customHeight="1">
      <c r="B79" s="19"/>
      <c r="C79" s="195"/>
      <c r="D79" s="220"/>
      <c r="E79" s="220"/>
      <c r="F79" s="55"/>
      <c r="G79" s="55"/>
      <c r="H79" s="12"/>
    </row>
    <row r="80" ht="14.25" customHeight="1">
      <c r="B80" s="19"/>
      <c r="C80" s="195"/>
      <c r="D80" s="220"/>
      <c r="E80" s="220"/>
      <c r="F80" s="55"/>
      <c r="G80" s="55"/>
      <c r="H80" s="12"/>
    </row>
    <row r="81" ht="14.25" customHeight="1">
      <c r="B81" s="19"/>
      <c r="C81" s="195"/>
      <c r="D81" s="220"/>
      <c r="E81" s="220"/>
      <c r="F81" s="55"/>
      <c r="G81" s="55"/>
      <c r="H81" s="12"/>
    </row>
    <row r="82" ht="14.25" customHeight="1">
      <c r="B82" s="19"/>
      <c r="C82" s="195"/>
      <c r="D82" s="220"/>
      <c r="E82" s="220"/>
      <c r="F82" s="55"/>
      <c r="G82" s="55"/>
      <c r="H82" s="12"/>
    </row>
    <row r="83" ht="14.25" customHeight="1">
      <c r="B83" s="19"/>
      <c r="C83" s="195"/>
      <c r="D83" s="220"/>
      <c r="E83" s="220"/>
      <c r="F83" s="55"/>
      <c r="G83" s="55"/>
      <c r="H83" s="12"/>
    </row>
    <row r="84" ht="14.25" customHeight="1">
      <c r="B84" s="19"/>
      <c r="C84" s="195"/>
      <c r="D84" s="220"/>
      <c r="E84" s="220"/>
      <c r="F84" s="55"/>
      <c r="G84" s="55"/>
      <c r="H84" s="12"/>
    </row>
    <row r="85" ht="14.25" customHeight="1">
      <c r="B85" s="19"/>
      <c r="C85" s="195"/>
      <c r="D85" s="220"/>
      <c r="E85" s="220"/>
      <c r="F85" s="55"/>
      <c r="G85" s="55"/>
      <c r="H85" s="12"/>
    </row>
    <row r="86" ht="14.25" customHeight="1">
      <c r="B86" s="19"/>
      <c r="C86" s="195"/>
      <c r="D86" s="220"/>
      <c r="E86" s="220"/>
      <c r="F86" s="55"/>
      <c r="G86" s="55"/>
      <c r="H86" s="12"/>
    </row>
    <row r="87" ht="14.25" customHeight="1">
      <c r="B87" s="19"/>
      <c r="C87" s="195"/>
      <c r="D87" s="220"/>
      <c r="E87" s="220"/>
      <c r="F87" s="55"/>
      <c r="G87" s="55"/>
      <c r="H87" s="12"/>
    </row>
    <row r="88" ht="14.25" customHeight="1">
      <c r="B88" s="19"/>
      <c r="C88" s="195"/>
      <c r="D88" s="220"/>
      <c r="E88" s="220"/>
      <c r="F88" s="55"/>
      <c r="G88" s="55"/>
      <c r="H88" s="12"/>
    </row>
    <row r="89" ht="14.25" customHeight="1">
      <c r="B89" s="19"/>
      <c r="C89" s="195"/>
      <c r="D89" s="220"/>
      <c r="E89" s="220"/>
      <c r="F89" s="55"/>
      <c r="G89" s="55"/>
      <c r="H89" s="12"/>
    </row>
    <row r="90" ht="14.25" customHeight="1">
      <c r="B90" s="19"/>
      <c r="C90" s="195"/>
      <c r="D90" s="220"/>
      <c r="E90" s="220"/>
      <c r="F90" s="55"/>
      <c r="G90" s="55"/>
      <c r="H90" s="12"/>
    </row>
    <row r="91" ht="14.25" customHeight="1">
      <c r="B91" s="19"/>
      <c r="C91" s="195"/>
      <c r="D91" s="220"/>
      <c r="E91" s="220"/>
      <c r="F91" s="55"/>
      <c r="G91" s="55"/>
      <c r="H91" s="12"/>
    </row>
    <row r="92" ht="14.25" customHeight="1">
      <c r="B92" s="19"/>
      <c r="C92" s="195"/>
      <c r="D92" s="220"/>
      <c r="E92" s="220"/>
      <c r="F92" s="55"/>
      <c r="G92" s="55"/>
      <c r="H92" s="12"/>
    </row>
    <row r="93" ht="14.25" customHeight="1">
      <c r="B93" s="19"/>
      <c r="C93" s="195"/>
      <c r="D93" s="220"/>
      <c r="E93" s="220"/>
      <c r="F93" s="55"/>
      <c r="G93" s="55"/>
      <c r="H93" s="12"/>
    </row>
    <row r="94" ht="14.25" customHeight="1">
      <c r="B94" s="19"/>
      <c r="C94" s="195"/>
      <c r="D94" s="220"/>
      <c r="E94" s="220"/>
      <c r="F94" s="55"/>
      <c r="G94" s="55"/>
      <c r="H94" s="12"/>
    </row>
    <row r="95" ht="14.25" customHeight="1">
      <c r="B95" s="19"/>
      <c r="C95" s="195"/>
      <c r="D95" s="220"/>
      <c r="E95" s="220"/>
      <c r="F95" s="55"/>
      <c r="G95" s="55"/>
      <c r="H95" s="12"/>
    </row>
    <row r="96" ht="14.25" customHeight="1">
      <c r="B96" s="19"/>
      <c r="C96" s="195"/>
      <c r="D96" s="220"/>
      <c r="E96" s="220"/>
      <c r="F96" s="55"/>
      <c r="G96" s="55"/>
      <c r="H96" s="12"/>
    </row>
    <row r="97" ht="14.25" customHeight="1">
      <c r="B97" s="19"/>
      <c r="C97" s="195"/>
      <c r="D97" s="220"/>
      <c r="E97" s="220"/>
      <c r="F97" s="55"/>
      <c r="G97" s="55"/>
      <c r="H97" s="12"/>
    </row>
    <row r="98" ht="14.25" customHeight="1">
      <c r="B98" s="19"/>
      <c r="C98" s="195"/>
      <c r="D98" s="220"/>
      <c r="E98" s="220"/>
      <c r="F98" s="55"/>
      <c r="G98" s="55"/>
      <c r="H98" s="12"/>
    </row>
    <row r="99" ht="14.25" customHeight="1">
      <c r="B99" s="19"/>
      <c r="C99" s="195"/>
      <c r="D99" s="220"/>
      <c r="E99" s="220"/>
      <c r="F99" s="55"/>
      <c r="G99" s="55"/>
      <c r="H99" s="12"/>
    </row>
    <row r="100" ht="14.25" customHeight="1">
      <c r="B100" s="19"/>
      <c r="C100" s="195"/>
      <c r="D100" s="220"/>
      <c r="E100" s="220"/>
      <c r="F100" s="55"/>
      <c r="G100" s="55"/>
      <c r="H100" s="12"/>
    </row>
    <row r="101" ht="14.25" customHeight="1">
      <c r="B101" s="19"/>
      <c r="C101" s="195"/>
      <c r="D101" s="220"/>
      <c r="E101" s="220"/>
      <c r="F101" s="55"/>
      <c r="G101" s="55"/>
      <c r="H101" s="12"/>
    </row>
    <row r="102" ht="14.25" customHeight="1">
      <c r="B102" s="19"/>
      <c r="C102" s="195"/>
      <c r="D102" s="220"/>
      <c r="E102" s="220"/>
      <c r="F102" s="55"/>
      <c r="G102" s="55"/>
      <c r="H102" s="12"/>
    </row>
    <row r="103" ht="14.25" customHeight="1">
      <c r="B103" s="19"/>
      <c r="C103" s="195"/>
      <c r="D103" s="220"/>
      <c r="E103" s="220"/>
      <c r="F103" s="55"/>
      <c r="G103" s="55"/>
      <c r="H103" s="12"/>
    </row>
    <row r="104" ht="14.25" customHeight="1">
      <c r="B104" s="19"/>
      <c r="C104" s="195"/>
      <c r="D104" s="220"/>
      <c r="E104" s="220"/>
      <c r="F104" s="55"/>
      <c r="G104" s="55"/>
      <c r="H104" s="12"/>
    </row>
    <row r="105" ht="14.25" customHeight="1">
      <c r="B105" s="19"/>
      <c r="C105" s="195"/>
      <c r="D105" s="220"/>
      <c r="E105" s="220"/>
      <c r="F105" s="55"/>
      <c r="G105" s="55"/>
      <c r="H105" s="12"/>
    </row>
    <row r="106" ht="14.25" customHeight="1">
      <c r="B106" s="19"/>
      <c r="C106" s="195"/>
      <c r="D106" s="220"/>
      <c r="E106" s="220"/>
      <c r="F106" s="55"/>
      <c r="G106" s="55"/>
      <c r="H106" s="12"/>
    </row>
    <row r="107" ht="14.25" customHeight="1">
      <c r="B107" s="19"/>
      <c r="C107" s="195"/>
      <c r="D107" s="220"/>
      <c r="E107" s="220"/>
      <c r="F107" s="55"/>
      <c r="G107" s="55"/>
      <c r="H107" s="12"/>
    </row>
    <row r="108" ht="14.25" customHeight="1">
      <c r="B108" s="19"/>
      <c r="C108" s="195"/>
      <c r="D108" s="220"/>
      <c r="E108" s="220"/>
      <c r="F108" s="55"/>
      <c r="G108" s="55"/>
      <c r="H108" s="12"/>
    </row>
    <row r="109" ht="14.25" customHeight="1">
      <c r="B109" s="19"/>
      <c r="C109" s="195"/>
      <c r="D109" s="220"/>
      <c r="E109" s="220"/>
      <c r="F109" s="55"/>
      <c r="G109" s="55"/>
      <c r="H109" s="12"/>
    </row>
    <row r="110" ht="14.25" customHeight="1">
      <c r="B110" s="19"/>
      <c r="C110" s="195"/>
      <c r="D110" s="220"/>
      <c r="E110" s="220"/>
      <c r="F110" s="55"/>
      <c r="G110" s="55"/>
      <c r="H110" s="12"/>
    </row>
    <row r="111" ht="14.25" customHeight="1">
      <c r="B111" s="19"/>
      <c r="C111" s="195"/>
      <c r="D111" s="220"/>
      <c r="E111" s="220"/>
      <c r="F111" s="55"/>
      <c r="G111" s="55"/>
      <c r="H111" s="12"/>
    </row>
    <row r="112" ht="14.25" customHeight="1">
      <c r="B112" s="19"/>
      <c r="C112" s="195"/>
      <c r="D112" s="220"/>
      <c r="E112" s="220"/>
      <c r="F112" s="55"/>
      <c r="G112" s="55"/>
      <c r="H112" s="12"/>
    </row>
    <row r="113" ht="14.25" customHeight="1">
      <c r="B113" s="19"/>
      <c r="C113" s="195"/>
      <c r="D113" s="220"/>
      <c r="E113" s="220"/>
      <c r="F113" s="55"/>
      <c r="G113" s="55"/>
      <c r="H113" s="12"/>
    </row>
    <row r="114" ht="14.25" customHeight="1">
      <c r="B114" s="19"/>
      <c r="C114" s="195"/>
      <c r="D114" s="220"/>
      <c r="E114" s="220"/>
      <c r="F114" s="55"/>
      <c r="G114" s="55"/>
      <c r="H114" s="12"/>
    </row>
    <row r="115" ht="14.25" customHeight="1">
      <c r="B115" s="19"/>
      <c r="C115" s="195"/>
      <c r="D115" s="220"/>
      <c r="E115" s="220"/>
      <c r="F115" s="55"/>
      <c r="G115" s="55"/>
      <c r="H115" s="12"/>
    </row>
    <row r="116" ht="14.25" customHeight="1">
      <c r="B116" s="19"/>
      <c r="C116" s="195"/>
      <c r="D116" s="220"/>
      <c r="E116" s="220"/>
      <c r="F116" s="55"/>
      <c r="G116" s="55"/>
      <c r="H116" s="12"/>
    </row>
    <row r="117" ht="14.25" customHeight="1">
      <c r="B117" s="19"/>
      <c r="C117" s="195"/>
      <c r="D117" s="220"/>
      <c r="E117" s="220"/>
      <c r="F117" s="55"/>
      <c r="G117" s="55"/>
      <c r="H117" s="12"/>
    </row>
    <row r="118" ht="14.25" customHeight="1">
      <c r="B118" s="19"/>
      <c r="C118" s="195"/>
      <c r="D118" s="220"/>
      <c r="E118" s="220"/>
      <c r="F118" s="55"/>
      <c r="G118" s="55"/>
      <c r="H118" s="12"/>
    </row>
    <row r="119" ht="14.25" customHeight="1">
      <c r="B119" s="19"/>
      <c r="C119" s="195"/>
      <c r="D119" s="220"/>
      <c r="E119" s="220"/>
      <c r="F119" s="55"/>
      <c r="G119" s="55"/>
      <c r="H119" s="12"/>
    </row>
    <row r="120" ht="14.25" customHeight="1">
      <c r="B120" s="19"/>
      <c r="C120" s="195"/>
      <c r="D120" s="220"/>
      <c r="E120" s="220"/>
      <c r="F120" s="55"/>
      <c r="G120" s="55"/>
      <c r="H120" s="12"/>
    </row>
    <row r="121" ht="14.25" customHeight="1">
      <c r="B121" s="19"/>
      <c r="C121" s="195"/>
      <c r="D121" s="220"/>
      <c r="E121" s="220"/>
      <c r="F121" s="55"/>
      <c r="G121" s="55"/>
      <c r="H121" s="12"/>
    </row>
    <row r="122" ht="14.25" customHeight="1">
      <c r="B122" s="19"/>
      <c r="C122" s="195"/>
      <c r="D122" s="220"/>
      <c r="E122" s="220"/>
      <c r="F122" s="55"/>
      <c r="G122" s="55"/>
      <c r="H122" s="12"/>
    </row>
    <row r="123" ht="14.25" customHeight="1">
      <c r="B123" s="19"/>
      <c r="C123" s="195"/>
      <c r="D123" s="220"/>
      <c r="E123" s="220"/>
      <c r="F123" s="55"/>
      <c r="G123" s="55"/>
      <c r="H123" s="12"/>
    </row>
    <row r="124" ht="14.25" customHeight="1">
      <c r="B124" s="19"/>
      <c r="C124" s="195"/>
      <c r="D124" s="220"/>
      <c r="E124" s="220"/>
      <c r="F124" s="55"/>
      <c r="G124" s="55"/>
      <c r="H124" s="12"/>
    </row>
    <row r="125" ht="14.25" customHeight="1">
      <c r="B125" s="19"/>
      <c r="C125" s="195"/>
      <c r="D125" s="220"/>
      <c r="E125" s="220"/>
      <c r="F125" s="55"/>
      <c r="G125" s="55"/>
      <c r="H125" s="12"/>
    </row>
    <row r="126" ht="14.25" customHeight="1">
      <c r="B126" s="19"/>
      <c r="C126" s="195"/>
      <c r="D126" s="220"/>
      <c r="E126" s="220"/>
      <c r="F126" s="55"/>
      <c r="G126" s="55"/>
      <c r="H126" s="12"/>
    </row>
    <row r="127" ht="14.25" customHeight="1">
      <c r="B127" s="19"/>
      <c r="C127" s="195"/>
      <c r="D127" s="220"/>
      <c r="E127" s="220"/>
      <c r="F127" s="55"/>
      <c r="G127" s="55"/>
      <c r="H127" s="12"/>
    </row>
    <row r="128" ht="14.25" customHeight="1">
      <c r="B128" s="19"/>
      <c r="C128" s="195"/>
      <c r="D128" s="220"/>
      <c r="E128" s="220"/>
      <c r="F128" s="55"/>
      <c r="G128" s="55"/>
      <c r="H128" s="12"/>
    </row>
    <row r="129" ht="14.25" customHeight="1">
      <c r="B129" s="19"/>
      <c r="C129" s="195"/>
      <c r="D129" s="220"/>
      <c r="E129" s="220"/>
      <c r="F129" s="55"/>
      <c r="G129" s="55"/>
      <c r="H129" s="12"/>
    </row>
    <row r="130" ht="14.25" customHeight="1">
      <c r="B130" s="19"/>
      <c r="C130" s="195"/>
      <c r="D130" s="220"/>
      <c r="E130" s="220"/>
      <c r="F130" s="55"/>
      <c r="G130" s="55"/>
      <c r="H130" s="12"/>
    </row>
    <row r="131" ht="14.25" customHeight="1">
      <c r="B131" s="19"/>
      <c r="C131" s="195"/>
      <c r="D131" s="220"/>
      <c r="E131" s="220"/>
      <c r="F131" s="55"/>
      <c r="G131" s="55"/>
      <c r="H131" s="12"/>
    </row>
    <row r="132" ht="14.25" customHeight="1">
      <c r="B132" s="19"/>
      <c r="C132" s="195"/>
      <c r="D132" s="220"/>
      <c r="E132" s="220"/>
      <c r="F132" s="55"/>
      <c r="G132" s="55"/>
      <c r="H132" s="12"/>
    </row>
    <row r="133" ht="14.25" customHeight="1">
      <c r="B133" s="19"/>
      <c r="C133" s="195"/>
      <c r="D133" s="220"/>
      <c r="E133" s="220"/>
      <c r="F133" s="55"/>
      <c r="G133" s="55"/>
      <c r="H133" s="12"/>
    </row>
    <row r="134" ht="14.25" customHeight="1">
      <c r="B134" s="19"/>
      <c r="C134" s="195"/>
      <c r="D134" s="220"/>
      <c r="E134" s="220"/>
      <c r="F134" s="55"/>
      <c r="G134" s="55"/>
      <c r="H134" s="12"/>
    </row>
    <row r="135" ht="14.25" customHeight="1">
      <c r="B135" s="19"/>
      <c r="C135" s="195"/>
      <c r="D135" s="220"/>
      <c r="E135" s="220"/>
      <c r="F135" s="55"/>
      <c r="G135" s="55"/>
      <c r="H135" s="12"/>
    </row>
    <row r="136" ht="14.25" customHeight="1">
      <c r="B136" s="19"/>
      <c r="C136" s="195"/>
      <c r="D136" s="220"/>
      <c r="E136" s="220"/>
      <c r="F136" s="55"/>
      <c r="G136" s="55"/>
      <c r="H136" s="12"/>
    </row>
    <row r="137" ht="14.25" customHeight="1">
      <c r="B137" s="19"/>
      <c r="C137" s="195"/>
      <c r="D137" s="220"/>
      <c r="E137" s="220"/>
      <c r="F137" s="55"/>
      <c r="G137" s="55"/>
      <c r="H137" s="12"/>
    </row>
    <row r="138" ht="14.25" customHeight="1">
      <c r="B138" s="19"/>
      <c r="C138" s="195"/>
      <c r="D138" s="220"/>
      <c r="E138" s="220"/>
      <c r="F138" s="55"/>
      <c r="G138" s="55"/>
      <c r="H138" s="12"/>
    </row>
    <row r="139" ht="14.25" customHeight="1">
      <c r="B139" s="19"/>
      <c r="C139" s="195"/>
      <c r="D139" s="220"/>
      <c r="E139" s="220"/>
      <c r="F139" s="55"/>
      <c r="G139" s="55"/>
      <c r="H139" s="12"/>
    </row>
    <row r="140" ht="14.25" customHeight="1">
      <c r="B140" s="19"/>
      <c r="C140" s="195"/>
      <c r="D140" s="220"/>
      <c r="E140" s="220"/>
      <c r="F140" s="55"/>
      <c r="G140" s="55"/>
      <c r="H140" s="12"/>
    </row>
    <row r="141" ht="14.25" customHeight="1">
      <c r="B141" s="19"/>
      <c r="C141" s="195"/>
      <c r="D141" s="220"/>
      <c r="E141" s="220"/>
      <c r="F141" s="55"/>
      <c r="G141" s="55"/>
      <c r="H141" s="12"/>
    </row>
    <row r="142" ht="14.25" customHeight="1">
      <c r="B142" s="19"/>
      <c r="C142" s="195"/>
      <c r="D142" s="220"/>
      <c r="E142" s="220"/>
      <c r="F142" s="55"/>
      <c r="G142" s="55"/>
      <c r="H142" s="12"/>
    </row>
    <row r="143" ht="14.25" customHeight="1">
      <c r="B143" s="19"/>
      <c r="C143" s="195"/>
      <c r="D143" s="220"/>
      <c r="E143" s="220"/>
      <c r="F143" s="55"/>
      <c r="G143" s="55"/>
      <c r="H143" s="12"/>
    </row>
    <row r="144" ht="14.25" customHeight="1">
      <c r="B144" s="19"/>
      <c r="C144" s="195"/>
      <c r="D144" s="220"/>
      <c r="E144" s="220"/>
      <c r="F144" s="55"/>
      <c r="G144" s="55"/>
      <c r="H144" s="12"/>
    </row>
    <row r="145" ht="14.25" customHeight="1">
      <c r="B145" s="19"/>
      <c r="C145" s="195"/>
      <c r="D145" s="220"/>
      <c r="E145" s="220"/>
      <c r="F145" s="55"/>
      <c r="G145" s="55"/>
      <c r="H145" s="12"/>
    </row>
    <row r="146" ht="14.25" customHeight="1">
      <c r="B146" s="19"/>
      <c r="C146" s="195"/>
      <c r="D146" s="220"/>
      <c r="E146" s="220"/>
      <c r="F146" s="55"/>
      <c r="G146" s="55"/>
      <c r="H146" s="12"/>
    </row>
    <row r="147" ht="14.25" customHeight="1">
      <c r="B147" s="19"/>
      <c r="C147" s="195"/>
      <c r="D147" s="220"/>
      <c r="E147" s="220"/>
      <c r="F147" s="55"/>
      <c r="G147" s="55"/>
      <c r="H147" s="12"/>
    </row>
    <row r="148" ht="14.25" customHeight="1">
      <c r="B148" s="19"/>
      <c r="C148" s="195"/>
      <c r="D148" s="220"/>
      <c r="E148" s="220"/>
      <c r="F148" s="55"/>
      <c r="G148" s="55"/>
      <c r="H148" s="12"/>
    </row>
    <row r="149" ht="14.25" customHeight="1">
      <c r="B149" s="19"/>
      <c r="C149" s="195"/>
      <c r="D149" s="220"/>
      <c r="E149" s="220"/>
      <c r="F149" s="55"/>
      <c r="G149" s="55"/>
      <c r="H149" s="12"/>
    </row>
    <row r="150" ht="14.25" customHeight="1">
      <c r="B150" s="19"/>
      <c r="C150" s="195"/>
      <c r="D150" s="220"/>
      <c r="E150" s="220"/>
      <c r="F150" s="55"/>
      <c r="G150" s="55"/>
      <c r="H150" s="12"/>
    </row>
    <row r="151" ht="14.25" customHeight="1">
      <c r="B151" s="19"/>
      <c r="C151" s="195"/>
      <c r="D151" s="220"/>
      <c r="E151" s="220"/>
      <c r="F151" s="55"/>
      <c r="G151" s="55"/>
      <c r="H151" s="12"/>
    </row>
    <row r="152" ht="14.25" customHeight="1">
      <c r="B152" s="19"/>
      <c r="C152" s="195"/>
      <c r="D152" s="220"/>
      <c r="E152" s="220"/>
      <c r="F152" s="55"/>
      <c r="G152" s="55"/>
      <c r="H152" s="12"/>
    </row>
    <row r="153" ht="14.25" customHeight="1">
      <c r="B153" s="19"/>
      <c r="C153" s="195"/>
      <c r="D153" s="220"/>
      <c r="E153" s="220"/>
      <c r="F153" s="55"/>
      <c r="G153" s="55"/>
      <c r="H153" s="12"/>
    </row>
    <row r="154" ht="14.25" customHeight="1">
      <c r="B154" s="19"/>
      <c r="C154" s="195"/>
      <c r="D154" s="220"/>
      <c r="E154" s="220"/>
      <c r="F154" s="55"/>
      <c r="G154" s="55"/>
      <c r="H154" s="12"/>
    </row>
    <row r="155" ht="14.25" customHeight="1">
      <c r="B155" s="19"/>
      <c r="C155" s="195"/>
      <c r="D155" s="220"/>
      <c r="E155" s="220"/>
      <c r="F155" s="55"/>
      <c r="G155" s="55"/>
      <c r="H155" s="12"/>
    </row>
    <row r="156" ht="14.25" customHeight="1">
      <c r="B156" s="19"/>
      <c r="C156" s="195"/>
      <c r="D156" s="220"/>
      <c r="E156" s="220"/>
      <c r="F156" s="55"/>
      <c r="G156" s="55"/>
      <c r="H156" s="12"/>
    </row>
    <row r="157" ht="14.25" customHeight="1">
      <c r="B157" s="19"/>
      <c r="C157" s="195"/>
      <c r="D157" s="220"/>
      <c r="E157" s="220"/>
      <c r="F157" s="55"/>
      <c r="G157" s="55"/>
      <c r="H157" s="12"/>
    </row>
    <row r="158" ht="14.25" customHeight="1">
      <c r="B158" s="19"/>
      <c r="C158" s="195"/>
      <c r="D158" s="220"/>
      <c r="E158" s="220"/>
      <c r="F158" s="55"/>
      <c r="G158" s="55"/>
      <c r="H158" s="12"/>
    </row>
    <row r="159" ht="14.25" customHeight="1">
      <c r="B159" s="19"/>
      <c r="C159" s="195"/>
      <c r="D159" s="220"/>
      <c r="E159" s="220"/>
      <c r="F159" s="55"/>
      <c r="G159" s="55"/>
      <c r="H159" s="12"/>
    </row>
    <row r="160" ht="14.25" customHeight="1">
      <c r="B160" s="19"/>
      <c r="C160" s="195"/>
      <c r="D160" s="220"/>
      <c r="E160" s="220"/>
      <c r="F160" s="55"/>
      <c r="G160" s="55"/>
      <c r="H160" s="12"/>
    </row>
    <row r="161" ht="14.25" customHeight="1">
      <c r="B161" s="19"/>
      <c r="C161" s="195"/>
      <c r="D161" s="220"/>
      <c r="E161" s="220"/>
      <c r="F161" s="55"/>
      <c r="G161" s="55"/>
      <c r="H161" s="12"/>
    </row>
    <row r="162" ht="14.25" customHeight="1">
      <c r="B162" s="19"/>
      <c r="C162" s="195"/>
      <c r="D162" s="220"/>
      <c r="E162" s="220"/>
      <c r="F162" s="55"/>
      <c r="G162" s="55"/>
      <c r="H162" s="12"/>
    </row>
    <row r="163" ht="14.25" customHeight="1">
      <c r="B163" s="19"/>
      <c r="C163" s="195"/>
      <c r="D163" s="220"/>
      <c r="E163" s="220"/>
      <c r="F163" s="55"/>
      <c r="G163" s="55"/>
      <c r="H163" s="12"/>
    </row>
    <row r="164" ht="14.25" customHeight="1">
      <c r="B164" s="19"/>
      <c r="C164" s="195"/>
      <c r="D164" s="220"/>
      <c r="E164" s="220"/>
      <c r="F164" s="55"/>
      <c r="G164" s="55"/>
      <c r="H164" s="12"/>
    </row>
    <row r="165" ht="14.25" customHeight="1">
      <c r="B165" s="19"/>
      <c r="C165" s="195"/>
      <c r="D165" s="220"/>
      <c r="E165" s="220"/>
      <c r="F165" s="55"/>
      <c r="G165" s="55"/>
      <c r="H165" s="12"/>
    </row>
    <row r="166" ht="14.25" customHeight="1">
      <c r="B166" s="19"/>
      <c r="C166" s="195"/>
      <c r="D166" s="220"/>
      <c r="E166" s="220"/>
      <c r="F166" s="55"/>
      <c r="G166" s="55"/>
      <c r="H166" s="12"/>
    </row>
    <row r="167" ht="14.25" customHeight="1">
      <c r="B167" s="19"/>
      <c r="C167" s="195"/>
      <c r="D167" s="220"/>
      <c r="E167" s="220"/>
      <c r="F167" s="55"/>
      <c r="G167" s="55"/>
      <c r="H167" s="12"/>
    </row>
    <row r="168" ht="14.25" customHeight="1">
      <c r="B168" s="19"/>
      <c r="C168" s="195"/>
      <c r="D168" s="220"/>
      <c r="E168" s="220"/>
      <c r="F168" s="55"/>
      <c r="G168" s="55"/>
      <c r="H168" s="12"/>
    </row>
    <row r="169" ht="14.25" customHeight="1">
      <c r="B169" s="19"/>
      <c r="C169" s="195"/>
      <c r="D169" s="220"/>
      <c r="E169" s="220"/>
      <c r="F169" s="55"/>
      <c r="G169" s="55"/>
      <c r="H169" s="12"/>
    </row>
    <row r="170" ht="14.25" customHeight="1">
      <c r="B170" s="19"/>
      <c r="C170" s="195"/>
      <c r="D170" s="220"/>
      <c r="E170" s="220"/>
      <c r="F170" s="55"/>
      <c r="G170" s="55"/>
      <c r="H170" s="12"/>
    </row>
    <row r="171" ht="14.25" customHeight="1">
      <c r="B171" s="19"/>
      <c r="C171" s="195"/>
      <c r="D171" s="220"/>
      <c r="E171" s="220"/>
      <c r="F171" s="55"/>
      <c r="G171" s="55"/>
      <c r="H171" s="12"/>
    </row>
    <row r="172" ht="14.25" customHeight="1">
      <c r="B172" s="19"/>
      <c r="C172" s="195"/>
      <c r="D172" s="220"/>
      <c r="E172" s="220"/>
      <c r="F172" s="55"/>
      <c r="G172" s="55"/>
      <c r="H172" s="12"/>
    </row>
    <row r="173" ht="14.25" customHeight="1">
      <c r="B173" s="19"/>
      <c r="C173" s="195"/>
      <c r="D173" s="220"/>
      <c r="E173" s="220"/>
      <c r="F173" s="55"/>
      <c r="G173" s="55"/>
      <c r="H173" s="12"/>
    </row>
    <row r="174" ht="14.25" customHeight="1">
      <c r="B174" s="19"/>
      <c r="C174" s="195"/>
      <c r="D174" s="220"/>
      <c r="E174" s="220"/>
      <c r="F174" s="55"/>
      <c r="G174" s="55"/>
      <c r="H174" s="12"/>
    </row>
    <row r="175" ht="14.25" customHeight="1">
      <c r="B175" s="19"/>
      <c r="C175" s="195"/>
      <c r="D175" s="220"/>
      <c r="E175" s="220"/>
      <c r="F175" s="55"/>
      <c r="G175" s="55"/>
      <c r="H175" s="12"/>
    </row>
    <row r="176" ht="14.25" customHeight="1">
      <c r="B176" s="19"/>
      <c r="C176" s="195"/>
      <c r="D176" s="220"/>
      <c r="E176" s="220"/>
      <c r="F176" s="55"/>
      <c r="G176" s="55"/>
      <c r="H176" s="12"/>
    </row>
    <row r="177" ht="14.25" customHeight="1">
      <c r="B177" s="19"/>
      <c r="C177" s="195"/>
      <c r="D177" s="220"/>
      <c r="E177" s="220"/>
      <c r="F177" s="55"/>
      <c r="G177" s="55"/>
      <c r="H177" s="12"/>
    </row>
    <row r="178" ht="14.25" customHeight="1">
      <c r="B178" s="19"/>
      <c r="C178" s="195"/>
      <c r="D178" s="220"/>
      <c r="E178" s="220"/>
      <c r="F178" s="55"/>
      <c r="G178" s="55"/>
      <c r="H178" s="12"/>
    </row>
    <row r="179" ht="14.25" customHeight="1">
      <c r="B179" s="19"/>
      <c r="C179" s="195"/>
      <c r="D179" s="220"/>
      <c r="E179" s="220"/>
      <c r="F179" s="55"/>
      <c r="G179" s="55"/>
      <c r="H179" s="12"/>
    </row>
    <row r="180" ht="14.25" customHeight="1">
      <c r="B180" s="19"/>
      <c r="C180" s="195"/>
      <c r="D180" s="220"/>
      <c r="E180" s="220"/>
      <c r="F180" s="55"/>
      <c r="G180" s="55"/>
      <c r="H180" s="12"/>
    </row>
    <row r="181" ht="14.25" customHeight="1">
      <c r="B181" s="19"/>
      <c r="C181" s="195"/>
      <c r="D181" s="220"/>
      <c r="E181" s="220"/>
      <c r="F181" s="55"/>
      <c r="G181" s="55"/>
      <c r="H181" s="12"/>
    </row>
    <row r="182" ht="14.25" customHeight="1">
      <c r="B182" s="19"/>
      <c r="C182" s="195"/>
      <c r="D182" s="220"/>
      <c r="E182" s="220"/>
      <c r="F182" s="55"/>
      <c r="G182" s="55"/>
      <c r="H182" s="12"/>
    </row>
    <row r="183" ht="14.25" customHeight="1">
      <c r="B183" s="19"/>
      <c r="C183" s="195"/>
      <c r="D183" s="220"/>
      <c r="E183" s="220"/>
      <c r="F183" s="55"/>
      <c r="G183" s="55"/>
      <c r="H183" s="12"/>
    </row>
    <row r="184" ht="14.25" customHeight="1">
      <c r="B184" s="19"/>
      <c r="C184" s="195"/>
      <c r="D184" s="220"/>
      <c r="E184" s="220"/>
      <c r="F184" s="55"/>
      <c r="G184" s="55"/>
      <c r="H184" s="12"/>
    </row>
    <row r="185" ht="14.25" customHeight="1">
      <c r="B185" s="19"/>
      <c r="C185" s="195"/>
      <c r="D185" s="220"/>
      <c r="E185" s="220"/>
      <c r="F185" s="55"/>
      <c r="G185" s="55"/>
      <c r="H185" s="12"/>
    </row>
    <row r="186" ht="14.25" customHeight="1">
      <c r="B186" s="19"/>
      <c r="C186" s="195"/>
      <c r="D186" s="220"/>
      <c r="E186" s="220"/>
      <c r="F186" s="55"/>
      <c r="G186" s="55"/>
      <c r="H186" s="12"/>
    </row>
    <row r="187" ht="14.25" customHeight="1">
      <c r="B187" s="19"/>
      <c r="C187" s="195"/>
      <c r="D187" s="220"/>
      <c r="E187" s="220"/>
      <c r="F187" s="55"/>
      <c r="G187" s="55"/>
      <c r="H187" s="12"/>
    </row>
    <row r="188" ht="14.25" customHeight="1">
      <c r="B188" s="19"/>
      <c r="C188" s="195"/>
      <c r="D188" s="220"/>
      <c r="E188" s="220"/>
      <c r="F188" s="55"/>
      <c r="G188" s="55"/>
      <c r="H188" s="12"/>
    </row>
    <row r="189" ht="14.25" customHeight="1">
      <c r="B189" s="19"/>
      <c r="C189" s="195"/>
      <c r="D189" s="220"/>
      <c r="E189" s="220"/>
      <c r="F189" s="55"/>
      <c r="G189" s="55"/>
      <c r="H189" s="12"/>
    </row>
    <row r="190" ht="14.25" customHeight="1">
      <c r="B190" s="19"/>
      <c r="C190" s="195"/>
      <c r="D190" s="220"/>
      <c r="E190" s="220"/>
      <c r="F190" s="55"/>
      <c r="G190" s="55"/>
      <c r="H190" s="12"/>
    </row>
    <row r="191" ht="14.25" customHeight="1">
      <c r="B191" s="19"/>
      <c r="C191" s="195"/>
      <c r="D191" s="220"/>
      <c r="E191" s="220"/>
      <c r="F191" s="55"/>
      <c r="G191" s="55"/>
      <c r="H191" s="12"/>
    </row>
    <row r="192" ht="14.25" customHeight="1">
      <c r="B192" s="19"/>
      <c r="C192" s="195"/>
      <c r="D192" s="220"/>
      <c r="E192" s="220"/>
      <c r="F192" s="55"/>
      <c r="G192" s="55"/>
      <c r="H192" s="12"/>
    </row>
    <row r="193" ht="14.25" customHeight="1">
      <c r="B193" s="19"/>
      <c r="C193" s="195"/>
      <c r="D193" s="220"/>
      <c r="E193" s="220"/>
      <c r="F193" s="55"/>
      <c r="G193" s="55"/>
      <c r="H193" s="12"/>
    </row>
    <row r="194" ht="14.25" customHeight="1">
      <c r="B194" s="19"/>
      <c r="C194" s="195"/>
      <c r="D194" s="220"/>
      <c r="E194" s="220"/>
      <c r="F194" s="55"/>
      <c r="G194" s="55"/>
      <c r="H194" s="12"/>
    </row>
    <row r="195" ht="14.25" customHeight="1">
      <c r="B195" s="19"/>
      <c r="C195" s="195"/>
      <c r="D195" s="220"/>
      <c r="E195" s="220"/>
      <c r="F195" s="55"/>
      <c r="G195" s="55"/>
      <c r="H195" s="12"/>
    </row>
    <row r="196" ht="14.25" customHeight="1">
      <c r="B196" s="19"/>
      <c r="C196" s="195"/>
      <c r="D196" s="220"/>
      <c r="E196" s="220"/>
      <c r="F196" s="55"/>
      <c r="G196" s="55"/>
      <c r="H196" s="12"/>
    </row>
    <row r="197" ht="14.25" customHeight="1">
      <c r="B197" s="19"/>
      <c r="C197" s="195"/>
      <c r="D197" s="220"/>
      <c r="E197" s="220"/>
      <c r="F197" s="55"/>
      <c r="G197" s="55"/>
      <c r="H197" s="12"/>
    </row>
    <row r="198" ht="14.25" customHeight="1">
      <c r="B198" s="19"/>
      <c r="C198" s="195"/>
      <c r="D198" s="220"/>
      <c r="E198" s="220"/>
      <c r="F198" s="55"/>
      <c r="G198" s="55"/>
      <c r="H198" s="12"/>
    </row>
    <row r="199" ht="14.25" customHeight="1">
      <c r="B199" s="19"/>
      <c r="C199" s="195"/>
      <c r="D199" s="220"/>
      <c r="E199" s="220"/>
      <c r="F199" s="55"/>
      <c r="G199" s="55"/>
      <c r="H199" s="12"/>
    </row>
    <row r="200" ht="14.25" customHeight="1">
      <c r="B200" s="19"/>
      <c r="C200" s="195"/>
      <c r="D200" s="220"/>
      <c r="E200" s="220"/>
      <c r="F200" s="55"/>
      <c r="G200" s="55"/>
      <c r="H200" s="12"/>
    </row>
    <row r="201" ht="14.25" customHeight="1">
      <c r="B201" s="19"/>
      <c r="C201" s="195"/>
      <c r="D201" s="220"/>
      <c r="E201" s="220"/>
      <c r="F201" s="55"/>
      <c r="G201" s="55"/>
      <c r="H201" s="12"/>
    </row>
    <row r="202" ht="14.25" customHeight="1">
      <c r="B202" s="19"/>
      <c r="C202" s="195"/>
      <c r="D202" s="220"/>
      <c r="E202" s="220"/>
      <c r="F202" s="55"/>
      <c r="G202" s="55"/>
      <c r="H202" s="12"/>
    </row>
    <row r="203" ht="14.25" customHeight="1">
      <c r="B203" s="19"/>
      <c r="C203" s="195"/>
      <c r="D203" s="220"/>
      <c r="E203" s="220"/>
      <c r="F203" s="55"/>
      <c r="G203" s="55"/>
      <c r="H203" s="12"/>
    </row>
    <row r="204" ht="14.25" customHeight="1">
      <c r="B204" s="19"/>
      <c r="C204" s="195"/>
      <c r="D204" s="220"/>
      <c r="E204" s="220"/>
      <c r="F204" s="55"/>
      <c r="G204" s="55"/>
      <c r="H204" s="12"/>
    </row>
    <row r="205" ht="14.25" customHeight="1">
      <c r="B205" s="19"/>
      <c r="C205" s="195"/>
      <c r="D205" s="220"/>
      <c r="E205" s="220"/>
      <c r="F205" s="55"/>
      <c r="G205" s="55"/>
      <c r="H205" s="12"/>
    </row>
    <row r="206" ht="14.25" customHeight="1">
      <c r="B206" s="19"/>
      <c r="C206" s="195"/>
      <c r="D206" s="220"/>
      <c r="E206" s="220"/>
      <c r="F206" s="55"/>
      <c r="G206" s="55"/>
      <c r="H206" s="12"/>
    </row>
    <row r="207" ht="14.25" customHeight="1">
      <c r="B207" s="19"/>
      <c r="C207" s="195"/>
      <c r="D207" s="220"/>
      <c r="E207" s="220"/>
      <c r="F207" s="55"/>
      <c r="G207" s="55"/>
      <c r="H207" s="12"/>
    </row>
    <row r="208" ht="14.25" customHeight="1">
      <c r="B208" s="19"/>
      <c r="C208" s="195"/>
      <c r="D208" s="220"/>
      <c r="E208" s="220"/>
      <c r="F208" s="55"/>
      <c r="G208" s="55"/>
      <c r="H208" s="12"/>
    </row>
    <row r="209" ht="14.25" customHeight="1">
      <c r="B209" s="19"/>
      <c r="C209" s="195"/>
      <c r="D209" s="220"/>
      <c r="E209" s="220"/>
      <c r="F209" s="55"/>
      <c r="G209" s="55"/>
      <c r="H209" s="12"/>
    </row>
    <row r="210" ht="14.25" customHeight="1">
      <c r="B210" s="19"/>
      <c r="C210" s="195"/>
      <c r="D210" s="220"/>
      <c r="E210" s="220"/>
      <c r="F210" s="55"/>
      <c r="G210" s="55"/>
      <c r="H210" s="12"/>
    </row>
    <row r="211" ht="14.25" customHeight="1">
      <c r="B211" s="19"/>
      <c r="C211" s="195"/>
      <c r="D211" s="220"/>
      <c r="E211" s="220"/>
      <c r="F211" s="55"/>
      <c r="G211" s="55"/>
      <c r="H211" s="12"/>
    </row>
    <row r="212" ht="14.25" customHeight="1">
      <c r="B212" s="19"/>
      <c r="C212" s="195"/>
      <c r="D212" s="220"/>
      <c r="E212" s="220"/>
      <c r="F212" s="55"/>
      <c r="G212" s="55"/>
      <c r="H212" s="12"/>
    </row>
    <row r="213" ht="14.25" customHeight="1">
      <c r="B213" s="19"/>
      <c r="C213" s="195"/>
      <c r="D213" s="220"/>
      <c r="E213" s="220"/>
      <c r="F213" s="55"/>
      <c r="G213" s="55"/>
      <c r="H213" s="12"/>
    </row>
    <row r="214" ht="14.25" customHeight="1">
      <c r="B214" s="19"/>
      <c r="C214" s="195"/>
      <c r="D214" s="220"/>
      <c r="E214" s="220"/>
      <c r="F214" s="55"/>
      <c r="G214" s="55"/>
      <c r="H214" s="12"/>
    </row>
    <row r="215" ht="14.25" customHeight="1">
      <c r="B215" s="19"/>
      <c r="C215" s="195"/>
      <c r="D215" s="220"/>
      <c r="E215" s="220"/>
      <c r="F215" s="55"/>
      <c r="G215" s="55"/>
      <c r="H215" s="12"/>
    </row>
    <row r="216" ht="14.25" customHeight="1">
      <c r="B216" s="19"/>
      <c r="C216" s="195"/>
      <c r="D216" s="220"/>
      <c r="E216" s="220"/>
      <c r="F216" s="55"/>
      <c r="G216" s="55"/>
      <c r="H216" s="12"/>
    </row>
    <row r="217" ht="14.25" customHeight="1">
      <c r="B217" s="19"/>
      <c r="C217" s="195"/>
      <c r="D217" s="220"/>
      <c r="E217" s="220"/>
      <c r="F217" s="55"/>
      <c r="G217" s="55"/>
      <c r="H217" s="12"/>
    </row>
    <row r="218" ht="14.25" customHeight="1">
      <c r="B218" s="19"/>
      <c r="C218" s="195"/>
      <c r="D218" s="220"/>
      <c r="E218" s="220"/>
      <c r="F218" s="55"/>
      <c r="G218" s="55"/>
      <c r="H218" s="12"/>
    </row>
    <row r="219" ht="14.25" customHeight="1">
      <c r="B219" s="19"/>
      <c r="C219" s="195"/>
      <c r="D219" s="220"/>
      <c r="E219" s="220"/>
      <c r="F219" s="55"/>
      <c r="G219" s="55"/>
      <c r="H219" s="12"/>
    </row>
    <row r="220" ht="14.25" customHeight="1">
      <c r="B220" s="19"/>
      <c r="C220" s="195"/>
      <c r="D220" s="220"/>
      <c r="E220" s="220"/>
      <c r="F220" s="55"/>
      <c r="G220" s="55"/>
      <c r="H220" s="12"/>
    </row>
    <row r="221" ht="14.25" customHeight="1">
      <c r="B221" s="19"/>
      <c r="C221" s="195"/>
      <c r="D221" s="220"/>
      <c r="E221" s="220"/>
      <c r="F221" s="55"/>
      <c r="G221" s="55"/>
      <c r="H221" s="12"/>
    </row>
    <row r="222" ht="14.25" customHeight="1">
      <c r="B222" s="19"/>
      <c r="C222" s="195"/>
      <c r="D222" s="220"/>
      <c r="E222" s="220"/>
      <c r="F222" s="55"/>
      <c r="G222" s="55"/>
      <c r="H222" s="12"/>
    </row>
    <row r="223" ht="14.25" customHeight="1">
      <c r="B223" s="19"/>
      <c r="C223" s="195"/>
      <c r="D223" s="220"/>
      <c r="E223" s="220"/>
      <c r="F223" s="55"/>
      <c r="G223" s="55"/>
      <c r="H223" s="12"/>
    </row>
    <row r="224" ht="14.25" customHeight="1">
      <c r="B224" s="19"/>
      <c r="C224" s="195"/>
      <c r="D224" s="220"/>
      <c r="E224" s="220"/>
      <c r="F224" s="55"/>
      <c r="G224" s="55"/>
      <c r="H224" s="12"/>
    </row>
    <row r="225" ht="14.25" customHeight="1">
      <c r="B225" s="19"/>
      <c r="C225" s="195"/>
      <c r="D225" s="220"/>
      <c r="E225" s="220"/>
      <c r="F225" s="55"/>
      <c r="G225" s="55"/>
      <c r="H225" s="12"/>
    </row>
    <row r="226" ht="14.25" customHeight="1">
      <c r="B226" s="19"/>
      <c r="C226" s="195"/>
      <c r="D226" s="220"/>
      <c r="E226" s="220"/>
      <c r="F226" s="55"/>
      <c r="G226" s="55"/>
      <c r="H226" s="12"/>
    </row>
    <row r="227" ht="14.25" customHeight="1">
      <c r="B227" s="19"/>
      <c r="C227" s="195"/>
      <c r="D227" s="220"/>
      <c r="E227" s="220"/>
      <c r="F227" s="55"/>
      <c r="G227" s="55"/>
      <c r="H227" s="12"/>
    </row>
    <row r="228" ht="14.25" customHeight="1">
      <c r="B228" s="19"/>
      <c r="C228" s="195"/>
      <c r="D228" s="220"/>
      <c r="E228" s="220"/>
      <c r="F228" s="55"/>
      <c r="G228" s="55"/>
      <c r="H228" s="12"/>
    </row>
    <row r="229" ht="14.25" customHeight="1">
      <c r="B229" s="19"/>
      <c r="C229" s="195"/>
      <c r="D229" s="220"/>
      <c r="E229" s="220"/>
      <c r="F229" s="55"/>
      <c r="G229" s="55"/>
      <c r="H229" s="12"/>
    </row>
    <row r="230" ht="14.25" customHeight="1">
      <c r="B230" s="19"/>
      <c r="C230" s="195"/>
      <c r="D230" s="220"/>
      <c r="E230" s="220"/>
      <c r="F230" s="55"/>
      <c r="G230" s="55"/>
      <c r="H230" s="12"/>
    </row>
    <row r="231" ht="14.25" customHeight="1">
      <c r="B231" s="19"/>
      <c r="C231" s="195"/>
      <c r="D231" s="220"/>
      <c r="E231" s="220"/>
      <c r="F231" s="55"/>
      <c r="G231" s="55"/>
      <c r="H231" s="12"/>
    </row>
    <row r="232" ht="14.25" customHeight="1">
      <c r="B232" s="19"/>
      <c r="C232" s="195"/>
      <c r="D232" s="220"/>
      <c r="E232" s="220"/>
      <c r="F232" s="55"/>
      <c r="G232" s="55"/>
      <c r="H232" s="12"/>
    </row>
    <row r="233" ht="14.25" customHeight="1">
      <c r="B233" s="19"/>
      <c r="C233" s="195"/>
      <c r="D233" s="220"/>
      <c r="E233" s="220"/>
      <c r="F233" s="55"/>
      <c r="G233" s="55"/>
      <c r="H233" s="12"/>
    </row>
    <row r="234" ht="14.25" customHeight="1">
      <c r="B234" s="19"/>
      <c r="C234" s="195"/>
      <c r="D234" s="220"/>
      <c r="E234" s="220"/>
      <c r="F234" s="55"/>
      <c r="G234" s="55"/>
      <c r="H234" s="12"/>
    </row>
    <row r="235" ht="14.25" customHeight="1">
      <c r="B235" s="19"/>
      <c r="C235" s="195"/>
      <c r="D235" s="220"/>
      <c r="E235" s="220"/>
      <c r="F235" s="55"/>
      <c r="G235" s="55"/>
      <c r="H235" s="12"/>
    </row>
    <row r="236" ht="14.25" customHeight="1">
      <c r="B236" s="19"/>
      <c r="C236" s="195"/>
      <c r="D236" s="220"/>
      <c r="E236" s="220"/>
      <c r="F236" s="55"/>
      <c r="G236" s="55"/>
      <c r="H236" s="12"/>
    </row>
    <row r="237" ht="14.25" customHeight="1">
      <c r="B237" s="19"/>
      <c r="C237" s="195"/>
      <c r="D237" s="220"/>
      <c r="E237" s="220"/>
      <c r="F237" s="55"/>
      <c r="G237" s="55"/>
      <c r="H237" s="12"/>
    </row>
    <row r="238" ht="14.25" customHeight="1">
      <c r="B238" s="19"/>
      <c r="C238" s="195"/>
      <c r="D238" s="220"/>
      <c r="E238" s="220"/>
      <c r="F238" s="55"/>
      <c r="G238" s="55"/>
      <c r="H238" s="12"/>
    </row>
    <row r="239" ht="14.25" customHeight="1">
      <c r="B239" s="19"/>
      <c r="C239" s="195"/>
      <c r="D239" s="220"/>
      <c r="E239" s="220"/>
      <c r="F239" s="55"/>
      <c r="G239" s="55"/>
      <c r="H239" s="12"/>
    </row>
    <row r="240" ht="14.25" customHeight="1">
      <c r="B240" s="19"/>
      <c r="C240" s="195"/>
      <c r="D240" s="220"/>
      <c r="E240" s="220"/>
      <c r="F240" s="55"/>
      <c r="G240" s="55"/>
      <c r="H240" s="12"/>
    </row>
    <row r="241" ht="14.25" customHeight="1">
      <c r="B241" s="19"/>
      <c r="C241" s="195"/>
      <c r="D241" s="220"/>
      <c r="E241" s="220"/>
      <c r="F241" s="55"/>
      <c r="G241" s="55"/>
      <c r="H241" s="12"/>
    </row>
    <row r="242" ht="14.25" customHeight="1">
      <c r="B242" s="19"/>
      <c r="C242" s="195"/>
      <c r="D242" s="220"/>
      <c r="E242" s="220"/>
      <c r="F242" s="55"/>
      <c r="G242" s="55"/>
      <c r="H242" s="12"/>
    </row>
    <row r="243" ht="14.25" customHeight="1">
      <c r="B243" s="19"/>
      <c r="C243" s="195"/>
      <c r="D243" s="220"/>
      <c r="E243" s="220"/>
      <c r="F243" s="55"/>
      <c r="G243" s="55"/>
      <c r="H243" s="12"/>
    </row>
    <row r="244" ht="14.25" customHeight="1">
      <c r="B244" s="19"/>
      <c r="C244" s="195"/>
      <c r="D244" s="220"/>
      <c r="E244" s="220"/>
      <c r="F244" s="55"/>
      <c r="G244" s="55"/>
      <c r="H244" s="12"/>
    </row>
    <row r="245" ht="14.25" customHeight="1">
      <c r="B245" s="19"/>
      <c r="C245" s="195"/>
      <c r="D245" s="220"/>
      <c r="E245" s="220"/>
      <c r="F245" s="55"/>
      <c r="G245" s="55"/>
      <c r="H245" s="12"/>
    </row>
    <row r="246" ht="14.25" customHeight="1">
      <c r="B246" s="19"/>
      <c r="C246" s="195"/>
      <c r="D246" s="220"/>
      <c r="E246" s="220"/>
      <c r="F246" s="55"/>
      <c r="G246" s="55"/>
      <c r="H246" s="12"/>
    </row>
    <row r="247" ht="14.25" customHeight="1">
      <c r="B247" s="19"/>
      <c r="C247" s="195"/>
      <c r="D247" s="220"/>
      <c r="E247" s="220"/>
      <c r="F247" s="55"/>
      <c r="G247" s="55"/>
      <c r="H247" s="12"/>
    </row>
    <row r="248" ht="14.25" customHeight="1">
      <c r="B248" s="19"/>
      <c r="C248" s="195"/>
      <c r="D248" s="220"/>
      <c r="E248" s="220"/>
      <c r="F248" s="55"/>
      <c r="G248" s="55"/>
      <c r="H248" s="12"/>
    </row>
    <row r="249" ht="14.25" customHeight="1">
      <c r="B249" s="19"/>
      <c r="C249" s="195"/>
      <c r="D249" s="220"/>
      <c r="E249" s="220"/>
      <c r="F249" s="55"/>
      <c r="G249" s="55"/>
      <c r="H249" s="12"/>
    </row>
    <row r="250" ht="14.25" customHeight="1">
      <c r="B250" s="19"/>
      <c r="C250" s="195"/>
      <c r="D250" s="220"/>
      <c r="E250" s="220"/>
      <c r="F250" s="55"/>
      <c r="G250" s="55"/>
      <c r="H250" s="12"/>
    </row>
    <row r="251" ht="14.25" customHeight="1">
      <c r="B251" s="19"/>
      <c r="C251" s="195"/>
      <c r="D251" s="220"/>
      <c r="E251" s="220"/>
      <c r="F251" s="55"/>
      <c r="G251" s="55"/>
      <c r="H251" s="12"/>
    </row>
    <row r="252" ht="14.25" customHeight="1">
      <c r="B252" s="19"/>
      <c r="C252" s="195"/>
      <c r="D252" s="220"/>
      <c r="E252" s="220"/>
      <c r="F252" s="55"/>
      <c r="G252" s="55"/>
      <c r="H252" s="12"/>
    </row>
    <row r="253" ht="14.25" customHeight="1">
      <c r="B253" s="19"/>
      <c r="C253" s="195"/>
      <c r="D253" s="220"/>
      <c r="E253" s="220"/>
      <c r="F253" s="55"/>
      <c r="G253" s="55"/>
      <c r="H253" s="12"/>
    </row>
    <row r="254" ht="14.25" customHeight="1">
      <c r="B254" s="19"/>
      <c r="C254" s="195"/>
      <c r="D254" s="220"/>
      <c r="E254" s="220"/>
      <c r="F254" s="55"/>
      <c r="G254" s="55"/>
      <c r="H254" s="12"/>
    </row>
    <row r="255" ht="14.25" customHeight="1">
      <c r="B255" s="19"/>
      <c r="C255" s="195"/>
      <c r="D255" s="220"/>
      <c r="E255" s="220"/>
      <c r="F255" s="55"/>
      <c r="G255" s="55"/>
      <c r="H255" s="12"/>
    </row>
    <row r="256" ht="14.25" customHeight="1">
      <c r="B256" s="19"/>
      <c r="C256" s="195"/>
      <c r="D256" s="220"/>
      <c r="E256" s="220"/>
      <c r="F256" s="55"/>
      <c r="G256" s="55"/>
      <c r="H256" s="12"/>
    </row>
    <row r="257" ht="14.25" customHeight="1">
      <c r="B257" s="19"/>
      <c r="C257" s="195"/>
      <c r="D257" s="220"/>
      <c r="E257" s="220"/>
      <c r="F257" s="55"/>
      <c r="G257" s="55"/>
      <c r="H257" s="12"/>
    </row>
    <row r="258" ht="14.25" customHeight="1">
      <c r="B258" s="19"/>
      <c r="C258" s="195"/>
      <c r="D258" s="220"/>
      <c r="E258" s="220"/>
      <c r="F258" s="55"/>
      <c r="G258" s="55"/>
      <c r="H258" s="12"/>
    </row>
    <row r="259" ht="14.25" customHeight="1">
      <c r="B259" s="19"/>
      <c r="C259" s="195"/>
      <c r="D259" s="220"/>
      <c r="E259" s="220"/>
      <c r="F259" s="55"/>
      <c r="G259" s="55"/>
      <c r="H259" s="12"/>
    </row>
    <row r="260" ht="14.25" customHeight="1">
      <c r="B260" s="19"/>
      <c r="C260" s="195"/>
      <c r="D260" s="220"/>
      <c r="E260" s="220"/>
      <c r="F260" s="55"/>
      <c r="G260" s="55"/>
      <c r="H260" s="12"/>
    </row>
    <row r="261" ht="14.25" customHeight="1">
      <c r="B261" s="19"/>
      <c r="C261" s="195"/>
      <c r="D261" s="220"/>
      <c r="E261" s="220"/>
      <c r="F261" s="55"/>
      <c r="G261" s="55"/>
      <c r="H261" s="12"/>
    </row>
    <row r="262" ht="14.25" customHeight="1">
      <c r="B262" s="19"/>
      <c r="C262" s="195"/>
      <c r="D262" s="220"/>
      <c r="E262" s="220"/>
      <c r="F262" s="55"/>
      <c r="G262" s="55"/>
      <c r="H262" s="12"/>
    </row>
    <row r="263" ht="14.25" customHeight="1">
      <c r="B263" s="19"/>
      <c r="C263" s="195"/>
      <c r="D263" s="220"/>
      <c r="E263" s="220"/>
      <c r="F263" s="55"/>
      <c r="G263" s="55"/>
      <c r="H263" s="12"/>
    </row>
    <row r="264" ht="14.25" customHeight="1">
      <c r="B264" s="19"/>
      <c r="C264" s="195"/>
      <c r="D264" s="220"/>
      <c r="E264" s="220"/>
      <c r="F264" s="55"/>
      <c r="G264" s="55"/>
      <c r="H264" s="12"/>
    </row>
    <row r="265" ht="14.25" customHeight="1">
      <c r="B265" s="19"/>
      <c r="C265" s="195"/>
      <c r="D265" s="220"/>
      <c r="E265" s="220"/>
      <c r="F265" s="55"/>
      <c r="G265" s="55"/>
      <c r="H265" s="12"/>
    </row>
    <row r="266" ht="14.25" customHeight="1">
      <c r="B266" s="19"/>
      <c r="C266" s="195"/>
      <c r="D266" s="220"/>
      <c r="E266" s="220"/>
      <c r="F266" s="55"/>
      <c r="G266" s="55"/>
      <c r="H266" s="12"/>
    </row>
    <row r="267" ht="14.25" customHeight="1">
      <c r="B267" s="19"/>
      <c r="C267" s="195"/>
      <c r="D267" s="220"/>
      <c r="E267" s="220"/>
      <c r="F267" s="55"/>
      <c r="G267" s="55"/>
      <c r="H267" s="12"/>
    </row>
    <row r="268" ht="14.25" customHeight="1">
      <c r="B268" s="19"/>
      <c r="C268" s="195"/>
      <c r="D268" s="220"/>
      <c r="E268" s="220"/>
      <c r="F268" s="55"/>
      <c r="G268" s="55"/>
      <c r="H268" s="12"/>
    </row>
    <row r="269" ht="14.25" customHeight="1">
      <c r="B269" s="19"/>
      <c r="C269" s="195"/>
      <c r="D269" s="220"/>
      <c r="E269" s="220"/>
      <c r="F269" s="55"/>
      <c r="G269" s="55"/>
      <c r="H269" s="12"/>
    </row>
    <row r="270" ht="14.25" customHeight="1">
      <c r="B270" s="19"/>
      <c r="C270" s="195"/>
      <c r="D270" s="220"/>
      <c r="E270" s="220"/>
      <c r="F270" s="55"/>
      <c r="G270" s="55"/>
      <c r="H270" s="12"/>
    </row>
    <row r="271" ht="14.25" customHeight="1">
      <c r="B271" s="19"/>
      <c r="C271" s="195"/>
      <c r="D271" s="220"/>
      <c r="E271" s="220"/>
      <c r="F271" s="55"/>
      <c r="G271" s="55"/>
      <c r="H271" s="12"/>
    </row>
    <row r="272" ht="14.25" customHeight="1">
      <c r="B272" s="19"/>
      <c r="C272" s="195"/>
      <c r="D272" s="220"/>
      <c r="E272" s="220"/>
      <c r="F272" s="55"/>
      <c r="G272" s="55"/>
      <c r="H272" s="12"/>
    </row>
    <row r="273" ht="14.25" customHeight="1">
      <c r="B273" s="19"/>
      <c r="C273" s="195"/>
      <c r="D273" s="220"/>
      <c r="E273" s="220"/>
      <c r="F273" s="55"/>
      <c r="G273" s="55"/>
      <c r="H273" s="12"/>
    </row>
    <row r="274" ht="14.25" customHeight="1">
      <c r="B274" s="19"/>
      <c r="C274" s="195"/>
      <c r="D274" s="220"/>
      <c r="E274" s="220"/>
      <c r="F274" s="55"/>
      <c r="G274" s="55"/>
      <c r="H274" s="12"/>
    </row>
    <row r="275" ht="14.25" customHeight="1">
      <c r="B275" s="19"/>
      <c r="C275" s="195"/>
      <c r="D275" s="220"/>
      <c r="E275" s="220"/>
      <c r="F275" s="55"/>
      <c r="G275" s="55"/>
      <c r="H275" s="12"/>
    </row>
    <row r="276" ht="14.25" customHeight="1">
      <c r="B276" s="19"/>
      <c r="C276" s="195"/>
      <c r="D276" s="220"/>
      <c r="E276" s="220"/>
      <c r="F276" s="55"/>
      <c r="G276" s="55"/>
      <c r="H276" s="12"/>
    </row>
    <row r="277" ht="14.25" customHeight="1">
      <c r="B277" s="19"/>
      <c r="C277" s="195"/>
      <c r="D277" s="220"/>
      <c r="E277" s="220"/>
      <c r="F277" s="55"/>
      <c r="G277" s="55"/>
      <c r="H277" s="12"/>
    </row>
    <row r="278" ht="14.25" customHeight="1">
      <c r="B278" s="19"/>
      <c r="C278" s="195"/>
      <c r="D278" s="220"/>
      <c r="E278" s="220"/>
      <c r="F278" s="55"/>
      <c r="G278" s="55"/>
      <c r="H278" s="12"/>
    </row>
    <row r="279" ht="14.25" customHeight="1">
      <c r="B279" s="19"/>
      <c r="C279" s="195"/>
      <c r="D279" s="220"/>
      <c r="E279" s="220"/>
      <c r="F279" s="55"/>
      <c r="G279" s="55"/>
      <c r="H279" s="12"/>
    </row>
    <row r="280" ht="14.25" customHeight="1">
      <c r="B280" s="19"/>
      <c r="C280" s="195"/>
      <c r="D280" s="220"/>
      <c r="E280" s="220"/>
      <c r="F280" s="55"/>
      <c r="G280" s="55"/>
      <c r="H280" s="12"/>
    </row>
    <row r="281" ht="14.25" customHeight="1">
      <c r="B281" s="19"/>
      <c r="C281" s="195"/>
      <c r="D281" s="220"/>
      <c r="E281" s="220"/>
      <c r="F281" s="55"/>
      <c r="G281" s="55"/>
      <c r="H281" s="12"/>
    </row>
    <row r="282" ht="14.25" customHeight="1">
      <c r="B282" s="19"/>
      <c r="C282" s="195"/>
      <c r="D282" s="220"/>
      <c r="E282" s="220"/>
      <c r="F282" s="55"/>
      <c r="G282" s="55"/>
      <c r="H282" s="12"/>
    </row>
    <row r="283" ht="14.25" customHeight="1">
      <c r="B283" s="19"/>
      <c r="C283" s="195"/>
      <c r="D283" s="220"/>
      <c r="E283" s="220"/>
      <c r="F283" s="55"/>
      <c r="G283" s="55"/>
      <c r="H283" s="12"/>
    </row>
    <row r="284" ht="14.25" customHeight="1">
      <c r="B284" s="19"/>
      <c r="C284" s="195"/>
      <c r="D284" s="220"/>
      <c r="E284" s="220"/>
      <c r="F284" s="55"/>
      <c r="G284" s="55"/>
      <c r="H284" s="12"/>
    </row>
    <row r="285" ht="14.25" customHeight="1">
      <c r="B285" s="19"/>
      <c r="C285" s="195"/>
      <c r="D285" s="220"/>
      <c r="E285" s="220"/>
      <c r="F285" s="55"/>
      <c r="G285" s="55"/>
      <c r="H285" s="12"/>
    </row>
    <row r="286" ht="14.25" customHeight="1">
      <c r="B286" s="19"/>
      <c r="C286" s="195"/>
      <c r="D286" s="220"/>
      <c r="E286" s="220"/>
      <c r="F286" s="55"/>
      <c r="G286" s="55"/>
      <c r="H286" s="12"/>
    </row>
    <row r="287" ht="14.25" customHeight="1">
      <c r="B287" s="19"/>
      <c r="C287" s="195"/>
      <c r="D287" s="220"/>
      <c r="E287" s="220"/>
      <c r="F287" s="55"/>
      <c r="G287" s="55"/>
      <c r="H287" s="12"/>
    </row>
    <row r="288" ht="14.25" customHeight="1">
      <c r="B288" s="19"/>
      <c r="C288" s="195"/>
      <c r="D288" s="220"/>
      <c r="E288" s="220"/>
      <c r="F288" s="55"/>
      <c r="G288" s="55"/>
      <c r="H288" s="12"/>
    </row>
    <row r="289" ht="14.25" customHeight="1">
      <c r="B289" s="19"/>
      <c r="C289" s="195"/>
      <c r="D289" s="220"/>
      <c r="E289" s="220"/>
      <c r="F289" s="55"/>
      <c r="G289" s="55"/>
      <c r="H289" s="12"/>
    </row>
    <row r="290" ht="14.25" customHeight="1">
      <c r="B290" s="19"/>
      <c r="C290" s="195"/>
      <c r="D290" s="220"/>
      <c r="E290" s="220"/>
      <c r="F290" s="55"/>
      <c r="G290" s="55"/>
      <c r="H290" s="12"/>
    </row>
    <row r="291" ht="14.25" customHeight="1">
      <c r="B291" s="19"/>
      <c r="C291" s="195"/>
      <c r="D291" s="220"/>
      <c r="E291" s="220"/>
      <c r="F291" s="55"/>
      <c r="G291" s="55"/>
      <c r="H291" s="12"/>
    </row>
    <row r="292" ht="14.25" customHeight="1">
      <c r="B292" s="19"/>
      <c r="C292" s="195"/>
      <c r="D292" s="220"/>
      <c r="E292" s="220"/>
      <c r="F292" s="55"/>
      <c r="G292" s="55"/>
      <c r="H292" s="12"/>
    </row>
    <row r="293" ht="14.25" customHeight="1">
      <c r="B293" s="19"/>
      <c r="C293" s="195"/>
      <c r="D293" s="220"/>
      <c r="E293" s="220"/>
      <c r="F293" s="55"/>
      <c r="G293" s="55"/>
      <c r="H293" s="12"/>
    </row>
    <row r="294" ht="14.25" customHeight="1">
      <c r="B294" s="19"/>
      <c r="C294" s="195"/>
      <c r="D294" s="220"/>
      <c r="E294" s="220"/>
      <c r="F294" s="55"/>
      <c r="G294" s="55"/>
      <c r="H294" s="12"/>
    </row>
    <row r="295" ht="14.25" customHeight="1">
      <c r="B295" s="19"/>
      <c r="C295" s="195"/>
      <c r="D295" s="220"/>
      <c r="E295" s="220"/>
      <c r="F295" s="55"/>
      <c r="G295" s="55"/>
      <c r="H295" s="12"/>
    </row>
    <row r="296" ht="14.25" customHeight="1">
      <c r="B296" s="19"/>
      <c r="C296" s="195"/>
      <c r="D296" s="220"/>
      <c r="E296" s="220"/>
      <c r="F296" s="55"/>
      <c r="G296" s="55"/>
      <c r="H296" s="12"/>
    </row>
    <row r="297" ht="14.25" customHeight="1">
      <c r="B297" s="19"/>
      <c r="C297" s="195"/>
      <c r="D297" s="220"/>
      <c r="E297" s="220"/>
      <c r="F297" s="55"/>
      <c r="G297" s="55"/>
      <c r="H297" s="12"/>
    </row>
    <row r="298" ht="14.25" customHeight="1">
      <c r="B298" s="19"/>
      <c r="C298" s="195"/>
      <c r="D298" s="220"/>
      <c r="E298" s="220"/>
      <c r="F298" s="55"/>
      <c r="G298" s="55"/>
      <c r="H298" s="12"/>
    </row>
    <row r="299" ht="14.25" customHeight="1">
      <c r="B299" s="19"/>
      <c r="C299" s="195"/>
      <c r="D299" s="220"/>
      <c r="E299" s="220"/>
      <c r="F299" s="55"/>
      <c r="G299" s="55"/>
      <c r="H299" s="12"/>
    </row>
    <row r="300" ht="14.25" customHeight="1">
      <c r="B300" s="19"/>
      <c r="C300" s="195"/>
      <c r="D300" s="220"/>
      <c r="E300" s="220"/>
      <c r="F300" s="55"/>
      <c r="G300" s="55"/>
      <c r="H300" s="12"/>
    </row>
    <row r="301" ht="14.25" customHeight="1">
      <c r="B301" s="19"/>
      <c r="C301" s="195"/>
      <c r="D301" s="220"/>
      <c r="E301" s="220"/>
      <c r="F301" s="55"/>
      <c r="G301" s="55"/>
      <c r="H301" s="12"/>
    </row>
    <row r="302" ht="14.25" customHeight="1">
      <c r="B302" s="19"/>
      <c r="C302" s="195"/>
      <c r="D302" s="220"/>
      <c r="E302" s="220"/>
      <c r="F302" s="55"/>
      <c r="G302" s="55"/>
      <c r="H302" s="12"/>
    </row>
    <row r="303" ht="14.25" customHeight="1">
      <c r="B303" s="19"/>
      <c r="C303" s="195"/>
      <c r="D303" s="220"/>
      <c r="E303" s="220"/>
      <c r="F303" s="55"/>
      <c r="G303" s="55"/>
      <c r="H303" s="12"/>
    </row>
    <row r="304" ht="14.25" customHeight="1">
      <c r="B304" s="19"/>
      <c r="C304" s="195"/>
      <c r="D304" s="220"/>
      <c r="E304" s="220"/>
      <c r="F304" s="55"/>
      <c r="G304" s="55"/>
      <c r="H304" s="12"/>
    </row>
    <row r="305" ht="14.25" customHeight="1">
      <c r="B305" s="19"/>
      <c r="C305" s="195"/>
      <c r="D305" s="220"/>
      <c r="E305" s="220"/>
      <c r="F305" s="55"/>
      <c r="G305" s="55"/>
      <c r="H305" s="12"/>
    </row>
    <row r="306" ht="14.25" customHeight="1">
      <c r="B306" s="19"/>
      <c r="C306" s="195"/>
      <c r="D306" s="220"/>
      <c r="E306" s="220"/>
      <c r="F306" s="55"/>
      <c r="G306" s="55"/>
      <c r="H306" s="12"/>
    </row>
    <row r="307" ht="14.25" customHeight="1">
      <c r="B307" s="19"/>
      <c r="C307" s="195"/>
      <c r="D307" s="220"/>
      <c r="E307" s="220"/>
      <c r="F307" s="55"/>
      <c r="G307" s="55"/>
      <c r="H307" s="12"/>
    </row>
    <row r="308" ht="14.25" customHeight="1">
      <c r="B308" s="19"/>
      <c r="C308" s="195"/>
      <c r="D308" s="220"/>
      <c r="E308" s="220"/>
      <c r="F308" s="55"/>
      <c r="G308" s="55"/>
      <c r="H308" s="12"/>
    </row>
    <row r="309" ht="14.25" customHeight="1">
      <c r="B309" s="19"/>
      <c r="C309" s="195"/>
      <c r="D309" s="220"/>
      <c r="E309" s="220"/>
      <c r="F309" s="55"/>
      <c r="G309" s="55"/>
      <c r="H309" s="12"/>
    </row>
    <row r="310" ht="14.25" customHeight="1">
      <c r="B310" s="19"/>
      <c r="C310" s="195"/>
      <c r="D310" s="220"/>
      <c r="E310" s="220"/>
      <c r="F310" s="55"/>
      <c r="G310" s="55"/>
      <c r="H310" s="12"/>
    </row>
    <row r="311" ht="14.25" customHeight="1">
      <c r="B311" s="19"/>
      <c r="C311" s="195"/>
      <c r="D311" s="220"/>
      <c r="E311" s="220"/>
      <c r="F311" s="55"/>
      <c r="G311" s="55"/>
      <c r="H311" s="12"/>
    </row>
    <row r="312" ht="14.25" customHeight="1">
      <c r="B312" s="19"/>
      <c r="C312" s="195"/>
      <c r="D312" s="220"/>
      <c r="E312" s="220"/>
      <c r="F312" s="55"/>
      <c r="G312" s="55"/>
      <c r="H312" s="12"/>
    </row>
    <row r="313" ht="14.25" customHeight="1">
      <c r="B313" s="19"/>
      <c r="C313" s="195"/>
      <c r="D313" s="220"/>
      <c r="E313" s="220"/>
      <c r="F313" s="55"/>
      <c r="G313" s="55"/>
      <c r="H313" s="12"/>
    </row>
    <row r="314" ht="14.25" customHeight="1">
      <c r="B314" s="19"/>
      <c r="C314" s="195"/>
      <c r="D314" s="220"/>
      <c r="E314" s="220"/>
      <c r="F314" s="55"/>
      <c r="G314" s="55"/>
      <c r="H314" s="12"/>
    </row>
    <row r="315" ht="14.25" customHeight="1">
      <c r="B315" s="19"/>
      <c r="C315" s="195"/>
      <c r="D315" s="220"/>
      <c r="E315" s="220"/>
      <c r="F315" s="55"/>
      <c r="G315" s="55"/>
      <c r="H315" s="12"/>
    </row>
    <row r="316" ht="14.25" customHeight="1">
      <c r="B316" s="19"/>
      <c r="C316" s="195"/>
      <c r="D316" s="220"/>
      <c r="E316" s="220"/>
      <c r="F316" s="55"/>
      <c r="G316" s="55"/>
      <c r="H316" s="12"/>
    </row>
    <row r="317" ht="14.25" customHeight="1">
      <c r="B317" s="19"/>
      <c r="C317" s="195"/>
      <c r="D317" s="220"/>
      <c r="E317" s="220"/>
      <c r="F317" s="55"/>
      <c r="G317" s="55"/>
      <c r="H317" s="12"/>
    </row>
    <row r="318" ht="14.25" customHeight="1">
      <c r="B318" s="19"/>
      <c r="C318" s="195"/>
      <c r="D318" s="220"/>
      <c r="E318" s="220"/>
      <c r="F318" s="55"/>
      <c r="G318" s="55"/>
      <c r="H318" s="12"/>
    </row>
    <row r="319" ht="14.25" customHeight="1">
      <c r="B319" s="19"/>
      <c r="C319" s="195"/>
      <c r="D319" s="220"/>
      <c r="E319" s="220"/>
      <c r="F319" s="55"/>
      <c r="G319" s="55"/>
      <c r="H319" s="12"/>
    </row>
    <row r="320" ht="14.25" customHeight="1">
      <c r="B320" s="19"/>
      <c r="C320" s="195"/>
      <c r="D320" s="220"/>
      <c r="E320" s="220"/>
      <c r="F320" s="55"/>
      <c r="G320" s="55"/>
      <c r="H320" s="12"/>
    </row>
    <row r="321" ht="14.25" customHeight="1">
      <c r="B321" s="19"/>
      <c r="C321" s="195"/>
      <c r="D321" s="220"/>
      <c r="E321" s="220"/>
      <c r="F321" s="55"/>
      <c r="G321" s="55"/>
      <c r="H321" s="12"/>
    </row>
    <row r="322" ht="14.25" customHeight="1">
      <c r="B322" s="19"/>
      <c r="C322" s="195"/>
      <c r="D322" s="220"/>
      <c r="E322" s="220"/>
      <c r="F322" s="55"/>
      <c r="G322" s="55"/>
      <c r="H322" s="12"/>
    </row>
    <row r="323" ht="14.25" customHeight="1">
      <c r="B323" s="19"/>
      <c r="C323" s="195"/>
      <c r="D323" s="220"/>
      <c r="E323" s="220"/>
      <c r="F323" s="55"/>
      <c r="G323" s="55"/>
      <c r="H323" s="12"/>
    </row>
    <row r="324" ht="14.25" customHeight="1">
      <c r="B324" s="19"/>
      <c r="C324" s="195"/>
      <c r="D324" s="220"/>
      <c r="E324" s="220"/>
      <c r="F324" s="55"/>
      <c r="G324" s="55"/>
      <c r="H324" s="12"/>
    </row>
    <row r="325" ht="14.25" customHeight="1">
      <c r="B325" s="19"/>
      <c r="C325" s="195"/>
      <c r="D325" s="220"/>
      <c r="E325" s="220"/>
      <c r="F325" s="55"/>
      <c r="G325" s="55"/>
      <c r="H325" s="12"/>
    </row>
    <row r="326" ht="14.25" customHeight="1">
      <c r="B326" s="19"/>
      <c r="C326" s="195"/>
      <c r="D326" s="220"/>
      <c r="E326" s="220"/>
      <c r="F326" s="55"/>
      <c r="G326" s="55"/>
      <c r="H326" s="12"/>
    </row>
    <row r="327" ht="14.25" customHeight="1">
      <c r="B327" s="19"/>
      <c r="C327" s="195"/>
      <c r="D327" s="220"/>
      <c r="E327" s="220"/>
      <c r="F327" s="55"/>
      <c r="G327" s="55"/>
      <c r="H327" s="12"/>
    </row>
    <row r="328" ht="14.25" customHeight="1">
      <c r="B328" s="19"/>
      <c r="C328" s="195"/>
      <c r="D328" s="220"/>
      <c r="E328" s="220"/>
      <c r="F328" s="55"/>
      <c r="G328" s="55"/>
      <c r="H328" s="12"/>
    </row>
    <row r="329" ht="14.25" customHeight="1">
      <c r="B329" s="19"/>
      <c r="C329" s="195"/>
      <c r="D329" s="220"/>
      <c r="E329" s="220"/>
      <c r="F329" s="55"/>
      <c r="G329" s="55"/>
      <c r="H329" s="12"/>
    </row>
    <row r="330" ht="14.25" customHeight="1">
      <c r="B330" s="19"/>
      <c r="C330" s="195"/>
      <c r="D330" s="220"/>
      <c r="E330" s="220"/>
      <c r="F330" s="55"/>
      <c r="G330" s="55"/>
      <c r="H330" s="12"/>
    </row>
    <row r="331" ht="14.25" customHeight="1">
      <c r="B331" s="19"/>
      <c r="C331" s="195"/>
      <c r="D331" s="220"/>
      <c r="E331" s="220"/>
      <c r="F331" s="55"/>
      <c r="G331" s="55"/>
      <c r="H331" s="12"/>
    </row>
    <row r="332" ht="14.25" customHeight="1">
      <c r="B332" s="19"/>
      <c r="C332" s="195"/>
      <c r="D332" s="220"/>
      <c r="E332" s="220"/>
      <c r="F332" s="55"/>
      <c r="G332" s="55"/>
      <c r="H332" s="12"/>
    </row>
    <row r="333" ht="14.25" customHeight="1">
      <c r="B333" s="19"/>
      <c r="C333" s="195"/>
      <c r="D333" s="220"/>
      <c r="E333" s="220"/>
      <c r="F333" s="55"/>
      <c r="G333" s="55"/>
      <c r="H333" s="12"/>
    </row>
    <row r="334" ht="14.25" customHeight="1">
      <c r="B334" s="19"/>
      <c r="C334" s="195"/>
      <c r="D334" s="220"/>
      <c r="E334" s="220"/>
      <c r="F334" s="55"/>
      <c r="G334" s="55"/>
      <c r="H334" s="12"/>
    </row>
    <row r="335" ht="14.25" customHeight="1">
      <c r="B335" s="19"/>
      <c r="C335" s="195"/>
      <c r="D335" s="220"/>
      <c r="E335" s="220"/>
      <c r="F335" s="55"/>
      <c r="G335" s="55"/>
      <c r="H335" s="12"/>
    </row>
    <row r="336" ht="14.25" customHeight="1">
      <c r="B336" s="19"/>
      <c r="C336" s="195"/>
      <c r="D336" s="220"/>
      <c r="E336" s="220"/>
      <c r="F336" s="55"/>
      <c r="G336" s="55"/>
      <c r="H336" s="12"/>
    </row>
    <row r="337" ht="14.25" customHeight="1">
      <c r="B337" s="19"/>
      <c r="C337" s="195"/>
      <c r="D337" s="220"/>
      <c r="E337" s="220"/>
      <c r="F337" s="55"/>
      <c r="G337" s="55"/>
      <c r="H337" s="12"/>
    </row>
    <row r="338" ht="14.25" customHeight="1">
      <c r="B338" s="19"/>
      <c r="C338" s="195"/>
      <c r="D338" s="220"/>
      <c r="E338" s="220"/>
      <c r="F338" s="55"/>
      <c r="G338" s="55"/>
      <c r="H338" s="12"/>
    </row>
    <row r="339" ht="14.25" customHeight="1">
      <c r="B339" s="19"/>
      <c r="C339" s="195"/>
      <c r="D339" s="220"/>
      <c r="E339" s="220"/>
      <c r="F339" s="55"/>
      <c r="G339" s="55"/>
      <c r="H339" s="12"/>
    </row>
    <row r="340" ht="14.25" customHeight="1">
      <c r="B340" s="19"/>
      <c r="C340" s="195"/>
      <c r="D340" s="220"/>
      <c r="E340" s="220"/>
      <c r="F340" s="55"/>
      <c r="G340" s="55"/>
      <c r="H340" s="12"/>
    </row>
    <row r="341" ht="14.25" customHeight="1">
      <c r="B341" s="19"/>
      <c r="C341" s="195"/>
      <c r="D341" s="220"/>
      <c r="E341" s="220"/>
      <c r="F341" s="55"/>
      <c r="G341" s="55"/>
      <c r="H341" s="12"/>
    </row>
    <row r="342" ht="14.25" customHeight="1">
      <c r="B342" s="19"/>
      <c r="C342" s="195"/>
      <c r="D342" s="220"/>
      <c r="E342" s="220"/>
      <c r="F342" s="55"/>
      <c r="G342" s="55"/>
      <c r="H342" s="12"/>
    </row>
    <row r="343" ht="14.25" customHeight="1">
      <c r="B343" s="19"/>
      <c r="C343" s="195"/>
      <c r="D343" s="220"/>
      <c r="E343" s="220"/>
      <c r="F343" s="55"/>
      <c r="G343" s="55"/>
      <c r="H343" s="12"/>
    </row>
    <row r="344" ht="14.25" customHeight="1">
      <c r="B344" s="19"/>
      <c r="C344" s="195"/>
      <c r="D344" s="220"/>
      <c r="E344" s="220"/>
      <c r="F344" s="55"/>
      <c r="G344" s="55"/>
      <c r="H344" s="12"/>
    </row>
    <row r="345" ht="14.25" customHeight="1">
      <c r="B345" s="19"/>
      <c r="C345" s="195"/>
      <c r="D345" s="220"/>
      <c r="E345" s="220"/>
      <c r="F345" s="55"/>
      <c r="G345" s="55"/>
      <c r="H345" s="12"/>
    </row>
    <row r="346" ht="14.25" customHeight="1">
      <c r="B346" s="19"/>
      <c r="C346" s="195"/>
      <c r="D346" s="220"/>
      <c r="E346" s="220"/>
      <c r="F346" s="55"/>
      <c r="G346" s="55"/>
      <c r="H346" s="12"/>
    </row>
    <row r="347" ht="14.25" customHeight="1">
      <c r="B347" s="19"/>
      <c r="C347" s="195"/>
      <c r="D347" s="220"/>
      <c r="E347" s="220"/>
      <c r="F347" s="55"/>
      <c r="G347" s="55"/>
      <c r="H347" s="12"/>
    </row>
    <row r="348" ht="14.25" customHeight="1">
      <c r="B348" s="19"/>
      <c r="C348" s="195"/>
      <c r="D348" s="220"/>
      <c r="E348" s="220"/>
      <c r="F348" s="55"/>
      <c r="G348" s="55"/>
      <c r="H348" s="12"/>
    </row>
    <row r="349" ht="14.25" customHeight="1">
      <c r="B349" s="19"/>
      <c r="C349" s="195"/>
      <c r="D349" s="220"/>
      <c r="E349" s="220"/>
      <c r="F349" s="55"/>
      <c r="G349" s="55"/>
      <c r="H349" s="12"/>
    </row>
    <row r="350" ht="14.25" customHeight="1">
      <c r="B350" s="19"/>
      <c r="C350" s="195"/>
      <c r="D350" s="220"/>
      <c r="E350" s="220"/>
      <c r="F350" s="55"/>
      <c r="G350" s="55"/>
      <c r="H350" s="12"/>
    </row>
    <row r="351" ht="14.25" customHeight="1">
      <c r="B351" s="19"/>
      <c r="C351" s="195"/>
      <c r="D351" s="220"/>
      <c r="E351" s="220"/>
      <c r="F351" s="55"/>
      <c r="G351" s="55"/>
      <c r="H351" s="12"/>
    </row>
    <row r="352" ht="14.25" customHeight="1">
      <c r="B352" s="19"/>
      <c r="C352" s="195"/>
      <c r="D352" s="220"/>
      <c r="E352" s="220"/>
      <c r="F352" s="55"/>
      <c r="G352" s="55"/>
      <c r="H352" s="12"/>
    </row>
    <row r="353" ht="14.25" customHeight="1">
      <c r="B353" s="19"/>
      <c r="C353" s="195"/>
      <c r="D353" s="220"/>
      <c r="E353" s="220"/>
      <c r="F353" s="55"/>
      <c r="G353" s="55"/>
      <c r="H353" s="12"/>
    </row>
    <row r="354" ht="14.25" customHeight="1">
      <c r="B354" s="19"/>
      <c r="C354" s="195"/>
      <c r="D354" s="220"/>
      <c r="E354" s="220"/>
      <c r="F354" s="55"/>
      <c r="G354" s="55"/>
      <c r="H354" s="12"/>
    </row>
    <row r="355" ht="14.25" customHeight="1">
      <c r="B355" s="19"/>
      <c r="C355" s="195"/>
      <c r="D355" s="220"/>
      <c r="E355" s="220"/>
      <c r="F355" s="55"/>
      <c r="G355" s="55"/>
      <c r="H355" s="12"/>
    </row>
    <row r="356" ht="14.25" customHeight="1">
      <c r="B356" s="19"/>
      <c r="C356" s="195"/>
      <c r="D356" s="220"/>
      <c r="E356" s="220"/>
      <c r="F356" s="55"/>
      <c r="G356" s="55"/>
      <c r="H356" s="12"/>
    </row>
    <row r="357" ht="14.25" customHeight="1">
      <c r="B357" s="19"/>
      <c r="C357" s="195"/>
      <c r="D357" s="220"/>
      <c r="E357" s="220"/>
      <c r="F357" s="55"/>
      <c r="G357" s="55"/>
      <c r="H357" s="12"/>
    </row>
    <row r="358" ht="14.25" customHeight="1">
      <c r="B358" s="19"/>
      <c r="C358" s="195"/>
      <c r="D358" s="220"/>
      <c r="E358" s="220"/>
      <c r="F358" s="55"/>
      <c r="G358" s="55"/>
      <c r="H358" s="12"/>
    </row>
    <row r="359" ht="14.25" customHeight="1">
      <c r="B359" s="19"/>
      <c r="C359" s="195"/>
      <c r="D359" s="220"/>
      <c r="E359" s="220"/>
      <c r="F359" s="55"/>
      <c r="G359" s="55"/>
      <c r="H359" s="12"/>
    </row>
    <row r="360" ht="14.25" customHeight="1">
      <c r="B360" s="19"/>
      <c r="C360" s="195"/>
      <c r="D360" s="220"/>
      <c r="E360" s="220"/>
      <c r="F360" s="55"/>
      <c r="G360" s="55"/>
      <c r="H360" s="12"/>
    </row>
    <row r="361" ht="14.25" customHeight="1">
      <c r="B361" s="19"/>
      <c r="C361" s="195"/>
      <c r="D361" s="220"/>
      <c r="E361" s="220"/>
      <c r="F361" s="55"/>
      <c r="G361" s="55"/>
      <c r="H361" s="12"/>
    </row>
    <row r="362" ht="14.25" customHeight="1">
      <c r="B362" s="19"/>
      <c r="C362" s="195"/>
      <c r="D362" s="220"/>
      <c r="E362" s="220"/>
      <c r="F362" s="55"/>
      <c r="G362" s="55"/>
      <c r="H362" s="12"/>
    </row>
    <row r="363" ht="14.25" customHeight="1">
      <c r="B363" s="19"/>
      <c r="C363" s="195"/>
      <c r="D363" s="220"/>
      <c r="E363" s="220"/>
      <c r="F363" s="55"/>
      <c r="G363" s="55"/>
      <c r="H363" s="12"/>
    </row>
    <row r="364" ht="14.25" customHeight="1">
      <c r="B364" s="19"/>
      <c r="C364" s="195"/>
      <c r="D364" s="220"/>
      <c r="E364" s="220"/>
      <c r="F364" s="55"/>
      <c r="G364" s="55"/>
      <c r="H364" s="12"/>
    </row>
    <row r="365" ht="14.25" customHeight="1">
      <c r="B365" s="19"/>
      <c r="C365" s="195"/>
      <c r="D365" s="220"/>
      <c r="E365" s="220"/>
      <c r="F365" s="55"/>
      <c r="G365" s="55"/>
      <c r="H365" s="12"/>
    </row>
    <row r="366" ht="14.25" customHeight="1">
      <c r="B366" s="19"/>
      <c r="C366" s="195"/>
      <c r="D366" s="220"/>
      <c r="E366" s="220"/>
      <c r="F366" s="55"/>
      <c r="G366" s="55"/>
      <c r="H366" s="12"/>
    </row>
    <row r="367" ht="14.25" customHeight="1">
      <c r="B367" s="19"/>
      <c r="C367" s="195"/>
      <c r="D367" s="220"/>
      <c r="E367" s="220"/>
      <c r="F367" s="55"/>
      <c r="G367" s="55"/>
      <c r="H367" s="12"/>
    </row>
    <row r="368" ht="14.25" customHeight="1">
      <c r="B368" s="19"/>
      <c r="C368" s="195"/>
      <c r="D368" s="220"/>
      <c r="E368" s="220"/>
      <c r="F368" s="55"/>
      <c r="G368" s="55"/>
      <c r="H368" s="12"/>
    </row>
    <row r="369" ht="14.25" customHeight="1">
      <c r="B369" s="19"/>
      <c r="C369" s="195"/>
      <c r="D369" s="220"/>
      <c r="E369" s="220"/>
      <c r="F369" s="55"/>
      <c r="G369" s="55"/>
      <c r="H369" s="12"/>
    </row>
    <row r="370" ht="14.25" customHeight="1">
      <c r="B370" s="19"/>
      <c r="C370" s="195"/>
      <c r="D370" s="220"/>
      <c r="E370" s="220"/>
      <c r="F370" s="55"/>
      <c r="G370" s="55"/>
      <c r="H370" s="12"/>
    </row>
    <row r="371" ht="14.25" customHeight="1">
      <c r="B371" s="19"/>
      <c r="C371" s="195"/>
      <c r="D371" s="220"/>
      <c r="E371" s="220"/>
      <c r="F371" s="55"/>
      <c r="G371" s="55"/>
      <c r="H371" s="12"/>
    </row>
    <row r="372" ht="14.25" customHeight="1">
      <c r="B372" s="19"/>
      <c r="C372" s="195"/>
      <c r="D372" s="220"/>
      <c r="E372" s="220"/>
      <c r="F372" s="55"/>
      <c r="G372" s="55"/>
      <c r="H372" s="12"/>
    </row>
    <row r="373" ht="14.25" customHeight="1">
      <c r="B373" s="19"/>
      <c r="C373" s="195"/>
      <c r="D373" s="220"/>
      <c r="E373" s="220"/>
      <c r="F373" s="55"/>
      <c r="G373" s="55"/>
      <c r="H373" s="12"/>
    </row>
    <row r="374" ht="14.25" customHeight="1">
      <c r="B374" s="19"/>
      <c r="C374" s="195"/>
      <c r="D374" s="220"/>
      <c r="E374" s="220"/>
      <c r="F374" s="55"/>
      <c r="G374" s="55"/>
      <c r="H374" s="12"/>
    </row>
    <row r="375" ht="14.25" customHeight="1">
      <c r="B375" s="19"/>
      <c r="C375" s="195"/>
      <c r="D375" s="220"/>
      <c r="E375" s="220"/>
      <c r="F375" s="55"/>
      <c r="G375" s="55"/>
      <c r="H375" s="12"/>
    </row>
    <row r="376" ht="14.25" customHeight="1">
      <c r="B376" s="19"/>
      <c r="C376" s="195"/>
      <c r="D376" s="220"/>
      <c r="E376" s="220"/>
      <c r="F376" s="55"/>
      <c r="G376" s="55"/>
      <c r="H376" s="12"/>
    </row>
    <row r="377" ht="14.25" customHeight="1">
      <c r="B377" s="19"/>
      <c r="C377" s="195"/>
      <c r="D377" s="220"/>
      <c r="E377" s="220"/>
      <c r="F377" s="55"/>
      <c r="G377" s="55"/>
      <c r="H377" s="12"/>
    </row>
    <row r="378" ht="14.25" customHeight="1">
      <c r="B378" s="19"/>
      <c r="C378" s="195"/>
      <c r="D378" s="220"/>
      <c r="E378" s="220"/>
      <c r="F378" s="55"/>
      <c r="G378" s="55"/>
      <c r="H378" s="12"/>
    </row>
    <row r="379" ht="14.25" customHeight="1">
      <c r="B379" s="19"/>
      <c r="C379" s="195"/>
      <c r="D379" s="220"/>
      <c r="E379" s="220"/>
      <c r="F379" s="55"/>
      <c r="G379" s="55"/>
      <c r="H379" s="12"/>
    </row>
    <row r="380" ht="14.25" customHeight="1">
      <c r="B380" s="19"/>
      <c r="C380" s="195"/>
      <c r="D380" s="220"/>
      <c r="E380" s="220"/>
      <c r="F380" s="55"/>
      <c r="G380" s="55"/>
      <c r="H380" s="12"/>
    </row>
    <row r="381" ht="14.25" customHeight="1">
      <c r="B381" s="19"/>
      <c r="C381" s="195"/>
      <c r="D381" s="220"/>
      <c r="E381" s="220"/>
      <c r="F381" s="55"/>
      <c r="G381" s="55"/>
      <c r="H381" s="12"/>
    </row>
    <row r="382" ht="14.25" customHeight="1">
      <c r="B382" s="19"/>
      <c r="C382" s="195"/>
      <c r="D382" s="220"/>
      <c r="E382" s="220"/>
      <c r="F382" s="55"/>
      <c r="G382" s="55"/>
      <c r="H382" s="12"/>
    </row>
    <row r="383" ht="14.25" customHeight="1">
      <c r="B383" s="19"/>
      <c r="C383" s="195"/>
      <c r="D383" s="220"/>
      <c r="E383" s="220"/>
      <c r="F383" s="55"/>
      <c r="G383" s="55"/>
      <c r="H383" s="12"/>
    </row>
    <row r="384" ht="14.25" customHeight="1">
      <c r="B384" s="19"/>
      <c r="C384" s="195"/>
      <c r="D384" s="220"/>
      <c r="E384" s="220"/>
      <c r="F384" s="55"/>
      <c r="G384" s="55"/>
      <c r="H384" s="12"/>
    </row>
    <row r="385" ht="14.25" customHeight="1">
      <c r="B385" s="19"/>
      <c r="C385" s="195"/>
      <c r="D385" s="220"/>
      <c r="E385" s="220"/>
      <c r="F385" s="55"/>
      <c r="G385" s="55"/>
      <c r="H385" s="12"/>
    </row>
    <row r="386" ht="14.25" customHeight="1">
      <c r="B386" s="19"/>
      <c r="C386" s="195"/>
      <c r="D386" s="220"/>
      <c r="E386" s="220"/>
      <c r="F386" s="55"/>
      <c r="G386" s="55"/>
      <c r="H386" s="12"/>
    </row>
    <row r="387" ht="14.25" customHeight="1">
      <c r="B387" s="19"/>
      <c r="C387" s="195"/>
      <c r="D387" s="220"/>
      <c r="E387" s="220"/>
      <c r="F387" s="55"/>
      <c r="G387" s="55"/>
      <c r="H387" s="12"/>
    </row>
    <row r="388" ht="14.25" customHeight="1">
      <c r="B388" s="19"/>
      <c r="C388" s="195"/>
      <c r="D388" s="220"/>
      <c r="E388" s="220"/>
      <c r="F388" s="55"/>
      <c r="G388" s="55"/>
      <c r="H388" s="12"/>
    </row>
    <row r="389" ht="14.25" customHeight="1">
      <c r="B389" s="19"/>
      <c r="C389" s="195"/>
      <c r="D389" s="220"/>
      <c r="E389" s="220"/>
      <c r="F389" s="55"/>
      <c r="G389" s="55"/>
      <c r="H389" s="12"/>
    </row>
    <row r="390" ht="14.25" customHeight="1">
      <c r="B390" s="19"/>
      <c r="C390" s="195"/>
      <c r="D390" s="220"/>
      <c r="E390" s="220"/>
      <c r="F390" s="55"/>
      <c r="G390" s="55"/>
      <c r="H390" s="12"/>
    </row>
    <row r="391" ht="14.25" customHeight="1">
      <c r="B391" s="19"/>
      <c r="C391" s="195"/>
      <c r="D391" s="220"/>
      <c r="E391" s="220"/>
      <c r="F391" s="55"/>
      <c r="G391" s="55"/>
      <c r="H391" s="12"/>
    </row>
    <row r="392" ht="14.25" customHeight="1">
      <c r="B392" s="19"/>
      <c r="C392" s="195"/>
      <c r="D392" s="220"/>
      <c r="E392" s="220"/>
      <c r="F392" s="55"/>
      <c r="G392" s="55"/>
      <c r="H392" s="12"/>
    </row>
    <row r="393" ht="14.25" customHeight="1">
      <c r="B393" s="19"/>
      <c r="C393" s="195"/>
      <c r="D393" s="220"/>
      <c r="E393" s="220"/>
      <c r="F393" s="55"/>
      <c r="G393" s="55"/>
      <c r="H393" s="12"/>
    </row>
    <row r="394" ht="14.25" customHeight="1">
      <c r="B394" s="19"/>
      <c r="C394" s="195"/>
      <c r="D394" s="220"/>
      <c r="E394" s="220"/>
      <c r="F394" s="55"/>
      <c r="G394" s="55"/>
      <c r="H394" s="12"/>
    </row>
    <row r="395" ht="14.25" customHeight="1">
      <c r="B395" s="19"/>
      <c r="C395" s="195"/>
      <c r="D395" s="220"/>
      <c r="E395" s="220"/>
      <c r="F395" s="55"/>
      <c r="G395" s="55"/>
      <c r="H395" s="12"/>
    </row>
    <row r="396" ht="14.25" customHeight="1">
      <c r="B396" s="19"/>
      <c r="C396" s="195"/>
      <c r="D396" s="220"/>
      <c r="E396" s="220"/>
      <c r="F396" s="55"/>
      <c r="G396" s="55"/>
      <c r="H396" s="12"/>
    </row>
    <row r="397" ht="14.25" customHeight="1">
      <c r="B397" s="19"/>
      <c r="C397" s="195"/>
      <c r="D397" s="220"/>
      <c r="E397" s="220"/>
      <c r="F397" s="55"/>
      <c r="G397" s="55"/>
      <c r="H397" s="12"/>
    </row>
    <row r="398" ht="14.25" customHeight="1">
      <c r="B398" s="19"/>
      <c r="C398" s="195"/>
      <c r="D398" s="220"/>
      <c r="E398" s="220"/>
      <c r="F398" s="55"/>
      <c r="G398" s="55"/>
      <c r="H398" s="12"/>
    </row>
    <row r="399" ht="14.25" customHeight="1">
      <c r="B399" s="19"/>
      <c r="C399" s="195"/>
      <c r="D399" s="220"/>
      <c r="E399" s="220"/>
      <c r="F399" s="55"/>
      <c r="G399" s="55"/>
      <c r="H399" s="12"/>
    </row>
    <row r="400" ht="14.25" customHeight="1">
      <c r="B400" s="19"/>
      <c r="C400" s="195"/>
      <c r="D400" s="220"/>
      <c r="E400" s="220"/>
      <c r="F400" s="55"/>
      <c r="G400" s="55"/>
      <c r="H400" s="12"/>
    </row>
    <row r="401" ht="14.25" customHeight="1">
      <c r="B401" s="19"/>
      <c r="C401" s="195"/>
      <c r="D401" s="220"/>
      <c r="E401" s="220"/>
      <c r="F401" s="55"/>
      <c r="G401" s="55"/>
      <c r="H401" s="12"/>
    </row>
    <row r="402" ht="14.25" customHeight="1">
      <c r="B402" s="19"/>
      <c r="C402" s="195"/>
      <c r="D402" s="220"/>
      <c r="E402" s="220"/>
      <c r="F402" s="55"/>
      <c r="G402" s="55"/>
      <c r="H402" s="12"/>
    </row>
    <row r="403" ht="14.25" customHeight="1">
      <c r="B403" s="19"/>
      <c r="C403" s="195"/>
      <c r="D403" s="220"/>
      <c r="E403" s="220"/>
      <c r="F403" s="55"/>
      <c r="G403" s="55"/>
      <c r="H403" s="12"/>
    </row>
    <row r="404" ht="14.25" customHeight="1">
      <c r="B404" s="19"/>
      <c r="C404" s="195"/>
      <c r="D404" s="220"/>
      <c r="E404" s="220"/>
      <c r="F404" s="55"/>
      <c r="G404" s="55"/>
      <c r="H404" s="12"/>
    </row>
    <row r="405" ht="14.25" customHeight="1">
      <c r="B405" s="19"/>
      <c r="C405" s="195"/>
      <c r="D405" s="220"/>
      <c r="E405" s="220"/>
      <c r="F405" s="55"/>
      <c r="G405" s="55"/>
      <c r="H405" s="12"/>
    </row>
    <row r="406" ht="14.25" customHeight="1">
      <c r="B406" s="19"/>
      <c r="C406" s="195"/>
      <c r="D406" s="220"/>
      <c r="E406" s="220"/>
      <c r="F406" s="55"/>
      <c r="G406" s="55"/>
      <c r="H406" s="12"/>
    </row>
    <row r="407" ht="14.25" customHeight="1">
      <c r="B407" s="19"/>
      <c r="C407" s="195"/>
      <c r="D407" s="220"/>
      <c r="E407" s="220"/>
      <c r="F407" s="55"/>
      <c r="G407" s="55"/>
      <c r="H407" s="12"/>
    </row>
    <row r="408" ht="14.25" customHeight="1">
      <c r="B408" s="19"/>
      <c r="C408" s="195"/>
      <c r="D408" s="220"/>
      <c r="E408" s="220"/>
      <c r="F408" s="55"/>
      <c r="G408" s="55"/>
      <c r="H408" s="12"/>
    </row>
    <row r="409" ht="14.25" customHeight="1">
      <c r="B409" s="19"/>
      <c r="C409" s="195"/>
      <c r="D409" s="220"/>
      <c r="E409" s="220"/>
      <c r="F409" s="55"/>
      <c r="G409" s="55"/>
      <c r="H409" s="12"/>
    </row>
    <row r="410" ht="14.25" customHeight="1">
      <c r="B410" s="19"/>
      <c r="C410" s="195"/>
      <c r="D410" s="220"/>
      <c r="E410" s="220"/>
      <c r="F410" s="55"/>
      <c r="G410" s="55"/>
      <c r="H410" s="12"/>
    </row>
    <row r="411" ht="14.25" customHeight="1">
      <c r="B411" s="19"/>
      <c r="C411" s="195"/>
      <c r="D411" s="220"/>
      <c r="E411" s="220"/>
      <c r="F411" s="55"/>
      <c r="G411" s="55"/>
      <c r="H411" s="12"/>
    </row>
    <row r="412" ht="14.25" customHeight="1">
      <c r="B412" s="19"/>
      <c r="C412" s="195"/>
      <c r="D412" s="220"/>
      <c r="E412" s="220"/>
      <c r="F412" s="55"/>
      <c r="G412" s="55"/>
      <c r="H412" s="12"/>
    </row>
    <row r="413" ht="14.25" customHeight="1">
      <c r="B413" s="19"/>
      <c r="C413" s="195"/>
      <c r="D413" s="220"/>
      <c r="E413" s="220"/>
      <c r="F413" s="55"/>
      <c r="G413" s="55"/>
      <c r="H413" s="12"/>
    </row>
    <row r="414" ht="14.25" customHeight="1">
      <c r="B414" s="19"/>
      <c r="C414" s="195"/>
      <c r="D414" s="220"/>
      <c r="E414" s="220"/>
      <c r="F414" s="55"/>
      <c r="G414" s="55"/>
      <c r="H414" s="12"/>
    </row>
    <row r="415" ht="14.25" customHeight="1">
      <c r="B415" s="19"/>
      <c r="C415" s="195"/>
      <c r="D415" s="220"/>
      <c r="E415" s="220"/>
      <c r="F415" s="55"/>
      <c r="G415" s="55"/>
      <c r="H415" s="12"/>
    </row>
    <row r="416" ht="14.25" customHeight="1">
      <c r="B416" s="19"/>
      <c r="C416" s="195"/>
      <c r="D416" s="220"/>
      <c r="E416" s="220"/>
      <c r="F416" s="55"/>
      <c r="G416" s="55"/>
      <c r="H416" s="12"/>
    </row>
    <row r="417" ht="14.25" customHeight="1">
      <c r="B417" s="19"/>
      <c r="C417" s="195"/>
      <c r="D417" s="220"/>
      <c r="E417" s="220"/>
      <c r="F417" s="55"/>
      <c r="G417" s="55"/>
      <c r="H417" s="12"/>
    </row>
    <row r="418" ht="14.25" customHeight="1">
      <c r="B418" s="19"/>
      <c r="C418" s="195"/>
      <c r="D418" s="220"/>
      <c r="E418" s="220"/>
      <c r="F418" s="55"/>
      <c r="G418" s="55"/>
      <c r="H418" s="12"/>
    </row>
    <row r="419" ht="14.25" customHeight="1">
      <c r="B419" s="19"/>
      <c r="C419" s="195"/>
      <c r="D419" s="220"/>
      <c r="E419" s="220"/>
      <c r="F419" s="55"/>
      <c r="G419" s="55"/>
      <c r="H419" s="12"/>
    </row>
    <row r="420" ht="14.25" customHeight="1">
      <c r="B420" s="19"/>
      <c r="C420" s="195"/>
      <c r="D420" s="220"/>
      <c r="E420" s="220"/>
      <c r="F420" s="55"/>
      <c r="G420" s="55"/>
      <c r="H420" s="12"/>
    </row>
    <row r="421" ht="14.25" customHeight="1">
      <c r="B421" s="19"/>
      <c r="C421" s="195"/>
      <c r="D421" s="220"/>
      <c r="E421" s="220"/>
      <c r="F421" s="55"/>
      <c r="G421" s="55"/>
      <c r="H421" s="12"/>
    </row>
    <row r="422" ht="14.25" customHeight="1">
      <c r="B422" s="19"/>
      <c r="C422" s="195"/>
      <c r="D422" s="220"/>
      <c r="E422" s="220"/>
      <c r="F422" s="55"/>
      <c r="G422" s="55"/>
      <c r="H422" s="12"/>
    </row>
    <row r="423" ht="14.25" customHeight="1">
      <c r="B423" s="19"/>
      <c r="C423" s="195"/>
      <c r="D423" s="220"/>
      <c r="E423" s="220"/>
      <c r="F423" s="55"/>
      <c r="G423" s="55"/>
      <c r="H423" s="12"/>
    </row>
    <row r="424" ht="14.25" customHeight="1">
      <c r="B424" s="19"/>
      <c r="C424" s="195"/>
      <c r="D424" s="220"/>
      <c r="E424" s="220"/>
      <c r="F424" s="55"/>
      <c r="G424" s="55"/>
      <c r="H424" s="12"/>
    </row>
    <row r="425" ht="14.25" customHeight="1">
      <c r="B425" s="19"/>
      <c r="C425" s="195"/>
      <c r="D425" s="220"/>
      <c r="E425" s="220"/>
      <c r="F425" s="55"/>
      <c r="G425" s="55"/>
      <c r="H425" s="12"/>
    </row>
    <row r="426" ht="14.25" customHeight="1">
      <c r="B426" s="19"/>
      <c r="C426" s="195"/>
      <c r="D426" s="220"/>
      <c r="E426" s="220"/>
      <c r="F426" s="55"/>
      <c r="G426" s="55"/>
      <c r="H426" s="12"/>
    </row>
    <row r="427" ht="14.25" customHeight="1">
      <c r="B427" s="19"/>
      <c r="C427" s="195"/>
      <c r="D427" s="220"/>
      <c r="E427" s="220"/>
      <c r="F427" s="55"/>
      <c r="G427" s="55"/>
      <c r="H427" s="12"/>
    </row>
    <row r="428" ht="14.25" customHeight="1">
      <c r="B428" s="19"/>
      <c r="C428" s="195"/>
      <c r="D428" s="220"/>
      <c r="E428" s="220"/>
      <c r="F428" s="55"/>
      <c r="G428" s="55"/>
      <c r="H428" s="12"/>
    </row>
    <row r="429" ht="14.25" customHeight="1">
      <c r="B429" s="19"/>
      <c r="C429" s="195"/>
      <c r="D429" s="220"/>
      <c r="E429" s="220"/>
      <c r="F429" s="55"/>
      <c r="G429" s="55"/>
      <c r="H429" s="12"/>
    </row>
    <row r="430" ht="14.25" customHeight="1">
      <c r="B430" s="19"/>
      <c r="C430" s="195"/>
      <c r="D430" s="220"/>
      <c r="E430" s="220"/>
      <c r="F430" s="55"/>
      <c r="G430" s="55"/>
      <c r="H430" s="12"/>
    </row>
    <row r="431" ht="14.25" customHeight="1">
      <c r="B431" s="19"/>
      <c r="C431" s="195"/>
      <c r="D431" s="220"/>
      <c r="E431" s="220"/>
      <c r="F431" s="55"/>
      <c r="G431" s="55"/>
      <c r="H431" s="12"/>
    </row>
    <row r="432" ht="14.25" customHeight="1">
      <c r="B432" s="19"/>
      <c r="C432" s="195"/>
      <c r="D432" s="220"/>
      <c r="E432" s="220"/>
      <c r="F432" s="55"/>
      <c r="G432" s="55"/>
      <c r="H432" s="12"/>
    </row>
    <row r="433" ht="14.25" customHeight="1">
      <c r="B433" s="19"/>
      <c r="C433" s="195"/>
      <c r="D433" s="220"/>
      <c r="E433" s="220"/>
      <c r="F433" s="55"/>
      <c r="G433" s="55"/>
      <c r="H433" s="12"/>
    </row>
    <row r="434" ht="14.25" customHeight="1">
      <c r="B434" s="19"/>
      <c r="C434" s="195"/>
      <c r="D434" s="220"/>
      <c r="E434" s="220"/>
      <c r="F434" s="55"/>
      <c r="G434" s="55"/>
      <c r="H434" s="12"/>
    </row>
    <row r="435" ht="14.25" customHeight="1">
      <c r="B435" s="19"/>
      <c r="C435" s="195"/>
      <c r="D435" s="220"/>
      <c r="E435" s="220"/>
      <c r="F435" s="55"/>
      <c r="G435" s="55"/>
      <c r="H435" s="12"/>
    </row>
    <row r="436" ht="14.25" customHeight="1">
      <c r="B436" s="19"/>
      <c r="C436" s="195"/>
      <c r="D436" s="220"/>
      <c r="E436" s="220"/>
      <c r="F436" s="55"/>
      <c r="G436" s="55"/>
      <c r="H436" s="12"/>
    </row>
    <row r="437" ht="14.25" customHeight="1">
      <c r="B437" s="19"/>
      <c r="C437" s="195"/>
      <c r="D437" s="220"/>
      <c r="E437" s="220"/>
      <c r="F437" s="55"/>
      <c r="G437" s="55"/>
      <c r="H437" s="12"/>
    </row>
    <row r="438" ht="14.25" customHeight="1">
      <c r="B438" s="19"/>
      <c r="C438" s="195"/>
      <c r="D438" s="220"/>
      <c r="E438" s="220"/>
      <c r="F438" s="55"/>
      <c r="G438" s="55"/>
      <c r="H438" s="12"/>
    </row>
    <row r="439" ht="14.25" customHeight="1">
      <c r="B439" s="19"/>
      <c r="C439" s="195"/>
      <c r="D439" s="220"/>
      <c r="E439" s="220"/>
      <c r="F439" s="55"/>
      <c r="G439" s="55"/>
      <c r="H439" s="12"/>
    </row>
    <row r="440" ht="14.25" customHeight="1">
      <c r="B440" s="19"/>
      <c r="C440" s="195"/>
      <c r="D440" s="220"/>
      <c r="E440" s="220"/>
      <c r="F440" s="55"/>
      <c r="G440" s="55"/>
      <c r="H440" s="12"/>
    </row>
    <row r="441" ht="14.25" customHeight="1">
      <c r="B441" s="19"/>
      <c r="C441" s="195"/>
      <c r="D441" s="220"/>
      <c r="E441" s="220"/>
      <c r="F441" s="55"/>
      <c r="G441" s="55"/>
      <c r="H441" s="12"/>
    </row>
    <row r="442" ht="14.25" customHeight="1">
      <c r="B442" s="19"/>
      <c r="C442" s="195"/>
      <c r="D442" s="220"/>
      <c r="E442" s="220"/>
      <c r="F442" s="55"/>
      <c r="G442" s="55"/>
      <c r="H442" s="12"/>
    </row>
    <row r="443" ht="14.25" customHeight="1">
      <c r="B443" s="19"/>
      <c r="C443" s="195"/>
      <c r="D443" s="220"/>
      <c r="E443" s="220"/>
      <c r="F443" s="55"/>
      <c r="G443" s="55"/>
      <c r="H443" s="12"/>
    </row>
    <row r="444" ht="14.25" customHeight="1">
      <c r="B444" s="19"/>
      <c r="C444" s="195"/>
      <c r="D444" s="220"/>
      <c r="E444" s="220"/>
      <c r="F444" s="55"/>
      <c r="G444" s="55"/>
      <c r="H444" s="12"/>
    </row>
    <row r="445" ht="14.25" customHeight="1">
      <c r="B445" s="19"/>
      <c r="C445" s="195"/>
      <c r="D445" s="220"/>
      <c r="E445" s="220"/>
      <c r="F445" s="55"/>
      <c r="G445" s="55"/>
      <c r="H445" s="12"/>
    </row>
    <row r="446" ht="14.25" customHeight="1">
      <c r="B446" s="19"/>
      <c r="C446" s="195"/>
      <c r="D446" s="220"/>
      <c r="E446" s="220"/>
      <c r="F446" s="55"/>
      <c r="G446" s="55"/>
      <c r="H446" s="12"/>
    </row>
    <row r="447" ht="14.25" customHeight="1">
      <c r="B447" s="19"/>
      <c r="C447" s="195"/>
      <c r="D447" s="220"/>
      <c r="E447" s="220"/>
      <c r="F447" s="55"/>
      <c r="G447" s="55"/>
      <c r="H447" s="12"/>
    </row>
    <row r="448" ht="14.25" customHeight="1">
      <c r="B448" s="19"/>
      <c r="C448" s="195"/>
      <c r="D448" s="220"/>
      <c r="E448" s="220"/>
      <c r="F448" s="55"/>
      <c r="G448" s="55"/>
      <c r="H448" s="12"/>
    </row>
    <row r="449" ht="14.25" customHeight="1">
      <c r="B449" s="19"/>
      <c r="C449" s="195"/>
      <c r="D449" s="220"/>
      <c r="E449" s="220"/>
      <c r="F449" s="55"/>
      <c r="G449" s="55"/>
      <c r="H449" s="12"/>
    </row>
    <row r="450" ht="14.25" customHeight="1">
      <c r="B450" s="19"/>
      <c r="C450" s="195"/>
      <c r="D450" s="220"/>
      <c r="E450" s="220"/>
      <c r="F450" s="55"/>
      <c r="G450" s="55"/>
      <c r="H450" s="12"/>
    </row>
    <row r="451" ht="14.25" customHeight="1">
      <c r="B451" s="19"/>
      <c r="C451" s="195"/>
      <c r="D451" s="220"/>
      <c r="E451" s="220"/>
      <c r="F451" s="55"/>
      <c r="G451" s="55"/>
      <c r="H451" s="12"/>
    </row>
    <row r="452" ht="14.25" customHeight="1">
      <c r="B452" s="19"/>
      <c r="C452" s="195"/>
      <c r="D452" s="220"/>
      <c r="E452" s="220"/>
      <c r="F452" s="55"/>
      <c r="G452" s="55"/>
      <c r="H452" s="12"/>
    </row>
    <row r="453" ht="14.25" customHeight="1">
      <c r="B453" s="19"/>
      <c r="C453" s="195"/>
      <c r="D453" s="220"/>
      <c r="E453" s="220"/>
      <c r="F453" s="55"/>
      <c r="G453" s="55"/>
      <c r="H453" s="12"/>
    </row>
    <row r="454" ht="14.25" customHeight="1">
      <c r="B454" s="19"/>
      <c r="C454" s="195"/>
      <c r="D454" s="220"/>
      <c r="E454" s="220"/>
      <c r="F454" s="55"/>
      <c r="G454" s="55"/>
      <c r="H454" s="12"/>
    </row>
    <row r="455" ht="14.25" customHeight="1">
      <c r="B455" s="19"/>
      <c r="C455" s="195"/>
      <c r="D455" s="220"/>
      <c r="E455" s="220"/>
      <c r="F455" s="55"/>
      <c r="G455" s="55"/>
      <c r="H455" s="12"/>
    </row>
    <row r="456" ht="14.25" customHeight="1">
      <c r="B456" s="19"/>
      <c r="C456" s="195"/>
      <c r="D456" s="220"/>
      <c r="E456" s="220"/>
      <c r="F456" s="55"/>
      <c r="G456" s="55"/>
      <c r="H456" s="12"/>
    </row>
    <row r="457" ht="14.25" customHeight="1">
      <c r="B457" s="19"/>
      <c r="C457" s="195"/>
      <c r="D457" s="220"/>
      <c r="E457" s="220"/>
      <c r="F457" s="55"/>
      <c r="G457" s="55"/>
      <c r="H457" s="12"/>
    </row>
    <row r="458" ht="14.25" customHeight="1">
      <c r="B458" s="19"/>
      <c r="C458" s="195"/>
      <c r="D458" s="220"/>
      <c r="E458" s="220"/>
      <c r="F458" s="55"/>
      <c r="G458" s="55"/>
      <c r="H458" s="12"/>
    </row>
    <row r="459" ht="14.25" customHeight="1">
      <c r="B459" s="19"/>
      <c r="C459" s="195"/>
      <c r="D459" s="220"/>
      <c r="E459" s="220"/>
      <c r="F459" s="55"/>
      <c r="G459" s="55"/>
      <c r="H459" s="12"/>
    </row>
    <row r="460" ht="14.25" customHeight="1">
      <c r="B460" s="19"/>
      <c r="C460" s="195"/>
      <c r="D460" s="220"/>
      <c r="E460" s="220"/>
      <c r="F460" s="55"/>
      <c r="G460" s="55"/>
      <c r="H460" s="12"/>
    </row>
    <row r="461" ht="14.25" customHeight="1">
      <c r="B461" s="19"/>
      <c r="C461" s="195"/>
      <c r="D461" s="220"/>
      <c r="E461" s="220"/>
      <c r="F461" s="55"/>
      <c r="G461" s="55"/>
      <c r="H461" s="12"/>
    </row>
    <row r="462" ht="14.25" customHeight="1">
      <c r="B462" s="19"/>
      <c r="C462" s="195"/>
      <c r="D462" s="220"/>
      <c r="E462" s="220"/>
      <c r="F462" s="55"/>
      <c r="G462" s="55"/>
      <c r="H462" s="12"/>
    </row>
    <row r="463" ht="14.25" customHeight="1">
      <c r="B463" s="19"/>
      <c r="C463" s="195"/>
      <c r="D463" s="220"/>
      <c r="E463" s="220"/>
      <c r="F463" s="55"/>
      <c r="G463" s="55"/>
      <c r="H463" s="12"/>
    </row>
    <row r="464" ht="14.25" customHeight="1">
      <c r="B464" s="19"/>
      <c r="C464" s="195"/>
      <c r="D464" s="220"/>
      <c r="E464" s="220"/>
      <c r="F464" s="55"/>
      <c r="G464" s="55"/>
      <c r="H464" s="12"/>
    </row>
    <row r="465" ht="14.25" customHeight="1">
      <c r="B465" s="19"/>
      <c r="C465" s="195"/>
      <c r="D465" s="220"/>
      <c r="E465" s="220"/>
      <c r="F465" s="55"/>
      <c r="G465" s="55"/>
      <c r="H465" s="12"/>
    </row>
    <row r="466" ht="14.25" customHeight="1">
      <c r="B466" s="19"/>
      <c r="C466" s="195"/>
      <c r="D466" s="220"/>
      <c r="E466" s="220"/>
      <c r="F466" s="55"/>
      <c r="G466" s="55"/>
      <c r="H466" s="12"/>
    </row>
    <row r="467" ht="14.25" customHeight="1">
      <c r="B467" s="19"/>
      <c r="C467" s="195"/>
      <c r="D467" s="220"/>
      <c r="E467" s="220"/>
      <c r="F467" s="55"/>
      <c r="G467" s="55"/>
      <c r="H467" s="12"/>
    </row>
    <row r="468" ht="14.25" customHeight="1">
      <c r="B468" s="19"/>
      <c r="C468" s="195"/>
      <c r="D468" s="220"/>
      <c r="E468" s="220"/>
      <c r="F468" s="55"/>
      <c r="G468" s="55"/>
      <c r="H468" s="12"/>
    </row>
    <row r="469" ht="14.25" customHeight="1">
      <c r="B469" s="19"/>
      <c r="C469" s="195"/>
      <c r="D469" s="220"/>
      <c r="E469" s="220"/>
      <c r="F469" s="55"/>
      <c r="G469" s="55"/>
      <c r="H469" s="12"/>
    </row>
    <row r="470" ht="14.25" customHeight="1">
      <c r="B470" s="19"/>
      <c r="C470" s="195"/>
      <c r="D470" s="220"/>
      <c r="E470" s="220"/>
      <c r="F470" s="55"/>
      <c r="G470" s="55"/>
      <c r="H470" s="12"/>
    </row>
    <row r="471" ht="14.25" customHeight="1">
      <c r="B471" s="19"/>
      <c r="C471" s="195"/>
      <c r="D471" s="220"/>
      <c r="E471" s="220"/>
      <c r="F471" s="55"/>
      <c r="G471" s="55"/>
      <c r="H471" s="12"/>
    </row>
    <row r="472" ht="14.25" customHeight="1">
      <c r="B472" s="19"/>
      <c r="C472" s="195"/>
      <c r="D472" s="220"/>
      <c r="E472" s="220"/>
      <c r="F472" s="55"/>
      <c r="G472" s="55"/>
      <c r="H472" s="12"/>
    </row>
    <row r="473" ht="14.25" customHeight="1">
      <c r="B473" s="19"/>
      <c r="C473" s="195"/>
      <c r="D473" s="220"/>
      <c r="E473" s="220"/>
      <c r="F473" s="55"/>
      <c r="G473" s="55"/>
      <c r="H473" s="12"/>
    </row>
    <row r="474" ht="14.25" customHeight="1">
      <c r="B474" s="19"/>
      <c r="C474" s="195"/>
      <c r="D474" s="220"/>
      <c r="E474" s="220"/>
      <c r="F474" s="55"/>
      <c r="G474" s="55"/>
      <c r="H474" s="12"/>
    </row>
    <row r="475" ht="14.25" customHeight="1">
      <c r="B475" s="19"/>
      <c r="C475" s="195"/>
      <c r="D475" s="220"/>
      <c r="E475" s="220"/>
      <c r="F475" s="55"/>
      <c r="G475" s="55"/>
      <c r="H475" s="12"/>
    </row>
    <row r="476" ht="14.25" customHeight="1">
      <c r="B476" s="19"/>
      <c r="C476" s="195"/>
      <c r="D476" s="220"/>
      <c r="E476" s="220"/>
      <c r="F476" s="55"/>
      <c r="G476" s="55"/>
      <c r="H476" s="12"/>
    </row>
    <row r="477" ht="14.25" customHeight="1">
      <c r="B477" s="19"/>
      <c r="C477" s="195"/>
      <c r="D477" s="220"/>
      <c r="E477" s="220"/>
      <c r="F477" s="55"/>
      <c r="G477" s="55"/>
      <c r="H477" s="12"/>
    </row>
    <row r="478" ht="14.25" customHeight="1">
      <c r="B478" s="19"/>
      <c r="C478" s="195"/>
      <c r="D478" s="220"/>
      <c r="E478" s="220"/>
      <c r="F478" s="55"/>
      <c r="G478" s="55"/>
      <c r="H478" s="12"/>
    </row>
    <row r="479" ht="14.25" customHeight="1">
      <c r="B479" s="19"/>
      <c r="C479" s="195"/>
      <c r="D479" s="220"/>
      <c r="E479" s="220"/>
      <c r="F479" s="55"/>
      <c r="G479" s="55"/>
      <c r="H479" s="12"/>
    </row>
    <row r="480" ht="14.25" customHeight="1">
      <c r="B480" s="19"/>
      <c r="C480" s="195"/>
      <c r="D480" s="220"/>
      <c r="E480" s="220"/>
      <c r="F480" s="55"/>
      <c r="G480" s="55"/>
      <c r="H480" s="12"/>
    </row>
    <row r="481" ht="14.25" customHeight="1">
      <c r="B481" s="19"/>
      <c r="C481" s="195"/>
      <c r="D481" s="220"/>
      <c r="E481" s="220"/>
      <c r="F481" s="55"/>
      <c r="G481" s="55"/>
      <c r="H481" s="12"/>
    </row>
    <row r="482" ht="14.25" customHeight="1">
      <c r="B482" s="19"/>
      <c r="C482" s="195"/>
      <c r="D482" s="220"/>
      <c r="E482" s="220"/>
      <c r="F482" s="55"/>
      <c r="G482" s="55"/>
      <c r="H482" s="12"/>
    </row>
    <row r="483" ht="14.25" customHeight="1">
      <c r="B483" s="19"/>
      <c r="C483" s="195"/>
      <c r="D483" s="220"/>
      <c r="E483" s="220"/>
      <c r="F483" s="55"/>
      <c r="G483" s="55"/>
      <c r="H483" s="12"/>
    </row>
    <row r="484" ht="14.25" customHeight="1">
      <c r="B484" s="19"/>
      <c r="C484" s="195"/>
      <c r="D484" s="220"/>
      <c r="E484" s="220"/>
      <c r="F484" s="55"/>
      <c r="G484" s="55"/>
      <c r="H484" s="12"/>
    </row>
    <row r="485" ht="14.25" customHeight="1">
      <c r="B485" s="19"/>
      <c r="C485" s="195"/>
      <c r="D485" s="220"/>
      <c r="E485" s="220"/>
      <c r="F485" s="55"/>
      <c r="G485" s="55"/>
      <c r="H485" s="12"/>
    </row>
    <row r="486" ht="14.25" customHeight="1">
      <c r="B486" s="19"/>
      <c r="C486" s="195"/>
      <c r="D486" s="220"/>
      <c r="E486" s="220"/>
      <c r="F486" s="55"/>
      <c r="G486" s="55"/>
      <c r="H486" s="12"/>
    </row>
    <row r="487" ht="14.25" customHeight="1">
      <c r="B487" s="19"/>
      <c r="C487" s="195"/>
      <c r="D487" s="220"/>
      <c r="E487" s="220"/>
      <c r="F487" s="55"/>
      <c r="G487" s="55"/>
      <c r="H487" s="12"/>
    </row>
    <row r="488" ht="14.25" customHeight="1">
      <c r="B488" s="19"/>
      <c r="C488" s="195"/>
      <c r="D488" s="220"/>
      <c r="E488" s="220"/>
      <c r="F488" s="55"/>
      <c r="G488" s="55"/>
      <c r="H488" s="12"/>
    </row>
    <row r="489" ht="14.25" customHeight="1">
      <c r="B489" s="19"/>
      <c r="C489" s="195"/>
      <c r="D489" s="220"/>
      <c r="E489" s="220"/>
      <c r="F489" s="55"/>
      <c r="G489" s="55"/>
      <c r="H489" s="12"/>
    </row>
    <row r="490" ht="14.25" customHeight="1">
      <c r="B490" s="19"/>
      <c r="C490" s="195"/>
      <c r="D490" s="220"/>
      <c r="E490" s="220"/>
      <c r="F490" s="55"/>
      <c r="G490" s="55"/>
      <c r="H490" s="12"/>
    </row>
    <row r="491" ht="14.25" customHeight="1">
      <c r="B491" s="19"/>
      <c r="C491" s="195"/>
      <c r="D491" s="220"/>
      <c r="E491" s="220"/>
      <c r="F491" s="55"/>
      <c r="G491" s="55"/>
      <c r="H491" s="12"/>
    </row>
    <row r="492" ht="14.25" customHeight="1">
      <c r="B492" s="19"/>
      <c r="C492" s="195"/>
      <c r="D492" s="220"/>
      <c r="E492" s="220"/>
      <c r="F492" s="55"/>
      <c r="G492" s="55"/>
      <c r="H492" s="12"/>
    </row>
    <row r="493" ht="14.25" customHeight="1">
      <c r="B493" s="19"/>
      <c r="C493" s="195"/>
      <c r="D493" s="220"/>
      <c r="E493" s="220"/>
      <c r="F493" s="55"/>
      <c r="G493" s="55"/>
      <c r="H493" s="12"/>
    </row>
    <row r="494" ht="14.25" customHeight="1">
      <c r="B494" s="19"/>
      <c r="C494" s="195"/>
      <c r="D494" s="220"/>
      <c r="E494" s="220"/>
      <c r="F494" s="55"/>
      <c r="G494" s="55"/>
      <c r="H494" s="12"/>
    </row>
    <row r="495" ht="14.25" customHeight="1">
      <c r="B495" s="19"/>
      <c r="C495" s="195"/>
      <c r="D495" s="220"/>
      <c r="E495" s="220"/>
      <c r="F495" s="55"/>
      <c r="G495" s="55"/>
      <c r="H495" s="12"/>
    </row>
    <row r="496" ht="14.25" customHeight="1">
      <c r="B496" s="19"/>
      <c r="C496" s="195"/>
      <c r="D496" s="220"/>
      <c r="E496" s="220"/>
      <c r="F496" s="55"/>
      <c r="G496" s="55"/>
      <c r="H496" s="12"/>
    </row>
    <row r="497" ht="14.25" customHeight="1">
      <c r="B497" s="19"/>
      <c r="C497" s="195"/>
      <c r="D497" s="220"/>
      <c r="E497" s="220"/>
      <c r="F497" s="55"/>
      <c r="G497" s="55"/>
      <c r="H497" s="12"/>
    </row>
    <row r="498" ht="14.25" customHeight="1">
      <c r="B498" s="19"/>
      <c r="C498" s="195"/>
      <c r="D498" s="220"/>
      <c r="E498" s="220"/>
      <c r="F498" s="55"/>
      <c r="G498" s="55"/>
      <c r="H498" s="12"/>
    </row>
    <row r="499" ht="14.25" customHeight="1">
      <c r="B499" s="19"/>
      <c r="C499" s="195"/>
      <c r="D499" s="220"/>
      <c r="E499" s="220"/>
      <c r="F499" s="55"/>
      <c r="G499" s="55"/>
      <c r="H499" s="12"/>
    </row>
    <row r="500" ht="14.25" customHeight="1">
      <c r="B500" s="19"/>
      <c r="C500" s="195"/>
      <c r="D500" s="220"/>
      <c r="E500" s="220"/>
      <c r="F500" s="55"/>
      <c r="G500" s="55"/>
      <c r="H500" s="12"/>
    </row>
    <row r="501" ht="14.25" customHeight="1">
      <c r="B501" s="19"/>
      <c r="C501" s="195"/>
      <c r="D501" s="220"/>
      <c r="E501" s="220"/>
      <c r="F501" s="55"/>
      <c r="G501" s="55"/>
      <c r="H501" s="12"/>
    </row>
    <row r="502" ht="14.25" customHeight="1">
      <c r="B502" s="19"/>
      <c r="C502" s="195"/>
      <c r="D502" s="220"/>
      <c r="E502" s="220"/>
      <c r="F502" s="55"/>
      <c r="G502" s="55"/>
      <c r="H502" s="12"/>
    </row>
    <row r="503" ht="14.25" customHeight="1">
      <c r="B503" s="19"/>
      <c r="C503" s="195"/>
      <c r="D503" s="220"/>
      <c r="E503" s="220"/>
      <c r="F503" s="55"/>
      <c r="G503" s="55"/>
      <c r="H503" s="12"/>
    </row>
    <row r="504" ht="14.25" customHeight="1">
      <c r="B504" s="19"/>
      <c r="C504" s="195"/>
      <c r="D504" s="220"/>
      <c r="E504" s="220"/>
      <c r="F504" s="55"/>
      <c r="G504" s="55"/>
      <c r="H504" s="12"/>
    </row>
    <row r="505" ht="14.25" customHeight="1">
      <c r="B505" s="19"/>
      <c r="C505" s="195"/>
      <c r="D505" s="220"/>
      <c r="E505" s="220"/>
      <c r="F505" s="55"/>
      <c r="G505" s="55"/>
      <c r="H505" s="12"/>
    </row>
    <row r="506" ht="14.25" customHeight="1">
      <c r="B506" s="19"/>
      <c r="C506" s="195"/>
      <c r="D506" s="220"/>
      <c r="E506" s="220"/>
      <c r="F506" s="55"/>
      <c r="G506" s="55"/>
      <c r="H506" s="12"/>
    </row>
    <row r="507" ht="14.25" customHeight="1">
      <c r="B507" s="19"/>
      <c r="C507" s="195"/>
      <c r="D507" s="220"/>
      <c r="E507" s="220"/>
      <c r="F507" s="55"/>
      <c r="G507" s="55"/>
      <c r="H507" s="12"/>
    </row>
    <row r="508" ht="14.25" customHeight="1">
      <c r="B508" s="19"/>
      <c r="C508" s="195"/>
      <c r="D508" s="220"/>
      <c r="E508" s="220"/>
      <c r="F508" s="55"/>
      <c r="G508" s="55"/>
      <c r="H508" s="12"/>
    </row>
    <row r="509" ht="14.25" customHeight="1">
      <c r="B509" s="19"/>
      <c r="C509" s="195"/>
      <c r="D509" s="220"/>
      <c r="E509" s="220"/>
      <c r="F509" s="55"/>
      <c r="G509" s="55"/>
      <c r="H509" s="12"/>
    </row>
    <row r="510" ht="14.25" customHeight="1">
      <c r="B510" s="19"/>
      <c r="C510" s="195"/>
      <c r="D510" s="220"/>
      <c r="E510" s="220"/>
      <c r="F510" s="55"/>
      <c r="G510" s="55"/>
      <c r="H510" s="12"/>
    </row>
    <row r="511" ht="14.25" customHeight="1">
      <c r="B511" s="19"/>
      <c r="C511" s="195"/>
      <c r="D511" s="220"/>
      <c r="E511" s="220"/>
      <c r="F511" s="55"/>
      <c r="G511" s="55"/>
      <c r="H511" s="12"/>
    </row>
    <row r="512" ht="14.25" customHeight="1">
      <c r="B512" s="19"/>
      <c r="C512" s="195"/>
      <c r="D512" s="220"/>
      <c r="E512" s="220"/>
      <c r="F512" s="55"/>
      <c r="G512" s="55"/>
      <c r="H512" s="12"/>
    </row>
    <row r="513" ht="14.25" customHeight="1">
      <c r="B513" s="19"/>
      <c r="C513" s="195"/>
      <c r="D513" s="220"/>
      <c r="E513" s="220"/>
      <c r="F513" s="55"/>
      <c r="G513" s="55"/>
      <c r="H513" s="12"/>
    </row>
    <row r="514" ht="14.25" customHeight="1">
      <c r="B514" s="19"/>
      <c r="C514" s="195"/>
      <c r="D514" s="220"/>
      <c r="E514" s="220"/>
      <c r="F514" s="55"/>
      <c r="G514" s="55"/>
      <c r="H514" s="12"/>
    </row>
    <row r="515" ht="14.25" customHeight="1">
      <c r="B515" s="19"/>
      <c r="C515" s="195"/>
      <c r="D515" s="220"/>
      <c r="E515" s="220"/>
      <c r="F515" s="55"/>
      <c r="G515" s="55"/>
      <c r="H515" s="12"/>
    </row>
    <row r="516" ht="14.25" customHeight="1">
      <c r="B516" s="19"/>
      <c r="C516" s="195"/>
      <c r="D516" s="220"/>
      <c r="E516" s="220"/>
      <c r="F516" s="55"/>
      <c r="G516" s="55"/>
      <c r="H516" s="12"/>
    </row>
    <row r="517" ht="14.25" customHeight="1">
      <c r="B517" s="19"/>
      <c r="C517" s="195"/>
      <c r="D517" s="220"/>
      <c r="E517" s="220"/>
      <c r="F517" s="55"/>
      <c r="G517" s="55"/>
      <c r="H517" s="12"/>
    </row>
    <row r="518" ht="14.25" customHeight="1">
      <c r="B518" s="19"/>
      <c r="C518" s="195"/>
      <c r="D518" s="220"/>
      <c r="E518" s="220"/>
      <c r="F518" s="55"/>
      <c r="G518" s="55"/>
      <c r="H518" s="12"/>
    </row>
    <row r="519" ht="14.25" customHeight="1">
      <c r="B519" s="19"/>
      <c r="C519" s="195"/>
      <c r="D519" s="220"/>
      <c r="E519" s="220"/>
      <c r="F519" s="55"/>
      <c r="G519" s="55"/>
      <c r="H519" s="12"/>
    </row>
    <row r="520" ht="14.25" customHeight="1">
      <c r="B520" s="19"/>
      <c r="C520" s="195"/>
      <c r="D520" s="220"/>
      <c r="E520" s="220"/>
      <c r="F520" s="55"/>
      <c r="G520" s="55"/>
      <c r="H520" s="12"/>
    </row>
    <row r="521" ht="14.25" customHeight="1">
      <c r="B521" s="19"/>
      <c r="C521" s="195"/>
      <c r="D521" s="220"/>
      <c r="E521" s="220"/>
      <c r="F521" s="55"/>
      <c r="G521" s="55"/>
      <c r="H521" s="12"/>
    </row>
    <row r="522" ht="14.25" customHeight="1">
      <c r="B522" s="19"/>
      <c r="C522" s="195"/>
      <c r="D522" s="220"/>
      <c r="E522" s="220"/>
      <c r="F522" s="55"/>
      <c r="G522" s="55"/>
      <c r="H522" s="12"/>
    </row>
    <row r="523" ht="14.25" customHeight="1">
      <c r="B523" s="19"/>
      <c r="C523" s="195"/>
      <c r="D523" s="220"/>
      <c r="E523" s="220"/>
      <c r="F523" s="55"/>
      <c r="G523" s="55"/>
      <c r="H523" s="12"/>
    </row>
    <row r="524" ht="14.25" customHeight="1">
      <c r="B524" s="19"/>
      <c r="C524" s="195"/>
      <c r="D524" s="220"/>
      <c r="E524" s="220"/>
      <c r="F524" s="55"/>
      <c r="G524" s="55"/>
      <c r="H524" s="12"/>
    </row>
    <row r="525" ht="14.25" customHeight="1">
      <c r="B525" s="19"/>
      <c r="C525" s="195"/>
      <c r="D525" s="220"/>
      <c r="E525" s="220"/>
      <c r="F525" s="55"/>
      <c r="G525" s="55"/>
      <c r="H525" s="12"/>
    </row>
    <row r="526" ht="14.25" customHeight="1">
      <c r="B526" s="19"/>
      <c r="C526" s="195"/>
      <c r="D526" s="220"/>
      <c r="E526" s="220"/>
      <c r="F526" s="55"/>
      <c r="G526" s="55"/>
      <c r="H526" s="12"/>
    </row>
    <row r="527" ht="14.25" customHeight="1">
      <c r="B527" s="19"/>
      <c r="C527" s="195"/>
      <c r="D527" s="220"/>
      <c r="E527" s="220"/>
      <c r="F527" s="55"/>
      <c r="G527" s="55"/>
      <c r="H527" s="12"/>
    </row>
    <row r="528" ht="14.25" customHeight="1">
      <c r="B528" s="19"/>
      <c r="C528" s="195"/>
      <c r="D528" s="220"/>
      <c r="E528" s="220"/>
      <c r="F528" s="55"/>
      <c r="G528" s="55"/>
      <c r="H528" s="12"/>
    </row>
    <row r="529" ht="14.25" customHeight="1">
      <c r="B529" s="19"/>
      <c r="C529" s="195"/>
      <c r="D529" s="220"/>
      <c r="E529" s="220"/>
      <c r="F529" s="55"/>
      <c r="G529" s="55"/>
      <c r="H529" s="12"/>
    </row>
    <row r="530" ht="14.25" customHeight="1">
      <c r="B530" s="19"/>
      <c r="C530" s="195"/>
      <c r="D530" s="220"/>
      <c r="E530" s="220"/>
      <c r="F530" s="55"/>
      <c r="G530" s="55"/>
      <c r="H530" s="12"/>
    </row>
    <row r="531" ht="14.25" customHeight="1">
      <c r="B531" s="19"/>
      <c r="C531" s="195"/>
      <c r="D531" s="220"/>
      <c r="E531" s="220"/>
      <c r="F531" s="55"/>
      <c r="G531" s="55"/>
      <c r="H531" s="12"/>
    </row>
    <row r="532" ht="14.25" customHeight="1">
      <c r="B532" s="19"/>
      <c r="C532" s="195"/>
      <c r="D532" s="220"/>
      <c r="E532" s="220"/>
      <c r="F532" s="55"/>
      <c r="G532" s="55"/>
      <c r="H532" s="12"/>
    </row>
    <row r="533" ht="14.25" customHeight="1">
      <c r="B533" s="19"/>
      <c r="C533" s="195"/>
      <c r="D533" s="220"/>
      <c r="E533" s="220"/>
      <c r="F533" s="55"/>
      <c r="G533" s="55"/>
      <c r="H533" s="12"/>
    </row>
    <row r="534" ht="14.25" customHeight="1">
      <c r="B534" s="19"/>
      <c r="C534" s="195"/>
      <c r="D534" s="220"/>
      <c r="E534" s="220"/>
      <c r="F534" s="55"/>
      <c r="G534" s="55"/>
      <c r="H534" s="12"/>
    </row>
    <row r="535" ht="14.25" customHeight="1">
      <c r="B535" s="19"/>
      <c r="C535" s="195"/>
      <c r="D535" s="220"/>
      <c r="E535" s="220"/>
      <c r="F535" s="55"/>
      <c r="G535" s="55"/>
      <c r="H535" s="12"/>
    </row>
    <row r="536" ht="14.25" customHeight="1">
      <c r="B536" s="19"/>
      <c r="C536" s="195"/>
      <c r="D536" s="220"/>
      <c r="E536" s="220"/>
      <c r="F536" s="55"/>
      <c r="G536" s="55"/>
      <c r="H536" s="12"/>
    </row>
    <row r="537" ht="14.25" customHeight="1">
      <c r="B537" s="19"/>
      <c r="C537" s="195"/>
      <c r="D537" s="220"/>
      <c r="E537" s="220"/>
      <c r="F537" s="55"/>
      <c r="G537" s="55"/>
      <c r="H537" s="12"/>
    </row>
    <row r="538" ht="14.25" customHeight="1">
      <c r="B538" s="19"/>
      <c r="C538" s="195"/>
      <c r="D538" s="220"/>
      <c r="E538" s="220"/>
      <c r="F538" s="55"/>
      <c r="G538" s="55"/>
      <c r="H538" s="12"/>
    </row>
    <row r="539" ht="14.25" customHeight="1">
      <c r="B539" s="19"/>
      <c r="C539" s="195"/>
      <c r="D539" s="220"/>
      <c r="E539" s="220"/>
      <c r="F539" s="55"/>
      <c r="G539" s="55"/>
      <c r="H539" s="12"/>
    </row>
    <row r="540" ht="14.25" customHeight="1">
      <c r="B540" s="19"/>
      <c r="C540" s="195"/>
      <c r="D540" s="220"/>
      <c r="E540" s="220"/>
      <c r="F540" s="55"/>
      <c r="G540" s="55"/>
      <c r="H540" s="12"/>
    </row>
    <row r="541" ht="14.25" customHeight="1">
      <c r="B541" s="19"/>
      <c r="C541" s="195"/>
      <c r="D541" s="220"/>
      <c r="E541" s="220"/>
      <c r="F541" s="55"/>
      <c r="G541" s="55"/>
      <c r="H541" s="12"/>
    </row>
    <row r="542" ht="14.25" customHeight="1">
      <c r="B542" s="19"/>
      <c r="C542" s="195"/>
      <c r="D542" s="220"/>
      <c r="E542" s="220"/>
      <c r="F542" s="55"/>
      <c r="G542" s="55"/>
      <c r="H542" s="12"/>
    </row>
    <row r="543" ht="14.25" customHeight="1">
      <c r="B543" s="19"/>
      <c r="C543" s="195"/>
      <c r="D543" s="220"/>
      <c r="E543" s="220"/>
      <c r="F543" s="55"/>
      <c r="G543" s="55"/>
      <c r="H543" s="12"/>
    </row>
    <row r="544" ht="14.25" customHeight="1">
      <c r="B544" s="19"/>
      <c r="C544" s="195"/>
      <c r="D544" s="220"/>
      <c r="E544" s="220"/>
      <c r="F544" s="55"/>
      <c r="G544" s="55"/>
      <c r="H544" s="12"/>
    </row>
    <row r="545" ht="14.25" customHeight="1">
      <c r="B545" s="19"/>
      <c r="C545" s="195"/>
      <c r="D545" s="220"/>
      <c r="E545" s="220"/>
      <c r="F545" s="55"/>
      <c r="G545" s="55"/>
      <c r="H545" s="12"/>
    </row>
    <row r="546" ht="14.25" customHeight="1">
      <c r="B546" s="19"/>
      <c r="C546" s="195"/>
      <c r="D546" s="220"/>
      <c r="E546" s="220"/>
      <c r="F546" s="55"/>
      <c r="G546" s="55"/>
      <c r="H546" s="12"/>
    </row>
    <row r="547" ht="14.25" customHeight="1">
      <c r="B547" s="19"/>
      <c r="C547" s="195"/>
      <c r="D547" s="220"/>
      <c r="E547" s="220"/>
      <c r="F547" s="55"/>
      <c r="G547" s="55"/>
      <c r="H547" s="12"/>
    </row>
    <row r="548" ht="14.25" customHeight="1">
      <c r="B548" s="19"/>
      <c r="C548" s="195"/>
      <c r="D548" s="220"/>
      <c r="E548" s="220"/>
      <c r="F548" s="55"/>
      <c r="G548" s="55"/>
      <c r="H548" s="12"/>
    </row>
    <row r="549" ht="14.25" customHeight="1">
      <c r="B549" s="19"/>
      <c r="C549" s="195"/>
      <c r="D549" s="220"/>
      <c r="E549" s="220"/>
      <c r="F549" s="55"/>
      <c r="G549" s="55"/>
      <c r="H549" s="12"/>
    </row>
    <row r="550" ht="14.25" customHeight="1">
      <c r="B550" s="19"/>
      <c r="C550" s="195"/>
      <c r="D550" s="220"/>
      <c r="E550" s="220"/>
      <c r="F550" s="55"/>
      <c r="G550" s="55"/>
      <c r="H550" s="12"/>
    </row>
    <row r="551" ht="14.25" customHeight="1">
      <c r="B551" s="19"/>
      <c r="C551" s="195"/>
      <c r="D551" s="220"/>
      <c r="E551" s="220"/>
      <c r="F551" s="55"/>
      <c r="G551" s="55"/>
      <c r="H551" s="12"/>
    </row>
    <row r="552" ht="14.25" customHeight="1">
      <c r="B552" s="19"/>
      <c r="C552" s="195"/>
      <c r="D552" s="220"/>
      <c r="E552" s="220"/>
      <c r="F552" s="55"/>
      <c r="G552" s="55"/>
      <c r="H552" s="12"/>
    </row>
    <row r="553" ht="14.25" customHeight="1">
      <c r="B553" s="19"/>
      <c r="C553" s="195"/>
      <c r="D553" s="220"/>
      <c r="E553" s="220"/>
      <c r="F553" s="55"/>
      <c r="G553" s="55"/>
      <c r="H553" s="12"/>
    </row>
    <row r="554" ht="14.25" customHeight="1">
      <c r="B554" s="19"/>
      <c r="C554" s="195"/>
      <c r="D554" s="220"/>
      <c r="E554" s="220"/>
      <c r="F554" s="55"/>
      <c r="G554" s="55"/>
      <c r="H554" s="12"/>
    </row>
    <row r="555" ht="14.25" customHeight="1">
      <c r="B555" s="19"/>
      <c r="C555" s="195"/>
      <c r="D555" s="220"/>
      <c r="E555" s="220"/>
      <c r="F555" s="55"/>
      <c r="G555" s="55"/>
      <c r="H555" s="12"/>
    </row>
    <row r="556" ht="14.25" customHeight="1">
      <c r="B556" s="19"/>
      <c r="C556" s="195"/>
      <c r="D556" s="220"/>
      <c r="E556" s="220"/>
      <c r="F556" s="55"/>
      <c r="G556" s="55"/>
      <c r="H556" s="12"/>
    </row>
    <row r="557" ht="14.25" customHeight="1">
      <c r="B557" s="19"/>
      <c r="C557" s="195"/>
      <c r="D557" s="220"/>
      <c r="E557" s="220"/>
      <c r="F557" s="55"/>
      <c r="G557" s="55"/>
      <c r="H557" s="12"/>
    </row>
    <row r="558" ht="14.25" customHeight="1">
      <c r="B558" s="19"/>
      <c r="C558" s="195"/>
      <c r="D558" s="220"/>
      <c r="E558" s="220"/>
      <c r="F558" s="55"/>
      <c r="G558" s="55"/>
      <c r="H558" s="12"/>
    </row>
    <row r="559" ht="14.25" customHeight="1">
      <c r="B559" s="19"/>
      <c r="C559" s="195"/>
      <c r="D559" s="220"/>
      <c r="E559" s="220"/>
      <c r="F559" s="55"/>
      <c r="G559" s="55"/>
      <c r="H559" s="12"/>
    </row>
    <row r="560" ht="14.25" customHeight="1">
      <c r="B560" s="19"/>
      <c r="C560" s="195"/>
      <c r="D560" s="220"/>
      <c r="E560" s="220"/>
      <c r="F560" s="55"/>
      <c r="G560" s="55"/>
      <c r="H560" s="12"/>
    </row>
    <row r="561" ht="14.25" customHeight="1">
      <c r="B561" s="19"/>
      <c r="C561" s="195"/>
      <c r="D561" s="220"/>
      <c r="E561" s="220"/>
      <c r="F561" s="55"/>
      <c r="G561" s="55"/>
      <c r="H561" s="12"/>
    </row>
    <row r="562" ht="14.25" customHeight="1">
      <c r="B562" s="19"/>
      <c r="C562" s="195"/>
      <c r="D562" s="220"/>
      <c r="E562" s="220"/>
      <c r="F562" s="55"/>
      <c r="G562" s="55"/>
      <c r="H562" s="12"/>
    </row>
    <row r="563" ht="14.25" customHeight="1">
      <c r="B563" s="19"/>
      <c r="C563" s="195"/>
      <c r="D563" s="220"/>
      <c r="E563" s="220"/>
      <c r="F563" s="55"/>
      <c r="G563" s="55"/>
      <c r="H563" s="12"/>
    </row>
    <row r="564" ht="14.25" customHeight="1">
      <c r="B564" s="19"/>
      <c r="C564" s="195"/>
      <c r="D564" s="220"/>
      <c r="E564" s="220"/>
      <c r="F564" s="55"/>
      <c r="G564" s="55"/>
      <c r="H564" s="12"/>
    </row>
    <row r="565" ht="14.25" customHeight="1">
      <c r="B565" s="19"/>
      <c r="C565" s="195"/>
      <c r="D565" s="220"/>
      <c r="E565" s="220"/>
      <c r="F565" s="55"/>
      <c r="G565" s="55"/>
      <c r="H565" s="12"/>
    </row>
    <row r="566" ht="14.25" customHeight="1">
      <c r="B566" s="19"/>
      <c r="C566" s="195"/>
      <c r="D566" s="220"/>
      <c r="E566" s="220"/>
      <c r="F566" s="55"/>
      <c r="G566" s="55"/>
      <c r="H566" s="12"/>
    </row>
    <row r="567" ht="14.25" customHeight="1">
      <c r="B567" s="19"/>
      <c r="C567" s="195"/>
      <c r="D567" s="220"/>
      <c r="E567" s="220"/>
      <c r="F567" s="55"/>
      <c r="G567" s="55"/>
      <c r="H567" s="12"/>
    </row>
    <row r="568" ht="14.25" customHeight="1">
      <c r="B568" s="19"/>
      <c r="C568" s="195"/>
      <c r="D568" s="220"/>
      <c r="E568" s="220"/>
      <c r="F568" s="55"/>
      <c r="G568" s="55"/>
      <c r="H568" s="12"/>
    </row>
    <row r="569" ht="14.25" customHeight="1">
      <c r="B569" s="19"/>
      <c r="C569" s="195"/>
      <c r="D569" s="220"/>
      <c r="E569" s="220"/>
      <c r="F569" s="55"/>
      <c r="G569" s="55"/>
      <c r="H569" s="12"/>
    </row>
    <row r="570" ht="14.25" customHeight="1">
      <c r="B570" s="19"/>
      <c r="C570" s="195"/>
      <c r="D570" s="220"/>
      <c r="E570" s="220"/>
      <c r="F570" s="55"/>
      <c r="G570" s="55"/>
      <c r="H570" s="12"/>
    </row>
    <row r="571" ht="14.25" customHeight="1">
      <c r="B571" s="19"/>
      <c r="C571" s="195"/>
      <c r="D571" s="220"/>
      <c r="E571" s="220"/>
      <c r="F571" s="55"/>
      <c r="G571" s="55"/>
      <c r="H571" s="12"/>
    </row>
    <row r="572" ht="14.25" customHeight="1">
      <c r="B572" s="19"/>
      <c r="C572" s="195"/>
      <c r="D572" s="220"/>
      <c r="E572" s="220"/>
      <c r="F572" s="55"/>
      <c r="G572" s="55"/>
      <c r="H572" s="12"/>
    </row>
    <row r="573" ht="14.25" customHeight="1">
      <c r="B573" s="19"/>
      <c r="C573" s="195"/>
      <c r="D573" s="220"/>
      <c r="E573" s="220"/>
      <c r="F573" s="55"/>
      <c r="G573" s="55"/>
      <c r="H573" s="12"/>
    </row>
    <row r="574" ht="14.25" customHeight="1">
      <c r="B574" s="19"/>
      <c r="C574" s="195"/>
      <c r="D574" s="220"/>
      <c r="E574" s="220"/>
      <c r="F574" s="55"/>
      <c r="G574" s="55"/>
      <c r="H574" s="12"/>
    </row>
    <row r="575" ht="14.25" customHeight="1">
      <c r="B575" s="19"/>
      <c r="C575" s="195"/>
      <c r="D575" s="220"/>
      <c r="E575" s="220"/>
      <c r="F575" s="55"/>
      <c r="G575" s="55"/>
      <c r="H575" s="12"/>
    </row>
    <row r="576" ht="14.25" customHeight="1">
      <c r="B576" s="19"/>
      <c r="C576" s="195"/>
      <c r="D576" s="220"/>
      <c r="E576" s="220"/>
      <c r="F576" s="55"/>
      <c r="G576" s="55"/>
      <c r="H576" s="12"/>
    </row>
    <row r="577" ht="14.25" customHeight="1">
      <c r="B577" s="19"/>
      <c r="C577" s="195"/>
      <c r="D577" s="220"/>
      <c r="E577" s="220"/>
      <c r="F577" s="55"/>
      <c r="G577" s="55"/>
      <c r="H577" s="12"/>
    </row>
    <row r="578" ht="14.25" customHeight="1">
      <c r="B578" s="19"/>
      <c r="C578" s="195"/>
      <c r="D578" s="220"/>
      <c r="E578" s="220"/>
      <c r="F578" s="55"/>
      <c r="G578" s="55"/>
      <c r="H578" s="12"/>
    </row>
    <row r="579" ht="14.25" customHeight="1">
      <c r="B579" s="19"/>
      <c r="C579" s="195"/>
      <c r="D579" s="220"/>
      <c r="E579" s="220"/>
      <c r="F579" s="55"/>
      <c r="G579" s="55"/>
      <c r="H579" s="12"/>
    </row>
    <row r="580" ht="14.25" customHeight="1">
      <c r="B580" s="19"/>
      <c r="C580" s="195"/>
      <c r="D580" s="220"/>
      <c r="E580" s="220"/>
      <c r="F580" s="55"/>
      <c r="G580" s="55"/>
      <c r="H580" s="12"/>
    </row>
    <row r="581" ht="14.25" customHeight="1">
      <c r="B581" s="19"/>
      <c r="C581" s="195"/>
      <c r="D581" s="220"/>
      <c r="E581" s="220"/>
      <c r="F581" s="55"/>
      <c r="G581" s="55"/>
      <c r="H581" s="12"/>
    </row>
    <row r="582" ht="14.25" customHeight="1">
      <c r="B582" s="19"/>
      <c r="C582" s="195"/>
      <c r="D582" s="220"/>
      <c r="E582" s="220"/>
      <c r="F582" s="55"/>
      <c r="G582" s="55"/>
      <c r="H582" s="12"/>
    </row>
    <row r="583" ht="14.25" customHeight="1">
      <c r="B583" s="19"/>
      <c r="C583" s="195"/>
      <c r="D583" s="220"/>
      <c r="E583" s="220"/>
      <c r="F583" s="55"/>
      <c r="G583" s="55"/>
      <c r="H583" s="12"/>
    </row>
    <row r="584" ht="14.25" customHeight="1">
      <c r="B584" s="19"/>
      <c r="C584" s="195"/>
      <c r="D584" s="220"/>
      <c r="E584" s="220"/>
      <c r="F584" s="55"/>
      <c r="G584" s="55"/>
      <c r="H584" s="12"/>
    </row>
    <row r="585" ht="14.25" customHeight="1">
      <c r="B585" s="19"/>
      <c r="C585" s="195"/>
      <c r="D585" s="220"/>
      <c r="E585" s="220"/>
      <c r="F585" s="55"/>
      <c r="G585" s="55"/>
      <c r="H585" s="12"/>
    </row>
    <row r="586" ht="14.25" customHeight="1">
      <c r="B586" s="19"/>
      <c r="C586" s="195"/>
      <c r="D586" s="220"/>
      <c r="E586" s="220"/>
      <c r="F586" s="55"/>
      <c r="G586" s="55"/>
      <c r="H586" s="12"/>
    </row>
    <row r="587" ht="14.25" customHeight="1">
      <c r="B587" s="19"/>
      <c r="C587" s="195"/>
      <c r="D587" s="220"/>
      <c r="E587" s="220"/>
      <c r="F587" s="55"/>
      <c r="G587" s="55"/>
      <c r="H587" s="12"/>
    </row>
    <row r="588" ht="14.25" customHeight="1">
      <c r="B588" s="19"/>
      <c r="C588" s="195"/>
      <c r="D588" s="220"/>
      <c r="E588" s="220"/>
      <c r="F588" s="55"/>
      <c r="G588" s="55"/>
      <c r="H588" s="12"/>
    </row>
    <row r="589" ht="14.25" customHeight="1">
      <c r="B589" s="19"/>
      <c r="C589" s="195"/>
      <c r="D589" s="220"/>
      <c r="E589" s="220"/>
      <c r="F589" s="55"/>
      <c r="G589" s="55"/>
      <c r="H589" s="12"/>
    </row>
    <row r="590" ht="14.25" customHeight="1">
      <c r="B590" s="19"/>
      <c r="C590" s="195"/>
      <c r="D590" s="220"/>
      <c r="E590" s="220"/>
      <c r="F590" s="55"/>
      <c r="G590" s="55"/>
      <c r="H590" s="12"/>
    </row>
    <row r="591" ht="14.25" customHeight="1">
      <c r="B591" s="19"/>
      <c r="C591" s="195"/>
      <c r="D591" s="220"/>
      <c r="E591" s="220"/>
      <c r="F591" s="55"/>
      <c r="G591" s="55"/>
      <c r="H591" s="12"/>
    </row>
    <row r="592" ht="14.25" customHeight="1">
      <c r="B592" s="19"/>
      <c r="C592" s="195"/>
      <c r="D592" s="220"/>
      <c r="E592" s="220"/>
      <c r="F592" s="55"/>
      <c r="G592" s="55"/>
      <c r="H592" s="12"/>
    </row>
    <row r="593" ht="14.25" customHeight="1">
      <c r="B593" s="19"/>
      <c r="C593" s="195"/>
      <c r="D593" s="220"/>
      <c r="E593" s="220"/>
      <c r="F593" s="55"/>
      <c r="G593" s="55"/>
      <c r="H593" s="12"/>
    </row>
    <row r="594" ht="14.25" customHeight="1">
      <c r="B594" s="19"/>
      <c r="C594" s="195"/>
      <c r="D594" s="220"/>
      <c r="E594" s="220"/>
      <c r="F594" s="55"/>
      <c r="G594" s="55"/>
      <c r="H594" s="12"/>
    </row>
    <row r="595" ht="14.25" customHeight="1">
      <c r="B595" s="19"/>
      <c r="C595" s="195"/>
      <c r="D595" s="220"/>
      <c r="E595" s="220"/>
      <c r="F595" s="55"/>
      <c r="G595" s="55"/>
      <c r="H595" s="12"/>
    </row>
    <row r="596" ht="14.25" customHeight="1">
      <c r="B596" s="19"/>
      <c r="C596" s="195"/>
      <c r="D596" s="220"/>
      <c r="E596" s="220"/>
      <c r="F596" s="55"/>
      <c r="G596" s="55"/>
      <c r="H596" s="12"/>
    </row>
    <row r="597" ht="14.25" customHeight="1">
      <c r="B597" s="19"/>
      <c r="C597" s="195"/>
      <c r="D597" s="220"/>
      <c r="E597" s="220"/>
      <c r="F597" s="55"/>
      <c r="G597" s="55"/>
      <c r="H597" s="12"/>
    </row>
    <row r="598" ht="14.25" customHeight="1">
      <c r="B598" s="19"/>
      <c r="C598" s="195"/>
      <c r="D598" s="220"/>
      <c r="E598" s="220"/>
      <c r="F598" s="55"/>
      <c r="G598" s="55"/>
      <c r="H598" s="12"/>
    </row>
    <row r="599" ht="14.25" customHeight="1">
      <c r="B599" s="19"/>
      <c r="C599" s="195"/>
      <c r="D599" s="220"/>
      <c r="E599" s="220"/>
      <c r="F599" s="55"/>
      <c r="G599" s="55"/>
      <c r="H599" s="12"/>
    </row>
    <row r="600" ht="14.25" customHeight="1">
      <c r="B600" s="19"/>
      <c r="C600" s="195"/>
      <c r="D600" s="220"/>
      <c r="E600" s="220"/>
      <c r="F600" s="55"/>
      <c r="G600" s="55"/>
      <c r="H600" s="12"/>
    </row>
    <row r="601" ht="14.25" customHeight="1">
      <c r="B601" s="19"/>
      <c r="C601" s="195"/>
      <c r="D601" s="220"/>
      <c r="E601" s="220"/>
      <c r="F601" s="55"/>
      <c r="G601" s="55"/>
      <c r="H601" s="12"/>
    </row>
    <row r="602" ht="14.25" customHeight="1">
      <c r="B602" s="19"/>
      <c r="C602" s="195"/>
      <c r="D602" s="220"/>
      <c r="E602" s="220"/>
      <c r="F602" s="55"/>
      <c r="G602" s="55"/>
      <c r="H602" s="12"/>
    </row>
    <row r="603" ht="14.25" customHeight="1">
      <c r="B603" s="19"/>
      <c r="C603" s="195"/>
      <c r="D603" s="220"/>
      <c r="E603" s="220"/>
      <c r="F603" s="55"/>
      <c r="G603" s="55"/>
      <c r="H603" s="12"/>
    </row>
    <row r="604" ht="14.25" customHeight="1">
      <c r="B604" s="19"/>
      <c r="C604" s="195"/>
      <c r="D604" s="220"/>
      <c r="E604" s="220"/>
      <c r="F604" s="55"/>
      <c r="G604" s="55"/>
      <c r="H604" s="12"/>
    </row>
    <row r="605" ht="14.25" customHeight="1">
      <c r="B605" s="19"/>
      <c r="C605" s="195"/>
      <c r="D605" s="220"/>
      <c r="E605" s="220"/>
      <c r="F605" s="55"/>
      <c r="G605" s="55"/>
      <c r="H605" s="12"/>
    </row>
    <row r="606" ht="14.25" customHeight="1">
      <c r="B606" s="19"/>
      <c r="C606" s="195"/>
      <c r="D606" s="220"/>
      <c r="E606" s="220"/>
      <c r="F606" s="55"/>
      <c r="G606" s="55"/>
      <c r="H606" s="12"/>
    </row>
    <row r="607" ht="14.25" customHeight="1">
      <c r="B607" s="19"/>
      <c r="C607" s="195"/>
      <c r="D607" s="220"/>
      <c r="E607" s="220"/>
      <c r="F607" s="55"/>
      <c r="G607" s="55"/>
      <c r="H607" s="12"/>
    </row>
    <row r="608" ht="14.25" customHeight="1">
      <c r="B608" s="19"/>
      <c r="C608" s="195"/>
      <c r="D608" s="220"/>
      <c r="E608" s="220"/>
      <c r="F608" s="55"/>
      <c r="G608" s="55"/>
      <c r="H608" s="12"/>
    </row>
    <row r="609" ht="14.25" customHeight="1">
      <c r="B609" s="19"/>
      <c r="C609" s="195"/>
      <c r="D609" s="220"/>
      <c r="E609" s="220"/>
      <c r="F609" s="55"/>
      <c r="G609" s="55"/>
      <c r="H609" s="12"/>
    </row>
    <row r="610" ht="14.25" customHeight="1">
      <c r="B610" s="19"/>
      <c r="C610" s="195"/>
      <c r="D610" s="220"/>
      <c r="E610" s="220"/>
      <c r="F610" s="55"/>
      <c r="G610" s="55"/>
      <c r="H610" s="12"/>
    </row>
    <row r="611" ht="14.25" customHeight="1">
      <c r="B611" s="19"/>
      <c r="C611" s="195"/>
      <c r="D611" s="220"/>
      <c r="E611" s="220"/>
      <c r="F611" s="55"/>
      <c r="G611" s="55"/>
      <c r="H611" s="12"/>
    </row>
    <row r="612" ht="14.25" customHeight="1">
      <c r="B612" s="19"/>
      <c r="C612" s="195"/>
      <c r="D612" s="220"/>
      <c r="E612" s="220"/>
      <c r="F612" s="55"/>
      <c r="G612" s="55"/>
      <c r="H612" s="12"/>
    </row>
    <row r="613" ht="14.25" customHeight="1">
      <c r="B613" s="19"/>
      <c r="C613" s="195"/>
      <c r="D613" s="220"/>
      <c r="E613" s="220"/>
      <c r="F613" s="55"/>
      <c r="G613" s="55"/>
      <c r="H613" s="12"/>
    </row>
    <row r="614" ht="14.25" customHeight="1">
      <c r="B614" s="19"/>
      <c r="C614" s="195"/>
      <c r="D614" s="220"/>
      <c r="E614" s="220"/>
      <c r="F614" s="55"/>
      <c r="G614" s="55"/>
      <c r="H614" s="12"/>
    </row>
    <row r="615" ht="14.25" customHeight="1">
      <c r="B615" s="19"/>
      <c r="C615" s="195"/>
      <c r="D615" s="220"/>
      <c r="E615" s="220"/>
      <c r="F615" s="55"/>
      <c r="G615" s="55"/>
      <c r="H615" s="12"/>
    </row>
    <row r="616" ht="14.25" customHeight="1">
      <c r="B616" s="19"/>
      <c r="C616" s="195"/>
      <c r="D616" s="220"/>
      <c r="E616" s="220"/>
      <c r="F616" s="55"/>
      <c r="G616" s="55"/>
      <c r="H616" s="12"/>
    </row>
    <row r="617" ht="14.25" customHeight="1">
      <c r="B617" s="19"/>
      <c r="C617" s="195"/>
      <c r="D617" s="220"/>
      <c r="E617" s="220"/>
      <c r="F617" s="55"/>
      <c r="G617" s="55"/>
      <c r="H617" s="12"/>
    </row>
    <row r="618" ht="14.25" customHeight="1">
      <c r="B618" s="19"/>
      <c r="C618" s="195"/>
      <c r="D618" s="220"/>
      <c r="E618" s="220"/>
      <c r="F618" s="55"/>
      <c r="G618" s="55"/>
      <c r="H618" s="12"/>
    </row>
    <row r="619" ht="14.25" customHeight="1">
      <c r="B619" s="19"/>
      <c r="C619" s="195"/>
      <c r="D619" s="220"/>
      <c r="E619" s="220"/>
      <c r="F619" s="55"/>
      <c r="G619" s="55"/>
      <c r="H619" s="12"/>
    </row>
    <row r="620" ht="14.25" customHeight="1">
      <c r="B620" s="19"/>
      <c r="C620" s="195"/>
      <c r="D620" s="220"/>
      <c r="E620" s="220"/>
      <c r="F620" s="55"/>
      <c r="G620" s="55"/>
      <c r="H620" s="12"/>
    </row>
    <row r="621" ht="14.25" customHeight="1">
      <c r="B621" s="19"/>
      <c r="C621" s="195"/>
      <c r="D621" s="220"/>
      <c r="E621" s="220"/>
      <c r="F621" s="55"/>
      <c r="G621" s="55"/>
      <c r="H621" s="12"/>
    </row>
    <row r="622" ht="14.25" customHeight="1">
      <c r="B622" s="19"/>
      <c r="C622" s="195"/>
      <c r="D622" s="220"/>
      <c r="E622" s="220"/>
      <c r="F622" s="55"/>
      <c r="G622" s="55"/>
      <c r="H622" s="12"/>
    </row>
    <row r="623" ht="14.25" customHeight="1">
      <c r="B623" s="19"/>
      <c r="C623" s="195"/>
      <c r="D623" s="220"/>
      <c r="E623" s="220"/>
      <c r="F623" s="55"/>
      <c r="G623" s="55"/>
      <c r="H623" s="12"/>
    </row>
    <row r="624" ht="14.25" customHeight="1">
      <c r="B624" s="19"/>
      <c r="C624" s="195"/>
      <c r="D624" s="220"/>
      <c r="E624" s="220"/>
      <c r="F624" s="55"/>
      <c r="G624" s="55"/>
      <c r="H624" s="12"/>
    </row>
    <row r="625" ht="14.25" customHeight="1">
      <c r="B625" s="19"/>
      <c r="C625" s="195"/>
      <c r="D625" s="220"/>
      <c r="E625" s="220"/>
      <c r="F625" s="55"/>
      <c r="G625" s="55"/>
      <c r="H625" s="12"/>
    </row>
    <row r="626" ht="14.25" customHeight="1">
      <c r="B626" s="19"/>
      <c r="C626" s="195"/>
      <c r="D626" s="220"/>
      <c r="E626" s="220"/>
      <c r="F626" s="55"/>
      <c r="G626" s="55"/>
      <c r="H626" s="12"/>
    </row>
    <row r="627" ht="14.25" customHeight="1">
      <c r="B627" s="19"/>
      <c r="C627" s="195"/>
      <c r="D627" s="220"/>
      <c r="E627" s="220"/>
      <c r="F627" s="55"/>
      <c r="G627" s="55"/>
      <c r="H627" s="12"/>
    </row>
    <row r="628" ht="14.25" customHeight="1">
      <c r="B628" s="19"/>
      <c r="C628" s="195"/>
      <c r="D628" s="220"/>
      <c r="E628" s="220"/>
      <c r="F628" s="55"/>
      <c r="G628" s="55"/>
      <c r="H628" s="12"/>
    </row>
    <row r="629" ht="14.25" customHeight="1">
      <c r="B629" s="19"/>
      <c r="C629" s="195"/>
      <c r="D629" s="220"/>
      <c r="E629" s="220"/>
      <c r="F629" s="55"/>
      <c r="G629" s="55"/>
      <c r="H629" s="12"/>
    </row>
    <row r="630" ht="14.25" customHeight="1">
      <c r="B630" s="19"/>
      <c r="C630" s="195"/>
      <c r="D630" s="220"/>
      <c r="E630" s="220"/>
      <c r="F630" s="55"/>
      <c r="G630" s="55"/>
      <c r="H630" s="12"/>
    </row>
    <row r="631" ht="14.25" customHeight="1">
      <c r="B631" s="19"/>
      <c r="C631" s="195"/>
      <c r="D631" s="220"/>
      <c r="E631" s="220"/>
      <c r="F631" s="55"/>
      <c r="G631" s="55"/>
      <c r="H631" s="12"/>
    </row>
    <row r="632" ht="14.25" customHeight="1">
      <c r="B632" s="19"/>
      <c r="C632" s="195"/>
      <c r="D632" s="220"/>
      <c r="E632" s="220"/>
      <c r="F632" s="55"/>
      <c r="G632" s="55"/>
      <c r="H632" s="12"/>
    </row>
    <row r="633" ht="14.25" customHeight="1">
      <c r="B633" s="19"/>
      <c r="C633" s="195"/>
      <c r="D633" s="220"/>
      <c r="E633" s="220"/>
      <c r="F633" s="55"/>
      <c r="G633" s="55"/>
      <c r="H633" s="12"/>
    </row>
    <row r="634" ht="14.25" customHeight="1">
      <c r="B634" s="19"/>
      <c r="C634" s="195"/>
      <c r="D634" s="220"/>
      <c r="E634" s="220"/>
      <c r="F634" s="55"/>
      <c r="G634" s="55"/>
      <c r="H634" s="12"/>
    </row>
    <row r="635" ht="14.25" customHeight="1">
      <c r="B635" s="19"/>
      <c r="C635" s="195"/>
      <c r="D635" s="220"/>
      <c r="E635" s="220"/>
      <c r="F635" s="55"/>
      <c r="G635" s="55"/>
      <c r="H635" s="12"/>
    </row>
    <row r="636" ht="14.25" customHeight="1">
      <c r="B636" s="19"/>
      <c r="C636" s="195"/>
      <c r="D636" s="220"/>
      <c r="E636" s="220"/>
      <c r="F636" s="55"/>
      <c r="G636" s="55"/>
      <c r="H636" s="12"/>
    </row>
    <row r="637" ht="14.25" customHeight="1">
      <c r="B637" s="19"/>
      <c r="C637" s="195"/>
      <c r="D637" s="220"/>
      <c r="E637" s="220"/>
      <c r="F637" s="55"/>
      <c r="G637" s="55"/>
      <c r="H637" s="12"/>
    </row>
    <row r="638" ht="14.25" customHeight="1">
      <c r="B638" s="19"/>
      <c r="C638" s="195"/>
      <c r="D638" s="220"/>
      <c r="E638" s="220"/>
      <c r="F638" s="55"/>
      <c r="G638" s="55"/>
      <c r="H638" s="12"/>
    </row>
    <row r="639" ht="14.25" customHeight="1">
      <c r="B639" s="19"/>
      <c r="C639" s="195"/>
      <c r="D639" s="220"/>
      <c r="E639" s="220"/>
      <c r="F639" s="55"/>
      <c r="G639" s="55"/>
      <c r="H639" s="12"/>
    </row>
    <row r="640" ht="14.25" customHeight="1">
      <c r="B640" s="19"/>
      <c r="C640" s="195"/>
      <c r="D640" s="220"/>
      <c r="E640" s="220"/>
      <c r="F640" s="55"/>
      <c r="G640" s="55"/>
      <c r="H640" s="12"/>
    </row>
    <row r="641" ht="14.25" customHeight="1">
      <c r="B641" s="19"/>
      <c r="C641" s="195"/>
      <c r="D641" s="220"/>
      <c r="E641" s="220"/>
      <c r="F641" s="55"/>
      <c r="G641" s="55"/>
      <c r="H641" s="12"/>
    </row>
    <row r="642" ht="14.25" customHeight="1">
      <c r="B642" s="19"/>
      <c r="C642" s="195"/>
      <c r="D642" s="220"/>
      <c r="E642" s="220"/>
      <c r="F642" s="55"/>
      <c r="G642" s="55"/>
      <c r="H642" s="12"/>
    </row>
    <row r="643" ht="14.25" customHeight="1">
      <c r="B643" s="19"/>
      <c r="C643" s="195"/>
      <c r="D643" s="220"/>
      <c r="E643" s="220"/>
      <c r="F643" s="55"/>
      <c r="G643" s="55"/>
      <c r="H643" s="12"/>
    </row>
    <row r="644" ht="14.25" customHeight="1">
      <c r="B644" s="19"/>
      <c r="C644" s="195"/>
      <c r="D644" s="220"/>
      <c r="E644" s="220"/>
      <c r="F644" s="55"/>
      <c r="G644" s="55"/>
      <c r="H644" s="12"/>
    </row>
    <row r="645" ht="14.25" customHeight="1">
      <c r="B645" s="19"/>
      <c r="C645" s="195"/>
      <c r="D645" s="220"/>
      <c r="E645" s="220"/>
      <c r="F645" s="55"/>
      <c r="G645" s="55"/>
      <c r="H645" s="12"/>
    </row>
    <row r="646" ht="14.25" customHeight="1">
      <c r="B646" s="19"/>
      <c r="C646" s="195"/>
      <c r="D646" s="220"/>
      <c r="E646" s="220"/>
      <c r="F646" s="55"/>
      <c r="G646" s="55"/>
      <c r="H646" s="12"/>
    </row>
    <row r="647" ht="14.25" customHeight="1">
      <c r="B647" s="19"/>
      <c r="C647" s="195"/>
      <c r="D647" s="220"/>
      <c r="E647" s="220"/>
      <c r="F647" s="55"/>
      <c r="G647" s="55"/>
      <c r="H647" s="12"/>
    </row>
    <row r="648" ht="14.25" customHeight="1">
      <c r="B648" s="19"/>
      <c r="C648" s="195"/>
      <c r="D648" s="220"/>
      <c r="E648" s="220"/>
      <c r="F648" s="55"/>
      <c r="G648" s="55"/>
      <c r="H648" s="12"/>
    </row>
    <row r="649" ht="14.25" customHeight="1">
      <c r="B649" s="19"/>
      <c r="C649" s="195"/>
      <c r="D649" s="220"/>
      <c r="E649" s="220"/>
      <c r="F649" s="55"/>
      <c r="G649" s="55"/>
      <c r="H649" s="12"/>
    </row>
    <row r="650" ht="14.25" customHeight="1">
      <c r="B650" s="19"/>
      <c r="C650" s="195"/>
      <c r="D650" s="220"/>
      <c r="E650" s="220"/>
      <c r="F650" s="55"/>
      <c r="G650" s="55"/>
      <c r="H650" s="12"/>
    </row>
    <row r="651" ht="14.25" customHeight="1">
      <c r="B651" s="19"/>
      <c r="C651" s="195"/>
      <c r="D651" s="220"/>
      <c r="E651" s="220"/>
      <c r="F651" s="55"/>
      <c r="G651" s="55"/>
      <c r="H651" s="12"/>
    </row>
    <row r="652" ht="14.25" customHeight="1">
      <c r="B652" s="19"/>
      <c r="C652" s="195"/>
      <c r="D652" s="220"/>
      <c r="E652" s="220"/>
      <c r="F652" s="55"/>
      <c r="G652" s="55"/>
      <c r="H652" s="12"/>
    </row>
    <row r="653" ht="14.25" customHeight="1">
      <c r="B653" s="19"/>
      <c r="C653" s="195"/>
      <c r="D653" s="220"/>
      <c r="E653" s="220"/>
      <c r="F653" s="55"/>
      <c r="G653" s="55"/>
      <c r="H653" s="12"/>
    </row>
    <row r="654" ht="14.25" customHeight="1">
      <c r="B654" s="19"/>
      <c r="C654" s="195"/>
      <c r="D654" s="220"/>
      <c r="E654" s="220"/>
      <c r="F654" s="55"/>
      <c r="G654" s="55"/>
      <c r="H654" s="12"/>
    </row>
    <row r="655" ht="14.25" customHeight="1">
      <c r="B655" s="19"/>
      <c r="C655" s="195"/>
      <c r="D655" s="220"/>
      <c r="E655" s="220"/>
      <c r="F655" s="55"/>
      <c r="G655" s="55"/>
      <c r="H655" s="12"/>
    </row>
    <row r="656" ht="14.25" customHeight="1">
      <c r="B656" s="19"/>
      <c r="C656" s="195"/>
      <c r="D656" s="220"/>
      <c r="E656" s="220"/>
      <c r="F656" s="55"/>
      <c r="G656" s="55"/>
      <c r="H656" s="12"/>
    </row>
    <row r="657" ht="14.25" customHeight="1">
      <c r="B657" s="19"/>
      <c r="C657" s="195"/>
      <c r="D657" s="220"/>
      <c r="E657" s="220"/>
      <c r="F657" s="55"/>
      <c r="G657" s="55"/>
      <c r="H657" s="12"/>
    </row>
    <row r="658" ht="14.25" customHeight="1">
      <c r="B658" s="19"/>
      <c r="C658" s="195"/>
      <c r="D658" s="220"/>
      <c r="E658" s="220"/>
      <c r="F658" s="55"/>
      <c r="G658" s="55"/>
      <c r="H658" s="12"/>
    </row>
    <row r="659" ht="14.25" customHeight="1">
      <c r="B659" s="19"/>
      <c r="C659" s="195"/>
      <c r="D659" s="220"/>
      <c r="E659" s="220"/>
      <c r="F659" s="55"/>
      <c r="G659" s="55"/>
      <c r="H659" s="12"/>
    </row>
    <row r="660" ht="14.25" customHeight="1">
      <c r="B660" s="19"/>
      <c r="C660" s="195"/>
      <c r="D660" s="220"/>
      <c r="E660" s="220"/>
      <c r="F660" s="55"/>
      <c r="G660" s="55"/>
      <c r="H660" s="12"/>
    </row>
    <row r="661" ht="14.25" customHeight="1">
      <c r="B661" s="19"/>
      <c r="C661" s="195"/>
      <c r="D661" s="220"/>
      <c r="E661" s="220"/>
      <c r="F661" s="55"/>
      <c r="G661" s="55"/>
      <c r="H661" s="12"/>
    </row>
    <row r="662" ht="14.25" customHeight="1">
      <c r="B662" s="19"/>
      <c r="C662" s="195"/>
      <c r="D662" s="220"/>
      <c r="E662" s="220"/>
      <c r="F662" s="55"/>
      <c r="G662" s="55"/>
      <c r="H662" s="12"/>
    </row>
    <row r="663" ht="14.25" customHeight="1">
      <c r="B663" s="19"/>
      <c r="C663" s="195"/>
      <c r="D663" s="220"/>
      <c r="E663" s="220"/>
      <c r="F663" s="55"/>
      <c r="G663" s="55"/>
      <c r="H663" s="12"/>
    </row>
    <row r="664" ht="14.25" customHeight="1">
      <c r="B664" s="19"/>
      <c r="C664" s="195"/>
      <c r="D664" s="220"/>
      <c r="E664" s="220"/>
      <c r="F664" s="55"/>
      <c r="G664" s="55"/>
      <c r="H664" s="12"/>
    </row>
    <row r="665" ht="14.25" customHeight="1">
      <c r="B665" s="19"/>
      <c r="C665" s="195"/>
      <c r="D665" s="220"/>
      <c r="E665" s="220"/>
      <c r="F665" s="55"/>
      <c r="G665" s="55"/>
      <c r="H665" s="12"/>
    </row>
    <row r="666" ht="14.25" customHeight="1">
      <c r="B666" s="19"/>
      <c r="C666" s="195"/>
      <c r="D666" s="220"/>
      <c r="E666" s="220"/>
      <c r="F666" s="55"/>
      <c r="G666" s="55"/>
      <c r="H666" s="12"/>
    </row>
    <row r="667" ht="14.25" customHeight="1">
      <c r="B667" s="19"/>
      <c r="C667" s="195"/>
      <c r="D667" s="220"/>
      <c r="E667" s="220"/>
      <c r="F667" s="55"/>
      <c r="G667" s="55"/>
      <c r="H667" s="12"/>
    </row>
    <row r="668" ht="14.25" customHeight="1">
      <c r="B668" s="19"/>
      <c r="C668" s="195"/>
      <c r="D668" s="220"/>
      <c r="E668" s="220"/>
      <c r="F668" s="55"/>
      <c r="G668" s="55"/>
      <c r="H668" s="12"/>
    </row>
    <row r="669" ht="14.25" customHeight="1">
      <c r="B669" s="19"/>
      <c r="C669" s="195"/>
      <c r="D669" s="220"/>
      <c r="E669" s="220"/>
      <c r="F669" s="55"/>
      <c r="G669" s="55"/>
      <c r="H669" s="12"/>
    </row>
    <row r="670" ht="14.25" customHeight="1">
      <c r="B670" s="19"/>
      <c r="C670" s="195"/>
      <c r="D670" s="220"/>
      <c r="E670" s="220"/>
      <c r="F670" s="55"/>
      <c r="G670" s="55"/>
      <c r="H670" s="12"/>
    </row>
    <row r="671" ht="14.25" customHeight="1">
      <c r="B671" s="19"/>
      <c r="C671" s="195"/>
      <c r="D671" s="220"/>
      <c r="E671" s="220"/>
      <c r="F671" s="55"/>
      <c r="G671" s="55"/>
      <c r="H671" s="12"/>
    </row>
    <row r="672" ht="14.25" customHeight="1">
      <c r="B672" s="19"/>
      <c r="C672" s="195"/>
      <c r="D672" s="220"/>
      <c r="E672" s="220"/>
      <c r="F672" s="55"/>
      <c r="G672" s="55"/>
      <c r="H672" s="12"/>
    </row>
    <row r="673" ht="14.25" customHeight="1">
      <c r="B673" s="19"/>
      <c r="C673" s="195"/>
      <c r="D673" s="220"/>
      <c r="E673" s="220"/>
      <c r="F673" s="55"/>
      <c r="G673" s="55"/>
      <c r="H673" s="12"/>
    </row>
    <row r="674" ht="14.25" customHeight="1">
      <c r="B674" s="19"/>
      <c r="C674" s="195"/>
      <c r="D674" s="220"/>
      <c r="E674" s="220"/>
      <c r="F674" s="55"/>
      <c r="G674" s="55"/>
      <c r="H674" s="12"/>
    </row>
    <row r="675" ht="14.25" customHeight="1">
      <c r="B675" s="19"/>
      <c r="C675" s="195"/>
      <c r="D675" s="220"/>
      <c r="E675" s="220"/>
      <c r="F675" s="55"/>
      <c r="G675" s="55"/>
      <c r="H675" s="12"/>
    </row>
    <row r="676" ht="14.25" customHeight="1">
      <c r="B676" s="19"/>
      <c r="C676" s="195"/>
      <c r="D676" s="220"/>
      <c r="E676" s="220"/>
      <c r="F676" s="55"/>
      <c r="G676" s="55"/>
      <c r="H676" s="12"/>
    </row>
    <row r="677" ht="14.25" customHeight="1">
      <c r="B677" s="19"/>
      <c r="C677" s="195"/>
      <c r="D677" s="220"/>
      <c r="E677" s="220"/>
      <c r="F677" s="55"/>
      <c r="G677" s="55"/>
      <c r="H677" s="12"/>
    </row>
    <row r="678" ht="14.25" customHeight="1">
      <c r="B678" s="19"/>
      <c r="C678" s="195"/>
      <c r="D678" s="220"/>
      <c r="E678" s="220"/>
      <c r="F678" s="55"/>
      <c r="G678" s="55"/>
      <c r="H678" s="12"/>
    </row>
    <row r="679" ht="14.25" customHeight="1">
      <c r="B679" s="19"/>
      <c r="C679" s="195"/>
      <c r="D679" s="220"/>
      <c r="E679" s="220"/>
      <c r="F679" s="55"/>
      <c r="G679" s="55"/>
      <c r="H679" s="12"/>
    </row>
    <row r="680" ht="14.25" customHeight="1">
      <c r="B680" s="19"/>
      <c r="C680" s="195"/>
      <c r="D680" s="220"/>
      <c r="E680" s="220"/>
      <c r="F680" s="55"/>
      <c r="G680" s="55"/>
      <c r="H680" s="12"/>
    </row>
    <row r="681" ht="14.25" customHeight="1">
      <c r="B681" s="19"/>
      <c r="C681" s="195"/>
      <c r="D681" s="220"/>
      <c r="E681" s="220"/>
      <c r="F681" s="55"/>
      <c r="G681" s="55"/>
      <c r="H681" s="12"/>
    </row>
    <row r="682" ht="14.25" customHeight="1">
      <c r="B682" s="19"/>
      <c r="C682" s="195"/>
      <c r="D682" s="220"/>
      <c r="E682" s="220"/>
      <c r="F682" s="55"/>
      <c r="G682" s="55"/>
      <c r="H682" s="12"/>
    </row>
    <row r="683" ht="14.25" customHeight="1">
      <c r="B683" s="19"/>
      <c r="C683" s="195"/>
      <c r="D683" s="220"/>
      <c r="E683" s="220"/>
      <c r="F683" s="55"/>
      <c r="G683" s="55"/>
      <c r="H683" s="12"/>
    </row>
    <row r="684" ht="14.25" customHeight="1">
      <c r="B684" s="19"/>
      <c r="C684" s="195"/>
      <c r="D684" s="220"/>
      <c r="E684" s="220"/>
      <c r="F684" s="55"/>
      <c r="G684" s="55"/>
      <c r="H684" s="12"/>
    </row>
    <row r="685" ht="14.25" customHeight="1">
      <c r="B685" s="19"/>
      <c r="C685" s="195"/>
      <c r="D685" s="220"/>
      <c r="E685" s="220"/>
      <c r="F685" s="55"/>
      <c r="G685" s="55"/>
      <c r="H685" s="12"/>
    </row>
    <row r="686" ht="14.25" customHeight="1">
      <c r="B686" s="19"/>
      <c r="C686" s="195"/>
      <c r="D686" s="220"/>
      <c r="E686" s="220"/>
      <c r="F686" s="55"/>
      <c r="G686" s="55"/>
      <c r="H686" s="12"/>
    </row>
    <row r="687" ht="14.25" customHeight="1">
      <c r="B687" s="19"/>
      <c r="C687" s="195"/>
      <c r="D687" s="220"/>
      <c r="E687" s="220"/>
      <c r="F687" s="55"/>
      <c r="G687" s="55"/>
      <c r="H687" s="12"/>
    </row>
    <row r="688" ht="14.25" customHeight="1">
      <c r="B688" s="19"/>
      <c r="C688" s="195"/>
      <c r="D688" s="220"/>
      <c r="E688" s="220"/>
      <c r="F688" s="55"/>
      <c r="G688" s="55"/>
      <c r="H688" s="12"/>
    </row>
    <row r="689" ht="14.25" customHeight="1">
      <c r="B689" s="19"/>
      <c r="C689" s="195"/>
      <c r="D689" s="220"/>
      <c r="E689" s="220"/>
      <c r="F689" s="55"/>
      <c r="G689" s="55"/>
      <c r="H689" s="12"/>
    </row>
    <row r="690" ht="14.25" customHeight="1">
      <c r="B690" s="19"/>
      <c r="C690" s="195"/>
      <c r="D690" s="220"/>
      <c r="E690" s="220"/>
      <c r="F690" s="55"/>
      <c r="G690" s="55"/>
      <c r="H690" s="12"/>
    </row>
    <row r="691" ht="14.25" customHeight="1">
      <c r="B691" s="19"/>
      <c r="C691" s="195"/>
      <c r="D691" s="220"/>
      <c r="E691" s="220"/>
      <c r="F691" s="55"/>
      <c r="G691" s="55"/>
      <c r="H691" s="12"/>
    </row>
    <row r="692" ht="14.25" customHeight="1">
      <c r="B692" s="19"/>
      <c r="C692" s="195"/>
      <c r="D692" s="220"/>
      <c r="E692" s="220"/>
      <c r="F692" s="55"/>
      <c r="G692" s="55"/>
      <c r="H692" s="12"/>
    </row>
    <row r="693" ht="14.25" customHeight="1">
      <c r="B693" s="19"/>
      <c r="C693" s="195"/>
      <c r="D693" s="220"/>
      <c r="E693" s="220"/>
      <c r="F693" s="55"/>
      <c r="G693" s="55"/>
      <c r="H693" s="12"/>
    </row>
    <row r="694" ht="14.25" customHeight="1">
      <c r="B694" s="19"/>
      <c r="C694" s="195"/>
      <c r="D694" s="220"/>
      <c r="E694" s="220"/>
      <c r="F694" s="55"/>
      <c r="G694" s="55"/>
      <c r="H694" s="12"/>
    </row>
    <row r="695" ht="14.25" customHeight="1">
      <c r="B695" s="19"/>
      <c r="C695" s="195"/>
      <c r="D695" s="220"/>
      <c r="E695" s="220"/>
      <c r="F695" s="55"/>
      <c r="G695" s="55"/>
      <c r="H695" s="12"/>
    </row>
    <row r="696" ht="14.25" customHeight="1">
      <c r="B696" s="19"/>
      <c r="C696" s="195"/>
      <c r="D696" s="220"/>
      <c r="E696" s="220"/>
      <c r="F696" s="55"/>
      <c r="G696" s="55"/>
      <c r="H696" s="12"/>
    </row>
    <row r="697" ht="14.25" customHeight="1">
      <c r="B697" s="19"/>
      <c r="C697" s="195"/>
      <c r="D697" s="220"/>
      <c r="E697" s="220"/>
      <c r="F697" s="55"/>
      <c r="G697" s="55"/>
      <c r="H697" s="12"/>
    </row>
    <row r="698" ht="14.25" customHeight="1">
      <c r="B698" s="19"/>
      <c r="C698" s="195"/>
      <c r="D698" s="220"/>
      <c r="E698" s="220"/>
      <c r="F698" s="55"/>
      <c r="G698" s="55"/>
      <c r="H698" s="12"/>
    </row>
    <row r="699" ht="14.25" customHeight="1">
      <c r="B699" s="19"/>
      <c r="C699" s="195"/>
      <c r="D699" s="220"/>
      <c r="E699" s="220"/>
      <c r="F699" s="55"/>
      <c r="G699" s="55"/>
      <c r="H699" s="12"/>
    </row>
    <row r="700" ht="14.25" customHeight="1">
      <c r="B700" s="19"/>
      <c r="C700" s="195"/>
      <c r="D700" s="220"/>
      <c r="E700" s="220"/>
      <c r="F700" s="55"/>
      <c r="G700" s="55"/>
      <c r="H700" s="12"/>
    </row>
    <row r="701" ht="14.25" customHeight="1">
      <c r="B701" s="19"/>
      <c r="C701" s="195"/>
      <c r="D701" s="220"/>
      <c r="E701" s="220"/>
      <c r="F701" s="55"/>
      <c r="G701" s="55"/>
      <c r="H701" s="12"/>
    </row>
    <row r="702" ht="14.25" customHeight="1">
      <c r="B702" s="19"/>
      <c r="C702" s="195"/>
      <c r="D702" s="220"/>
      <c r="E702" s="220"/>
      <c r="F702" s="55"/>
      <c r="G702" s="55"/>
      <c r="H702" s="12"/>
    </row>
    <row r="703" ht="14.25" customHeight="1">
      <c r="B703" s="19"/>
      <c r="C703" s="195"/>
      <c r="D703" s="220"/>
      <c r="E703" s="220"/>
      <c r="F703" s="55"/>
      <c r="G703" s="55"/>
      <c r="H703" s="12"/>
    </row>
    <row r="704" ht="14.25" customHeight="1">
      <c r="B704" s="19"/>
      <c r="C704" s="195"/>
      <c r="D704" s="220"/>
      <c r="E704" s="220"/>
      <c r="F704" s="55"/>
      <c r="G704" s="55"/>
      <c r="H704" s="12"/>
    </row>
    <row r="705" ht="14.25" customHeight="1">
      <c r="B705" s="19"/>
      <c r="C705" s="195"/>
      <c r="D705" s="220"/>
      <c r="E705" s="220"/>
      <c r="F705" s="55"/>
      <c r="G705" s="55"/>
      <c r="H705" s="12"/>
    </row>
    <row r="706" ht="14.25" customHeight="1">
      <c r="B706" s="19"/>
      <c r="C706" s="195"/>
      <c r="D706" s="220"/>
      <c r="E706" s="220"/>
      <c r="F706" s="55"/>
      <c r="G706" s="55"/>
      <c r="H706" s="12"/>
    </row>
    <row r="707" ht="14.25" customHeight="1">
      <c r="B707" s="19"/>
      <c r="C707" s="195"/>
      <c r="D707" s="220"/>
      <c r="E707" s="220"/>
      <c r="F707" s="55"/>
      <c r="G707" s="55"/>
      <c r="H707" s="12"/>
    </row>
    <row r="708" ht="14.25" customHeight="1">
      <c r="B708" s="19"/>
      <c r="C708" s="195"/>
      <c r="D708" s="220"/>
      <c r="E708" s="220"/>
      <c r="F708" s="55"/>
      <c r="G708" s="55"/>
      <c r="H708" s="12"/>
    </row>
    <row r="709" ht="14.25" customHeight="1">
      <c r="B709" s="19"/>
      <c r="C709" s="195"/>
      <c r="D709" s="220"/>
      <c r="E709" s="220"/>
      <c r="F709" s="55"/>
      <c r="G709" s="55"/>
      <c r="H709" s="12"/>
    </row>
    <row r="710" ht="14.25" customHeight="1">
      <c r="B710" s="19"/>
      <c r="C710" s="195"/>
      <c r="D710" s="220"/>
      <c r="E710" s="220"/>
      <c r="F710" s="55"/>
      <c r="G710" s="55"/>
      <c r="H710" s="12"/>
    </row>
    <row r="711" ht="14.25" customHeight="1">
      <c r="B711" s="19"/>
      <c r="C711" s="195"/>
      <c r="D711" s="220"/>
      <c r="E711" s="220"/>
      <c r="F711" s="55"/>
      <c r="G711" s="55"/>
      <c r="H711" s="12"/>
    </row>
    <row r="712" ht="14.25" customHeight="1">
      <c r="B712" s="19"/>
      <c r="C712" s="195"/>
      <c r="D712" s="220"/>
      <c r="E712" s="220"/>
      <c r="F712" s="55"/>
      <c r="G712" s="55"/>
      <c r="H712" s="12"/>
    </row>
    <row r="713" ht="14.25" customHeight="1">
      <c r="B713" s="19"/>
      <c r="C713" s="195"/>
      <c r="D713" s="220"/>
      <c r="E713" s="220"/>
      <c r="F713" s="55"/>
      <c r="G713" s="55"/>
      <c r="H713" s="12"/>
    </row>
    <row r="714" ht="14.25" customHeight="1">
      <c r="B714" s="19"/>
      <c r="C714" s="195"/>
      <c r="D714" s="220"/>
      <c r="E714" s="220"/>
      <c r="F714" s="55"/>
      <c r="G714" s="55"/>
      <c r="H714" s="12"/>
    </row>
    <row r="715" ht="14.25" customHeight="1">
      <c r="B715" s="19"/>
      <c r="C715" s="195"/>
      <c r="D715" s="220"/>
      <c r="E715" s="220"/>
      <c r="F715" s="55"/>
      <c r="G715" s="55"/>
      <c r="H715" s="12"/>
    </row>
    <row r="716" ht="14.25" customHeight="1">
      <c r="B716" s="19"/>
      <c r="C716" s="195"/>
      <c r="D716" s="220"/>
      <c r="E716" s="220"/>
      <c r="F716" s="55"/>
      <c r="G716" s="55"/>
      <c r="H716" s="12"/>
    </row>
    <row r="717" ht="14.25" customHeight="1">
      <c r="B717" s="19"/>
      <c r="C717" s="195"/>
      <c r="D717" s="220"/>
      <c r="E717" s="220"/>
      <c r="F717" s="55"/>
      <c r="G717" s="55"/>
      <c r="H717" s="12"/>
    </row>
    <row r="718" ht="14.25" customHeight="1">
      <c r="B718" s="19"/>
      <c r="C718" s="195"/>
      <c r="D718" s="220"/>
      <c r="E718" s="220"/>
      <c r="F718" s="55"/>
      <c r="G718" s="55"/>
      <c r="H718" s="12"/>
    </row>
    <row r="719" ht="14.25" customHeight="1">
      <c r="B719" s="19"/>
      <c r="C719" s="195"/>
      <c r="D719" s="220"/>
      <c r="E719" s="220"/>
      <c r="F719" s="55"/>
      <c r="G719" s="55"/>
      <c r="H719" s="12"/>
    </row>
    <row r="720" ht="14.25" customHeight="1">
      <c r="B720" s="19"/>
      <c r="C720" s="195"/>
      <c r="D720" s="220"/>
      <c r="E720" s="220"/>
      <c r="F720" s="55"/>
      <c r="G720" s="55"/>
      <c r="H720" s="12"/>
    </row>
    <row r="721" ht="14.25" customHeight="1">
      <c r="B721" s="19"/>
      <c r="C721" s="195"/>
      <c r="D721" s="220"/>
      <c r="E721" s="220"/>
      <c r="F721" s="55"/>
      <c r="G721" s="55"/>
      <c r="H721" s="12"/>
    </row>
    <row r="722" ht="14.25" customHeight="1">
      <c r="B722" s="19"/>
      <c r="C722" s="195"/>
      <c r="D722" s="220"/>
      <c r="E722" s="220"/>
      <c r="F722" s="55"/>
      <c r="G722" s="55"/>
      <c r="H722" s="12"/>
    </row>
    <row r="723" ht="14.25" customHeight="1">
      <c r="B723" s="19"/>
      <c r="C723" s="195"/>
      <c r="D723" s="220"/>
      <c r="E723" s="220"/>
      <c r="F723" s="55"/>
      <c r="G723" s="55"/>
      <c r="H723" s="12"/>
    </row>
    <row r="724" ht="14.25" customHeight="1">
      <c r="B724" s="19"/>
      <c r="C724" s="195"/>
      <c r="D724" s="220"/>
      <c r="E724" s="220"/>
      <c r="F724" s="55"/>
      <c r="G724" s="55"/>
      <c r="H724" s="12"/>
    </row>
    <row r="725" ht="14.25" customHeight="1">
      <c r="B725" s="19"/>
      <c r="C725" s="195"/>
      <c r="D725" s="220"/>
      <c r="E725" s="220"/>
      <c r="F725" s="55"/>
      <c r="G725" s="55"/>
      <c r="H725" s="12"/>
    </row>
    <row r="726" ht="14.25" customHeight="1">
      <c r="B726" s="19"/>
      <c r="C726" s="195"/>
      <c r="D726" s="220"/>
      <c r="E726" s="220"/>
      <c r="F726" s="55"/>
      <c r="G726" s="55"/>
      <c r="H726" s="12"/>
    </row>
    <row r="727" ht="14.25" customHeight="1">
      <c r="B727" s="19"/>
      <c r="C727" s="195"/>
      <c r="D727" s="220"/>
      <c r="E727" s="220"/>
      <c r="F727" s="55"/>
      <c r="G727" s="55"/>
      <c r="H727" s="12"/>
    </row>
    <row r="728" ht="14.25" customHeight="1">
      <c r="B728" s="19"/>
      <c r="C728" s="195"/>
      <c r="D728" s="220"/>
      <c r="E728" s="220"/>
      <c r="F728" s="55"/>
      <c r="G728" s="55"/>
      <c r="H728" s="12"/>
    </row>
    <row r="729" ht="14.25" customHeight="1">
      <c r="B729" s="19"/>
      <c r="C729" s="195"/>
      <c r="D729" s="220"/>
      <c r="E729" s="220"/>
      <c r="F729" s="55"/>
      <c r="G729" s="55"/>
      <c r="H729" s="12"/>
    </row>
    <row r="730" ht="14.25" customHeight="1">
      <c r="B730" s="19"/>
      <c r="C730" s="195"/>
      <c r="D730" s="220"/>
      <c r="E730" s="220"/>
      <c r="F730" s="55"/>
      <c r="G730" s="55"/>
      <c r="H730" s="12"/>
    </row>
    <row r="731" ht="14.25" customHeight="1">
      <c r="B731" s="19"/>
      <c r="C731" s="195"/>
      <c r="D731" s="220"/>
      <c r="E731" s="220"/>
      <c r="F731" s="55"/>
      <c r="G731" s="55"/>
      <c r="H731" s="12"/>
    </row>
    <row r="732" ht="14.25" customHeight="1">
      <c r="B732" s="19"/>
      <c r="C732" s="195"/>
      <c r="D732" s="220"/>
      <c r="E732" s="220"/>
      <c r="F732" s="55"/>
      <c r="G732" s="55"/>
      <c r="H732" s="12"/>
    </row>
    <row r="733" ht="14.25" customHeight="1">
      <c r="B733" s="19"/>
      <c r="C733" s="195"/>
      <c r="D733" s="220"/>
      <c r="E733" s="220"/>
      <c r="F733" s="55"/>
      <c r="G733" s="55"/>
      <c r="H733" s="12"/>
    </row>
    <row r="734" ht="14.25" customHeight="1">
      <c r="B734" s="19"/>
      <c r="C734" s="195"/>
      <c r="D734" s="220"/>
      <c r="E734" s="220"/>
      <c r="F734" s="55"/>
      <c r="G734" s="55"/>
      <c r="H734" s="12"/>
    </row>
    <row r="735" ht="14.25" customHeight="1">
      <c r="B735" s="19"/>
      <c r="C735" s="195"/>
      <c r="D735" s="220"/>
      <c r="E735" s="220"/>
      <c r="F735" s="55"/>
      <c r="G735" s="55"/>
      <c r="H735" s="12"/>
    </row>
    <row r="736" ht="14.25" customHeight="1">
      <c r="B736" s="19"/>
      <c r="C736" s="195"/>
      <c r="D736" s="220"/>
      <c r="E736" s="220"/>
      <c r="F736" s="55"/>
      <c r="G736" s="55"/>
      <c r="H736" s="12"/>
    </row>
    <row r="737" ht="14.25" customHeight="1">
      <c r="B737" s="19"/>
      <c r="C737" s="195"/>
      <c r="D737" s="220"/>
      <c r="E737" s="220"/>
      <c r="F737" s="55"/>
      <c r="G737" s="55"/>
      <c r="H737" s="12"/>
    </row>
    <row r="738" ht="14.25" customHeight="1">
      <c r="B738" s="19"/>
      <c r="C738" s="195"/>
      <c r="D738" s="220"/>
      <c r="E738" s="220"/>
      <c r="F738" s="55"/>
      <c r="G738" s="55"/>
      <c r="H738" s="12"/>
    </row>
    <row r="739" ht="14.25" customHeight="1">
      <c r="B739" s="19"/>
      <c r="C739" s="195"/>
      <c r="D739" s="220"/>
      <c r="E739" s="220"/>
      <c r="F739" s="55"/>
      <c r="G739" s="55"/>
      <c r="H739" s="12"/>
    </row>
    <row r="740" ht="14.25" customHeight="1">
      <c r="B740" s="19"/>
      <c r="C740" s="195"/>
      <c r="D740" s="220"/>
      <c r="E740" s="220"/>
      <c r="F740" s="55"/>
      <c r="G740" s="55"/>
      <c r="H740" s="12"/>
    </row>
    <row r="741" ht="14.25" customHeight="1">
      <c r="B741" s="19"/>
      <c r="C741" s="195"/>
      <c r="D741" s="220"/>
      <c r="E741" s="220"/>
      <c r="F741" s="55"/>
      <c r="G741" s="55"/>
      <c r="H741" s="12"/>
    </row>
    <row r="742" ht="14.25" customHeight="1">
      <c r="B742" s="19"/>
      <c r="C742" s="195"/>
      <c r="D742" s="220"/>
      <c r="E742" s="220"/>
      <c r="F742" s="55"/>
      <c r="G742" s="55"/>
      <c r="H742" s="12"/>
    </row>
    <row r="743" ht="14.25" customHeight="1">
      <c r="B743" s="19"/>
      <c r="C743" s="195"/>
      <c r="D743" s="220"/>
      <c r="E743" s="220"/>
      <c r="F743" s="55"/>
      <c r="G743" s="55"/>
      <c r="H743" s="12"/>
    </row>
    <row r="744" ht="14.25" customHeight="1">
      <c r="B744" s="19"/>
      <c r="C744" s="195"/>
      <c r="D744" s="220"/>
      <c r="E744" s="220"/>
      <c r="F744" s="55"/>
      <c r="G744" s="55"/>
      <c r="H744" s="12"/>
    </row>
    <row r="745" ht="14.25" customHeight="1">
      <c r="B745" s="19"/>
      <c r="C745" s="195"/>
      <c r="D745" s="220"/>
      <c r="E745" s="220"/>
      <c r="F745" s="55"/>
      <c r="G745" s="55"/>
      <c r="H745" s="12"/>
    </row>
    <row r="746" ht="14.25" customHeight="1">
      <c r="B746" s="19"/>
      <c r="C746" s="195"/>
      <c r="D746" s="220"/>
      <c r="E746" s="220"/>
      <c r="F746" s="55"/>
      <c r="G746" s="55"/>
      <c r="H746" s="12"/>
    </row>
    <row r="747" ht="14.25" customHeight="1">
      <c r="B747" s="19"/>
      <c r="C747" s="195"/>
      <c r="D747" s="220"/>
      <c r="E747" s="220"/>
      <c r="F747" s="55"/>
      <c r="G747" s="55"/>
      <c r="H747" s="12"/>
    </row>
    <row r="748" ht="14.25" customHeight="1">
      <c r="B748" s="19"/>
      <c r="C748" s="195"/>
      <c r="D748" s="220"/>
      <c r="E748" s="220"/>
      <c r="F748" s="55"/>
      <c r="G748" s="55"/>
      <c r="H748" s="12"/>
    </row>
    <row r="749" ht="14.25" customHeight="1">
      <c r="B749" s="19"/>
      <c r="C749" s="195"/>
      <c r="D749" s="220"/>
      <c r="E749" s="220"/>
      <c r="F749" s="55"/>
      <c r="G749" s="55"/>
      <c r="H749" s="12"/>
    </row>
    <row r="750" ht="14.25" customHeight="1">
      <c r="B750" s="19"/>
      <c r="C750" s="195"/>
      <c r="D750" s="220"/>
      <c r="E750" s="220"/>
      <c r="F750" s="55"/>
      <c r="G750" s="55"/>
      <c r="H750" s="12"/>
    </row>
    <row r="751" ht="14.25" customHeight="1">
      <c r="B751" s="19"/>
      <c r="C751" s="195"/>
      <c r="D751" s="220"/>
      <c r="E751" s="220"/>
      <c r="F751" s="55"/>
      <c r="G751" s="55"/>
      <c r="H751" s="12"/>
    </row>
    <row r="752" ht="14.25" customHeight="1">
      <c r="B752" s="19"/>
      <c r="C752" s="195"/>
      <c r="D752" s="220"/>
      <c r="E752" s="220"/>
      <c r="F752" s="55"/>
      <c r="G752" s="55"/>
      <c r="H752" s="12"/>
    </row>
    <row r="753" ht="14.25" customHeight="1">
      <c r="B753" s="19"/>
      <c r="C753" s="195"/>
      <c r="D753" s="220"/>
      <c r="E753" s="220"/>
      <c r="F753" s="55"/>
      <c r="G753" s="55"/>
      <c r="H753" s="12"/>
    </row>
    <row r="754" ht="14.25" customHeight="1">
      <c r="B754" s="19"/>
      <c r="C754" s="195"/>
      <c r="D754" s="220"/>
      <c r="E754" s="220"/>
      <c r="F754" s="55"/>
      <c r="G754" s="55"/>
      <c r="H754" s="12"/>
    </row>
    <row r="755" ht="14.25" customHeight="1">
      <c r="B755" s="19"/>
      <c r="C755" s="195"/>
      <c r="D755" s="220"/>
      <c r="E755" s="220"/>
      <c r="F755" s="55"/>
      <c r="G755" s="55"/>
      <c r="H755" s="12"/>
    </row>
    <row r="756" ht="14.25" customHeight="1">
      <c r="B756" s="19"/>
      <c r="C756" s="195"/>
      <c r="D756" s="220"/>
      <c r="E756" s="220"/>
      <c r="F756" s="55"/>
      <c r="G756" s="55"/>
      <c r="H756" s="12"/>
    </row>
    <row r="757" ht="14.25" customHeight="1">
      <c r="B757" s="19"/>
      <c r="C757" s="195"/>
      <c r="D757" s="220"/>
      <c r="E757" s="220"/>
      <c r="F757" s="55"/>
      <c r="G757" s="55"/>
      <c r="H757" s="12"/>
    </row>
    <row r="758" ht="14.25" customHeight="1">
      <c r="B758" s="19"/>
      <c r="C758" s="195"/>
      <c r="D758" s="220"/>
      <c r="E758" s="220"/>
      <c r="F758" s="55"/>
      <c r="G758" s="55"/>
      <c r="H758" s="12"/>
    </row>
    <row r="759" ht="14.25" customHeight="1">
      <c r="B759" s="19"/>
      <c r="C759" s="195"/>
      <c r="D759" s="220"/>
      <c r="E759" s="220"/>
      <c r="F759" s="55"/>
      <c r="G759" s="55"/>
      <c r="H759" s="12"/>
    </row>
    <row r="760" ht="14.25" customHeight="1">
      <c r="B760" s="19"/>
      <c r="C760" s="195"/>
      <c r="D760" s="220"/>
      <c r="E760" s="220"/>
      <c r="F760" s="55"/>
      <c r="G760" s="55"/>
      <c r="H760" s="12"/>
    </row>
    <row r="761" ht="14.25" customHeight="1">
      <c r="B761" s="19"/>
      <c r="C761" s="195"/>
      <c r="D761" s="220"/>
      <c r="E761" s="220"/>
      <c r="F761" s="55"/>
      <c r="G761" s="55"/>
      <c r="H761" s="12"/>
    </row>
    <row r="762" ht="14.25" customHeight="1">
      <c r="B762" s="19"/>
      <c r="C762" s="195"/>
      <c r="D762" s="220"/>
      <c r="E762" s="220"/>
      <c r="F762" s="55"/>
      <c r="G762" s="55"/>
      <c r="H762" s="12"/>
    </row>
    <row r="763" ht="14.25" customHeight="1">
      <c r="B763" s="19"/>
      <c r="C763" s="195"/>
      <c r="D763" s="220"/>
      <c r="E763" s="220"/>
      <c r="F763" s="55"/>
      <c r="G763" s="55"/>
      <c r="H763" s="12"/>
    </row>
    <row r="764" ht="14.25" customHeight="1">
      <c r="B764" s="19"/>
      <c r="C764" s="195"/>
      <c r="D764" s="220"/>
      <c r="E764" s="220"/>
      <c r="F764" s="55"/>
      <c r="G764" s="55"/>
      <c r="H764" s="12"/>
    </row>
    <row r="765" ht="14.25" customHeight="1">
      <c r="B765" s="19"/>
      <c r="C765" s="195"/>
      <c r="D765" s="220"/>
      <c r="E765" s="220"/>
      <c r="F765" s="55"/>
      <c r="G765" s="55"/>
      <c r="H765" s="12"/>
    </row>
    <row r="766" ht="14.25" customHeight="1">
      <c r="B766" s="19"/>
      <c r="C766" s="195"/>
      <c r="D766" s="220"/>
      <c r="E766" s="220"/>
      <c r="F766" s="55"/>
      <c r="G766" s="55"/>
      <c r="H766" s="12"/>
    </row>
    <row r="767" ht="14.25" customHeight="1">
      <c r="B767" s="19"/>
      <c r="C767" s="195"/>
      <c r="D767" s="220"/>
      <c r="E767" s="220"/>
      <c r="F767" s="55"/>
      <c r="G767" s="55"/>
      <c r="H767" s="12"/>
    </row>
    <row r="768" ht="14.25" customHeight="1">
      <c r="B768" s="19"/>
      <c r="C768" s="195"/>
      <c r="D768" s="220"/>
      <c r="E768" s="220"/>
      <c r="F768" s="55"/>
      <c r="G768" s="55"/>
      <c r="H768" s="12"/>
    </row>
    <row r="769" ht="14.25" customHeight="1">
      <c r="B769" s="19"/>
      <c r="C769" s="195"/>
      <c r="D769" s="220"/>
      <c r="E769" s="220"/>
      <c r="F769" s="55"/>
      <c r="G769" s="55"/>
      <c r="H769" s="12"/>
    </row>
    <row r="770" ht="14.25" customHeight="1">
      <c r="B770" s="19"/>
      <c r="C770" s="195"/>
      <c r="D770" s="220"/>
      <c r="E770" s="220"/>
      <c r="F770" s="55"/>
      <c r="G770" s="55"/>
      <c r="H770" s="12"/>
    </row>
    <row r="771" ht="14.25" customHeight="1">
      <c r="B771" s="19"/>
      <c r="C771" s="195"/>
      <c r="D771" s="220"/>
      <c r="E771" s="220"/>
      <c r="F771" s="55"/>
      <c r="G771" s="55"/>
      <c r="H771" s="12"/>
    </row>
    <row r="772" ht="14.25" customHeight="1">
      <c r="B772" s="19"/>
      <c r="C772" s="195"/>
      <c r="D772" s="220"/>
      <c r="E772" s="220"/>
      <c r="F772" s="55"/>
      <c r="G772" s="55"/>
      <c r="H772" s="12"/>
    </row>
    <row r="773" ht="14.25" customHeight="1">
      <c r="B773" s="19"/>
      <c r="C773" s="195"/>
      <c r="D773" s="220"/>
      <c r="E773" s="220"/>
      <c r="F773" s="55"/>
      <c r="G773" s="55"/>
      <c r="H773" s="12"/>
    </row>
    <row r="774" ht="14.25" customHeight="1">
      <c r="B774" s="19"/>
      <c r="C774" s="195"/>
      <c r="D774" s="220"/>
      <c r="E774" s="220"/>
      <c r="F774" s="55"/>
      <c r="G774" s="55"/>
      <c r="H774" s="12"/>
    </row>
    <row r="775" ht="14.25" customHeight="1">
      <c r="B775" s="19"/>
      <c r="C775" s="195"/>
      <c r="D775" s="220"/>
      <c r="E775" s="220"/>
      <c r="F775" s="55"/>
      <c r="G775" s="55"/>
      <c r="H775" s="12"/>
    </row>
    <row r="776" ht="14.25" customHeight="1">
      <c r="B776" s="19"/>
      <c r="C776" s="195"/>
      <c r="D776" s="220"/>
      <c r="E776" s="220"/>
      <c r="F776" s="55"/>
      <c r="G776" s="55"/>
      <c r="H776" s="12"/>
    </row>
    <row r="777" ht="14.25" customHeight="1">
      <c r="B777" s="19"/>
      <c r="C777" s="195"/>
      <c r="D777" s="220"/>
      <c r="E777" s="220"/>
      <c r="F777" s="55"/>
      <c r="G777" s="55"/>
      <c r="H777" s="12"/>
    </row>
    <row r="778" ht="14.25" customHeight="1">
      <c r="B778" s="19"/>
      <c r="C778" s="195"/>
      <c r="D778" s="220"/>
      <c r="E778" s="220"/>
      <c r="F778" s="55"/>
      <c r="G778" s="55"/>
      <c r="H778" s="12"/>
    </row>
    <row r="779" ht="14.25" customHeight="1">
      <c r="B779" s="19"/>
      <c r="C779" s="195"/>
      <c r="D779" s="220"/>
      <c r="E779" s="220"/>
      <c r="F779" s="55"/>
      <c r="G779" s="55"/>
      <c r="H779" s="12"/>
    </row>
    <row r="780" ht="14.25" customHeight="1">
      <c r="B780" s="19"/>
      <c r="C780" s="195"/>
      <c r="D780" s="220"/>
      <c r="E780" s="220"/>
      <c r="F780" s="55"/>
      <c r="G780" s="55"/>
      <c r="H780" s="12"/>
    </row>
    <row r="781" ht="14.25" customHeight="1">
      <c r="B781" s="19"/>
      <c r="C781" s="195"/>
      <c r="D781" s="220"/>
      <c r="E781" s="220"/>
      <c r="F781" s="55"/>
      <c r="G781" s="55"/>
      <c r="H781" s="12"/>
    </row>
    <row r="782" ht="14.25" customHeight="1">
      <c r="B782" s="19"/>
      <c r="C782" s="195"/>
      <c r="D782" s="220"/>
      <c r="E782" s="220"/>
      <c r="F782" s="55"/>
      <c r="G782" s="55"/>
      <c r="H782" s="12"/>
    </row>
    <row r="783" ht="14.25" customHeight="1">
      <c r="B783" s="19"/>
      <c r="C783" s="195"/>
      <c r="D783" s="220"/>
      <c r="E783" s="220"/>
      <c r="F783" s="55"/>
      <c r="G783" s="55"/>
      <c r="H783" s="12"/>
    </row>
    <row r="784" ht="14.25" customHeight="1">
      <c r="B784" s="19"/>
      <c r="C784" s="195"/>
      <c r="D784" s="220"/>
      <c r="E784" s="220"/>
      <c r="F784" s="55"/>
      <c r="G784" s="55"/>
      <c r="H784" s="12"/>
    </row>
    <row r="785" ht="14.25" customHeight="1">
      <c r="B785" s="19"/>
      <c r="C785" s="195"/>
      <c r="D785" s="220"/>
      <c r="E785" s="220"/>
      <c r="F785" s="55"/>
      <c r="G785" s="55"/>
      <c r="H785" s="12"/>
    </row>
    <row r="786" ht="14.25" customHeight="1">
      <c r="B786" s="19"/>
      <c r="C786" s="195"/>
      <c r="D786" s="220"/>
      <c r="E786" s="220"/>
      <c r="F786" s="55"/>
      <c r="G786" s="55"/>
      <c r="H786" s="12"/>
    </row>
    <row r="787" ht="14.25" customHeight="1">
      <c r="B787" s="19"/>
      <c r="C787" s="195"/>
      <c r="D787" s="220"/>
      <c r="E787" s="220"/>
      <c r="F787" s="55"/>
      <c r="G787" s="55"/>
      <c r="H787" s="12"/>
    </row>
    <row r="788" ht="14.25" customHeight="1">
      <c r="B788" s="19"/>
      <c r="C788" s="195"/>
      <c r="D788" s="220"/>
      <c r="E788" s="220"/>
      <c r="F788" s="55"/>
      <c r="G788" s="55"/>
      <c r="H788" s="12"/>
    </row>
    <row r="789" ht="14.25" customHeight="1">
      <c r="B789" s="19"/>
      <c r="C789" s="195"/>
      <c r="D789" s="220"/>
      <c r="E789" s="220"/>
      <c r="F789" s="55"/>
      <c r="G789" s="55"/>
      <c r="H789" s="12"/>
    </row>
    <row r="790" ht="14.25" customHeight="1">
      <c r="B790" s="19"/>
      <c r="C790" s="195"/>
      <c r="D790" s="220"/>
      <c r="E790" s="220"/>
      <c r="F790" s="55"/>
      <c r="G790" s="55"/>
      <c r="H790" s="12"/>
    </row>
    <row r="791" ht="14.25" customHeight="1">
      <c r="B791" s="19"/>
      <c r="C791" s="195"/>
      <c r="D791" s="220"/>
      <c r="E791" s="220"/>
      <c r="F791" s="55"/>
      <c r="G791" s="55"/>
      <c r="H791" s="12"/>
    </row>
    <row r="792" ht="14.25" customHeight="1">
      <c r="B792" s="19"/>
      <c r="C792" s="195"/>
      <c r="D792" s="220"/>
      <c r="E792" s="220"/>
      <c r="F792" s="55"/>
      <c r="G792" s="55"/>
      <c r="H792" s="12"/>
    </row>
    <row r="793" ht="14.25" customHeight="1">
      <c r="B793" s="19"/>
      <c r="C793" s="195"/>
      <c r="D793" s="220"/>
      <c r="E793" s="220"/>
      <c r="F793" s="55"/>
      <c r="G793" s="55"/>
      <c r="H793" s="12"/>
    </row>
    <row r="794" ht="14.25" customHeight="1">
      <c r="B794" s="19"/>
      <c r="C794" s="195"/>
      <c r="D794" s="220"/>
      <c r="E794" s="220"/>
      <c r="F794" s="55"/>
      <c r="G794" s="55"/>
      <c r="H794" s="12"/>
    </row>
    <row r="795" ht="14.25" customHeight="1">
      <c r="B795" s="19"/>
      <c r="C795" s="195"/>
      <c r="D795" s="220"/>
      <c r="E795" s="220"/>
      <c r="F795" s="55"/>
      <c r="G795" s="55"/>
      <c r="H795" s="12"/>
    </row>
    <row r="796" ht="14.25" customHeight="1">
      <c r="B796" s="19"/>
      <c r="C796" s="195"/>
      <c r="D796" s="220"/>
      <c r="E796" s="220"/>
      <c r="F796" s="55"/>
      <c r="G796" s="55"/>
      <c r="H796" s="12"/>
    </row>
    <row r="797" ht="14.25" customHeight="1">
      <c r="B797" s="19"/>
      <c r="C797" s="195"/>
      <c r="D797" s="220"/>
      <c r="E797" s="220"/>
      <c r="F797" s="55"/>
      <c r="G797" s="55"/>
      <c r="H797" s="12"/>
    </row>
    <row r="798" ht="14.25" customHeight="1">
      <c r="B798" s="19"/>
      <c r="C798" s="195"/>
      <c r="D798" s="220"/>
      <c r="E798" s="220"/>
      <c r="F798" s="55"/>
      <c r="G798" s="55"/>
      <c r="H798" s="12"/>
    </row>
    <row r="799" ht="14.25" customHeight="1">
      <c r="B799" s="19"/>
      <c r="C799" s="195"/>
      <c r="D799" s="220"/>
      <c r="E799" s="220"/>
      <c r="F799" s="55"/>
      <c r="G799" s="55"/>
      <c r="H799" s="12"/>
    </row>
    <row r="800" ht="14.25" customHeight="1">
      <c r="B800" s="19"/>
      <c r="C800" s="195"/>
      <c r="D800" s="220"/>
      <c r="E800" s="220"/>
      <c r="F800" s="55"/>
      <c r="G800" s="55"/>
      <c r="H800" s="12"/>
    </row>
    <row r="801" ht="14.25" customHeight="1">
      <c r="B801" s="19"/>
      <c r="C801" s="195"/>
      <c r="D801" s="220"/>
      <c r="E801" s="220"/>
      <c r="F801" s="55"/>
      <c r="G801" s="55"/>
      <c r="H801" s="12"/>
    </row>
    <row r="802" ht="14.25" customHeight="1">
      <c r="B802" s="19"/>
      <c r="C802" s="195"/>
      <c r="D802" s="220"/>
      <c r="E802" s="220"/>
      <c r="F802" s="55"/>
      <c r="G802" s="55"/>
      <c r="H802" s="12"/>
    </row>
    <row r="803" ht="14.25" customHeight="1">
      <c r="B803" s="19"/>
      <c r="C803" s="195"/>
      <c r="D803" s="220"/>
      <c r="E803" s="220"/>
      <c r="F803" s="55"/>
      <c r="G803" s="55"/>
      <c r="H803" s="12"/>
    </row>
    <row r="804" ht="14.25" customHeight="1">
      <c r="B804" s="19"/>
      <c r="C804" s="195"/>
      <c r="D804" s="220"/>
      <c r="E804" s="220"/>
      <c r="F804" s="55"/>
      <c r="G804" s="55"/>
      <c r="H804" s="12"/>
    </row>
    <row r="805" ht="14.25" customHeight="1">
      <c r="B805" s="19"/>
      <c r="C805" s="195"/>
      <c r="D805" s="220"/>
      <c r="E805" s="220"/>
      <c r="F805" s="55"/>
      <c r="G805" s="55"/>
      <c r="H805" s="12"/>
    </row>
    <row r="806" ht="14.25" customHeight="1">
      <c r="B806" s="19"/>
      <c r="C806" s="195"/>
      <c r="D806" s="220"/>
      <c r="E806" s="220"/>
      <c r="F806" s="55"/>
      <c r="G806" s="55"/>
      <c r="H806" s="12"/>
    </row>
    <row r="807" ht="14.25" customHeight="1">
      <c r="B807" s="19"/>
      <c r="C807" s="195"/>
      <c r="D807" s="220"/>
      <c r="E807" s="220"/>
      <c r="F807" s="55"/>
      <c r="G807" s="55"/>
      <c r="H807" s="12"/>
    </row>
    <row r="808" ht="14.25" customHeight="1">
      <c r="B808" s="19"/>
      <c r="C808" s="195"/>
      <c r="D808" s="220"/>
      <c r="E808" s="220"/>
      <c r="F808" s="55"/>
      <c r="G808" s="55"/>
      <c r="H808" s="12"/>
    </row>
    <row r="809" ht="14.25" customHeight="1">
      <c r="B809" s="19"/>
      <c r="C809" s="195"/>
      <c r="D809" s="220"/>
      <c r="E809" s="220"/>
      <c r="F809" s="55"/>
      <c r="G809" s="55"/>
      <c r="H809" s="12"/>
    </row>
    <row r="810" ht="14.25" customHeight="1">
      <c r="B810" s="19"/>
      <c r="C810" s="195"/>
      <c r="D810" s="220"/>
      <c r="E810" s="220"/>
      <c r="F810" s="55"/>
      <c r="G810" s="55"/>
      <c r="H810" s="12"/>
    </row>
    <row r="811" ht="14.25" customHeight="1">
      <c r="B811" s="19"/>
      <c r="C811" s="195"/>
      <c r="D811" s="220"/>
      <c r="E811" s="220"/>
      <c r="F811" s="55"/>
      <c r="G811" s="55"/>
      <c r="H811" s="12"/>
    </row>
    <row r="812" ht="14.25" customHeight="1">
      <c r="B812" s="19"/>
      <c r="C812" s="195"/>
      <c r="D812" s="220"/>
      <c r="E812" s="220"/>
      <c r="F812" s="55"/>
      <c r="G812" s="55"/>
      <c r="H812" s="12"/>
    </row>
    <row r="813" ht="14.25" customHeight="1">
      <c r="B813" s="19"/>
      <c r="C813" s="195"/>
      <c r="D813" s="220"/>
      <c r="E813" s="220"/>
      <c r="F813" s="55"/>
      <c r="G813" s="55"/>
      <c r="H813" s="12"/>
    </row>
    <row r="814" ht="14.25" customHeight="1">
      <c r="B814" s="19"/>
      <c r="C814" s="195"/>
      <c r="D814" s="220"/>
      <c r="E814" s="220"/>
      <c r="F814" s="55"/>
      <c r="G814" s="55"/>
      <c r="H814" s="12"/>
    </row>
    <row r="815" ht="14.25" customHeight="1">
      <c r="B815" s="19"/>
      <c r="C815" s="195"/>
      <c r="D815" s="220"/>
      <c r="E815" s="220"/>
      <c r="F815" s="55"/>
      <c r="G815" s="55"/>
      <c r="H815" s="12"/>
    </row>
    <row r="816" ht="14.25" customHeight="1">
      <c r="B816" s="19"/>
      <c r="C816" s="195"/>
      <c r="D816" s="220"/>
      <c r="E816" s="220"/>
      <c r="F816" s="55"/>
      <c r="G816" s="55"/>
      <c r="H816" s="12"/>
    </row>
    <row r="817" ht="14.25" customHeight="1">
      <c r="B817" s="19"/>
      <c r="C817" s="195"/>
      <c r="D817" s="220"/>
      <c r="E817" s="220"/>
      <c r="F817" s="55"/>
      <c r="G817" s="55"/>
      <c r="H817" s="12"/>
    </row>
    <row r="818" ht="14.25" customHeight="1">
      <c r="B818" s="19"/>
      <c r="C818" s="195"/>
      <c r="D818" s="220"/>
      <c r="E818" s="220"/>
      <c r="F818" s="55"/>
      <c r="G818" s="55"/>
      <c r="H818" s="12"/>
    </row>
    <row r="819" ht="14.25" customHeight="1">
      <c r="B819" s="19"/>
      <c r="C819" s="195"/>
      <c r="D819" s="220"/>
      <c r="E819" s="220"/>
      <c r="F819" s="55"/>
      <c r="G819" s="55"/>
      <c r="H819" s="12"/>
    </row>
    <row r="820" ht="14.25" customHeight="1">
      <c r="B820" s="19"/>
      <c r="C820" s="195"/>
      <c r="D820" s="220"/>
      <c r="E820" s="220"/>
      <c r="F820" s="55"/>
      <c r="G820" s="55"/>
      <c r="H820" s="12"/>
    </row>
    <row r="821" ht="14.25" customHeight="1">
      <c r="B821" s="19"/>
      <c r="C821" s="195"/>
      <c r="D821" s="220"/>
      <c r="E821" s="220"/>
      <c r="F821" s="55"/>
      <c r="G821" s="55"/>
      <c r="H821" s="12"/>
    </row>
    <row r="822" ht="14.25" customHeight="1">
      <c r="B822" s="19"/>
      <c r="C822" s="195"/>
      <c r="D822" s="220"/>
      <c r="E822" s="220"/>
      <c r="F822" s="55"/>
      <c r="G822" s="55"/>
      <c r="H822" s="12"/>
    </row>
    <row r="823" ht="14.25" customHeight="1">
      <c r="B823" s="19"/>
      <c r="C823" s="195"/>
      <c r="D823" s="220"/>
      <c r="E823" s="220"/>
      <c r="F823" s="55"/>
      <c r="G823" s="55"/>
      <c r="H823" s="12"/>
    </row>
    <row r="824" ht="14.25" customHeight="1">
      <c r="B824" s="19"/>
      <c r="C824" s="195"/>
      <c r="D824" s="220"/>
      <c r="E824" s="220"/>
      <c r="F824" s="55"/>
      <c r="G824" s="55"/>
      <c r="H824" s="12"/>
    </row>
    <row r="825" ht="14.25" customHeight="1">
      <c r="B825" s="19"/>
      <c r="C825" s="195"/>
      <c r="D825" s="220"/>
      <c r="E825" s="220"/>
      <c r="F825" s="55"/>
      <c r="G825" s="55"/>
      <c r="H825" s="12"/>
    </row>
    <row r="826" ht="14.25" customHeight="1">
      <c r="B826" s="19"/>
      <c r="C826" s="195"/>
      <c r="D826" s="220"/>
      <c r="E826" s="220"/>
      <c r="F826" s="55"/>
      <c r="G826" s="55"/>
      <c r="H826" s="12"/>
    </row>
    <row r="827" ht="14.25" customHeight="1">
      <c r="B827" s="19"/>
      <c r="C827" s="195"/>
      <c r="D827" s="220"/>
      <c r="E827" s="220"/>
      <c r="F827" s="55"/>
      <c r="G827" s="55"/>
      <c r="H827" s="12"/>
    </row>
    <row r="828" ht="14.25" customHeight="1">
      <c r="B828" s="19"/>
      <c r="C828" s="195"/>
      <c r="D828" s="220"/>
      <c r="E828" s="220"/>
      <c r="F828" s="55"/>
      <c r="G828" s="55"/>
      <c r="H828" s="12"/>
    </row>
    <row r="829" ht="14.25" customHeight="1">
      <c r="B829" s="19"/>
      <c r="C829" s="195"/>
      <c r="D829" s="220"/>
      <c r="E829" s="220"/>
      <c r="F829" s="55"/>
      <c r="G829" s="55"/>
      <c r="H829" s="12"/>
    </row>
    <row r="830" ht="14.25" customHeight="1">
      <c r="B830" s="19"/>
      <c r="C830" s="195"/>
      <c r="D830" s="220"/>
      <c r="E830" s="220"/>
      <c r="F830" s="55"/>
      <c r="G830" s="55"/>
      <c r="H830" s="12"/>
    </row>
    <row r="831" ht="14.25" customHeight="1">
      <c r="B831" s="19"/>
      <c r="C831" s="195"/>
      <c r="D831" s="220"/>
      <c r="E831" s="220"/>
      <c r="F831" s="55"/>
      <c r="G831" s="55"/>
      <c r="H831" s="12"/>
    </row>
    <row r="832" ht="14.25" customHeight="1">
      <c r="B832" s="19"/>
      <c r="C832" s="195"/>
      <c r="D832" s="220"/>
      <c r="E832" s="220"/>
      <c r="F832" s="55"/>
      <c r="G832" s="55"/>
      <c r="H832" s="12"/>
    </row>
    <row r="833" ht="14.25" customHeight="1">
      <c r="B833" s="19"/>
      <c r="C833" s="195"/>
      <c r="D833" s="220"/>
      <c r="E833" s="220"/>
      <c r="F833" s="55"/>
      <c r="G833" s="55"/>
      <c r="H833" s="12"/>
    </row>
    <row r="834" ht="14.25" customHeight="1">
      <c r="B834" s="19"/>
      <c r="C834" s="195"/>
      <c r="D834" s="220"/>
      <c r="E834" s="220"/>
      <c r="F834" s="55"/>
      <c r="G834" s="55"/>
      <c r="H834" s="12"/>
    </row>
    <row r="835" ht="14.25" customHeight="1">
      <c r="B835" s="19"/>
      <c r="C835" s="195"/>
      <c r="D835" s="220"/>
      <c r="E835" s="220"/>
      <c r="F835" s="55"/>
      <c r="G835" s="55"/>
      <c r="H835" s="12"/>
    </row>
    <row r="836" ht="14.25" customHeight="1">
      <c r="B836" s="19"/>
      <c r="C836" s="195"/>
      <c r="D836" s="220"/>
      <c r="E836" s="220"/>
      <c r="F836" s="55"/>
      <c r="G836" s="55"/>
      <c r="H836" s="12"/>
    </row>
    <row r="837" ht="14.25" customHeight="1">
      <c r="B837" s="19"/>
      <c r="C837" s="195"/>
      <c r="D837" s="220"/>
      <c r="E837" s="220"/>
      <c r="F837" s="55"/>
      <c r="G837" s="55"/>
      <c r="H837" s="12"/>
    </row>
    <row r="838" ht="14.25" customHeight="1">
      <c r="B838" s="19"/>
      <c r="C838" s="195"/>
      <c r="D838" s="220"/>
      <c r="E838" s="220"/>
      <c r="F838" s="55"/>
      <c r="G838" s="55"/>
      <c r="H838" s="12"/>
    </row>
    <row r="839" ht="14.25" customHeight="1">
      <c r="B839" s="19"/>
      <c r="C839" s="195"/>
      <c r="D839" s="220"/>
      <c r="E839" s="220"/>
      <c r="F839" s="55"/>
      <c r="G839" s="55"/>
      <c r="H839" s="12"/>
    </row>
    <row r="840" ht="14.25" customHeight="1">
      <c r="B840" s="19"/>
      <c r="C840" s="195"/>
      <c r="D840" s="220"/>
      <c r="E840" s="220"/>
      <c r="F840" s="55"/>
      <c r="G840" s="55"/>
      <c r="H840" s="12"/>
    </row>
    <row r="841" ht="14.25" customHeight="1">
      <c r="B841" s="19"/>
      <c r="C841" s="195"/>
      <c r="D841" s="220"/>
      <c r="E841" s="220"/>
      <c r="F841" s="55"/>
      <c r="G841" s="55"/>
      <c r="H841" s="12"/>
    </row>
    <row r="842" ht="14.25" customHeight="1">
      <c r="B842" s="19"/>
      <c r="C842" s="195"/>
      <c r="D842" s="220"/>
      <c r="E842" s="220"/>
      <c r="F842" s="55"/>
      <c r="G842" s="55"/>
      <c r="H842" s="12"/>
    </row>
    <row r="843" ht="14.25" customHeight="1">
      <c r="B843" s="19"/>
      <c r="C843" s="195"/>
      <c r="D843" s="220"/>
      <c r="E843" s="220"/>
      <c r="F843" s="55"/>
      <c r="G843" s="55"/>
      <c r="H843" s="12"/>
    </row>
    <row r="844" ht="14.25" customHeight="1">
      <c r="B844" s="19"/>
      <c r="C844" s="195"/>
      <c r="D844" s="220"/>
      <c r="E844" s="220"/>
      <c r="F844" s="55"/>
      <c r="G844" s="55"/>
      <c r="H844" s="12"/>
    </row>
    <row r="845" ht="14.25" customHeight="1">
      <c r="B845" s="19"/>
      <c r="C845" s="195"/>
      <c r="D845" s="220"/>
      <c r="E845" s="220"/>
      <c r="F845" s="55"/>
      <c r="G845" s="55"/>
      <c r="H845" s="12"/>
    </row>
    <row r="846" ht="14.25" customHeight="1">
      <c r="B846" s="19"/>
      <c r="C846" s="195"/>
      <c r="D846" s="220"/>
      <c r="E846" s="220"/>
      <c r="F846" s="55"/>
      <c r="G846" s="55"/>
      <c r="H846" s="12"/>
    </row>
    <row r="847" ht="14.25" customHeight="1">
      <c r="B847" s="19"/>
      <c r="C847" s="195"/>
      <c r="D847" s="220"/>
      <c r="E847" s="220"/>
      <c r="F847" s="55"/>
      <c r="G847" s="55"/>
      <c r="H847" s="12"/>
    </row>
    <row r="848" ht="14.25" customHeight="1">
      <c r="B848" s="19"/>
      <c r="C848" s="195"/>
      <c r="D848" s="220"/>
      <c r="E848" s="220"/>
      <c r="F848" s="55"/>
      <c r="G848" s="55"/>
      <c r="H848" s="12"/>
    </row>
    <row r="849" ht="14.25" customHeight="1">
      <c r="B849" s="19"/>
      <c r="C849" s="195"/>
      <c r="D849" s="220"/>
      <c r="E849" s="220"/>
      <c r="F849" s="55"/>
      <c r="G849" s="55"/>
      <c r="H849" s="12"/>
    </row>
    <row r="850" ht="14.25" customHeight="1">
      <c r="B850" s="19"/>
      <c r="C850" s="195"/>
      <c r="D850" s="220"/>
      <c r="E850" s="220"/>
      <c r="F850" s="55"/>
      <c r="G850" s="55"/>
      <c r="H850" s="12"/>
    </row>
    <row r="851" ht="14.25" customHeight="1">
      <c r="B851" s="19"/>
      <c r="C851" s="195"/>
      <c r="D851" s="220"/>
      <c r="E851" s="220"/>
      <c r="F851" s="55"/>
      <c r="G851" s="55"/>
      <c r="H851" s="12"/>
    </row>
    <row r="852" ht="14.25" customHeight="1">
      <c r="B852" s="19"/>
      <c r="C852" s="195"/>
      <c r="D852" s="220"/>
      <c r="E852" s="220"/>
      <c r="F852" s="55"/>
      <c r="G852" s="55"/>
      <c r="H852" s="12"/>
    </row>
    <row r="853" ht="14.25" customHeight="1">
      <c r="B853" s="19"/>
      <c r="C853" s="195"/>
      <c r="D853" s="220"/>
      <c r="E853" s="220"/>
      <c r="F853" s="55"/>
      <c r="G853" s="55"/>
      <c r="H853" s="12"/>
    </row>
    <row r="854" ht="14.25" customHeight="1">
      <c r="B854" s="19"/>
      <c r="C854" s="195"/>
      <c r="D854" s="220"/>
      <c r="E854" s="220"/>
      <c r="F854" s="55"/>
      <c r="G854" s="55"/>
      <c r="H854" s="12"/>
    </row>
    <row r="855" ht="14.25" customHeight="1">
      <c r="B855" s="19"/>
      <c r="C855" s="195"/>
      <c r="D855" s="220"/>
      <c r="E855" s="220"/>
      <c r="F855" s="55"/>
      <c r="G855" s="55"/>
      <c r="H855" s="12"/>
    </row>
    <row r="856" ht="14.25" customHeight="1">
      <c r="B856" s="19"/>
      <c r="C856" s="195"/>
      <c r="D856" s="220"/>
      <c r="E856" s="220"/>
      <c r="F856" s="55"/>
      <c r="G856" s="55"/>
      <c r="H856" s="12"/>
    </row>
    <row r="857" ht="14.25" customHeight="1">
      <c r="B857" s="19"/>
      <c r="C857" s="195"/>
      <c r="D857" s="220"/>
      <c r="E857" s="220"/>
      <c r="F857" s="55"/>
      <c r="G857" s="55"/>
      <c r="H857" s="12"/>
    </row>
    <row r="858" ht="14.25" customHeight="1">
      <c r="B858" s="19"/>
      <c r="C858" s="195"/>
      <c r="D858" s="220"/>
      <c r="E858" s="220"/>
      <c r="F858" s="55"/>
      <c r="G858" s="55"/>
      <c r="H858" s="12"/>
    </row>
    <row r="859" ht="14.25" customHeight="1">
      <c r="B859" s="19"/>
      <c r="C859" s="195"/>
      <c r="D859" s="220"/>
      <c r="E859" s="220"/>
      <c r="F859" s="55"/>
      <c r="G859" s="55"/>
      <c r="H859" s="12"/>
    </row>
    <row r="860" ht="14.25" customHeight="1">
      <c r="B860" s="19"/>
      <c r="C860" s="195"/>
      <c r="D860" s="220"/>
      <c r="E860" s="220"/>
      <c r="F860" s="55"/>
      <c r="G860" s="55"/>
      <c r="H860" s="12"/>
    </row>
    <row r="861" ht="14.25" customHeight="1">
      <c r="B861" s="19"/>
      <c r="C861" s="195"/>
      <c r="D861" s="220"/>
      <c r="E861" s="220"/>
      <c r="F861" s="55"/>
      <c r="G861" s="55"/>
      <c r="H861" s="12"/>
    </row>
    <row r="862" ht="14.25" customHeight="1">
      <c r="B862" s="19"/>
      <c r="C862" s="195"/>
      <c r="D862" s="220"/>
      <c r="E862" s="220"/>
      <c r="F862" s="55"/>
      <c r="G862" s="55"/>
      <c r="H862" s="12"/>
    </row>
    <row r="863" ht="14.25" customHeight="1">
      <c r="B863" s="19"/>
      <c r="C863" s="195"/>
      <c r="D863" s="220"/>
      <c r="E863" s="220"/>
      <c r="F863" s="55"/>
      <c r="G863" s="55"/>
      <c r="H863" s="12"/>
    </row>
    <row r="864" ht="14.25" customHeight="1">
      <c r="B864" s="19"/>
      <c r="C864" s="195"/>
      <c r="D864" s="220"/>
      <c r="E864" s="220"/>
      <c r="F864" s="55"/>
      <c r="G864" s="55"/>
      <c r="H864" s="12"/>
    </row>
    <row r="865" ht="14.25" customHeight="1">
      <c r="B865" s="19"/>
      <c r="C865" s="195"/>
      <c r="D865" s="220"/>
      <c r="E865" s="220"/>
      <c r="F865" s="55"/>
      <c r="G865" s="55"/>
      <c r="H865" s="12"/>
    </row>
    <row r="866" ht="14.25" customHeight="1">
      <c r="B866" s="19"/>
      <c r="C866" s="195"/>
      <c r="D866" s="220"/>
      <c r="E866" s="220"/>
      <c r="F866" s="55"/>
      <c r="G866" s="55"/>
      <c r="H866" s="12"/>
    </row>
    <row r="867" ht="14.25" customHeight="1">
      <c r="B867" s="19"/>
      <c r="C867" s="195"/>
      <c r="D867" s="220"/>
      <c r="E867" s="220"/>
      <c r="F867" s="55"/>
      <c r="G867" s="55"/>
      <c r="H867" s="12"/>
    </row>
    <row r="868" ht="14.25" customHeight="1">
      <c r="B868" s="19"/>
      <c r="C868" s="195"/>
      <c r="D868" s="220"/>
      <c r="E868" s="220"/>
      <c r="F868" s="55"/>
      <c r="G868" s="55"/>
      <c r="H868" s="12"/>
    </row>
    <row r="869" ht="14.25" customHeight="1">
      <c r="B869" s="19"/>
      <c r="C869" s="195"/>
      <c r="D869" s="220"/>
      <c r="E869" s="220"/>
      <c r="F869" s="55"/>
      <c r="G869" s="55"/>
      <c r="H869" s="12"/>
    </row>
    <row r="870" ht="14.25" customHeight="1">
      <c r="B870" s="19"/>
      <c r="C870" s="195"/>
      <c r="D870" s="220"/>
      <c r="E870" s="220"/>
      <c r="F870" s="55"/>
      <c r="G870" s="55"/>
      <c r="H870" s="12"/>
    </row>
    <row r="871" ht="14.25" customHeight="1">
      <c r="B871" s="19"/>
      <c r="C871" s="195"/>
      <c r="D871" s="220"/>
      <c r="E871" s="220"/>
      <c r="F871" s="55"/>
      <c r="G871" s="55"/>
      <c r="H871" s="12"/>
    </row>
    <row r="872" ht="14.25" customHeight="1">
      <c r="B872" s="19"/>
      <c r="C872" s="195"/>
      <c r="D872" s="220"/>
      <c r="E872" s="220"/>
      <c r="F872" s="55"/>
      <c r="G872" s="55"/>
      <c r="H872" s="12"/>
    </row>
    <row r="873" ht="14.25" customHeight="1">
      <c r="B873" s="19"/>
      <c r="C873" s="195"/>
      <c r="D873" s="220"/>
      <c r="E873" s="220"/>
      <c r="F873" s="55"/>
      <c r="G873" s="55"/>
      <c r="H873" s="12"/>
    </row>
    <row r="874" ht="14.25" customHeight="1">
      <c r="B874" s="19"/>
      <c r="C874" s="195"/>
      <c r="D874" s="220"/>
      <c r="E874" s="220"/>
      <c r="F874" s="55"/>
      <c r="G874" s="55"/>
      <c r="H874" s="12"/>
    </row>
    <row r="875" ht="14.25" customHeight="1">
      <c r="B875" s="19"/>
      <c r="C875" s="195"/>
      <c r="D875" s="220"/>
      <c r="E875" s="220"/>
      <c r="F875" s="55"/>
      <c r="G875" s="55"/>
      <c r="H875" s="12"/>
    </row>
    <row r="876" ht="14.25" customHeight="1">
      <c r="B876" s="19"/>
      <c r="C876" s="195"/>
      <c r="D876" s="220"/>
      <c r="E876" s="220"/>
      <c r="F876" s="55"/>
      <c r="G876" s="55"/>
      <c r="H876" s="12"/>
    </row>
    <row r="877" ht="14.25" customHeight="1">
      <c r="B877" s="19"/>
      <c r="C877" s="195"/>
      <c r="D877" s="220"/>
      <c r="E877" s="220"/>
      <c r="F877" s="55"/>
      <c r="G877" s="55"/>
      <c r="H877" s="12"/>
    </row>
    <row r="878" ht="14.25" customHeight="1">
      <c r="B878" s="19"/>
      <c r="C878" s="195"/>
      <c r="D878" s="220"/>
      <c r="E878" s="220"/>
      <c r="F878" s="55"/>
      <c r="G878" s="55"/>
      <c r="H878" s="12"/>
    </row>
    <row r="879" ht="14.25" customHeight="1">
      <c r="B879" s="19"/>
      <c r="C879" s="195"/>
      <c r="D879" s="220"/>
      <c r="E879" s="220"/>
      <c r="F879" s="55"/>
      <c r="G879" s="55"/>
      <c r="H879" s="12"/>
    </row>
    <row r="880" ht="14.25" customHeight="1">
      <c r="B880" s="19"/>
      <c r="C880" s="195"/>
      <c r="D880" s="220"/>
      <c r="E880" s="220"/>
      <c r="F880" s="55"/>
      <c r="G880" s="55"/>
      <c r="H880" s="12"/>
    </row>
    <row r="881" ht="14.25" customHeight="1">
      <c r="B881" s="19"/>
      <c r="C881" s="195"/>
      <c r="D881" s="220"/>
      <c r="E881" s="220"/>
      <c r="F881" s="55"/>
      <c r="G881" s="55"/>
      <c r="H881" s="12"/>
    </row>
    <row r="882" ht="14.25" customHeight="1">
      <c r="B882" s="19"/>
      <c r="C882" s="195"/>
      <c r="D882" s="220"/>
      <c r="E882" s="220"/>
      <c r="F882" s="55"/>
      <c r="G882" s="55"/>
      <c r="H882" s="12"/>
    </row>
    <row r="883" ht="14.25" customHeight="1">
      <c r="B883" s="19"/>
      <c r="C883" s="195"/>
      <c r="D883" s="220"/>
      <c r="E883" s="220"/>
      <c r="F883" s="55"/>
      <c r="G883" s="55"/>
      <c r="H883" s="12"/>
    </row>
    <row r="884" ht="14.25" customHeight="1">
      <c r="B884" s="19"/>
      <c r="C884" s="195"/>
      <c r="D884" s="220"/>
      <c r="E884" s="220"/>
      <c r="F884" s="55"/>
      <c r="G884" s="55"/>
      <c r="H884" s="12"/>
    </row>
    <row r="885" ht="14.25" customHeight="1">
      <c r="B885" s="19"/>
      <c r="C885" s="195"/>
      <c r="D885" s="220"/>
      <c r="E885" s="220"/>
      <c r="F885" s="55"/>
      <c r="G885" s="55"/>
      <c r="H885" s="12"/>
    </row>
    <row r="886" ht="14.25" customHeight="1">
      <c r="B886" s="19"/>
      <c r="C886" s="195"/>
      <c r="D886" s="220"/>
      <c r="E886" s="220"/>
      <c r="F886" s="55"/>
      <c r="G886" s="55"/>
      <c r="H886" s="12"/>
    </row>
    <row r="887" ht="14.25" customHeight="1">
      <c r="B887" s="19"/>
      <c r="C887" s="195"/>
      <c r="D887" s="220"/>
      <c r="E887" s="220"/>
      <c r="F887" s="55"/>
      <c r="G887" s="55"/>
      <c r="H887" s="12"/>
    </row>
    <row r="888" ht="14.25" customHeight="1">
      <c r="B888" s="19"/>
      <c r="C888" s="195"/>
      <c r="D888" s="220"/>
      <c r="E888" s="220"/>
      <c r="F888" s="55"/>
      <c r="G888" s="55"/>
      <c r="H888" s="12"/>
    </row>
    <row r="889" ht="14.25" customHeight="1">
      <c r="B889" s="19"/>
      <c r="C889" s="195"/>
      <c r="D889" s="220"/>
      <c r="E889" s="220"/>
      <c r="F889" s="55"/>
      <c r="G889" s="55"/>
      <c r="H889" s="12"/>
    </row>
    <row r="890" ht="14.25" customHeight="1">
      <c r="B890" s="19"/>
      <c r="C890" s="195"/>
      <c r="D890" s="220"/>
      <c r="E890" s="220"/>
      <c r="F890" s="55"/>
      <c r="G890" s="55"/>
      <c r="H890" s="12"/>
    </row>
    <row r="891" ht="14.25" customHeight="1">
      <c r="B891" s="19"/>
      <c r="C891" s="195"/>
      <c r="D891" s="220"/>
      <c r="E891" s="220"/>
      <c r="F891" s="55"/>
      <c r="G891" s="55"/>
      <c r="H891" s="12"/>
    </row>
    <row r="892" ht="14.25" customHeight="1">
      <c r="B892" s="19"/>
      <c r="C892" s="195"/>
      <c r="D892" s="220"/>
      <c r="E892" s="220"/>
      <c r="F892" s="55"/>
      <c r="G892" s="55"/>
      <c r="H892" s="12"/>
    </row>
    <row r="893" ht="14.25" customHeight="1">
      <c r="B893" s="19"/>
      <c r="C893" s="195"/>
      <c r="D893" s="220"/>
      <c r="E893" s="220"/>
      <c r="F893" s="55"/>
      <c r="G893" s="55"/>
      <c r="H893" s="12"/>
    </row>
    <row r="894" ht="14.25" customHeight="1">
      <c r="B894" s="19"/>
      <c r="C894" s="195"/>
      <c r="D894" s="220"/>
      <c r="E894" s="220"/>
      <c r="F894" s="55"/>
      <c r="G894" s="55"/>
      <c r="H894" s="12"/>
    </row>
    <row r="895" ht="14.25" customHeight="1">
      <c r="B895" s="19"/>
      <c r="C895" s="195"/>
      <c r="D895" s="220"/>
      <c r="E895" s="220"/>
      <c r="F895" s="55"/>
      <c r="G895" s="55"/>
      <c r="H895" s="12"/>
    </row>
    <row r="896" ht="14.25" customHeight="1">
      <c r="B896" s="19"/>
      <c r="C896" s="195"/>
      <c r="D896" s="220"/>
      <c r="E896" s="220"/>
      <c r="F896" s="55"/>
      <c r="G896" s="55"/>
      <c r="H896" s="12"/>
    </row>
    <row r="897" ht="14.25" customHeight="1">
      <c r="B897" s="19"/>
      <c r="C897" s="195"/>
      <c r="D897" s="220"/>
      <c r="E897" s="220"/>
      <c r="F897" s="55"/>
      <c r="G897" s="55"/>
      <c r="H897" s="12"/>
    </row>
    <row r="898" ht="14.25" customHeight="1">
      <c r="B898" s="19"/>
      <c r="C898" s="195"/>
      <c r="D898" s="220"/>
      <c r="E898" s="220"/>
      <c r="F898" s="55"/>
      <c r="G898" s="55"/>
      <c r="H898" s="12"/>
    </row>
    <row r="899" ht="14.25" customHeight="1">
      <c r="B899" s="19"/>
      <c r="C899" s="195"/>
      <c r="D899" s="220"/>
      <c r="E899" s="220"/>
      <c r="F899" s="55"/>
      <c r="G899" s="55"/>
      <c r="H899" s="12"/>
    </row>
    <row r="900" ht="14.25" customHeight="1">
      <c r="B900" s="19"/>
      <c r="C900" s="195"/>
      <c r="D900" s="220"/>
      <c r="E900" s="220"/>
      <c r="F900" s="55"/>
      <c r="G900" s="55"/>
      <c r="H900" s="12"/>
    </row>
    <row r="901" ht="14.25" customHeight="1">
      <c r="B901" s="19"/>
      <c r="C901" s="195"/>
      <c r="D901" s="220"/>
      <c r="E901" s="220"/>
      <c r="F901" s="55"/>
      <c r="G901" s="55"/>
      <c r="H901" s="12"/>
    </row>
    <row r="902" ht="14.25" customHeight="1">
      <c r="B902" s="19"/>
      <c r="C902" s="195"/>
      <c r="D902" s="220"/>
      <c r="E902" s="220"/>
      <c r="F902" s="55"/>
      <c r="G902" s="55"/>
      <c r="H902" s="12"/>
    </row>
    <row r="903" ht="14.25" customHeight="1">
      <c r="B903" s="19"/>
      <c r="C903" s="195"/>
      <c r="D903" s="220"/>
      <c r="E903" s="220"/>
      <c r="F903" s="55"/>
      <c r="G903" s="55"/>
      <c r="H903" s="12"/>
    </row>
    <row r="904" ht="14.25" customHeight="1">
      <c r="B904" s="19"/>
      <c r="C904" s="195"/>
      <c r="D904" s="220"/>
      <c r="E904" s="220"/>
      <c r="F904" s="55"/>
      <c r="G904" s="55"/>
      <c r="H904" s="12"/>
    </row>
    <row r="905" ht="14.25" customHeight="1">
      <c r="B905" s="19"/>
      <c r="C905" s="195"/>
      <c r="D905" s="220"/>
      <c r="E905" s="220"/>
      <c r="F905" s="55"/>
      <c r="G905" s="55"/>
      <c r="H905" s="12"/>
    </row>
    <row r="906" ht="14.25" customHeight="1">
      <c r="B906" s="19"/>
      <c r="C906" s="195"/>
      <c r="D906" s="220"/>
      <c r="E906" s="220"/>
      <c r="F906" s="55"/>
      <c r="G906" s="55"/>
      <c r="H906" s="12"/>
    </row>
    <row r="907" ht="14.25" customHeight="1">
      <c r="B907" s="19"/>
      <c r="C907" s="195"/>
      <c r="D907" s="220"/>
      <c r="E907" s="220"/>
      <c r="F907" s="55"/>
      <c r="G907" s="55"/>
      <c r="H907" s="12"/>
    </row>
    <row r="908" ht="14.25" customHeight="1">
      <c r="B908" s="19"/>
      <c r="C908" s="195"/>
      <c r="D908" s="220"/>
      <c r="E908" s="220"/>
      <c r="F908" s="55"/>
      <c r="G908" s="55"/>
      <c r="H908" s="12"/>
    </row>
    <row r="909" ht="14.25" customHeight="1">
      <c r="B909" s="19"/>
      <c r="C909" s="195"/>
      <c r="D909" s="220"/>
      <c r="E909" s="220"/>
      <c r="F909" s="55"/>
      <c r="G909" s="55"/>
      <c r="H909" s="12"/>
    </row>
    <row r="910" ht="14.25" customHeight="1">
      <c r="B910" s="19"/>
      <c r="C910" s="195"/>
      <c r="D910" s="220"/>
      <c r="E910" s="220"/>
      <c r="F910" s="55"/>
      <c r="G910" s="55"/>
      <c r="H910" s="12"/>
    </row>
    <row r="911" ht="14.25" customHeight="1">
      <c r="B911" s="19"/>
      <c r="C911" s="195"/>
      <c r="D911" s="220"/>
      <c r="E911" s="220"/>
      <c r="F911" s="55"/>
      <c r="G911" s="55"/>
      <c r="H911" s="12"/>
    </row>
    <row r="912" ht="14.25" customHeight="1">
      <c r="B912" s="19"/>
      <c r="C912" s="195"/>
      <c r="D912" s="220"/>
      <c r="E912" s="220"/>
      <c r="F912" s="55"/>
      <c r="G912" s="55"/>
      <c r="H912" s="12"/>
    </row>
    <row r="913" ht="14.25" customHeight="1">
      <c r="B913" s="19"/>
      <c r="C913" s="195"/>
      <c r="D913" s="220"/>
      <c r="E913" s="220"/>
      <c r="F913" s="55"/>
      <c r="G913" s="55"/>
      <c r="H913" s="12"/>
    </row>
    <row r="914" ht="14.25" customHeight="1">
      <c r="B914" s="19"/>
      <c r="C914" s="195"/>
      <c r="D914" s="220"/>
      <c r="E914" s="220"/>
      <c r="F914" s="55"/>
      <c r="G914" s="55"/>
      <c r="H914" s="12"/>
    </row>
    <row r="915" ht="14.25" customHeight="1">
      <c r="B915" s="19"/>
      <c r="C915" s="195"/>
      <c r="D915" s="220"/>
      <c r="E915" s="220"/>
      <c r="F915" s="55"/>
      <c r="G915" s="55"/>
      <c r="H915" s="12"/>
    </row>
    <row r="916" ht="14.25" customHeight="1">
      <c r="B916" s="19"/>
      <c r="C916" s="195"/>
      <c r="D916" s="220"/>
      <c r="E916" s="220"/>
      <c r="F916" s="55"/>
      <c r="G916" s="55"/>
      <c r="H916" s="12"/>
    </row>
    <row r="917" ht="14.25" customHeight="1">
      <c r="B917" s="19"/>
      <c r="C917" s="195"/>
      <c r="D917" s="220"/>
      <c r="E917" s="220"/>
      <c r="F917" s="55"/>
      <c r="G917" s="55"/>
      <c r="H917" s="12"/>
    </row>
    <row r="918" ht="14.25" customHeight="1">
      <c r="B918" s="19"/>
      <c r="C918" s="195"/>
      <c r="D918" s="220"/>
      <c r="E918" s="220"/>
      <c r="F918" s="55"/>
      <c r="G918" s="55"/>
      <c r="H918" s="12"/>
    </row>
    <row r="919" ht="14.25" customHeight="1">
      <c r="B919" s="19"/>
      <c r="C919" s="195"/>
      <c r="D919" s="220"/>
      <c r="E919" s="220"/>
      <c r="F919" s="55"/>
      <c r="G919" s="55"/>
      <c r="H919" s="12"/>
    </row>
    <row r="920" ht="14.25" customHeight="1">
      <c r="B920" s="19"/>
      <c r="C920" s="195"/>
      <c r="D920" s="220"/>
      <c r="E920" s="220"/>
      <c r="F920" s="55"/>
      <c r="G920" s="55"/>
      <c r="H920" s="12"/>
    </row>
    <row r="921" ht="14.25" customHeight="1">
      <c r="B921" s="19"/>
      <c r="C921" s="195"/>
      <c r="D921" s="220"/>
      <c r="E921" s="220"/>
      <c r="F921" s="55"/>
      <c r="G921" s="55"/>
      <c r="H921" s="12"/>
    </row>
    <row r="922" ht="14.25" customHeight="1">
      <c r="B922" s="19"/>
      <c r="C922" s="195"/>
      <c r="D922" s="220"/>
      <c r="E922" s="220"/>
      <c r="F922" s="55"/>
      <c r="G922" s="55"/>
      <c r="H922" s="12"/>
    </row>
    <row r="923" ht="14.25" customHeight="1">
      <c r="B923" s="19"/>
      <c r="C923" s="195"/>
      <c r="D923" s="220"/>
      <c r="E923" s="220"/>
      <c r="F923" s="55"/>
      <c r="G923" s="55"/>
      <c r="H923" s="12"/>
    </row>
    <row r="924" ht="14.25" customHeight="1">
      <c r="B924" s="19"/>
      <c r="C924" s="195"/>
      <c r="D924" s="220"/>
      <c r="E924" s="220"/>
      <c r="F924" s="55"/>
      <c r="G924" s="55"/>
      <c r="H924" s="12"/>
    </row>
    <row r="925" ht="14.25" customHeight="1">
      <c r="B925" s="19"/>
      <c r="C925" s="195"/>
      <c r="D925" s="220"/>
      <c r="E925" s="220"/>
      <c r="F925" s="55"/>
      <c r="G925" s="55"/>
      <c r="H925" s="12"/>
    </row>
    <row r="926" ht="14.25" customHeight="1">
      <c r="B926" s="19"/>
      <c r="C926" s="195"/>
      <c r="D926" s="220"/>
      <c r="E926" s="220"/>
      <c r="F926" s="55"/>
      <c r="G926" s="55"/>
      <c r="H926" s="12"/>
    </row>
    <row r="927" ht="14.25" customHeight="1">
      <c r="B927" s="19"/>
      <c r="C927" s="195"/>
      <c r="D927" s="220"/>
      <c r="E927" s="220"/>
      <c r="F927" s="55"/>
      <c r="G927" s="55"/>
      <c r="H927" s="12"/>
    </row>
    <row r="928" ht="14.25" customHeight="1">
      <c r="B928" s="19"/>
      <c r="C928" s="195"/>
      <c r="D928" s="220"/>
      <c r="E928" s="220"/>
      <c r="F928" s="55"/>
      <c r="G928" s="55"/>
      <c r="H928" s="12"/>
    </row>
    <row r="929" ht="14.25" customHeight="1">
      <c r="B929" s="19"/>
      <c r="C929" s="195"/>
      <c r="D929" s="220"/>
      <c r="E929" s="220"/>
      <c r="F929" s="55"/>
      <c r="G929" s="55"/>
      <c r="H929" s="12"/>
    </row>
    <row r="930" ht="14.25" customHeight="1">
      <c r="B930" s="19"/>
      <c r="C930" s="195"/>
      <c r="D930" s="220"/>
      <c r="E930" s="220"/>
      <c r="F930" s="55"/>
      <c r="G930" s="55"/>
      <c r="H930" s="12"/>
    </row>
    <row r="931" ht="14.25" customHeight="1">
      <c r="B931" s="19"/>
      <c r="C931" s="195"/>
      <c r="D931" s="220"/>
      <c r="E931" s="220"/>
      <c r="F931" s="55"/>
      <c r="G931" s="55"/>
      <c r="H931" s="12"/>
    </row>
    <row r="932" ht="14.25" customHeight="1">
      <c r="B932" s="19"/>
      <c r="C932" s="195"/>
      <c r="D932" s="220"/>
      <c r="E932" s="220"/>
      <c r="F932" s="55"/>
      <c r="G932" s="55"/>
      <c r="H932" s="12"/>
    </row>
    <row r="933" ht="14.25" customHeight="1">
      <c r="B933" s="19"/>
      <c r="C933" s="195"/>
      <c r="D933" s="220"/>
      <c r="E933" s="220"/>
      <c r="F933" s="55"/>
      <c r="G933" s="55"/>
      <c r="H933" s="12"/>
    </row>
    <row r="934" ht="14.25" customHeight="1">
      <c r="B934" s="19"/>
      <c r="C934" s="195"/>
      <c r="D934" s="220"/>
      <c r="E934" s="220"/>
      <c r="F934" s="55"/>
      <c r="G934" s="55"/>
      <c r="H934" s="12"/>
    </row>
    <row r="935" ht="14.25" customHeight="1">
      <c r="B935" s="19"/>
      <c r="C935" s="195"/>
      <c r="D935" s="220"/>
      <c r="E935" s="220"/>
      <c r="F935" s="55"/>
      <c r="G935" s="55"/>
      <c r="H935" s="12"/>
    </row>
    <row r="936" ht="14.25" customHeight="1">
      <c r="B936" s="19"/>
      <c r="C936" s="195"/>
      <c r="D936" s="220"/>
      <c r="E936" s="220"/>
      <c r="F936" s="55"/>
      <c r="G936" s="55"/>
      <c r="H936" s="12"/>
    </row>
    <row r="937" ht="14.25" customHeight="1">
      <c r="B937" s="19"/>
      <c r="C937" s="195"/>
      <c r="D937" s="220"/>
      <c r="E937" s="220"/>
      <c r="F937" s="55"/>
      <c r="G937" s="55"/>
      <c r="H937" s="12"/>
    </row>
    <row r="938" ht="14.25" customHeight="1">
      <c r="B938" s="19"/>
      <c r="C938" s="195"/>
      <c r="D938" s="220"/>
      <c r="E938" s="220"/>
      <c r="F938" s="55"/>
      <c r="G938" s="55"/>
      <c r="H938" s="12"/>
    </row>
    <row r="939" ht="14.25" customHeight="1">
      <c r="B939" s="19"/>
      <c r="C939" s="195"/>
      <c r="D939" s="220"/>
      <c r="E939" s="220"/>
      <c r="F939" s="55"/>
      <c r="G939" s="55"/>
      <c r="H939" s="12"/>
    </row>
    <row r="940" ht="14.25" customHeight="1">
      <c r="B940" s="19"/>
      <c r="C940" s="195"/>
      <c r="D940" s="220"/>
      <c r="E940" s="220"/>
      <c r="F940" s="55"/>
      <c r="G940" s="55"/>
      <c r="H940" s="12"/>
    </row>
    <row r="941" ht="14.25" customHeight="1">
      <c r="B941" s="19"/>
      <c r="C941" s="195"/>
      <c r="D941" s="220"/>
      <c r="E941" s="220"/>
      <c r="F941" s="55"/>
      <c r="G941" s="55"/>
      <c r="H941" s="12"/>
    </row>
    <row r="942" ht="14.25" customHeight="1">
      <c r="B942" s="19"/>
      <c r="C942" s="195"/>
      <c r="D942" s="220"/>
      <c r="E942" s="220"/>
      <c r="F942" s="55"/>
      <c r="G942" s="55"/>
      <c r="H942" s="12"/>
    </row>
    <row r="943" ht="14.25" customHeight="1">
      <c r="B943" s="19"/>
      <c r="C943" s="195"/>
      <c r="D943" s="220"/>
      <c r="E943" s="220"/>
      <c r="F943" s="55"/>
      <c r="G943" s="55"/>
      <c r="H943" s="12"/>
    </row>
    <row r="944" ht="14.25" customHeight="1">
      <c r="B944" s="19"/>
      <c r="C944" s="195"/>
      <c r="D944" s="220"/>
      <c r="E944" s="220"/>
      <c r="F944" s="55"/>
      <c r="G944" s="55"/>
      <c r="H944" s="12"/>
    </row>
    <row r="945" ht="14.25" customHeight="1">
      <c r="B945" s="19"/>
      <c r="C945" s="195"/>
      <c r="D945" s="220"/>
      <c r="E945" s="220"/>
      <c r="F945" s="55"/>
      <c r="G945" s="55"/>
      <c r="H945" s="12"/>
    </row>
    <row r="946" ht="14.25" customHeight="1">
      <c r="B946" s="19"/>
      <c r="C946" s="195"/>
      <c r="D946" s="220"/>
      <c r="E946" s="220"/>
      <c r="F946" s="55"/>
      <c r="G946" s="55"/>
      <c r="H946" s="12"/>
    </row>
    <row r="947" ht="14.25" customHeight="1">
      <c r="B947" s="19"/>
      <c r="C947" s="195"/>
      <c r="D947" s="220"/>
      <c r="E947" s="220"/>
      <c r="F947" s="55"/>
      <c r="G947" s="55"/>
      <c r="H947" s="12"/>
    </row>
    <row r="948" ht="14.25" customHeight="1">
      <c r="B948" s="19"/>
      <c r="C948" s="195"/>
      <c r="D948" s="220"/>
      <c r="E948" s="220"/>
      <c r="F948" s="55"/>
      <c r="G948" s="55"/>
      <c r="H948" s="12"/>
    </row>
    <row r="949" ht="14.25" customHeight="1">
      <c r="B949" s="19"/>
      <c r="C949" s="195"/>
      <c r="D949" s="220"/>
      <c r="E949" s="220"/>
      <c r="F949" s="55"/>
      <c r="G949" s="55"/>
      <c r="H949" s="12"/>
    </row>
    <row r="950" ht="14.25" customHeight="1">
      <c r="B950" s="19"/>
      <c r="C950" s="195"/>
      <c r="D950" s="220"/>
      <c r="E950" s="220"/>
      <c r="F950" s="55"/>
      <c r="G950" s="55"/>
      <c r="H950" s="12"/>
    </row>
    <row r="951" ht="14.25" customHeight="1">
      <c r="B951" s="19"/>
      <c r="C951" s="195"/>
      <c r="D951" s="220"/>
      <c r="E951" s="220"/>
      <c r="F951" s="55"/>
      <c r="G951" s="55"/>
      <c r="H951" s="12"/>
    </row>
    <row r="952" ht="14.25" customHeight="1">
      <c r="B952" s="19"/>
      <c r="C952" s="195"/>
      <c r="D952" s="220"/>
      <c r="E952" s="220"/>
      <c r="F952" s="55"/>
      <c r="G952" s="55"/>
      <c r="H952" s="12"/>
    </row>
    <row r="953" ht="14.25" customHeight="1">
      <c r="B953" s="19"/>
      <c r="C953" s="195"/>
      <c r="D953" s="220"/>
      <c r="E953" s="220"/>
      <c r="F953" s="55"/>
      <c r="G953" s="55"/>
      <c r="H953" s="12"/>
    </row>
    <row r="954" ht="14.25" customHeight="1">
      <c r="B954" s="19"/>
      <c r="C954" s="195"/>
      <c r="D954" s="220"/>
      <c r="E954" s="220"/>
      <c r="F954" s="55"/>
      <c r="G954" s="55"/>
      <c r="H954" s="12"/>
    </row>
    <row r="955" ht="14.25" customHeight="1">
      <c r="B955" s="19"/>
      <c r="C955" s="195"/>
      <c r="D955" s="220"/>
      <c r="E955" s="220"/>
      <c r="F955" s="55"/>
      <c r="G955" s="55"/>
      <c r="H955" s="12"/>
    </row>
    <row r="956" ht="14.25" customHeight="1">
      <c r="B956" s="19"/>
      <c r="C956" s="195"/>
      <c r="D956" s="220"/>
      <c r="E956" s="220"/>
      <c r="F956" s="55"/>
      <c r="G956" s="55"/>
      <c r="H956" s="12"/>
    </row>
    <row r="957" ht="14.25" customHeight="1">
      <c r="B957" s="19"/>
      <c r="C957" s="195"/>
      <c r="D957" s="220"/>
      <c r="E957" s="220"/>
      <c r="F957" s="55"/>
      <c r="G957" s="55"/>
      <c r="H957" s="12"/>
    </row>
    <row r="958" ht="14.25" customHeight="1">
      <c r="B958" s="19"/>
      <c r="C958" s="195"/>
      <c r="D958" s="220"/>
      <c r="E958" s="220"/>
      <c r="F958" s="55"/>
      <c r="G958" s="55"/>
      <c r="H958" s="12"/>
    </row>
    <row r="959" ht="14.25" customHeight="1">
      <c r="B959" s="19"/>
      <c r="C959" s="195"/>
      <c r="D959" s="220"/>
      <c r="E959" s="220"/>
      <c r="F959" s="55"/>
      <c r="G959" s="55"/>
      <c r="H959" s="12"/>
    </row>
    <row r="960" ht="14.25" customHeight="1">
      <c r="B960" s="19"/>
      <c r="C960" s="195"/>
      <c r="D960" s="220"/>
      <c r="E960" s="220"/>
      <c r="F960" s="55"/>
      <c r="G960" s="55"/>
      <c r="H960" s="12"/>
    </row>
    <row r="961" ht="14.25" customHeight="1">
      <c r="B961" s="19"/>
      <c r="C961" s="195"/>
      <c r="D961" s="220"/>
      <c r="E961" s="220"/>
      <c r="F961" s="55"/>
      <c r="G961" s="55"/>
      <c r="H961" s="12"/>
    </row>
    <row r="962" ht="14.25" customHeight="1">
      <c r="B962" s="19"/>
      <c r="C962" s="195"/>
      <c r="D962" s="220"/>
      <c r="E962" s="220"/>
      <c r="F962" s="55"/>
      <c r="G962" s="55"/>
      <c r="H962" s="12"/>
    </row>
    <row r="963" ht="14.25" customHeight="1">
      <c r="B963" s="19"/>
      <c r="C963" s="195"/>
      <c r="D963" s="220"/>
      <c r="E963" s="220"/>
      <c r="F963" s="55"/>
      <c r="G963" s="55"/>
      <c r="H963" s="12"/>
    </row>
    <row r="964" ht="14.25" customHeight="1">
      <c r="B964" s="19"/>
      <c r="C964" s="195"/>
      <c r="D964" s="220"/>
      <c r="E964" s="220"/>
      <c r="F964" s="55"/>
      <c r="G964" s="55"/>
      <c r="H964" s="12"/>
    </row>
    <row r="965" ht="14.25" customHeight="1">
      <c r="B965" s="19"/>
      <c r="C965" s="195"/>
      <c r="D965" s="220"/>
      <c r="E965" s="220"/>
      <c r="F965" s="55"/>
      <c r="G965" s="55"/>
      <c r="H965" s="12"/>
    </row>
    <row r="966" ht="14.25" customHeight="1">
      <c r="B966" s="19"/>
      <c r="C966" s="195"/>
      <c r="D966" s="220"/>
      <c r="E966" s="220"/>
      <c r="F966" s="55"/>
      <c r="G966" s="55"/>
      <c r="H966" s="12"/>
    </row>
    <row r="967" ht="14.25" customHeight="1">
      <c r="B967" s="19"/>
      <c r="C967" s="195"/>
      <c r="D967" s="220"/>
      <c r="E967" s="220"/>
      <c r="F967" s="55"/>
      <c r="G967" s="55"/>
      <c r="H967" s="12"/>
    </row>
    <row r="968" ht="14.25" customHeight="1">
      <c r="B968" s="19"/>
      <c r="C968" s="195"/>
      <c r="D968" s="220"/>
      <c r="E968" s="220"/>
      <c r="F968" s="55"/>
      <c r="G968" s="55"/>
      <c r="H968" s="12"/>
    </row>
    <row r="969" ht="14.25" customHeight="1">
      <c r="B969" s="19"/>
      <c r="C969" s="195"/>
      <c r="D969" s="220"/>
      <c r="E969" s="220"/>
      <c r="F969" s="55"/>
      <c r="G969" s="55"/>
      <c r="H969" s="12"/>
    </row>
    <row r="970" ht="14.25" customHeight="1">
      <c r="B970" s="19"/>
      <c r="C970" s="195"/>
      <c r="D970" s="220"/>
      <c r="E970" s="220"/>
      <c r="F970" s="55"/>
      <c r="G970" s="55"/>
      <c r="H970" s="12"/>
    </row>
    <row r="971" ht="14.25" customHeight="1">
      <c r="B971" s="19"/>
      <c r="C971" s="195"/>
      <c r="D971" s="220"/>
      <c r="E971" s="220"/>
      <c r="F971" s="55"/>
      <c r="G971" s="55"/>
      <c r="H971" s="12"/>
    </row>
    <row r="972" ht="14.25" customHeight="1">
      <c r="B972" s="19"/>
      <c r="C972" s="195"/>
      <c r="D972" s="220"/>
      <c r="E972" s="220"/>
      <c r="F972" s="55"/>
      <c r="G972" s="55"/>
      <c r="H972" s="12"/>
    </row>
    <row r="973" ht="14.25" customHeight="1">
      <c r="B973" s="19"/>
      <c r="C973" s="195"/>
      <c r="D973" s="220"/>
      <c r="E973" s="220"/>
      <c r="F973" s="55"/>
      <c r="G973" s="55"/>
      <c r="H973" s="12"/>
    </row>
    <row r="974" ht="14.25" customHeight="1">
      <c r="B974" s="19"/>
      <c r="C974" s="195"/>
      <c r="D974" s="220"/>
      <c r="E974" s="220"/>
      <c r="F974" s="55"/>
      <c r="G974" s="55"/>
      <c r="H974" s="12"/>
    </row>
    <row r="975" ht="14.25" customHeight="1">
      <c r="B975" s="19"/>
      <c r="C975" s="195"/>
      <c r="D975" s="220"/>
      <c r="E975" s="220"/>
      <c r="F975" s="55"/>
      <c r="G975" s="55"/>
      <c r="H975" s="12"/>
    </row>
    <row r="976" ht="14.25" customHeight="1">
      <c r="B976" s="19"/>
      <c r="C976" s="195"/>
      <c r="D976" s="220"/>
      <c r="E976" s="220"/>
      <c r="F976" s="55"/>
      <c r="G976" s="55"/>
      <c r="H976" s="12"/>
    </row>
    <row r="977" ht="14.25" customHeight="1">
      <c r="B977" s="19"/>
      <c r="C977" s="195"/>
      <c r="D977" s="220"/>
      <c r="E977" s="220"/>
      <c r="F977" s="55"/>
      <c r="G977" s="55"/>
      <c r="H977" s="12"/>
    </row>
    <row r="978" ht="14.25" customHeight="1">
      <c r="B978" s="19"/>
      <c r="C978" s="195"/>
      <c r="D978" s="220"/>
      <c r="E978" s="220"/>
      <c r="F978" s="55"/>
      <c r="G978" s="55"/>
      <c r="H978" s="12"/>
    </row>
    <row r="979" ht="14.25" customHeight="1">
      <c r="B979" s="19"/>
      <c r="C979" s="195"/>
      <c r="D979" s="220"/>
      <c r="E979" s="220"/>
      <c r="F979" s="55"/>
      <c r="G979" s="55"/>
      <c r="H979" s="12"/>
    </row>
    <row r="980" ht="14.25" customHeight="1">
      <c r="B980" s="19"/>
      <c r="C980" s="195"/>
      <c r="D980" s="220"/>
      <c r="E980" s="220"/>
      <c r="F980" s="55"/>
      <c r="G980" s="55"/>
      <c r="H980" s="12"/>
    </row>
    <row r="981" ht="14.25" customHeight="1">
      <c r="B981" s="19"/>
      <c r="C981" s="195"/>
      <c r="D981" s="220"/>
      <c r="E981" s="220"/>
      <c r="F981" s="55"/>
      <c r="G981" s="55"/>
      <c r="H981" s="12"/>
    </row>
    <row r="982" ht="14.25" customHeight="1">
      <c r="B982" s="19"/>
      <c r="C982" s="195"/>
      <c r="D982" s="220"/>
      <c r="E982" s="220"/>
      <c r="F982" s="55"/>
      <c r="G982" s="55"/>
      <c r="H982" s="12"/>
    </row>
    <row r="983" ht="14.25" customHeight="1">
      <c r="B983" s="19"/>
      <c r="C983" s="195"/>
      <c r="D983" s="220"/>
      <c r="E983" s="220"/>
      <c r="F983" s="55"/>
      <c r="G983" s="55"/>
      <c r="H983" s="12"/>
    </row>
    <row r="984" ht="14.25" customHeight="1">
      <c r="B984" s="19"/>
      <c r="C984" s="195"/>
      <c r="D984" s="220"/>
      <c r="E984" s="220"/>
      <c r="F984" s="55"/>
      <c r="G984" s="55"/>
      <c r="H984" s="12"/>
    </row>
    <row r="985" ht="14.25" customHeight="1">
      <c r="B985" s="19"/>
      <c r="C985" s="195"/>
      <c r="D985" s="220"/>
      <c r="E985" s="220"/>
      <c r="F985" s="55"/>
      <c r="G985" s="55"/>
      <c r="H985" s="12"/>
    </row>
    <row r="986" ht="14.25" customHeight="1">
      <c r="B986" s="19"/>
      <c r="C986" s="195"/>
      <c r="D986" s="220"/>
      <c r="E986" s="220"/>
      <c r="F986" s="55"/>
      <c r="G986" s="55"/>
      <c r="H986" s="12"/>
    </row>
    <row r="987" ht="14.25" customHeight="1">
      <c r="B987" s="19"/>
      <c r="C987" s="195"/>
      <c r="D987" s="220"/>
      <c r="E987" s="220"/>
      <c r="F987" s="55"/>
      <c r="G987" s="55"/>
      <c r="H987" s="12"/>
    </row>
    <row r="988" ht="14.25" customHeight="1">
      <c r="B988" s="19"/>
      <c r="C988" s="195"/>
      <c r="D988" s="220"/>
      <c r="E988" s="220"/>
      <c r="F988" s="55"/>
      <c r="G988" s="55"/>
      <c r="H988" s="12"/>
    </row>
    <row r="989" ht="14.25" customHeight="1">
      <c r="B989" s="19"/>
      <c r="C989" s="195"/>
      <c r="D989" s="220"/>
      <c r="E989" s="220"/>
      <c r="F989" s="55"/>
      <c r="G989" s="55"/>
      <c r="H989" s="12"/>
    </row>
    <row r="990" ht="14.25" customHeight="1">
      <c r="B990" s="19"/>
      <c r="C990" s="195"/>
      <c r="D990" s="220"/>
      <c r="E990" s="220"/>
      <c r="F990" s="55"/>
      <c r="G990" s="55"/>
      <c r="H990" s="12"/>
    </row>
    <row r="991" ht="14.25" customHeight="1">
      <c r="B991" s="19"/>
      <c r="C991" s="195"/>
      <c r="D991" s="220"/>
      <c r="E991" s="220"/>
      <c r="F991" s="55"/>
      <c r="G991" s="55"/>
      <c r="H991" s="12"/>
    </row>
    <row r="992" ht="14.25" customHeight="1">
      <c r="B992" s="19"/>
      <c r="C992" s="195"/>
      <c r="D992" s="220"/>
      <c r="E992" s="220"/>
      <c r="F992" s="55"/>
      <c r="G992" s="55"/>
      <c r="H992" s="12"/>
    </row>
    <row r="993" ht="14.25" customHeight="1">
      <c r="B993" s="19"/>
      <c r="C993" s="195"/>
      <c r="D993" s="220"/>
      <c r="E993" s="220"/>
      <c r="F993" s="55"/>
      <c r="G993" s="55"/>
      <c r="H993" s="12"/>
    </row>
    <row r="994" ht="14.25" customHeight="1">
      <c r="B994" s="19"/>
      <c r="C994" s="195"/>
      <c r="D994" s="220"/>
      <c r="E994" s="220"/>
      <c r="F994" s="55"/>
      <c r="G994" s="55"/>
      <c r="H994" s="12"/>
    </row>
    <row r="995" ht="14.25" customHeight="1">
      <c r="B995" s="19"/>
      <c r="C995" s="195"/>
      <c r="D995" s="220"/>
      <c r="E995" s="220"/>
      <c r="F995" s="55"/>
      <c r="G995" s="55"/>
      <c r="H995" s="12"/>
    </row>
    <row r="996" ht="14.25" customHeight="1">
      <c r="B996" s="19"/>
      <c r="C996" s="195"/>
      <c r="D996" s="220"/>
      <c r="E996" s="220"/>
      <c r="F996" s="55"/>
      <c r="G996" s="55"/>
      <c r="H996" s="12"/>
    </row>
    <row r="997" ht="14.25" customHeight="1">
      <c r="B997" s="19"/>
      <c r="C997" s="195"/>
      <c r="D997" s="220"/>
      <c r="E997" s="220"/>
      <c r="F997" s="55"/>
      <c r="G997" s="55"/>
      <c r="H997" s="12"/>
    </row>
    <row r="998" ht="14.25" customHeight="1">
      <c r="B998" s="19"/>
      <c r="C998" s="195"/>
      <c r="D998" s="220"/>
      <c r="E998" s="220"/>
      <c r="F998" s="55"/>
      <c r="G998" s="55"/>
      <c r="H998" s="12"/>
    </row>
    <row r="999" ht="14.25" customHeight="1">
      <c r="B999" s="19"/>
      <c r="C999" s="195"/>
      <c r="D999" s="220"/>
      <c r="E999" s="220"/>
      <c r="F999" s="55"/>
      <c r="G999" s="55"/>
      <c r="H999" s="12"/>
    </row>
    <row r="1000" ht="14.25" customHeight="1">
      <c r="B1000" s="19"/>
      <c r="C1000" s="195"/>
      <c r="D1000" s="220"/>
      <c r="E1000" s="220"/>
      <c r="F1000" s="55"/>
      <c r="G1000" s="55"/>
      <c r="H1000" s="12"/>
    </row>
    <row r="1001" ht="14.25" customHeight="1">
      <c r="B1001" s="19"/>
      <c r="C1001" s="195"/>
      <c r="D1001" s="220"/>
      <c r="E1001" s="220"/>
      <c r="F1001" s="55"/>
      <c r="G1001" s="55"/>
      <c r="H1001" s="12"/>
    </row>
    <row r="1002" ht="14.25" customHeight="1">
      <c r="B1002" s="19"/>
      <c r="C1002" s="195"/>
      <c r="D1002" s="220"/>
      <c r="E1002" s="220"/>
      <c r="F1002" s="55"/>
      <c r="G1002" s="55"/>
      <c r="H1002" s="12"/>
    </row>
    <row r="1003" ht="14.25" customHeight="1">
      <c r="B1003" s="19"/>
      <c r="C1003" s="195"/>
      <c r="D1003" s="220"/>
      <c r="E1003" s="220"/>
      <c r="F1003" s="55"/>
      <c r="G1003" s="55"/>
      <c r="H1003" s="12"/>
    </row>
    <row r="1004" ht="14.25" customHeight="1">
      <c r="B1004" s="19"/>
      <c r="C1004" s="195"/>
      <c r="D1004" s="220"/>
      <c r="E1004" s="220"/>
      <c r="F1004" s="55"/>
      <c r="G1004" s="55"/>
      <c r="H1004" s="12"/>
    </row>
    <row r="1005" ht="14.25" customHeight="1">
      <c r="B1005" s="19"/>
      <c r="C1005" s="195"/>
      <c r="D1005" s="220"/>
      <c r="E1005" s="220"/>
      <c r="F1005" s="55"/>
      <c r="G1005" s="55"/>
      <c r="H1005" s="12"/>
    </row>
    <row r="1006" ht="14.25" customHeight="1">
      <c r="B1006" s="19"/>
      <c r="C1006" s="195"/>
      <c r="D1006" s="220"/>
      <c r="E1006" s="220"/>
      <c r="F1006" s="55"/>
      <c r="G1006" s="55"/>
      <c r="H1006" s="12"/>
    </row>
    <row r="1007" ht="14.25" customHeight="1">
      <c r="B1007" s="19"/>
      <c r="C1007" s="195"/>
      <c r="D1007" s="220"/>
      <c r="E1007" s="220"/>
      <c r="F1007" s="55"/>
      <c r="G1007" s="55"/>
      <c r="H1007" s="12"/>
    </row>
    <row r="1008" ht="14.25" customHeight="1">
      <c r="B1008" s="19"/>
      <c r="C1008" s="195"/>
      <c r="D1008" s="220"/>
      <c r="E1008" s="220"/>
      <c r="F1008" s="55"/>
      <c r="G1008" s="55"/>
      <c r="H1008" s="12"/>
    </row>
    <row r="1009" ht="14.25" customHeight="1">
      <c r="B1009" s="19"/>
      <c r="C1009" s="195"/>
      <c r="D1009" s="220"/>
      <c r="E1009" s="220"/>
      <c r="F1009" s="55"/>
      <c r="G1009" s="55"/>
      <c r="H1009" s="12"/>
    </row>
    <row r="1010" ht="14.25" customHeight="1">
      <c r="B1010" s="19"/>
      <c r="C1010" s="195"/>
      <c r="D1010" s="220"/>
      <c r="E1010" s="220"/>
      <c r="F1010" s="55"/>
      <c r="G1010" s="55"/>
      <c r="H1010" s="12"/>
    </row>
    <row r="1011" ht="14.25" customHeight="1">
      <c r="B1011" s="19"/>
      <c r="C1011" s="195"/>
      <c r="D1011" s="220"/>
      <c r="E1011" s="220"/>
      <c r="F1011" s="55"/>
      <c r="G1011" s="55"/>
      <c r="H1011" s="12"/>
    </row>
    <row r="1012" ht="14.25" customHeight="1">
      <c r="B1012" s="19"/>
      <c r="C1012" s="195"/>
      <c r="D1012" s="220"/>
      <c r="E1012" s="220"/>
      <c r="F1012" s="55"/>
      <c r="G1012" s="55"/>
      <c r="H1012" s="12"/>
    </row>
    <row r="1013" ht="14.25" customHeight="1">
      <c r="B1013" s="19"/>
      <c r="C1013" s="195"/>
      <c r="D1013" s="220"/>
      <c r="E1013" s="220"/>
      <c r="F1013" s="55"/>
      <c r="G1013" s="55"/>
      <c r="H1013" s="12"/>
    </row>
    <row r="1014" ht="14.25" customHeight="1">
      <c r="B1014" s="19"/>
      <c r="C1014" s="195"/>
      <c r="D1014" s="220"/>
      <c r="E1014" s="220"/>
      <c r="F1014" s="55"/>
      <c r="G1014" s="55"/>
      <c r="H1014" s="12"/>
    </row>
    <row r="1015" ht="14.25" customHeight="1">
      <c r="B1015" s="19"/>
      <c r="C1015" s="195"/>
      <c r="D1015" s="220"/>
      <c r="E1015" s="220"/>
      <c r="F1015" s="55"/>
      <c r="G1015" s="55"/>
      <c r="H1015" s="12"/>
    </row>
    <row r="1016" ht="14.25" customHeight="1">
      <c r="B1016" s="19"/>
      <c r="C1016" s="195"/>
      <c r="D1016" s="220"/>
      <c r="E1016" s="220"/>
      <c r="F1016" s="55"/>
      <c r="G1016" s="55"/>
      <c r="H1016" s="12"/>
    </row>
    <row r="1017" ht="14.25" customHeight="1">
      <c r="B1017" s="19"/>
      <c r="C1017" s="195"/>
      <c r="D1017" s="220"/>
      <c r="E1017" s="220"/>
      <c r="F1017" s="55"/>
      <c r="G1017" s="55"/>
      <c r="H1017" s="12"/>
    </row>
  </sheetData>
  <mergeCells count="11">
    <mergeCell ref="B5:D5"/>
    <mergeCell ref="B6:D6"/>
    <mergeCell ref="F6:G6"/>
    <mergeCell ref="F57:I57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6.86"/>
    <col customWidth="1" min="7" max="7" width="22.29"/>
    <col customWidth="1" min="8" max="8" width="13.0"/>
    <col customWidth="1" min="9" max="28" width="8.71"/>
  </cols>
  <sheetData>
    <row r="1" ht="31.5" customHeight="1">
      <c r="A1" s="11" t="s">
        <v>42</v>
      </c>
      <c r="H1" s="12"/>
    </row>
    <row r="2" ht="26.25" customHeight="1">
      <c r="B2" s="19"/>
      <c r="C2" s="13" t="s">
        <v>43</v>
      </c>
      <c r="G2" s="55"/>
      <c r="H2" s="12"/>
    </row>
    <row r="3" ht="14.25" customHeight="1">
      <c r="A3" s="14" t="s">
        <v>44</v>
      </c>
      <c r="B3" s="56" t="s">
        <v>759</v>
      </c>
      <c r="E3" s="238" t="s">
        <v>46</v>
      </c>
      <c r="F3" s="56" t="s">
        <v>760</v>
      </c>
      <c r="H3" s="12"/>
    </row>
    <row r="4" ht="14.25" customHeight="1">
      <c r="A4" s="14" t="s">
        <v>48</v>
      </c>
      <c r="B4" s="56" t="s">
        <v>30</v>
      </c>
      <c r="E4" s="238" t="s">
        <v>105</v>
      </c>
      <c r="F4" s="56">
        <v>5.610116100224E12</v>
      </c>
      <c r="H4" s="12"/>
    </row>
    <row r="5" ht="14.25" customHeight="1">
      <c r="A5" s="14" t="s">
        <v>51</v>
      </c>
      <c r="B5" s="56" t="s">
        <v>231</v>
      </c>
      <c r="E5" s="238" t="s">
        <v>53</v>
      </c>
      <c r="F5" s="56" t="s">
        <v>463</v>
      </c>
      <c r="H5" s="12"/>
    </row>
    <row r="6" ht="14.25" customHeight="1">
      <c r="A6" s="14" t="s">
        <v>54</v>
      </c>
      <c r="B6" s="18"/>
      <c r="E6" s="238" t="s">
        <v>55</v>
      </c>
      <c r="F6" s="56">
        <v>6.2103866961E10</v>
      </c>
      <c r="H6" s="12"/>
    </row>
    <row r="7" ht="14.25" customHeight="1">
      <c r="B7" s="19"/>
      <c r="C7" s="195"/>
      <c r="D7" s="220"/>
      <c r="E7" s="239"/>
      <c r="G7" s="55"/>
      <c r="H7" s="12"/>
    </row>
    <row r="8" ht="14.25" customHeight="1">
      <c r="B8" s="19"/>
      <c r="C8" s="195"/>
      <c r="D8" s="220"/>
      <c r="E8" s="239"/>
      <c r="G8" s="55"/>
      <c r="H8" s="12"/>
    </row>
    <row r="9" ht="14.25" customHeight="1">
      <c r="A9" s="20" t="s">
        <v>56</v>
      </c>
      <c r="B9" s="21" t="s">
        <v>107</v>
      </c>
      <c r="C9" s="221" t="s">
        <v>58</v>
      </c>
      <c r="D9" s="198" t="s">
        <v>59</v>
      </c>
      <c r="E9" s="240" t="s">
        <v>60</v>
      </c>
      <c r="F9" s="20" t="s">
        <v>61</v>
      </c>
      <c r="G9" s="58" t="s">
        <v>62</v>
      </c>
      <c r="H9" s="22" t="s">
        <v>63</v>
      </c>
      <c r="I9" s="20" t="s">
        <v>64</v>
      </c>
    </row>
    <row r="10" ht="14.25" customHeight="1">
      <c r="A10" s="82" t="s">
        <v>761</v>
      </c>
      <c r="B10" s="82">
        <v>7.6435389E7</v>
      </c>
      <c r="C10" s="222" t="s">
        <v>570</v>
      </c>
      <c r="D10" s="225">
        <v>0.4583333333333333</v>
      </c>
      <c r="E10" s="241" t="s">
        <v>762</v>
      </c>
      <c r="F10" s="63">
        <v>5.0</v>
      </c>
      <c r="G10" s="30">
        <v>5.0</v>
      </c>
      <c r="H10" s="27">
        <f t="shared" ref="H10:H33" si="1">G10*200</f>
        <v>1000</v>
      </c>
      <c r="I10" s="23"/>
    </row>
    <row r="11" ht="14.25" customHeight="1">
      <c r="A11" s="85" t="s">
        <v>763</v>
      </c>
      <c r="B11" s="85">
        <v>7.6702399E7</v>
      </c>
      <c r="C11" s="148" t="s">
        <v>125</v>
      </c>
      <c r="D11" s="225">
        <v>0.25</v>
      </c>
      <c r="E11" s="225">
        <v>0.2916666666666667</v>
      </c>
      <c r="F11" s="60">
        <v>1.0</v>
      </c>
      <c r="G11" s="30">
        <v>1.0</v>
      </c>
      <c r="H11" s="27">
        <f t="shared" si="1"/>
        <v>200</v>
      </c>
      <c r="I11" s="23"/>
    </row>
    <row r="12" ht="14.25" customHeight="1">
      <c r="A12" s="85" t="s">
        <v>764</v>
      </c>
      <c r="B12" s="85">
        <v>7.6524575E7</v>
      </c>
      <c r="C12" s="148" t="s">
        <v>125</v>
      </c>
      <c r="D12" s="224"/>
      <c r="E12" s="242"/>
      <c r="F12" s="60">
        <v>2.0</v>
      </c>
      <c r="G12" s="30">
        <v>2.0</v>
      </c>
      <c r="H12" s="27">
        <f t="shared" si="1"/>
        <v>400</v>
      </c>
      <c r="I12" s="23"/>
    </row>
    <row r="13" ht="14.25" customHeight="1">
      <c r="A13" s="87" t="s">
        <v>765</v>
      </c>
      <c r="B13" s="87">
        <v>7.6849658E7</v>
      </c>
      <c r="C13" s="148" t="s">
        <v>125</v>
      </c>
      <c r="D13" s="224"/>
      <c r="E13" s="242"/>
      <c r="F13" s="60">
        <v>1.0</v>
      </c>
      <c r="G13" s="30">
        <v>1.0</v>
      </c>
      <c r="H13" s="27">
        <f t="shared" si="1"/>
        <v>200</v>
      </c>
      <c r="I13" s="23"/>
    </row>
    <row r="14" ht="14.25" customHeight="1">
      <c r="A14" s="85" t="s">
        <v>766</v>
      </c>
      <c r="B14" s="85">
        <v>7.6040651E7</v>
      </c>
      <c r="C14" s="148" t="s">
        <v>125</v>
      </c>
      <c r="D14" s="224"/>
      <c r="E14" s="242"/>
      <c r="F14" s="60">
        <v>1.0</v>
      </c>
      <c r="G14" s="30">
        <v>1.0</v>
      </c>
      <c r="H14" s="27">
        <f t="shared" si="1"/>
        <v>200</v>
      </c>
      <c r="I14" s="23"/>
    </row>
    <row r="15" ht="14.25" customHeight="1">
      <c r="A15" s="85" t="s">
        <v>767</v>
      </c>
      <c r="B15" s="85">
        <v>7.6642263E7</v>
      </c>
      <c r="C15" s="148" t="s">
        <v>125</v>
      </c>
      <c r="D15" s="224"/>
      <c r="E15" s="242"/>
      <c r="F15" s="60">
        <v>2.0</v>
      </c>
      <c r="G15" s="30">
        <v>2.0</v>
      </c>
      <c r="H15" s="27">
        <f t="shared" si="1"/>
        <v>400</v>
      </c>
      <c r="I15" s="23"/>
    </row>
    <row r="16" ht="14.25" customHeight="1">
      <c r="A16" s="87" t="s">
        <v>768</v>
      </c>
      <c r="B16" s="87">
        <v>7.8500225E7</v>
      </c>
      <c r="C16" s="148" t="s">
        <v>125</v>
      </c>
      <c r="D16" s="224"/>
      <c r="E16" s="242"/>
      <c r="F16" s="243">
        <v>3.0</v>
      </c>
      <c r="G16" s="30">
        <v>3.0</v>
      </c>
      <c r="H16" s="27">
        <f t="shared" si="1"/>
        <v>600</v>
      </c>
      <c r="I16" s="23"/>
    </row>
    <row r="17" ht="14.25" customHeight="1">
      <c r="A17" s="85" t="s">
        <v>250</v>
      </c>
      <c r="B17" s="85">
        <v>7.6360778E7</v>
      </c>
      <c r="C17" s="148" t="s">
        <v>125</v>
      </c>
      <c r="D17" s="224"/>
      <c r="E17" s="242"/>
      <c r="F17" s="60">
        <v>2.0</v>
      </c>
      <c r="G17" s="30">
        <v>2.0</v>
      </c>
      <c r="H17" s="27">
        <f t="shared" si="1"/>
        <v>400</v>
      </c>
      <c r="I17" s="23"/>
    </row>
    <row r="18" ht="14.25" customHeight="1">
      <c r="A18" s="87" t="s">
        <v>769</v>
      </c>
      <c r="B18" s="67">
        <v>7.6360778E7</v>
      </c>
      <c r="C18" s="148" t="s">
        <v>129</v>
      </c>
      <c r="D18" s="224"/>
      <c r="E18" s="242"/>
      <c r="F18" s="60">
        <v>2.0</v>
      </c>
      <c r="G18" s="30">
        <v>2.0</v>
      </c>
      <c r="H18" s="27">
        <f t="shared" si="1"/>
        <v>400</v>
      </c>
      <c r="I18" s="23"/>
    </row>
    <row r="19" ht="14.25" customHeight="1">
      <c r="A19" s="85" t="s">
        <v>212</v>
      </c>
      <c r="B19" s="67">
        <v>7.6507787E7</v>
      </c>
      <c r="C19" s="148" t="s">
        <v>129</v>
      </c>
      <c r="D19" s="224"/>
      <c r="E19" s="242"/>
      <c r="F19" s="60">
        <v>3.0</v>
      </c>
      <c r="G19" s="30">
        <v>3.0</v>
      </c>
      <c r="H19" s="27">
        <f t="shared" si="1"/>
        <v>600</v>
      </c>
      <c r="I19" s="23"/>
    </row>
    <row r="20" ht="14.25" customHeight="1">
      <c r="A20" s="87" t="s">
        <v>770</v>
      </c>
      <c r="B20" s="87">
        <v>7.6719593E7</v>
      </c>
      <c r="C20" s="148" t="s">
        <v>129</v>
      </c>
      <c r="D20" s="224"/>
      <c r="E20" s="242"/>
      <c r="F20" s="69">
        <v>6.0</v>
      </c>
      <c r="G20" s="30">
        <v>6.0</v>
      </c>
      <c r="H20" s="27">
        <f t="shared" si="1"/>
        <v>1200</v>
      </c>
      <c r="I20" s="23"/>
    </row>
    <row r="21" ht="14.25" customHeight="1">
      <c r="A21" s="85" t="s">
        <v>68</v>
      </c>
      <c r="B21" s="85">
        <v>7.6947301E7</v>
      </c>
      <c r="C21" s="148" t="s">
        <v>129</v>
      </c>
      <c r="D21" s="224"/>
      <c r="E21" s="242"/>
      <c r="F21" s="60">
        <v>2.0</v>
      </c>
      <c r="G21" s="30">
        <v>2.0</v>
      </c>
      <c r="H21" s="27">
        <f t="shared" si="1"/>
        <v>400</v>
      </c>
      <c r="I21" s="23"/>
    </row>
    <row r="22" ht="14.25" customHeight="1">
      <c r="A22" s="85" t="s">
        <v>771</v>
      </c>
      <c r="B22" s="67">
        <v>7.6680025E7</v>
      </c>
      <c r="C22" s="148" t="s">
        <v>129</v>
      </c>
      <c r="D22" s="224"/>
      <c r="E22" s="242"/>
      <c r="F22" s="60">
        <v>1.0</v>
      </c>
      <c r="G22" s="30">
        <v>1.0</v>
      </c>
      <c r="H22" s="27">
        <f t="shared" si="1"/>
        <v>200</v>
      </c>
      <c r="I22" s="23"/>
    </row>
    <row r="23" ht="14.25" customHeight="1">
      <c r="A23" s="85" t="s">
        <v>212</v>
      </c>
      <c r="B23" s="85">
        <v>7.8266833E7</v>
      </c>
      <c r="C23" s="148" t="s">
        <v>361</v>
      </c>
      <c r="D23" s="224"/>
      <c r="E23" s="242"/>
      <c r="F23" s="60">
        <v>2.0</v>
      </c>
      <c r="G23" s="30">
        <v>2.0</v>
      </c>
      <c r="H23" s="27">
        <f t="shared" si="1"/>
        <v>400</v>
      </c>
      <c r="I23" s="23"/>
    </row>
    <row r="24" ht="14.25" customHeight="1">
      <c r="A24" s="87" t="s">
        <v>772</v>
      </c>
      <c r="B24" s="67">
        <v>7.6730663E7</v>
      </c>
      <c r="C24" s="148" t="s">
        <v>361</v>
      </c>
      <c r="D24" s="224"/>
      <c r="E24" s="242"/>
      <c r="F24" s="60">
        <v>2.0</v>
      </c>
      <c r="G24" s="30">
        <v>2.0</v>
      </c>
      <c r="H24" s="27">
        <f t="shared" si="1"/>
        <v>400</v>
      </c>
      <c r="I24" s="23"/>
    </row>
    <row r="25" ht="14.25" customHeight="1">
      <c r="A25" s="85" t="s">
        <v>773</v>
      </c>
      <c r="B25" s="85">
        <v>7.6392721E7</v>
      </c>
      <c r="C25" s="148" t="s">
        <v>361</v>
      </c>
      <c r="D25" s="224"/>
      <c r="E25" s="242"/>
      <c r="F25" s="60">
        <v>2.0</v>
      </c>
      <c r="G25" s="30">
        <v>2.0</v>
      </c>
      <c r="H25" s="27">
        <f t="shared" si="1"/>
        <v>400</v>
      </c>
      <c r="I25" s="23"/>
    </row>
    <row r="26" ht="14.25" customHeight="1">
      <c r="A26" s="85" t="s">
        <v>774</v>
      </c>
      <c r="B26" s="85">
        <v>7.6594882E7</v>
      </c>
      <c r="C26" s="148" t="s">
        <v>361</v>
      </c>
      <c r="D26" s="224"/>
      <c r="E26" s="242"/>
      <c r="F26" s="60">
        <v>2.0</v>
      </c>
      <c r="G26" s="30">
        <v>2.0</v>
      </c>
      <c r="H26" s="27">
        <f t="shared" si="1"/>
        <v>400</v>
      </c>
      <c r="I26" s="23"/>
    </row>
    <row r="27" ht="14.25" customHeight="1">
      <c r="A27" s="85" t="s">
        <v>775</v>
      </c>
      <c r="B27" s="85">
        <v>7.6965477E7</v>
      </c>
      <c r="C27" s="148" t="s">
        <v>361</v>
      </c>
      <c r="D27" s="224"/>
      <c r="E27" s="242"/>
      <c r="F27" s="60">
        <v>2.0</v>
      </c>
      <c r="G27" s="30">
        <v>2.0</v>
      </c>
      <c r="H27" s="27">
        <f t="shared" si="1"/>
        <v>400</v>
      </c>
      <c r="I27" s="23"/>
    </row>
    <row r="28" ht="14.25" customHeight="1">
      <c r="A28" s="85" t="s">
        <v>776</v>
      </c>
      <c r="B28" s="85">
        <v>7.6540422E7</v>
      </c>
      <c r="C28" s="70" t="s">
        <v>777</v>
      </c>
      <c r="D28" s="224"/>
      <c r="E28" s="242"/>
      <c r="F28" s="60">
        <v>2.0</v>
      </c>
      <c r="G28" s="30">
        <v>2.0</v>
      </c>
      <c r="H28" s="27">
        <f t="shared" si="1"/>
        <v>400</v>
      </c>
      <c r="I28" s="23"/>
    </row>
    <row r="29" ht="14.25" customHeight="1">
      <c r="A29" s="85" t="s">
        <v>778</v>
      </c>
      <c r="B29" s="85">
        <v>7.6552454E7</v>
      </c>
      <c r="C29" s="70" t="s">
        <v>777</v>
      </c>
      <c r="D29" s="224"/>
      <c r="E29" s="242"/>
      <c r="F29" s="60">
        <v>3.0</v>
      </c>
      <c r="G29" s="86">
        <v>3.0</v>
      </c>
      <c r="H29" s="27">
        <f t="shared" si="1"/>
        <v>600</v>
      </c>
      <c r="I29" s="23"/>
    </row>
    <row r="30" ht="14.25" customHeight="1">
      <c r="A30" s="85" t="s">
        <v>776</v>
      </c>
      <c r="B30" s="67">
        <v>7.8616296E7</v>
      </c>
      <c r="C30" s="70" t="s">
        <v>777</v>
      </c>
      <c r="D30" s="224"/>
      <c r="E30" s="242"/>
      <c r="F30" s="60">
        <v>1.0</v>
      </c>
      <c r="G30" s="30">
        <v>1.0</v>
      </c>
      <c r="H30" s="27">
        <f t="shared" si="1"/>
        <v>200</v>
      </c>
      <c r="I30" s="23"/>
    </row>
    <row r="31" ht="14.25" customHeight="1">
      <c r="A31" s="85" t="s">
        <v>779</v>
      </c>
      <c r="B31" s="85">
        <v>7.8629258E7</v>
      </c>
      <c r="C31" s="70" t="s">
        <v>777</v>
      </c>
      <c r="D31" s="224"/>
      <c r="E31" s="242"/>
      <c r="F31" s="60">
        <v>1.0</v>
      </c>
      <c r="G31" s="30">
        <v>1.0</v>
      </c>
      <c r="H31" s="27">
        <f t="shared" si="1"/>
        <v>200</v>
      </c>
      <c r="I31" s="23"/>
    </row>
    <row r="32" ht="14.25" customHeight="1">
      <c r="A32" s="87" t="s">
        <v>780</v>
      </c>
      <c r="B32" s="87">
        <v>7.6064208E7</v>
      </c>
      <c r="C32" s="70" t="s">
        <v>777</v>
      </c>
      <c r="D32" s="224"/>
      <c r="E32" s="242"/>
      <c r="F32" s="60">
        <v>1.0</v>
      </c>
      <c r="G32" s="30">
        <v>1.0</v>
      </c>
      <c r="H32" s="27">
        <f t="shared" si="1"/>
        <v>200</v>
      </c>
      <c r="I32" s="23"/>
    </row>
    <row r="33" ht="14.25" customHeight="1">
      <c r="A33" s="87" t="s">
        <v>781</v>
      </c>
      <c r="B33" s="169"/>
      <c r="C33" s="70" t="s">
        <v>777</v>
      </c>
      <c r="D33" s="224"/>
      <c r="E33" s="242"/>
      <c r="F33" s="63">
        <v>1.0</v>
      </c>
      <c r="G33" s="30">
        <v>1.0</v>
      </c>
      <c r="H33" s="27">
        <f t="shared" si="1"/>
        <v>200</v>
      </c>
      <c r="I33" s="23"/>
    </row>
    <row r="34" ht="21.75" customHeight="1">
      <c r="A34" s="91"/>
      <c r="B34" s="92"/>
      <c r="C34" s="236"/>
      <c r="D34" s="224"/>
      <c r="E34" s="244" t="s">
        <v>41</v>
      </c>
      <c r="F34" s="40">
        <f>SUM(F9:F33)</f>
        <v>50</v>
      </c>
      <c r="G34" s="40">
        <f>SUM(G1:G33)</f>
        <v>50</v>
      </c>
      <c r="H34" s="74">
        <f>SUM(H9:H33)</f>
        <v>10000</v>
      </c>
      <c r="I34" s="42"/>
    </row>
    <row r="35" ht="23.25" customHeight="1">
      <c r="A35" s="73"/>
      <c r="B35" s="75"/>
      <c r="C35" s="237"/>
      <c r="D35" s="212"/>
      <c r="E35" s="76" t="s">
        <v>100</v>
      </c>
      <c r="F35" s="46">
        <f>COUNT(F10:F33)</f>
        <v>24</v>
      </c>
      <c r="G35" s="47"/>
      <c r="H35" s="47"/>
      <c r="I35" s="48"/>
    </row>
    <row r="36" ht="14.25" customHeight="1">
      <c r="B36" s="19"/>
      <c r="C36" s="195"/>
      <c r="D36" s="220"/>
      <c r="E36" s="239"/>
      <c r="G36" s="55"/>
      <c r="H36" s="12"/>
    </row>
    <row r="37" ht="14.25" customHeight="1">
      <c r="B37" s="19"/>
      <c r="C37" s="195"/>
      <c r="D37" s="49" t="s">
        <v>101</v>
      </c>
      <c r="E37" s="50"/>
      <c r="G37" s="55"/>
      <c r="H37" s="12"/>
    </row>
    <row r="38" ht="14.25" customHeight="1">
      <c r="B38" s="19"/>
      <c r="C38" s="195"/>
      <c r="D38" s="51" t="s">
        <v>102</v>
      </c>
      <c r="E38" s="50"/>
      <c r="G38" s="55"/>
      <c r="H38" s="12"/>
    </row>
    <row r="39" ht="14.25" customHeight="1">
      <c r="B39" s="19"/>
      <c r="C39" s="195"/>
      <c r="D39" s="52" t="s">
        <v>58</v>
      </c>
      <c r="E39" s="53"/>
      <c r="G39" s="55"/>
      <c r="H39" s="12"/>
    </row>
    <row r="40" ht="14.25" customHeight="1">
      <c r="B40" s="19"/>
      <c r="C40" s="195"/>
      <c r="D40" s="220"/>
      <c r="E40" s="239"/>
      <c r="G40" s="55"/>
      <c r="H40" s="12"/>
    </row>
    <row r="41" ht="14.25" customHeight="1">
      <c r="B41" s="19"/>
      <c r="C41" s="195"/>
      <c r="D41" s="220"/>
      <c r="E41" s="239"/>
      <c r="G41" s="55"/>
      <c r="H41" s="12"/>
    </row>
    <row r="42" ht="14.25" customHeight="1">
      <c r="B42" s="19"/>
      <c r="C42" s="195"/>
      <c r="D42" s="220"/>
      <c r="E42" s="239"/>
      <c r="G42" s="55"/>
      <c r="H42" s="12"/>
    </row>
    <row r="43" ht="14.25" customHeight="1">
      <c r="B43" s="19"/>
      <c r="C43" s="195"/>
      <c r="D43" s="220"/>
      <c r="E43" s="239"/>
      <c r="G43" s="55"/>
      <c r="H43" s="12"/>
    </row>
    <row r="44" ht="14.25" customHeight="1">
      <c r="B44" s="19"/>
      <c r="C44" s="195"/>
      <c r="D44" s="220"/>
      <c r="E44" s="239"/>
      <c r="G44" s="55"/>
      <c r="H44" s="12"/>
    </row>
    <row r="45" ht="14.25" customHeight="1">
      <c r="B45" s="19"/>
      <c r="C45" s="195"/>
      <c r="D45" s="220"/>
      <c r="E45" s="239"/>
      <c r="G45" s="55"/>
      <c r="H45" s="12"/>
    </row>
    <row r="46" ht="14.25" customHeight="1">
      <c r="B46" s="19"/>
      <c r="C46" s="195"/>
      <c r="D46" s="220"/>
      <c r="E46" s="239"/>
      <c r="G46" s="55"/>
      <c r="H46" s="12"/>
    </row>
    <row r="47" ht="14.25" customHeight="1">
      <c r="B47" s="19"/>
      <c r="C47" s="195"/>
      <c r="D47" s="220"/>
      <c r="E47" s="239"/>
      <c r="G47" s="55"/>
      <c r="H47" s="12"/>
    </row>
    <row r="48" ht="14.25" customHeight="1">
      <c r="B48" s="19"/>
      <c r="C48" s="195"/>
      <c r="D48" s="220"/>
      <c r="E48" s="239"/>
      <c r="G48" s="55"/>
      <c r="H48" s="12"/>
    </row>
    <row r="49" ht="14.25" customHeight="1">
      <c r="B49" s="19"/>
      <c r="C49" s="195"/>
      <c r="D49" s="220"/>
      <c r="E49" s="239"/>
      <c r="G49" s="55"/>
      <c r="H49" s="12"/>
    </row>
    <row r="50" ht="14.25" customHeight="1">
      <c r="B50" s="19"/>
      <c r="C50" s="195"/>
      <c r="D50" s="220"/>
      <c r="E50" s="239"/>
      <c r="G50" s="55"/>
      <c r="H50" s="12"/>
    </row>
    <row r="51" ht="14.25" customHeight="1">
      <c r="B51" s="19"/>
      <c r="C51" s="195"/>
      <c r="D51" s="220"/>
      <c r="E51" s="239"/>
      <c r="G51" s="55"/>
      <c r="H51" s="12"/>
    </row>
    <row r="52" ht="14.25" customHeight="1">
      <c r="B52" s="19"/>
      <c r="C52" s="195"/>
      <c r="D52" s="220"/>
      <c r="E52" s="239"/>
      <c r="G52" s="55"/>
      <c r="H52" s="12"/>
    </row>
    <row r="53" ht="14.25" customHeight="1">
      <c r="B53" s="19"/>
      <c r="C53" s="195"/>
      <c r="D53" s="220"/>
      <c r="E53" s="239"/>
      <c r="G53" s="55"/>
      <c r="H53" s="12"/>
    </row>
    <row r="54" ht="14.25" customHeight="1">
      <c r="B54" s="19"/>
      <c r="C54" s="195"/>
      <c r="D54" s="220"/>
      <c r="E54" s="239"/>
      <c r="G54" s="55"/>
      <c r="H54" s="12"/>
    </row>
    <row r="55" ht="14.25" customHeight="1">
      <c r="B55" s="19"/>
      <c r="C55" s="195"/>
      <c r="D55" s="220"/>
      <c r="E55" s="239"/>
      <c r="G55" s="55"/>
      <c r="H55" s="12"/>
    </row>
    <row r="56" ht="14.25" customHeight="1">
      <c r="B56" s="19"/>
      <c r="C56" s="195"/>
      <c r="D56" s="220"/>
      <c r="E56" s="239"/>
      <c r="G56" s="55"/>
      <c r="H56" s="12"/>
    </row>
    <row r="57" ht="14.25" customHeight="1">
      <c r="B57" s="19"/>
      <c r="C57" s="195"/>
      <c r="D57" s="220"/>
      <c r="E57" s="239"/>
      <c r="G57" s="55"/>
      <c r="H57" s="12"/>
    </row>
    <row r="58" ht="14.25" customHeight="1">
      <c r="B58" s="19"/>
      <c r="C58" s="195"/>
      <c r="D58" s="220"/>
      <c r="E58" s="239"/>
      <c r="G58" s="55"/>
      <c r="H58" s="12"/>
    </row>
    <row r="59" ht="14.25" customHeight="1">
      <c r="B59" s="19"/>
      <c r="C59" s="195"/>
      <c r="D59" s="220"/>
      <c r="E59" s="239"/>
      <c r="G59" s="55"/>
      <c r="H59" s="12"/>
    </row>
    <row r="60" ht="14.25" customHeight="1">
      <c r="B60" s="19"/>
      <c r="C60" s="195"/>
      <c r="D60" s="220"/>
      <c r="E60" s="239"/>
      <c r="G60" s="55"/>
      <c r="H60" s="12"/>
    </row>
    <row r="61" ht="14.25" customHeight="1">
      <c r="B61" s="19"/>
      <c r="C61" s="195"/>
      <c r="D61" s="220"/>
      <c r="E61" s="239"/>
      <c r="G61" s="55"/>
      <c r="H61" s="12"/>
    </row>
    <row r="62" ht="14.25" customHeight="1">
      <c r="B62" s="19"/>
      <c r="C62" s="195"/>
      <c r="D62" s="220"/>
      <c r="E62" s="239"/>
      <c r="G62" s="55"/>
      <c r="H62" s="12"/>
    </row>
    <row r="63" ht="14.25" customHeight="1">
      <c r="B63" s="19"/>
      <c r="C63" s="195"/>
      <c r="D63" s="220"/>
      <c r="E63" s="239"/>
      <c r="G63" s="55"/>
      <c r="H63" s="12"/>
    </row>
    <row r="64" ht="14.25" customHeight="1">
      <c r="B64" s="19"/>
      <c r="C64" s="195"/>
      <c r="D64" s="220"/>
      <c r="E64" s="239"/>
      <c r="G64" s="55"/>
      <c r="H64" s="12"/>
    </row>
    <row r="65" ht="14.25" customHeight="1">
      <c r="B65" s="19"/>
      <c r="C65" s="195"/>
      <c r="D65" s="220"/>
      <c r="E65" s="239"/>
      <c r="G65" s="55"/>
      <c r="H65" s="12"/>
    </row>
    <row r="66" ht="14.25" customHeight="1">
      <c r="B66" s="19"/>
      <c r="C66" s="195"/>
      <c r="D66" s="220"/>
      <c r="E66" s="239"/>
      <c r="G66" s="55"/>
      <c r="H66" s="12"/>
    </row>
    <row r="67" ht="14.25" customHeight="1">
      <c r="B67" s="19"/>
      <c r="C67" s="195"/>
      <c r="D67" s="220"/>
      <c r="E67" s="239"/>
      <c r="G67" s="55"/>
      <c r="H67" s="12"/>
    </row>
    <row r="68" ht="14.25" customHeight="1">
      <c r="B68" s="19"/>
      <c r="C68" s="195"/>
      <c r="D68" s="220"/>
      <c r="E68" s="239"/>
      <c r="G68" s="55"/>
      <c r="H68" s="12"/>
    </row>
    <row r="69" ht="14.25" customHeight="1">
      <c r="B69" s="19"/>
      <c r="C69" s="195"/>
      <c r="D69" s="220"/>
      <c r="E69" s="239"/>
      <c r="G69" s="55"/>
      <c r="H69" s="12"/>
    </row>
    <row r="70" ht="14.25" customHeight="1">
      <c r="B70" s="19"/>
      <c r="C70" s="195"/>
      <c r="D70" s="220"/>
      <c r="E70" s="239"/>
      <c r="G70" s="55"/>
      <c r="H70" s="12"/>
    </row>
    <row r="71" ht="14.25" customHeight="1">
      <c r="B71" s="19"/>
      <c r="C71" s="195"/>
      <c r="D71" s="220"/>
      <c r="E71" s="239"/>
      <c r="G71" s="55"/>
      <c r="H71" s="12"/>
    </row>
    <row r="72" ht="14.25" customHeight="1">
      <c r="B72" s="19"/>
      <c r="C72" s="195"/>
      <c r="D72" s="220"/>
      <c r="E72" s="239"/>
      <c r="G72" s="55"/>
      <c r="H72" s="12"/>
    </row>
    <row r="73" ht="14.25" customHeight="1">
      <c r="B73" s="19"/>
      <c r="C73" s="195"/>
      <c r="D73" s="220"/>
      <c r="E73" s="239"/>
      <c r="G73" s="55"/>
      <c r="H73" s="12"/>
    </row>
    <row r="74" ht="14.25" customHeight="1">
      <c r="B74" s="19"/>
      <c r="C74" s="195"/>
      <c r="D74" s="220"/>
      <c r="E74" s="239"/>
      <c r="G74" s="55"/>
      <c r="H74" s="12"/>
    </row>
    <row r="75" ht="14.25" customHeight="1">
      <c r="B75" s="19"/>
      <c r="C75" s="195"/>
      <c r="D75" s="220"/>
      <c r="E75" s="239"/>
      <c r="G75" s="55"/>
      <c r="H75" s="12"/>
    </row>
    <row r="76" ht="14.25" customHeight="1">
      <c r="B76" s="19"/>
      <c r="C76" s="195"/>
      <c r="D76" s="220"/>
      <c r="E76" s="239"/>
      <c r="G76" s="55"/>
      <c r="H76" s="12"/>
    </row>
    <row r="77" ht="14.25" customHeight="1">
      <c r="B77" s="19"/>
      <c r="C77" s="195"/>
      <c r="D77" s="220"/>
      <c r="E77" s="239"/>
      <c r="G77" s="55"/>
      <c r="H77" s="12"/>
    </row>
    <row r="78" ht="14.25" customHeight="1">
      <c r="B78" s="19"/>
      <c r="C78" s="195"/>
      <c r="D78" s="220"/>
      <c r="E78" s="239"/>
      <c r="G78" s="55"/>
      <c r="H78" s="12"/>
    </row>
    <row r="79" ht="14.25" customHeight="1">
      <c r="B79" s="19"/>
      <c r="C79" s="195"/>
      <c r="D79" s="220"/>
      <c r="E79" s="239"/>
      <c r="G79" s="55"/>
      <c r="H79" s="12"/>
    </row>
    <row r="80" ht="14.25" customHeight="1">
      <c r="B80" s="19"/>
      <c r="C80" s="195"/>
      <c r="D80" s="220"/>
      <c r="E80" s="239"/>
      <c r="G80" s="55"/>
      <c r="H80" s="12"/>
    </row>
    <row r="81" ht="14.25" customHeight="1">
      <c r="B81" s="19"/>
      <c r="C81" s="195"/>
      <c r="D81" s="220"/>
      <c r="E81" s="239"/>
      <c r="G81" s="55"/>
      <c r="H81" s="12"/>
    </row>
    <row r="82" ht="14.25" customHeight="1">
      <c r="B82" s="19"/>
      <c r="C82" s="195"/>
      <c r="D82" s="220"/>
      <c r="E82" s="239"/>
      <c r="G82" s="55"/>
      <c r="H82" s="12"/>
    </row>
    <row r="83" ht="14.25" customHeight="1">
      <c r="B83" s="19"/>
      <c r="C83" s="195"/>
      <c r="D83" s="220"/>
      <c r="E83" s="239"/>
      <c r="G83" s="55"/>
      <c r="H83" s="12"/>
    </row>
    <row r="84" ht="14.25" customHeight="1">
      <c r="B84" s="19"/>
      <c r="C84" s="195"/>
      <c r="D84" s="220"/>
      <c r="E84" s="239"/>
      <c r="G84" s="55"/>
      <c r="H84" s="12"/>
    </row>
    <row r="85" ht="14.25" customHeight="1">
      <c r="B85" s="19"/>
      <c r="C85" s="195"/>
      <c r="D85" s="220"/>
      <c r="E85" s="239"/>
      <c r="G85" s="55"/>
      <c r="H85" s="12"/>
    </row>
    <row r="86" ht="14.25" customHeight="1">
      <c r="B86" s="19"/>
      <c r="C86" s="195"/>
      <c r="D86" s="220"/>
      <c r="E86" s="239"/>
      <c r="G86" s="55"/>
      <c r="H86" s="12"/>
    </row>
    <row r="87" ht="14.25" customHeight="1">
      <c r="B87" s="19"/>
      <c r="C87" s="195"/>
      <c r="D87" s="220"/>
      <c r="E87" s="239"/>
      <c r="G87" s="55"/>
      <c r="H87" s="12"/>
    </row>
    <row r="88" ht="14.25" customHeight="1">
      <c r="B88" s="19"/>
      <c r="C88" s="195"/>
      <c r="D88" s="220"/>
      <c r="E88" s="239"/>
      <c r="G88" s="55"/>
      <c r="H88" s="12"/>
    </row>
    <row r="89" ht="14.25" customHeight="1">
      <c r="B89" s="19"/>
      <c r="C89" s="195"/>
      <c r="D89" s="220"/>
      <c r="E89" s="239"/>
      <c r="G89" s="55"/>
      <c r="H89" s="12"/>
    </row>
    <row r="90" ht="14.25" customHeight="1">
      <c r="B90" s="19"/>
      <c r="C90" s="195"/>
      <c r="D90" s="220"/>
      <c r="E90" s="239"/>
      <c r="G90" s="55"/>
      <c r="H90" s="12"/>
    </row>
    <row r="91" ht="14.25" customHeight="1">
      <c r="B91" s="19"/>
      <c r="C91" s="195"/>
      <c r="D91" s="220"/>
      <c r="E91" s="239"/>
      <c r="G91" s="55"/>
      <c r="H91" s="12"/>
    </row>
    <row r="92" ht="14.25" customHeight="1">
      <c r="B92" s="19"/>
      <c r="C92" s="195"/>
      <c r="D92" s="220"/>
      <c r="E92" s="239"/>
      <c r="G92" s="55"/>
      <c r="H92" s="12"/>
    </row>
    <row r="93" ht="14.25" customHeight="1">
      <c r="B93" s="19"/>
      <c r="C93" s="195"/>
      <c r="D93" s="220"/>
      <c r="E93" s="239"/>
      <c r="G93" s="55"/>
      <c r="H93" s="12"/>
    </row>
    <row r="94" ht="14.25" customHeight="1">
      <c r="B94" s="19"/>
      <c r="C94" s="195"/>
      <c r="D94" s="220"/>
      <c r="E94" s="239"/>
      <c r="G94" s="55"/>
      <c r="H94" s="12"/>
    </row>
    <row r="95" ht="14.25" customHeight="1">
      <c r="B95" s="19"/>
      <c r="C95" s="195"/>
      <c r="D95" s="220"/>
      <c r="E95" s="239"/>
      <c r="G95" s="55"/>
      <c r="H95" s="12"/>
    </row>
    <row r="96" ht="14.25" customHeight="1">
      <c r="B96" s="19"/>
      <c r="C96" s="195"/>
      <c r="D96" s="220"/>
      <c r="E96" s="239"/>
      <c r="G96" s="55"/>
      <c r="H96" s="12"/>
    </row>
    <row r="97" ht="14.25" customHeight="1">
      <c r="B97" s="19"/>
      <c r="C97" s="195"/>
      <c r="D97" s="220"/>
      <c r="E97" s="239"/>
      <c r="G97" s="55"/>
      <c r="H97" s="12"/>
    </row>
    <row r="98" ht="14.25" customHeight="1">
      <c r="B98" s="19"/>
      <c r="C98" s="195"/>
      <c r="D98" s="220"/>
      <c r="E98" s="239"/>
      <c r="G98" s="55"/>
      <c r="H98" s="12"/>
    </row>
    <row r="99" ht="14.25" customHeight="1">
      <c r="B99" s="19"/>
      <c r="C99" s="195"/>
      <c r="D99" s="220"/>
      <c r="E99" s="239"/>
      <c r="G99" s="55"/>
      <c r="H99" s="12"/>
    </row>
    <row r="100" ht="14.25" customHeight="1">
      <c r="B100" s="19"/>
      <c r="C100" s="195"/>
      <c r="D100" s="220"/>
      <c r="E100" s="239"/>
      <c r="G100" s="55"/>
      <c r="H100" s="12"/>
    </row>
    <row r="101" ht="14.25" customHeight="1">
      <c r="B101" s="19"/>
      <c r="C101" s="195"/>
      <c r="D101" s="220"/>
      <c r="E101" s="239"/>
      <c r="G101" s="55"/>
      <c r="H101" s="12"/>
    </row>
    <row r="102" ht="14.25" customHeight="1">
      <c r="B102" s="19"/>
      <c r="C102" s="195"/>
      <c r="D102" s="220"/>
      <c r="E102" s="239"/>
      <c r="G102" s="55"/>
      <c r="H102" s="12"/>
    </row>
    <row r="103" ht="14.25" customHeight="1">
      <c r="B103" s="19"/>
      <c r="C103" s="195"/>
      <c r="D103" s="220"/>
      <c r="E103" s="239"/>
      <c r="G103" s="55"/>
      <c r="H103" s="12"/>
    </row>
    <row r="104" ht="14.25" customHeight="1">
      <c r="B104" s="19"/>
      <c r="C104" s="195"/>
      <c r="D104" s="220"/>
      <c r="E104" s="239"/>
      <c r="G104" s="55"/>
      <c r="H104" s="12"/>
    </row>
    <row r="105" ht="14.25" customHeight="1">
      <c r="B105" s="19"/>
      <c r="C105" s="195"/>
      <c r="D105" s="220"/>
      <c r="E105" s="239"/>
      <c r="G105" s="55"/>
      <c r="H105" s="12"/>
    </row>
    <row r="106" ht="14.25" customHeight="1">
      <c r="B106" s="19"/>
      <c r="C106" s="195"/>
      <c r="D106" s="220"/>
      <c r="E106" s="239"/>
      <c r="G106" s="55"/>
      <c r="H106" s="12"/>
    </row>
    <row r="107" ht="14.25" customHeight="1">
      <c r="B107" s="19"/>
      <c r="C107" s="195"/>
      <c r="D107" s="220"/>
      <c r="E107" s="239"/>
      <c r="G107" s="55"/>
      <c r="H107" s="12"/>
    </row>
    <row r="108" ht="14.25" customHeight="1">
      <c r="B108" s="19"/>
      <c r="C108" s="195"/>
      <c r="D108" s="220"/>
      <c r="E108" s="239"/>
      <c r="G108" s="55"/>
      <c r="H108" s="12"/>
    </row>
    <row r="109" ht="14.25" customHeight="1">
      <c r="B109" s="19"/>
      <c r="C109" s="195"/>
      <c r="D109" s="220"/>
      <c r="E109" s="239"/>
      <c r="G109" s="55"/>
      <c r="H109" s="12"/>
    </row>
    <row r="110" ht="14.25" customHeight="1">
      <c r="B110" s="19"/>
      <c r="C110" s="195"/>
      <c r="D110" s="220"/>
      <c r="E110" s="239"/>
      <c r="G110" s="55"/>
      <c r="H110" s="12"/>
    </row>
    <row r="111" ht="14.25" customHeight="1">
      <c r="B111" s="19"/>
      <c r="C111" s="195"/>
      <c r="D111" s="220"/>
      <c r="E111" s="239"/>
      <c r="G111" s="55"/>
      <c r="H111" s="12"/>
    </row>
    <row r="112" ht="14.25" customHeight="1">
      <c r="B112" s="19"/>
      <c r="C112" s="195"/>
      <c r="D112" s="220"/>
      <c r="E112" s="239"/>
      <c r="G112" s="55"/>
      <c r="H112" s="12"/>
    </row>
    <row r="113" ht="14.25" customHeight="1">
      <c r="B113" s="19"/>
      <c r="C113" s="195"/>
      <c r="D113" s="220"/>
      <c r="E113" s="239"/>
      <c r="G113" s="55"/>
      <c r="H113" s="12"/>
    </row>
    <row r="114" ht="14.25" customHeight="1">
      <c r="B114" s="19"/>
      <c r="C114" s="195"/>
      <c r="D114" s="220"/>
      <c r="E114" s="239"/>
      <c r="G114" s="55"/>
      <c r="H114" s="12"/>
    </row>
    <row r="115" ht="14.25" customHeight="1">
      <c r="B115" s="19"/>
      <c r="C115" s="195"/>
      <c r="D115" s="220"/>
      <c r="E115" s="239"/>
      <c r="G115" s="55"/>
      <c r="H115" s="12"/>
    </row>
    <row r="116" ht="14.25" customHeight="1">
      <c r="B116" s="19"/>
      <c r="C116" s="195"/>
      <c r="D116" s="220"/>
      <c r="E116" s="239"/>
      <c r="G116" s="55"/>
      <c r="H116" s="12"/>
    </row>
    <row r="117" ht="14.25" customHeight="1">
      <c r="B117" s="19"/>
      <c r="C117" s="195"/>
      <c r="D117" s="220"/>
      <c r="E117" s="239"/>
      <c r="G117" s="55"/>
      <c r="H117" s="12"/>
    </row>
    <row r="118" ht="14.25" customHeight="1">
      <c r="B118" s="19"/>
      <c r="C118" s="195"/>
      <c r="D118" s="220"/>
      <c r="E118" s="239"/>
      <c r="G118" s="55"/>
      <c r="H118" s="12"/>
    </row>
    <row r="119" ht="14.25" customHeight="1">
      <c r="B119" s="19"/>
      <c r="C119" s="195"/>
      <c r="D119" s="220"/>
      <c r="E119" s="239"/>
      <c r="G119" s="55"/>
      <c r="H119" s="12"/>
    </row>
    <row r="120" ht="14.25" customHeight="1">
      <c r="B120" s="19"/>
      <c r="C120" s="195"/>
      <c r="D120" s="220"/>
      <c r="E120" s="239"/>
      <c r="G120" s="55"/>
      <c r="H120" s="12"/>
    </row>
    <row r="121" ht="14.25" customHeight="1">
      <c r="B121" s="19"/>
      <c r="C121" s="195"/>
      <c r="D121" s="220"/>
      <c r="E121" s="239"/>
      <c r="G121" s="55"/>
      <c r="H121" s="12"/>
    </row>
    <row r="122" ht="14.25" customHeight="1">
      <c r="B122" s="19"/>
      <c r="C122" s="195"/>
      <c r="D122" s="220"/>
      <c r="E122" s="239"/>
      <c r="G122" s="55"/>
      <c r="H122" s="12"/>
    </row>
    <row r="123" ht="14.25" customHeight="1">
      <c r="B123" s="19"/>
      <c r="C123" s="195"/>
      <c r="D123" s="220"/>
      <c r="E123" s="239"/>
      <c r="G123" s="55"/>
      <c r="H123" s="12"/>
    </row>
    <row r="124" ht="14.25" customHeight="1">
      <c r="B124" s="19"/>
      <c r="C124" s="195"/>
      <c r="D124" s="220"/>
      <c r="E124" s="239"/>
      <c r="G124" s="55"/>
      <c r="H124" s="12"/>
    </row>
    <row r="125" ht="14.25" customHeight="1">
      <c r="B125" s="19"/>
      <c r="C125" s="195"/>
      <c r="D125" s="220"/>
      <c r="E125" s="239"/>
      <c r="G125" s="55"/>
      <c r="H125" s="12"/>
    </row>
    <row r="126" ht="14.25" customHeight="1">
      <c r="B126" s="19"/>
      <c r="C126" s="195"/>
      <c r="D126" s="220"/>
      <c r="E126" s="239"/>
      <c r="G126" s="55"/>
      <c r="H126" s="12"/>
    </row>
    <row r="127" ht="14.25" customHeight="1">
      <c r="B127" s="19"/>
      <c r="C127" s="195"/>
      <c r="D127" s="220"/>
      <c r="E127" s="239"/>
      <c r="G127" s="55"/>
      <c r="H127" s="12"/>
    </row>
    <row r="128" ht="14.25" customHeight="1">
      <c r="B128" s="19"/>
      <c r="C128" s="195"/>
      <c r="D128" s="220"/>
      <c r="E128" s="239"/>
      <c r="G128" s="55"/>
      <c r="H128" s="12"/>
    </row>
    <row r="129" ht="14.25" customHeight="1">
      <c r="B129" s="19"/>
      <c r="C129" s="195"/>
      <c r="D129" s="220"/>
      <c r="E129" s="239"/>
      <c r="G129" s="55"/>
      <c r="H129" s="12"/>
    </row>
    <row r="130" ht="14.25" customHeight="1">
      <c r="B130" s="19"/>
      <c r="C130" s="195"/>
      <c r="D130" s="220"/>
      <c r="E130" s="239"/>
      <c r="G130" s="55"/>
      <c r="H130" s="12"/>
    </row>
    <row r="131" ht="14.25" customHeight="1">
      <c r="B131" s="19"/>
      <c r="C131" s="195"/>
      <c r="D131" s="220"/>
      <c r="E131" s="239"/>
      <c r="G131" s="55"/>
      <c r="H131" s="12"/>
    </row>
    <row r="132" ht="14.25" customHeight="1">
      <c r="B132" s="19"/>
      <c r="C132" s="195"/>
      <c r="D132" s="220"/>
      <c r="E132" s="239"/>
      <c r="G132" s="55"/>
      <c r="H132" s="12"/>
    </row>
    <row r="133" ht="14.25" customHeight="1">
      <c r="B133" s="19"/>
      <c r="C133" s="195"/>
      <c r="D133" s="220"/>
      <c r="E133" s="239"/>
      <c r="G133" s="55"/>
      <c r="H133" s="12"/>
    </row>
    <row r="134" ht="14.25" customHeight="1">
      <c r="B134" s="19"/>
      <c r="C134" s="195"/>
      <c r="D134" s="220"/>
      <c r="E134" s="239"/>
      <c r="G134" s="55"/>
      <c r="H134" s="12"/>
    </row>
    <row r="135" ht="14.25" customHeight="1">
      <c r="B135" s="19"/>
      <c r="C135" s="195"/>
      <c r="D135" s="220"/>
      <c r="E135" s="239"/>
      <c r="G135" s="55"/>
      <c r="H135" s="12"/>
    </row>
    <row r="136" ht="14.25" customHeight="1">
      <c r="B136" s="19"/>
      <c r="C136" s="195"/>
      <c r="D136" s="220"/>
      <c r="E136" s="239"/>
      <c r="G136" s="55"/>
      <c r="H136" s="12"/>
    </row>
    <row r="137" ht="14.25" customHeight="1">
      <c r="B137" s="19"/>
      <c r="C137" s="195"/>
      <c r="D137" s="220"/>
      <c r="E137" s="239"/>
      <c r="G137" s="55"/>
      <c r="H137" s="12"/>
    </row>
    <row r="138" ht="14.25" customHeight="1">
      <c r="B138" s="19"/>
      <c r="C138" s="195"/>
      <c r="D138" s="220"/>
      <c r="E138" s="239"/>
      <c r="G138" s="55"/>
      <c r="H138" s="12"/>
    </row>
    <row r="139" ht="14.25" customHeight="1">
      <c r="B139" s="19"/>
      <c r="C139" s="195"/>
      <c r="D139" s="220"/>
      <c r="E139" s="239"/>
      <c r="G139" s="55"/>
      <c r="H139" s="12"/>
    </row>
    <row r="140" ht="14.25" customHeight="1">
      <c r="B140" s="19"/>
      <c r="C140" s="195"/>
      <c r="D140" s="220"/>
      <c r="E140" s="239"/>
      <c r="G140" s="55"/>
      <c r="H140" s="12"/>
    </row>
    <row r="141" ht="14.25" customHeight="1">
      <c r="B141" s="19"/>
      <c r="C141" s="195"/>
      <c r="D141" s="220"/>
      <c r="E141" s="239"/>
      <c r="G141" s="55"/>
      <c r="H141" s="12"/>
    </row>
    <row r="142" ht="14.25" customHeight="1">
      <c r="B142" s="19"/>
      <c r="C142" s="195"/>
      <c r="D142" s="220"/>
      <c r="E142" s="239"/>
      <c r="G142" s="55"/>
      <c r="H142" s="12"/>
    </row>
    <row r="143" ht="14.25" customHeight="1">
      <c r="B143" s="19"/>
      <c r="C143" s="195"/>
      <c r="D143" s="220"/>
      <c r="E143" s="239"/>
      <c r="G143" s="55"/>
      <c r="H143" s="12"/>
    </row>
    <row r="144" ht="14.25" customHeight="1">
      <c r="B144" s="19"/>
      <c r="C144" s="195"/>
      <c r="D144" s="220"/>
      <c r="E144" s="239"/>
      <c r="G144" s="55"/>
      <c r="H144" s="12"/>
    </row>
    <row r="145" ht="14.25" customHeight="1">
      <c r="B145" s="19"/>
      <c r="C145" s="195"/>
      <c r="D145" s="220"/>
      <c r="E145" s="239"/>
      <c r="G145" s="55"/>
      <c r="H145" s="12"/>
    </row>
    <row r="146" ht="14.25" customHeight="1">
      <c r="B146" s="19"/>
      <c r="C146" s="195"/>
      <c r="D146" s="220"/>
      <c r="E146" s="239"/>
      <c r="G146" s="55"/>
      <c r="H146" s="12"/>
    </row>
    <row r="147" ht="14.25" customHeight="1">
      <c r="B147" s="19"/>
      <c r="C147" s="195"/>
      <c r="D147" s="220"/>
      <c r="E147" s="239"/>
      <c r="G147" s="55"/>
      <c r="H147" s="12"/>
    </row>
    <row r="148" ht="14.25" customHeight="1">
      <c r="B148" s="19"/>
      <c r="C148" s="195"/>
      <c r="D148" s="220"/>
      <c r="E148" s="239"/>
      <c r="G148" s="55"/>
      <c r="H148" s="12"/>
    </row>
    <row r="149" ht="14.25" customHeight="1">
      <c r="B149" s="19"/>
      <c r="C149" s="195"/>
      <c r="D149" s="220"/>
      <c r="E149" s="239"/>
      <c r="G149" s="55"/>
      <c r="H149" s="12"/>
    </row>
    <row r="150" ht="14.25" customHeight="1">
      <c r="B150" s="19"/>
      <c r="C150" s="195"/>
      <c r="D150" s="220"/>
      <c r="E150" s="239"/>
      <c r="G150" s="55"/>
      <c r="H150" s="12"/>
    </row>
    <row r="151" ht="14.25" customHeight="1">
      <c r="B151" s="19"/>
      <c r="C151" s="195"/>
      <c r="D151" s="220"/>
      <c r="E151" s="239"/>
      <c r="G151" s="55"/>
      <c r="H151" s="12"/>
    </row>
    <row r="152" ht="14.25" customHeight="1">
      <c r="B152" s="19"/>
      <c r="C152" s="195"/>
      <c r="D152" s="220"/>
      <c r="E152" s="239"/>
      <c r="G152" s="55"/>
      <c r="H152" s="12"/>
    </row>
    <row r="153" ht="14.25" customHeight="1">
      <c r="B153" s="19"/>
      <c r="C153" s="195"/>
      <c r="D153" s="220"/>
      <c r="E153" s="239"/>
      <c r="G153" s="55"/>
      <c r="H153" s="12"/>
    </row>
    <row r="154" ht="14.25" customHeight="1">
      <c r="B154" s="19"/>
      <c r="C154" s="195"/>
      <c r="D154" s="220"/>
      <c r="E154" s="239"/>
      <c r="G154" s="55"/>
      <c r="H154" s="12"/>
    </row>
    <row r="155" ht="14.25" customHeight="1">
      <c r="B155" s="19"/>
      <c r="C155" s="195"/>
      <c r="D155" s="220"/>
      <c r="E155" s="239"/>
      <c r="G155" s="55"/>
      <c r="H155" s="12"/>
    </row>
    <row r="156" ht="14.25" customHeight="1">
      <c r="B156" s="19"/>
      <c r="C156" s="195"/>
      <c r="D156" s="220"/>
      <c r="E156" s="239"/>
      <c r="G156" s="55"/>
      <c r="H156" s="12"/>
    </row>
    <row r="157" ht="14.25" customHeight="1">
      <c r="B157" s="19"/>
      <c r="C157" s="195"/>
      <c r="D157" s="220"/>
      <c r="E157" s="239"/>
      <c r="G157" s="55"/>
      <c r="H157" s="12"/>
    </row>
    <row r="158" ht="14.25" customHeight="1">
      <c r="B158" s="19"/>
      <c r="C158" s="195"/>
      <c r="D158" s="220"/>
      <c r="E158" s="239"/>
      <c r="G158" s="55"/>
      <c r="H158" s="12"/>
    </row>
    <row r="159" ht="14.25" customHeight="1">
      <c r="B159" s="19"/>
      <c r="C159" s="195"/>
      <c r="D159" s="220"/>
      <c r="E159" s="239"/>
      <c r="G159" s="55"/>
      <c r="H159" s="12"/>
    </row>
    <row r="160" ht="14.25" customHeight="1">
      <c r="B160" s="19"/>
      <c r="C160" s="195"/>
      <c r="D160" s="220"/>
      <c r="E160" s="239"/>
      <c r="G160" s="55"/>
      <c r="H160" s="12"/>
    </row>
    <row r="161" ht="14.25" customHeight="1">
      <c r="B161" s="19"/>
      <c r="C161" s="195"/>
      <c r="D161" s="220"/>
      <c r="E161" s="239"/>
      <c r="G161" s="55"/>
      <c r="H161" s="12"/>
    </row>
    <row r="162" ht="14.25" customHeight="1">
      <c r="B162" s="19"/>
      <c r="C162" s="195"/>
      <c r="D162" s="220"/>
      <c r="E162" s="239"/>
      <c r="G162" s="55"/>
      <c r="H162" s="12"/>
    </row>
    <row r="163" ht="14.25" customHeight="1">
      <c r="B163" s="19"/>
      <c r="C163" s="195"/>
      <c r="D163" s="220"/>
      <c r="E163" s="239"/>
      <c r="G163" s="55"/>
      <c r="H163" s="12"/>
    </row>
    <row r="164" ht="14.25" customHeight="1">
      <c r="B164" s="19"/>
      <c r="C164" s="195"/>
      <c r="D164" s="220"/>
      <c r="E164" s="239"/>
      <c r="G164" s="55"/>
      <c r="H164" s="12"/>
    </row>
    <row r="165" ht="14.25" customHeight="1">
      <c r="B165" s="19"/>
      <c r="C165" s="195"/>
      <c r="D165" s="220"/>
      <c r="E165" s="239"/>
      <c r="G165" s="55"/>
      <c r="H165" s="12"/>
    </row>
    <row r="166" ht="14.25" customHeight="1">
      <c r="B166" s="19"/>
      <c r="C166" s="195"/>
      <c r="D166" s="220"/>
      <c r="E166" s="239"/>
      <c r="G166" s="55"/>
      <c r="H166" s="12"/>
    </row>
    <row r="167" ht="14.25" customHeight="1">
      <c r="B167" s="19"/>
      <c r="C167" s="195"/>
      <c r="D167" s="220"/>
      <c r="E167" s="239"/>
      <c r="G167" s="55"/>
      <c r="H167" s="12"/>
    </row>
    <row r="168" ht="14.25" customHeight="1">
      <c r="B168" s="19"/>
      <c r="C168" s="195"/>
      <c r="D168" s="220"/>
      <c r="E168" s="239"/>
      <c r="G168" s="55"/>
      <c r="H168" s="12"/>
    </row>
    <row r="169" ht="14.25" customHeight="1">
      <c r="B169" s="19"/>
      <c r="C169" s="195"/>
      <c r="D169" s="220"/>
      <c r="E169" s="239"/>
      <c r="G169" s="55"/>
      <c r="H169" s="12"/>
    </row>
    <row r="170" ht="14.25" customHeight="1">
      <c r="B170" s="19"/>
      <c r="C170" s="195"/>
      <c r="D170" s="220"/>
      <c r="E170" s="239"/>
      <c r="G170" s="55"/>
      <c r="H170" s="12"/>
    </row>
    <row r="171" ht="14.25" customHeight="1">
      <c r="B171" s="19"/>
      <c r="C171" s="195"/>
      <c r="D171" s="220"/>
      <c r="E171" s="239"/>
      <c r="G171" s="55"/>
      <c r="H171" s="12"/>
    </row>
    <row r="172" ht="14.25" customHeight="1">
      <c r="B172" s="19"/>
      <c r="C172" s="195"/>
      <c r="D172" s="220"/>
      <c r="E172" s="239"/>
      <c r="G172" s="55"/>
      <c r="H172" s="12"/>
    </row>
    <row r="173" ht="14.25" customHeight="1">
      <c r="B173" s="19"/>
      <c r="C173" s="195"/>
      <c r="D173" s="220"/>
      <c r="E173" s="239"/>
      <c r="G173" s="55"/>
      <c r="H173" s="12"/>
    </row>
    <row r="174" ht="14.25" customHeight="1">
      <c r="B174" s="19"/>
      <c r="C174" s="195"/>
      <c r="D174" s="220"/>
      <c r="E174" s="239"/>
      <c r="G174" s="55"/>
      <c r="H174" s="12"/>
    </row>
    <row r="175" ht="14.25" customHeight="1">
      <c r="B175" s="19"/>
      <c r="C175" s="195"/>
      <c r="D175" s="220"/>
      <c r="E175" s="239"/>
      <c r="G175" s="55"/>
      <c r="H175" s="12"/>
    </row>
    <row r="176" ht="14.25" customHeight="1">
      <c r="B176" s="19"/>
      <c r="C176" s="195"/>
      <c r="D176" s="220"/>
      <c r="E176" s="239"/>
      <c r="G176" s="55"/>
      <c r="H176" s="12"/>
    </row>
    <row r="177" ht="14.25" customHeight="1">
      <c r="B177" s="19"/>
      <c r="C177" s="195"/>
      <c r="D177" s="220"/>
      <c r="E177" s="239"/>
      <c r="G177" s="55"/>
      <c r="H177" s="12"/>
    </row>
    <row r="178" ht="14.25" customHeight="1">
      <c r="B178" s="19"/>
      <c r="C178" s="195"/>
      <c r="D178" s="220"/>
      <c r="E178" s="239"/>
      <c r="G178" s="55"/>
      <c r="H178" s="12"/>
    </row>
    <row r="179" ht="14.25" customHeight="1">
      <c r="B179" s="19"/>
      <c r="C179" s="195"/>
      <c r="D179" s="220"/>
      <c r="E179" s="239"/>
      <c r="G179" s="55"/>
      <c r="H179" s="12"/>
    </row>
    <row r="180" ht="14.25" customHeight="1">
      <c r="B180" s="19"/>
      <c r="C180" s="195"/>
      <c r="D180" s="220"/>
      <c r="E180" s="239"/>
      <c r="G180" s="55"/>
      <c r="H180" s="12"/>
    </row>
    <row r="181" ht="14.25" customHeight="1">
      <c r="B181" s="19"/>
      <c r="C181" s="195"/>
      <c r="D181" s="220"/>
      <c r="E181" s="239"/>
      <c r="G181" s="55"/>
      <c r="H181" s="12"/>
    </row>
    <row r="182" ht="14.25" customHeight="1">
      <c r="B182" s="19"/>
      <c r="C182" s="195"/>
      <c r="D182" s="220"/>
      <c r="E182" s="239"/>
      <c r="G182" s="55"/>
      <c r="H182" s="12"/>
    </row>
    <row r="183" ht="14.25" customHeight="1">
      <c r="B183" s="19"/>
      <c r="C183" s="195"/>
      <c r="D183" s="220"/>
      <c r="E183" s="239"/>
      <c r="G183" s="55"/>
      <c r="H183" s="12"/>
    </row>
    <row r="184" ht="14.25" customHeight="1">
      <c r="B184" s="19"/>
      <c r="C184" s="195"/>
      <c r="D184" s="220"/>
      <c r="E184" s="239"/>
      <c r="G184" s="55"/>
      <c r="H184" s="12"/>
    </row>
    <row r="185" ht="14.25" customHeight="1">
      <c r="B185" s="19"/>
      <c r="C185" s="195"/>
      <c r="D185" s="220"/>
      <c r="E185" s="239"/>
      <c r="G185" s="55"/>
      <c r="H185" s="12"/>
    </row>
    <row r="186" ht="14.25" customHeight="1">
      <c r="B186" s="19"/>
      <c r="C186" s="195"/>
      <c r="D186" s="220"/>
      <c r="E186" s="239"/>
      <c r="G186" s="55"/>
      <c r="H186" s="12"/>
    </row>
    <row r="187" ht="14.25" customHeight="1">
      <c r="B187" s="19"/>
      <c r="C187" s="195"/>
      <c r="D187" s="220"/>
      <c r="E187" s="239"/>
      <c r="G187" s="55"/>
      <c r="H187" s="12"/>
    </row>
    <row r="188" ht="14.25" customHeight="1">
      <c r="B188" s="19"/>
      <c r="C188" s="195"/>
      <c r="D188" s="220"/>
      <c r="E188" s="239"/>
      <c r="G188" s="55"/>
      <c r="H188" s="12"/>
    </row>
    <row r="189" ht="14.25" customHeight="1">
      <c r="B189" s="19"/>
      <c r="C189" s="195"/>
      <c r="D189" s="220"/>
      <c r="E189" s="239"/>
      <c r="G189" s="55"/>
      <c r="H189" s="12"/>
    </row>
    <row r="190" ht="14.25" customHeight="1">
      <c r="B190" s="19"/>
      <c r="C190" s="195"/>
      <c r="D190" s="220"/>
      <c r="E190" s="239"/>
      <c r="G190" s="55"/>
      <c r="H190" s="12"/>
    </row>
    <row r="191" ht="14.25" customHeight="1">
      <c r="B191" s="19"/>
      <c r="C191" s="195"/>
      <c r="D191" s="220"/>
      <c r="E191" s="239"/>
      <c r="G191" s="55"/>
      <c r="H191" s="12"/>
    </row>
    <row r="192" ht="14.25" customHeight="1">
      <c r="B192" s="19"/>
      <c r="C192" s="195"/>
      <c r="D192" s="220"/>
      <c r="E192" s="239"/>
      <c r="G192" s="55"/>
      <c r="H192" s="12"/>
    </row>
    <row r="193" ht="14.25" customHeight="1">
      <c r="B193" s="19"/>
      <c r="C193" s="195"/>
      <c r="D193" s="220"/>
      <c r="E193" s="239"/>
      <c r="G193" s="55"/>
      <c r="H193" s="12"/>
    </row>
    <row r="194" ht="14.25" customHeight="1">
      <c r="B194" s="19"/>
      <c r="C194" s="195"/>
      <c r="D194" s="220"/>
      <c r="E194" s="239"/>
      <c r="G194" s="55"/>
      <c r="H194" s="12"/>
    </row>
    <row r="195" ht="14.25" customHeight="1">
      <c r="B195" s="19"/>
      <c r="C195" s="195"/>
      <c r="D195" s="220"/>
      <c r="E195" s="239"/>
      <c r="G195" s="55"/>
      <c r="H195" s="12"/>
    </row>
    <row r="196" ht="14.25" customHeight="1">
      <c r="B196" s="19"/>
      <c r="C196" s="195"/>
      <c r="D196" s="220"/>
      <c r="E196" s="239"/>
      <c r="G196" s="55"/>
      <c r="H196" s="12"/>
    </row>
    <row r="197" ht="14.25" customHeight="1">
      <c r="B197" s="19"/>
      <c r="C197" s="195"/>
      <c r="D197" s="220"/>
      <c r="E197" s="239"/>
      <c r="G197" s="55"/>
      <c r="H197" s="12"/>
    </row>
    <row r="198" ht="14.25" customHeight="1">
      <c r="B198" s="19"/>
      <c r="C198" s="195"/>
      <c r="D198" s="220"/>
      <c r="E198" s="239"/>
      <c r="G198" s="55"/>
      <c r="H198" s="12"/>
    </row>
    <row r="199" ht="14.25" customHeight="1">
      <c r="B199" s="19"/>
      <c r="C199" s="195"/>
      <c r="D199" s="220"/>
      <c r="E199" s="239"/>
      <c r="G199" s="55"/>
      <c r="H199" s="12"/>
    </row>
    <row r="200" ht="14.25" customHeight="1">
      <c r="B200" s="19"/>
      <c r="C200" s="195"/>
      <c r="D200" s="220"/>
      <c r="E200" s="239"/>
      <c r="G200" s="55"/>
      <c r="H200" s="12"/>
    </row>
    <row r="201" ht="14.25" customHeight="1">
      <c r="B201" s="19"/>
      <c r="C201" s="195"/>
      <c r="D201" s="220"/>
      <c r="E201" s="239"/>
      <c r="G201" s="55"/>
      <c r="H201" s="12"/>
    </row>
    <row r="202" ht="14.25" customHeight="1">
      <c r="B202" s="19"/>
      <c r="C202" s="195"/>
      <c r="D202" s="220"/>
      <c r="E202" s="239"/>
      <c r="G202" s="55"/>
      <c r="H202" s="12"/>
    </row>
    <row r="203" ht="14.25" customHeight="1">
      <c r="B203" s="19"/>
      <c r="C203" s="195"/>
      <c r="D203" s="220"/>
      <c r="E203" s="239"/>
      <c r="G203" s="55"/>
      <c r="H203" s="12"/>
    </row>
    <row r="204" ht="14.25" customHeight="1">
      <c r="B204" s="19"/>
      <c r="C204" s="195"/>
      <c r="D204" s="220"/>
      <c r="E204" s="239"/>
      <c r="G204" s="55"/>
      <c r="H204" s="12"/>
    </row>
    <row r="205" ht="14.25" customHeight="1">
      <c r="B205" s="19"/>
      <c r="C205" s="195"/>
      <c r="D205" s="220"/>
      <c r="E205" s="239"/>
      <c r="G205" s="55"/>
      <c r="H205" s="12"/>
    </row>
    <row r="206" ht="14.25" customHeight="1">
      <c r="B206" s="19"/>
      <c r="C206" s="195"/>
      <c r="D206" s="220"/>
      <c r="E206" s="239"/>
      <c r="G206" s="55"/>
      <c r="H206" s="12"/>
    </row>
    <row r="207" ht="14.25" customHeight="1">
      <c r="B207" s="19"/>
      <c r="C207" s="195"/>
      <c r="D207" s="220"/>
      <c r="E207" s="239"/>
      <c r="G207" s="55"/>
      <c r="H207" s="12"/>
    </row>
    <row r="208" ht="14.25" customHeight="1">
      <c r="B208" s="19"/>
      <c r="C208" s="195"/>
      <c r="D208" s="220"/>
      <c r="E208" s="239"/>
      <c r="G208" s="55"/>
      <c r="H208" s="12"/>
    </row>
    <row r="209" ht="14.25" customHeight="1">
      <c r="B209" s="19"/>
      <c r="C209" s="195"/>
      <c r="D209" s="220"/>
      <c r="E209" s="239"/>
      <c r="G209" s="55"/>
      <c r="H209" s="12"/>
    </row>
    <row r="210" ht="14.25" customHeight="1">
      <c r="B210" s="19"/>
      <c r="C210" s="195"/>
      <c r="D210" s="220"/>
      <c r="E210" s="239"/>
      <c r="G210" s="55"/>
      <c r="H210" s="12"/>
    </row>
    <row r="211" ht="14.25" customHeight="1">
      <c r="B211" s="19"/>
      <c r="C211" s="195"/>
      <c r="D211" s="220"/>
      <c r="E211" s="239"/>
      <c r="G211" s="55"/>
      <c r="H211" s="12"/>
    </row>
    <row r="212" ht="14.25" customHeight="1">
      <c r="B212" s="19"/>
      <c r="C212" s="195"/>
      <c r="D212" s="220"/>
      <c r="E212" s="239"/>
      <c r="G212" s="55"/>
      <c r="H212" s="12"/>
    </row>
    <row r="213" ht="14.25" customHeight="1">
      <c r="B213" s="19"/>
      <c r="C213" s="195"/>
      <c r="D213" s="220"/>
      <c r="E213" s="239"/>
      <c r="G213" s="55"/>
      <c r="H213" s="12"/>
    </row>
    <row r="214" ht="14.25" customHeight="1">
      <c r="B214" s="19"/>
      <c r="C214" s="195"/>
      <c r="D214" s="220"/>
      <c r="E214" s="239"/>
      <c r="G214" s="55"/>
      <c r="H214" s="12"/>
    </row>
    <row r="215" ht="14.25" customHeight="1">
      <c r="B215" s="19"/>
      <c r="C215" s="195"/>
      <c r="D215" s="220"/>
      <c r="E215" s="239"/>
      <c r="G215" s="55"/>
      <c r="H215" s="12"/>
    </row>
    <row r="216" ht="14.25" customHeight="1">
      <c r="B216" s="19"/>
      <c r="C216" s="195"/>
      <c r="D216" s="220"/>
      <c r="E216" s="239"/>
      <c r="G216" s="55"/>
      <c r="H216" s="12"/>
    </row>
    <row r="217" ht="14.25" customHeight="1">
      <c r="B217" s="19"/>
      <c r="C217" s="195"/>
      <c r="D217" s="220"/>
      <c r="E217" s="239"/>
      <c r="G217" s="55"/>
      <c r="H217" s="12"/>
    </row>
    <row r="218" ht="14.25" customHeight="1">
      <c r="B218" s="19"/>
      <c r="C218" s="195"/>
      <c r="D218" s="220"/>
      <c r="E218" s="239"/>
      <c r="G218" s="55"/>
      <c r="H218" s="12"/>
    </row>
    <row r="219" ht="14.25" customHeight="1">
      <c r="B219" s="19"/>
      <c r="C219" s="195"/>
      <c r="D219" s="220"/>
      <c r="E219" s="239"/>
      <c r="G219" s="55"/>
      <c r="H219" s="12"/>
    </row>
    <row r="220" ht="14.25" customHeight="1">
      <c r="B220" s="19"/>
      <c r="C220" s="195"/>
      <c r="D220" s="220"/>
      <c r="E220" s="239"/>
      <c r="G220" s="55"/>
      <c r="H220" s="12"/>
    </row>
    <row r="221" ht="14.25" customHeight="1">
      <c r="B221" s="19"/>
      <c r="C221" s="195"/>
      <c r="D221" s="220"/>
      <c r="E221" s="239"/>
      <c r="G221" s="55"/>
      <c r="H221" s="12"/>
    </row>
    <row r="222" ht="14.25" customHeight="1">
      <c r="B222" s="19"/>
      <c r="C222" s="195"/>
      <c r="D222" s="220"/>
      <c r="E222" s="239"/>
      <c r="G222" s="55"/>
      <c r="H222" s="12"/>
    </row>
    <row r="223" ht="14.25" customHeight="1">
      <c r="B223" s="19"/>
      <c r="C223" s="195"/>
      <c r="D223" s="220"/>
      <c r="E223" s="239"/>
      <c r="G223" s="55"/>
      <c r="H223" s="12"/>
    </row>
    <row r="224" ht="14.25" customHeight="1">
      <c r="B224" s="19"/>
      <c r="C224" s="195"/>
      <c r="D224" s="220"/>
      <c r="E224" s="239"/>
      <c r="G224" s="55"/>
      <c r="H224" s="12"/>
    </row>
    <row r="225" ht="14.25" customHeight="1">
      <c r="B225" s="19"/>
      <c r="C225" s="195"/>
      <c r="D225" s="220"/>
      <c r="E225" s="239"/>
      <c r="G225" s="55"/>
      <c r="H225" s="12"/>
    </row>
    <row r="226" ht="14.25" customHeight="1">
      <c r="B226" s="19"/>
      <c r="C226" s="195"/>
      <c r="D226" s="220"/>
      <c r="E226" s="239"/>
      <c r="G226" s="55"/>
      <c r="H226" s="12"/>
    </row>
    <row r="227" ht="14.25" customHeight="1">
      <c r="B227" s="19"/>
      <c r="C227" s="195"/>
      <c r="D227" s="220"/>
      <c r="E227" s="239"/>
      <c r="G227" s="55"/>
      <c r="H227" s="12"/>
    </row>
    <row r="228" ht="14.25" customHeight="1">
      <c r="B228" s="19"/>
      <c r="C228" s="195"/>
      <c r="D228" s="220"/>
      <c r="E228" s="239"/>
      <c r="G228" s="55"/>
      <c r="H228" s="12"/>
    </row>
    <row r="229" ht="14.25" customHeight="1">
      <c r="B229" s="19"/>
      <c r="C229" s="195"/>
      <c r="D229" s="220"/>
      <c r="E229" s="239"/>
      <c r="G229" s="55"/>
      <c r="H229" s="12"/>
    </row>
    <row r="230" ht="14.25" customHeight="1">
      <c r="B230" s="19"/>
      <c r="C230" s="195"/>
      <c r="D230" s="220"/>
      <c r="E230" s="239"/>
      <c r="G230" s="55"/>
      <c r="H230" s="12"/>
    </row>
    <row r="231" ht="14.25" customHeight="1">
      <c r="B231" s="19"/>
      <c r="C231" s="195"/>
      <c r="D231" s="220"/>
      <c r="E231" s="239"/>
      <c r="G231" s="55"/>
      <c r="H231" s="12"/>
    </row>
    <row r="232" ht="14.25" customHeight="1">
      <c r="B232" s="19"/>
      <c r="C232" s="195"/>
      <c r="D232" s="220"/>
      <c r="E232" s="239"/>
      <c r="G232" s="55"/>
      <c r="H232" s="12"/>
    </row>
    <row r="233" ht="14.25" customHeight="1">
      <c r="B233" s="19"/>
      <c r="C233" s="195"/>
      <c r="D233" s="220"/>
      <c r="E233" s="239"/>
      <c r="G233" s="55"/>
      <c r="H233" s="12"/>
    </row>
    <row r="234" ht="14.25" customHeight="1">
      <c r="B234" s="19"/>
      <c r="C234" s="195"/>
      <c r="D234" s="220"/>
      <c r="E234" s="239"/>
      <c r="G234" s="55"/>
      <c r="H234" s="12"/>
    </row>
    <row r="235" ht="14.25" customHeight="1">
      <c r="B235" s="19"/>
      <c r="C235" s="195"/>
      <c r="D235" s="220"/>
      <c r="E235" s="239"/>
      <c r="G235" s="55"/>
      <c r="H235" s="12"/>
    </row>
    <row r="236" ht="14.25" customHeight="1">
      <c r="B236" s="19"/>
      <c r="C236" s="195"/>
      <c r="D236" s="220"/>
      <c r="E236" s="239"/>
      <c r="G236" s="55"/>
      <c r="H236" s="12"/>
    </row>
    <row r="237" ht="14.25" customHeight="1">
      <c r="B237" s="19"/>
      <c r="C237" s="195"/>
      <c r="D237" s="220"/>
      <c r="E237" s="239"/>
      <c r="G237" s="55"/>
      <c r="H237" s="12"/>
    </row>
    <row r="238" ht="14.25" customHeight="1">
      <c r="B238" s="19"/>
      <c r="C238" s="195"/>
      <c r="D238" s="220"/>
      <c r="E238" s="239"/>
      <c r="G238" s="55"/>
      <c r="H238" s="12"/>
    </row>
    <row r="239" ht="14.25" customHeight="1">
      <c r="B239" s="19"/>
      <c r="C239" s="195"/>
      <c r="D239" s="220"/>
      <c r="E239" s="239"/>
      <c r="G239" s="55"/>
      <c r="H239" s="12"/>
    </row>
    <row r="240" ht="14.25" customHeight="1">
      <c r="B240" s="19"/>
      <c r="C240" s="195"/>
      <c r="D240" s="220"/>
      <c r="E240" s="239"/>
      <c r="G240" s="55"/>
      <c r="H240" s="12"/>
    </row>
    <row r="241" ht="14.25" customHeight="1">
      <c r="B241" s="19"/>
      <c r="C241" s="195"/>
      <c r="D241" s="220"/>
      <c r="E241" s="239"/>
      <c r="G241" s="55"/>
      <c r="H241" s="12"/>
    </row>
    <row r="242" ht="14.25" customHeight="1">
      <c r="B242" s="19"/>
      <c r="C242" s="195"/>
      <c r="D242" s="220"/>
      <c r="E242" s="239"/>
      <c r="G242" s="55"/>
      <c r="H242" s="12"/>
    </row>
    <row r="243" ht="14.25" customHeight="1">
      <c r="B243" s="19"/>
      <c r="C243" s="195"/>
      <c r="D243" s="220"/>
      <c r="E243" s="239"/>
      <c r="G243" s="55"/>
      <c r="H243" s="12"/>
    </row>
    <row r="244" ht="14.25" customHeight="1">
      <c r="B244" s="19"/>
      <c r="C244" s="195"/>
      <c r="D244" s="220"/>
      <c r="E244" s="239"/>
      <c r="G244" s="55"/>
      <c r="H244" s="12"/>
    </row>
    <row r="245" ht="14.25" customHeight="1">
      <c r="B245" s="19"/>
      <c r="C245" s="195"/>
      <c r="D245" s="220"/>
      <c r="E245" s="239"/>
      <c r="G245" s="55"/>
      <c r="H245" s="12"/>
    </row>
    <row r="246" ht="14.25" customHeight="1">
      <c r="B246" s="19"/>
      <c r="C246" s="195"/>
      <c r="D246" s="220"/>
      <c r="E246" s="239"/>
      <c r="G246" s="55"/>
      <c r="H246" s="12"/>
    </row>
    <row r="247" ht="14.25" customHeight="1">
      <c r="B247" s="19"/>
      <c r="C247" s="195"/>
      <c r="D247" s="220"/>
      <c r="E247" s="239"/>
      <c r="G247" s="55"/>
      <c r="H247" s="12"/>
    </row>
    <row r="248" ht="14.25" customHeight="1">
      <c r="B248" s="19"/>
      <c r="C248" s="195"/>
      <c r="D248" s="220"/>
      <c r="E248" s="239"/>
      <c r="G248" s="55"/>
      <c r="H248" s="12"/>
    </row>
    <row r="249" ht="14.25" customHeight="1">
      <c r="B249" s="19"/>
      <c r="C249" s="195"/>
      <c r="D249" s="220"/>
      <c r="E249" s="239"/>
      <c r="G249" s="55"/>
      <c r="H249" s="12"/>
    </row>
    <row r="250" ht="14.25" customHeight="1">
      <c r="B250" s="19"/>
      <c r="C250" s="195"/>
      <c r="D250" s="220"/>
      <c r="E250" s="239"/>
      <c r="G250" s="55"/>
      <c r="H250" s="12"/>
    </row>
    <row r="251" ht="14.25" customHeight="1">
      <c r="B251" s="19"/>
      <c r="C251" s="195"/>
      <c r="D251" s="220"/>
      <c r="E251" s="239"/>
      <c r="G251" s="55"/>
      <c r="H251" s="12"/>
    </row>
    <row r="252" ht="14.25" customHeight="1">
      <c r="B252" s="19"/>
      <c r="C252" s="195"/>
      <c r="D252" s="220"/>
      <c r="E252" s="239"/>
      <c r="G252" s="55"/>
      <c r="H252" s="12"/>
    </row>
    <row r="253" ht="14.25" customHeight="1">
      <c r="B253" s="19"/>
      <c r="C253" s="195"/>
      <c r="D253" s="220"/>
      <c r="E253" s="239"/>
      <c r="G253" s="55"/>
      <c r="H253" s="12"/>
    </row>
    <row r="254" ht="14.25" customHeight="1">
      <c r="B254" s="19"/>
      <c r="C254" s="195"/>
      <c r="D254" s="220"/>
      <c r="E254" s="239"/>
      <c r="G254" s="55"/>
      <c r="H254" s="12"/>
    </row>
    <row r="255" ht="14.25" customHeight="1">
      <c r="B255" s="19"/>
      <c r="C255" s="195"/>
      <c r="D255" s="220"/>
      <c r="E255" s="239"/>
      <c r="G255" s="55"/>
      <c r="H255" s="12"/>
    </row>
    <row r="256" ht="14.25" customHeight="1">
      <c r="B256" s="19"/>
      <c r="C256" s="195"/>
      <c r="D256" s="220"/>
      <c r="E256" s="239"/>
      <c r="G256" s="55"/>
      <c r="H256" s="12"/>
    </row>
    <row r="257" ht="14.25" customHeight="1">
      <c r="B257" s="19"/>
      <c r="C257" s="195"/>
      <c r="D257" s="220"/>
      <c r="E257" s="239"/>
      <c r="G257" s="55"/>
      <c r="H257" s="12"/>
    </row>
    <row r="258" ht="14.25" customHeight="1">
      <c r="B258" s="19"/>
      <c r="C258" s="195"/>
      <c r="D258" s="220"/>
      <c r="E258" s="239"/>
      <c r="G258" s="55"/>
      <c r="H258" s="12"/>
    </row>
    <row r="259" ht="14.25" customHeight="1">
      <c r="B259" s="19"/>
      <c r="C259" s="195"/>
      <c r="D259" s="220"/>
      <c r="E259" s="239"/>
      <c r="G259" s="55"/>
      <c r="H259" s="12"/>
    </row>
    <row r="260" ht="14.25" customHeight="1">
      <c r="B260" s="19"/>
      <c r="C260" s="195"/>
      <c r="D260" s="220"/>
      <c r="E260" s="239"/>
      <c r="G260" s="55"/>
      <c r="H260" s="12"/>
    </row>
    <row r="261" ht="14.25" customHeight="1">
      <c r="B261" s="19"/>
      <c r="C261" s="195"/>
      <c r="D261" s="220"/>
      <c r="E261" s="239"/>
      <c r="G261" s="55"/>
      <c r="H261" s="12"/>
    </row>
    <row r="262" ht="14.25" customHeight="1">
      <c r="B262" s="19"/>
      <c r="C262" s="195"/>
      <c r="D262" s="220"/>
      <c r="E262" s="239"/>
      <c r="G262" s="55"/>
      <c r="H262" s="12"/>
    </row>
    <row r="263" ht="14.25" customHeight="1">
      <c r="B263" s="19"/>
      <c r="C263" s="195"/>
      <c r="D263" s="220"/>
      <c r="E263" s="239"/>
      <c r="G263" s="55"/>
      <c r="H263" s="12"/>
    </row>
    <row r="264" ht="14.25" customHeight="1">
      <c r="B264" s="19"/>
      <c r="C264" s="195"/>
      <c r="D264" s="220"/>
      <c r="E264" s="239"/>
      <c r="G264" s="55"/>
      <c r="H264" s="12"/>
    </row>
    <row r="265" ht="14.25" customHeight="1">
      <c r="B265" s="19"/>
      <c r="C265" s="195"/>
      <c r="D265" s="220"/>
      <c r="E265" s="239"/>
      <c r="G265" s="55"/>
      <c r="H265" s="12"/>
    </row>
    <row r="266" ht="14.25" customHeight="1">
      <c r="B266" s="19"/>
      <c r="C266" s="195"/>
      <c r="D266" s="220"/>
      <c r="E266" s="239"/>
      <c r="G266" s="55"/>
      <c r="H266" s="12"/>
    </row>
    <row r="267" ht="14.25" customHeight="1">
      <c r="B267" s="19"/>
      <c r="C267" s="195"/>
      <c r="D267" s="220"/>
      <c r="E267" s="239"/>
      <c r="G267" s="55"/>
      <c r="H267" s="12"/>
    </row>
    <row r="268" ht="14.25" customHeight="1">
      <c r="B268" s="19"/>
      <c r="C268" s="195"/>
      <c r="D268" s="220"/>
      <c r="E268" s="239"/>
      <c r="G268" s="55"/>
      <c r="H268" s="12"/>
    </row>
    <row r="269" ht="14.25" customHeight="1">
      <c r="B269" s="19"/>
      <c r="C269" s="195"/>
      <c r="D269" s="220"/>
      <c r="E269" s="239"/>
      <c r="G269" s="55"/>
      <c r="H269" s="12"/>
    </row>
    <row r="270" ht="14.25" customHeight="1">
      <c r="B270" s="19"/>
      <c r="C270" s="195"/>
      <c r="D270" s="220"/>
      <c r="E270" s="239"/>
      <c r="G270" s="55"/>
      <c r="H270" s="12"/>
    </row>
    <row r="271" ht="14.25" customHeight="1">
      <c r="B271" s="19"/>
      <c r="C271" s="195"/>
      <c r="D271" s="220"/>
      <c r="E271" s="239"/>
      <c r="G271" s="55"/>
      <c r="H271" s="12"/>
    </row>
    <row r="272" ht="14.25" customHeight="1">
      <c r="B272" s="19"/>
      <c r="C272" s="195"/>
      <c r="D272" s="220"/>
      <c r="E272" s="239"/>
      <c r="G272" s="55"/>
      <c r="H272" s="12"/>
    </row>
    <row r="273" ht="14.25" customHeight="1">
      <c r="B273" s="19"/>
      <c r="C273" s="195"/>
      <c r="D273" s="220"/>
      <c r="E273" s="239"/>
      <c r="G273" s="55"/>
      <c r="H273" s="12"/>
    </row>
    <row r="274" ht="14.25" customHeight="1">
      <c r="B274" s="19"/>
      <c r="C274" s="195"/>
      <c r="D274" s="220"/>
      <c r="E274" s="239"/>
      <c r="G274" s="55"/>
      <c r="H274" s="12"/>
    </row>
    <row r="275" ht="14.25" customHeight="1">
      <c r="B275" s="19"/>
      <c r="C275" s="195"/>
      <c r="D275" s="220"/>
      <c r="E275" s="239"/>
      <c r="G275" s="55"/>
      <c r="H275" s="12"/>
    </row>
    <row r="276" ht="14.25" customHeight="1">
      <c r="B276" s="19"/>
      <c r="C276" s="195"/>
      <c r="D276" s="220"/>
      <c r="E276" s="239"/>
      <c r="G276" s="55"/>
      <c r="H276" s="12"/>
    </row>
    <row r="277" ht="14.25" customHeight="1">
      <c r="B277" s="19"/>
      <c r="C277" s="195"/>
      <c r="D277" s="220"/>
      <c r="E277" s="239"/>
      <c r="G277" s="55"/>
      <c r="H277" s="12"/>
    </row>
    <row r="278" ht="14.25" customHeight="1">
      <c r="B278" s="19"/>
      <c r="C278" s="195"/>
      <c r="D278" s="220"/>
      <c r="E278" s="239"/>
      <c r="G278" s="55"/>
      <c r="H278" s="12"/>
    </row>
    <row r="279" ht="14.25" customHeight="1">
      <c r="B279" s="19"/>
      <c r="C279" s="195"/>
      <c r="D279" s="220"/>
      <c r="E279" s="239"/>
      <c r="G279" s="55"/>
      <c r="H279" s="12"/>
    </row>
    <row r="280" ht="14.25" customHeight="1">
      <c r="B280" s="19"/>
      <c r="C280" s="195"/>
      <c r="D280" s="220"/>
      <c r="E280" s="239"/>
      <c r="G280" s="55"/>
      <c r="H280" s="12"/>
    </row>
    <row r="281" ht="14.25" customHeight="1">
      <c r="B281" s="19"/>
      <c r="C281" s="195"/>
      <c r="D281" s="220"/>
      <c r="E281" s="239"/>
      <c r="G281" s="55"/>
      <c r="H281" s="12"/>
    </row>
    <row r="282" ht="14.25" customHeight="1">
      <c r="B282" s="19"/>
      <c r="C282" s="195"/>
      <c r="D282" s="220"/>
      <c r="E282" s="239"/>
      <c r="G282" s="55"/>
      <c r="H282" s="12"/>
    </row>
    <row r="283" ht="14.25" customHeight="1">
      <c r="B283" s="19"/>
      <c r="C283" s="195"/>
      <c r="D283" s="220"/>
      <c r="E283" s="239"/>
      <c r="G283" s="55"/>
      <c r="H283" s="12"/>
    </row>
    <row r="284" ht="14.25" customHeight="1">
      <c r="B284" s="19"/>
      <c r="C284" s="195"/>
      <c r="D284" s="220"/>
      <c r="E284" s="239"/>
      <c r="G284" s="55"/>
      <c r="H284" s="12"/>
    </row>
    <row r="285" ht="14.25" customHeight="1">
      <c r="B285" s="19"/>
      <c r="C285" s="195"/>
      <c r="D285" s="220"/>
      <c r="E285" s="239"/>
      <c r="G285" s="55"/>
      <c r="H285" s="12"/>
    </row>
    <row r="286" ht="14.25" customHeight="1">
      <c r="B286" s="19"/>
      <c r="C286" s="195"/>
      <c r="D286" s="220"/>
      <c r="E286" s="239"/>
      <c r="G286" s="55"/>
      <c r="H286" s="12"/>
    </row>
    <row r="287" ht="14.25" customHeight="1">
      <c r="B287" s="19"/>
      <c r="C287" s="195"/>
      <c r="D287" s="220"/>
      <c r="E287" s="239"/>
      <c r="G287" s="55"/>
      <c r="H287" s="12"/>
    </row>
    <row r="288" ht="14.25" customHeight="1">
      <c r="B288" s="19"/>
      <c r="C288" s="195"/>
      <c r="D288" s="220"/>
      <c r="E288" s="239"/>
      <c r="G288" s="55"/>
      <c r="H288" s="12"/>
    </row>
    <row r="289" ht="14.25" customHeight="1">
      <c r="B289" s="19"/>
      <c r="C289" s="195"/>
      <c r="D289" s="220"/>
      <c r="E289" s="239"/>
      <c r="G289" s="55"/>
      <c r="H289" s="12"/>
    </row>
    <row r="290" ht="14.25" customHeight="1">
      <c r="B290" s="19"/>
      <c r="C290" s="195"/>
      <c r="D290" s="220"/>
      <c r="E290" s="239"/>
      <c r="G290" s="55"/>
      <c r="H290" s="12"/>
    </row>
    <row r="291" ht="14.25" customHeight="1">
      <c r="B291" s="19"/>
      <c r="C291" s="195"/>
      <c r="D291" s="220"/>
      <c r="E291" s="239"/>
      <c r="G291" s="55"/>
      <c r="H291" s="12"/>
    </row>
    <row r="292" ht="14.25" customHeight="1">
      <c r="B292" s="19"/>
      <c r="C292" s="195"/>
      <c r="D292" s="220"/>
      <c r="E292" s="239"/>
      <c r="G292" s="55"/>
      <c r="H292" s="12"/>
    </row>
    <row r="293" ht="14.25" customHeight="1">
      <c r="B293" s="19"/>
      <c r="C293" s="195"/>
      <c r="D293" s="220"/>
      <c r="E293" s="239"/>
      <c r="G293" s="55"/>
      <c r="H293" s="12"/>
    </row>
    <row r="294" ht="14.25" customHeight="1">
      <c r="B294" s="19"/>
      <c r="C294" s="195"/>
      <c r="D294" s="220"/>
      <c r="E294" s="239"/>
      <c r="G294" s="55"/>
      <c r="H294" s="12"/>
    </row>
    <row r="295" ht="14.25" customHeight="1">
      <c r="B295" s="19"/>
      <c r="C295" s="195"/>
      <c r="D295" s="220"/>
      <c r="E295" s="239"/>
      <c r="G295" s="55"/>
      <c r="H295" s="12"/>
    </row>
    <row r="296" ht="14.25" customHeight="1">
      <c r="B296" s="19"/>
      <c r="C296" s="195"/>
      <c r="D296" s="220"/>
      <c r="E296" s="239"/>
      <c r="G296" s="55"/>
      <c r="H296" s="12"/>
    </row>
    <row r="297" ht="14.25" customHeight="1">
      <c r="B297" s="19"/>
      <c r="C297" s="195"/>
      <c r="D297" s="220"/>
      <c r="E297" s="239"/>
      <c r="G297" s="55"/>
      <c r="H297" s="12"/>
    </row>
    <row r="298" ht="14.25" customHeight="1">
      <c r="B298" s="19"/>
      <c r="C298" s="195"/>
      <c r="D298" s="220"/>
      <c r="E298" s="239"/>
      <c r="G298" s="55"/>
      <c r="H298" s="12"/>
    </row>
    <row r="299" ht="14.25" customHeight="1">
      <c r="B299" s="19"/>
      <c r="C299" s="195"/>
      <c r="D299" s="220"/>
      <c r="E299" s="239"/>
      <c r="G299" s="55"/>
      <c r="H299" s="12"/>
    </row>
    <row r="300" ht="14.25" customHeight="1">
      <c r="B300" s="19"/>
      <c r="C300" s="195"/>
      <c r="D300" s="220"/>
      <c r="E300" s="239"/>
      <c r="G300" s="55"/>
      <c r="H300" s="12"/>
    </row>
    <row r="301" ht="14.25" customHeight="1">
      <c r="B301" s="19"/>
      <c r="C301" s="195"/>
      <c r="D301" s="220"/>
      <c r="E301" s="239"/>
      <c r="G301" s="55"/>
      <c r="H301" s="12"/>
    </row>
    <row r="302" ht="14.25" customHeight="1">
      <c r="B302" s="19"/>
      <c r="C302" s="195"/>
      <c r="D302" s="220"/>
      <c r="E302" s="239"/>
      <c r="G302" s="55"/>
      <c r="H302" s="12"/>
    </row>
    <row r="303" ht="14.25" customHeight="1">
      <c r="B303" s="19"/>
      <c r="C303" s="195"/>
      <c r="D303" s="220"/>
      <c r="E303" s="239"/>
      <c r="G303" s="55"/>
      <c r="H303" s="12"/>
    </row>
    <row r="304" ht="14.25" customHeight="1">
      <c r="B304" s="19"/>
      <c r="C304" s="195"/>
      <c r="D304" s="220"/>
      <c r="E304" s="239"/>
      <c r="G304" s="55"/>
      <c r="H304" s="12"/>
    </row>
    <row r="305" ht="14.25" customHeight="1">
      <c r="B305" s="19"/>
      <c r="C305" s="195"/>
      <c r="D305" s="220"/>
      <c r="E305" s="239"/>
      <c r="G305" s="55"/>
      <c r="H305" s="12"/>
    </row>
    <row r="306" ht="14.25" customHeight="1">
      <c r="B306" s="19"/>
      <c r="C306" s="195"/>
      <c r="D306" s="220"/>
      <c r="E306" s="239"/>
      <c r="G306" s="55"/>
      <c r="H306" s="12"/>
    </row>
    <row r="307" ht="14.25" customHeight="1">
      <c r="B307" s="19"/>
      <c r="C307" s="195"/>
      <c r="D307" s="220"/>
      <c r="E307" s="239"/>
      <c r="G307" s="55"/>
      <c r="H307" s="12"/>
    </row>
    <row r="308" ht="14.25" customHeight="1">
      <c r="B308" s="19"/>
      <c r="C308" s="195"/>
      <c r="D308" s="220"/>
      <c r="E308" s="239"/>
      <c r="G308" s="55"/>
      <c r="H308" s="12"/>
    </row>
    <row r="309" ht="14.25" customHeight="1">
      <c r="B309" s="19"/>
      <c r="C309" s="195"/>
      <c r="D309" s="220"/>
      <c r="E309" s="239"/>
      <c r="G309" s="55"/>
      <c r="H309" s="12"/>
    </row>
    <row r="310" ht="14.25" customHeight="1">
      <c r="B310" s="19"/>
      <c r="C310" s="195"/>
      <c r="D310" s="220"/>
      <c r="E310" s="239"/>
      <c r="G310" s="55"/>
      <c r="H310" s="12"/>
    </row>
    <row r="311" ht="14.25" customHeight="1">
      <c r="B311" s="19"/>
      <c r="C311" s="195"/>
      <c r="D311" s="220"/>
      <c r="E311" s="239"/>
      <c r="G311" s="55"/>
      <c r="H311" s="12"/>
    </row>
    <row r="312" ht="14.25" customHeight="1">
      <c r="B312" s="19"/>
      <c r="C312" s="195"/>
      <c r="D312" s="220"/>
      <c r="E312" s="239"/>
      <c r="G312" s="55"/>
      <c r="H312" s="12"/>
    </row>
    <row r="313" ht="14.25" customHeight="1">
      <c r="B313" s="19"/>
      <c r="C313" s="195"/>
      <c r="D313" s="220"/>
      <c r="E313" s="239"/>
      <c r="G313" s="55"/>
      <c r="H313" s="12"/>
    </row>
    <row r="314" ht="14.25" customHeight="1">
      <c r="B314" s="19"/>
      <c r="C314" s="195"/>
      <c r="D314" s="220"/>
      <c r="E314" s="239"/>
      <c r="G314" s="55"/>
      <c r="H314" s="12"/>
    </row>
    <row r="315" ht="14.25" customHeight="1">
      <c r="B315" s="19"/>
      <c r="C315" s="195"/>
      <c r="D315" s="220"/>
      <c r="E315" s="239"/>
      <c r="G315" s="55"/>
      <c r="H315" s="12"/>
    </row>
    <row r="316" ht="14.25" customHeight="1">
      <c r="B316" s="19"/>
      <c r="C316" s="195"/>
      <c r="D316" s="220"/>
      <c r="E316" s="239"/>
      <c r="G316" s="55"/>
      <c r="H316" s="12"/>
    </row>
    <row r="317" ht="14.25" customHeight="1">
      <c r="B317" s="19"/>
      <c r="C317" s="195"/>
      <c r="D317" s="220"/>
      <c r="E317" s="239"/>
      <c r="G317" s="55"/>
      <c r="H317" s="12"/>
    </row>
    <row r="318" ht="14.25" customHeight="1">
      <c r="B318" s="19"/>
      <c r="C318" s="195"/>
      <c r="D318" s="220"/>
      <c r="E318" s="239"/>
      <c r="G318" s="55"/>
      <c r="H318" s="12"/>
    </row>
    <row r="319" ht="14.25" customHeight="1">
      <c r="B319" s="19"/>
      <c r="C319" s="195"/>
      <c r="D319" s="220"/>
      <c r="E319" s="239"/>
      <c r="G319" s="55"/>
      <c r="H319" s="12"/>
    </row>
    <row r="320" ht="14.25" customHeight="1">
      <c r="B320" s="19"/>
      <c r="C320" s="195"/>
      <c r="D320" s="220"/>
      <c r="E320" s="239"/>
      <c r="G320" s="55"/>
      <c r="H320" s="12"/>
    </row>
    <row r="321" ht="14.25" customHeight="1">
      <c r="B321" s="19"/>
      <c r="C321" s="195"/>
      <c r="D321" s="220"/>
      <c r="E321" s="239"/>
      <c r="G321" s="55"/>
      <c r="H321" s="12"/>
    </row>
    <row r="322" ht="14.25" customHeight="1">
      <c r="B322" s="19"/>
      <c r="C322" s="195"/>
      <c r="D322" s="220"/>
      <c r="E322" s="239"/>
      <c r="G322" s="55"/>
      <c r="H322" s="12"/>
    </row>
    <row r="323" ht="14.25" customHeight="1">
      <c r="B323" s="19"/>
      <c r="C323" s="195"/>
      <c r="D323" s="220"/>
      <c r="E323" s="239"/>
      <c r="G323" s="55"/>
      <c r="H323" s="12"/>
    </row>
    <row r="324" ht="14.25" customHeight="1">
      <c r="B324" s="19"/>
      <c r="C324" s="195"/>
      <c r="D324" s="220"/>
      <c r="E324" s="239"/>
      <c r="G324" s="55"/>
      <c r="H324" s="12"/>
    </row>
    <row r="325" ht="14.25" customHeight="1">
      <c r="B325" s="19"/>
      <c r="C325" s="195"/>
      <c r="D325" s="220"/>
      <c r="E325" s="239"/>
      <c r="G325" s="55"/>
      <c r="H325" s="12"/>
    </row>
    <row r="326" ht="14.25" customHeight="1">
      <c r="B326" s="19"/>
      <c r="C326" s="195"/>
      <c r="D326" s="220"/>
      <c r="E326" s="239"/>
      <c r="G326" s="55"/>
      <c r="H326" s="12"/>
    </row>
    <row r="327" ht="14.25" customHeight="1">
      <c r="B327" s="19"/>
      <c r="C327" s="195"/>
      <c r="D327" s="220"/>
      <c r="E327" s="239"/>
      <c r="G327" s="55"/>
      <c r="H327" s="12"/>
    </row>
    <row r="328" ht="14.25" customHeight="1">
      <c r="B328" s="19"/>
      <c r="C328" s="195"/>
      <c r="D328" s="220"/>
      <c r="E328" s="239"/>
      <c r="G328" s="55"/>
      <c r="H328" s="12"/>
    </row>
    <row r="329" ht="14.25" customHeight="1">
      <c r="B329" s="19"/>
      <c r="C329" s="195"/>
      <c r="D329" s="220"/>
      <c r="E329" s="239"/>
      <c r="G329" s="55"/>
      <c r="H329" s="12"/>
    </row>
    <row r="330" ht="14.25" customHeight="1">
      <c r="B330" s="19"/>
      <c r="C330" s="195"/>
      <c r="D330" s="220"/>
      <c r="E330" s="239"/>
      <c r="G330" s="55"/>
      <c r="H330" s="12"/>
    </row>
    <row r="331" ht="14.25" customHeight="1">
      <c r="B331" s="19"/>
      <c r="C331" s="195"/>
      <c r="D331" s="220"/>
      <c r="E331" s="239"/>
      <c r="G331" s="55"/>
      <c r="H331" s="12"/>
    </row>
    <row r="332" ht="14.25" customHeight="1">
      <c r="B332" s="19"/>
      <c r="C332" s="195"/>
      <c r="D332" s="220"/>
      <c r="E332" s="239"/>
      <c r="G332" s="55"/>
      <c r="H332" s="12"/>
    </row>
    <row r="333" ht="14.25" customHeight="1">
      <c r="B333" s="19"/>
      <c r="C333" s="195"/>
      <c r="D333" s="220"/>
      <c r="E333" s="239"/>
      <c r="G333" s="55"/>
      <c r="H333" s="12"/>
    </row>
    <row r="334" ht="14.25" customHeight="1">
      <c r="B334" s="19"/>
      <c r="C334" s="195"/>
      <c r="D334" s="220"/>
      <c r="E334" s="239"/>
      <c r="G334" s="55"/>
      <c r="H334" s="12"/>
    </row>
    <row r="335" ht="14.25" customHeight="1">
      <c r="B335" s="19"/>
      <c r="C335" s="195"/>
      <c r="D335" s="220"/>
      <c r="E335" s="239"/>
      <c r="G335" s="55"/>
      <c r="H335" s="12"/>
    </row>
    <row r="336" ht="14.25" customHeight="1">
      <c r="B336" s="19"/>
      <c r="C336" s="195"/>
      <c r="D336" s="220"/>
      <c r="E336" s="239"/>
      <c r="G336" s="55"/>
      <c r="H336" s="12"/>
    </row>
    <row r="337" ht="14.25" customHeight="1">
      <c r="B337" s="19"/>
      <c r="C337" s="195"/>
      <c r="D337" s="220"/>
      <c r="E337" s="239"/>
      <c r="G337" s="55"/>
      <c r="H337" s="12"/>
    </row>
    <row r="338" ht="14.25" customHeight="1">
      <c r="B338" s="19"/>
      <c r="C338" s="195"/>
      <c r="D338" s="220"/>
      <c r="E338" s="239"/>
      <c r="G338" s="55"/>
      <c r="H338" s="12"/>
    </row>
    <row r="339" ht="14.25" customHeight="1">
      <c r="B339" s="19"/>
      <c r="C339" s="195"/>
      <c r="D339" s="220"/>
      <c r="E339" s="239"/>
      <c r="G339" s="55"/>
      <c r="H339" s="12"/>
    </row>
    <row r="340" ht="14.25" customHeight="1">
      <c r="B340" s="19"/>
      <c r="C340" s="195"/>
      <c r="D340" s="220"/>
      <c r="E340" s="239"/>
      <c r="G340" s="55"/>
      <c r="H340" s="12"/>
    </row>
    <row r="341" ht="14.25" customHeight="1">
      <c r="B341" s="19"/>
      <c r="C341" s="195"/>
      <c r="D341" s="220"/>
      <c r="E341" s="239"/>
      <c r="G341" s="55"/>
      <c r="H341" s="12"/>
    </row>
    <row r="342" ht="14.25" customHeight="1">
      <c r="B342" s="19"/>
      <c r="C342" s="195"/>
      <c r="D342" s="220"/>
      <c r="E342" s="239"/>
      <c r="G342" s="55"/>
      <c r="H342" s="12"/>
    </row>
    <row r="343" ht="14.25" customHeight="1">
      <c r="B343" s="19"/>
      <c r="C343" s="195"/>
      <c r="D343" s="220"/>
      <c r="E343" s="239"/>
      <c r="G343" s="55"/>
      <c r="H343" s="12"/>
    </row>
    <row r="344" ht="14.25" customHeight="1">
      <c r="B344" s="19"/>
      <c r="C344" s="195"/>
      <c r="D344" s="220"/>
      <c r="E344" s="239"/>
      <c r="G344" s="55"/>
      <c r="H344" s="12"/>
    </row>
    <row r="345" ht="14.25" customHeight="1">
      <c r="B345" s="19"/>
      <c r="C345" s="195"/>
      <c r="D345" s="220"/>
      <c r="E345" s="239"/>
      <c r="G345" s="55"/>
      <c r="H345" s="12"/>
    </row>
    <row r="346" ht="14.25" customHeight="1">
      <c r="B346" s="19"/>
      <c r="C346" s="195"/>
      <c r="D346" s="220"/>
      <c r="E346" s="239"/>
      <c r="G346" s="55"/>
      <c r="H346" s="12"/>
    </row>
    <row r="347" ht="14.25" customHeight="1">
      <c r="B347" s="19"/>
      <c r="C347" s="195"/>
      <c r="D347" s="220"/>
      <c r="E347" s="239"/>
      <c r="G347" s="55"/>
      <c r="H347" s="12"/>
    </row>
    <row r="348" ht="14.25" customHeight="1">
      <c r="B348" s="19"/>
      <c r="C348" s="195"/>
      <c r="D348" s="220"/>
      <c r="E348" s="239"/>
      <c r="G348" s="55"/>
      <c r="H348" s="12"/>
    </row>
    <row r="349" ht="14.25" customHeight="1">
      <c r="B349" s="19"/>
      <c r="C349" s="195"/>
      <c r="D349" s="220"/>
      <c r="E349" s="239"/>
      <c r="G349" s="55"/>
      <c r="H349" s="12"/>
    </row>
    <row r="350" ht="14.25" customHeight="1">
      <c r="B350" s="19"/>
      <c r="C350" s="195"/>
      <c r="D350" s="220"/>
      <c r="E350" s="239"/>
      <c r="G350" s="55"/>
      <c r="H350" s="12"/>
    </row>
    <row r="351" ht="14.25" customHeight="1">
      <c r="B351" s="19"/>
      <c r="C351" s="195"/>
      <c r="D351" s="220"/>
      <c r="E351" s="239"/>
      <c r="G351" s="55"/>
      <c r="H351" s="12"/>
    </row>
    <row r="352" ht="14.25" customHeight="1">
      <c r="B352" s="19"/>
      <c r="C352" s="195"/>
      <c r="D352" s="220"/>
      <c r="E352" s="239"/>
      <c r="G352" s="55"/>
      <c r="H352" s="12"/>
    </row>
    <row r="353" ht="14.25" customHeight="1">
      <c r="B353" s="19"/>
      <c r="C353" s="195"/>
      <c r="D353" s="220"/>
      <c r="E353" s="239"/>
      <c r="G353" s="55"/>
      <c r="H353" s="12"/>
    </row>
    <row r="354" ht="14.25" customHeight="1">
      <c r="B354" s="19"/>
      <c r="C354" s="195"/>
      <c r="D354" s="220"/>
      <c r="E354" s="239"/>
      <c r="G354" s="55"/>
      <c r="H354" s="12"/>
    </row>
    <row r="355" ht="14.25" customHeight="1">
      <c r="B355" s="19"/>
      <c r="C355" s="195"/>
      <c r="D355" s="220"/>
      <c r="E355" s="239"/>
      <c r="G355" s="55"/>
      <c r="H355" s="12"/>
    </row>
    <row r="356" ht="14.25" customHeight="1">
      <c r="B356" s="19"/>
      <c r="C356" s="195"/>
      <c r="D356" s="220"/>
      <c r="E356" s="239"/>
      <c r="G356" s="55"/>
      <c r="H356" s="12"/>
    </row>
    <row r="357" ht="14.25" customHeight="1">
      <c r="B357" s="19"/>
      <c r="C357" s="195"/>
      <c r="D357" s="220"/>
      <c r="E357" s="239"/>
      <c r="G357" s="55"/>
      <c r="H357" s="12"/>
    </row>
    <row r="358" ht="14.25" customHeight="1">
      <c r="B358" s="19"/>
      <c r="C358" s="195"/>
      <c r="D358" s="220"/>
      <c r="E358" s="239"/>
      <c r="G358" s="55"/>
      <c r="H358" s="12"/>
    </row>
    <row r="359" ht="14.25" customHeight="1">
      <c r="B359" s="19"/>
      <c r="C359" s="195"/>
      <c r="D359" s="220"/>
      <c r="E359" s="239"/>
      <c r="G359" s="55"/>
      <c r="H359" s="12"/>
    </row>
    <row r="360" ht="14.25" customHeight="1">
      <c r="B360" s="19"/>
      <c r="C360" s="195"/>
      <c r="D360" s="220"/>
      <c r="E360" s="239"/>
      <c r="G360" s="55"/>
      <c r="H360" s="12"/>
    </row>
    <row r="361" ht="14.25" customHeight="1">
      <c r="B361" s="19"/>
      <c r="C361" s="195"/>
      <c r="D361" s="220"/>
      <c r="E361" s="239"/>
      <c r="G361" s="55"/>
      <c r="H361" s="12"/>
    </row>
    <row r="362" ht="14.25" customHeight="1">
      <c r="B362" s="19"/>
      <c r="C362" s="195"/>
      <c r="D362" s="220"/>
      <c r="E362" s="239"/>
      <c r="G362" s="55"/>
      <c r="H362" s="12"/>
    </row>
    <row r="363" ht="14.25" customHeight="1">
      <c r="B363" s="19"/>
      <c r="C363" s="195"/>
      <c r="D363" s="220"/>
      <c r="E363" s="239"/>
      <c r="G363" s="55"/>
      <c r="H363" s="12"/>
    </row>
    <row r="364" ht="14.25" customHeight="1">
      <c r="B364" s="19"/>
      <c r="C364" s="195"/>
      <c r="D364" s="220"/>
      <c r="E364" s="239"/>
      <c r="G364" s="55"/>
      <c r="H364" s="12"/>
    </row>
    <row r="365" ht="14.25" customHeight="1">
      <c r="B365" s="19"/>
      <c r="C365" s="195"/>
      <c r="D365" s="220"/>
      <c r="E365" s="239"/>
      <c r="G365" s="55"/>
      <c r="H365" s="12"/>
    </row>
    <row r="366" ht="14.25" customHeight="1">
      <c r="B366" s="19"/>
      <c r="C366" s="195"/>
      <c r="D366" s="220"/>
      <c r="E366" s="239"/>
      <c r="G366" s="55"/>
      <c r="H366" s="12"/>
    </row>
    <row r="367" ht="14.25" customHeight="1">
      <c r="B367" s="19"/>
      <c r="C367" s="195"/>
      <c r="D367" s="220"/>
      <c r="E367" s="239"/>
      <c r="G367" s="55"/>
      <c r="H367" s="12"/>
    </row>
    <row r="368" ht="14.25" customHeight="1">
      <c r="B368" s="19"/>
      <c r="C368" s="195"/>
      <c r="D368" s="220"/>
      <c r="E368" s="239"/>
      <c r="G368" s="55"/>
      <c r="H368" s="12"/>
    </row>
    <row r="369" ht="14.25" customHeight="1">
      <c r="B369" s="19"/>
      <c r="C369" s="195"/>
      <c r="D369" s="220"/>
      <c r="E369" s="239"/>
      <c r="G369" s="55"/>
      <c r="H369" s="12"/>
    </row>
    <row r="370" ht="14.25" customHeight="1">
      <c r="B370" s="19"/>
      <c r="C370" s="195"/>
      <c r="D370" s="220"/>
      <c r="E370" s="239"/>
      <c r="G370" s="55"/>
      <c r="H370" s="12"/>
    </row>
    <row r="371" ht="14.25" customHeight="1">
      <c r="B371" s="19"/>
      <c r="C371" s="195"/>
      <c r="D371" s="220"/>
      <c r="E371" s="239"/>
      <c r="G371" s="55"/>
      <c r="H371" s="12"/>
    </row>
    <row r="372" ht="14.25" customHeight="1">
      <c r="B372" s="19"/>
      <c r="C372" s="195"/>
      <c r="D372" s="220"/>
      <c r="E372" s="239"/>
      <c r="G372" s="55"/>
      <c r="H372" s="12"/>
    </row>
    <row r="373" ht="14.25" customHeight="1">
      <c r="B373" s="19"/>
      <c r="C373" s="195"/>
      <c r="D373" s="220"/>
      <c r="E373" s="239"/>
      <c r="G373" s="55"/>
      <c r="H373" s="12"/>
    </row>
    <row r="374" ht="14.25" customHeight="1">
      <c r="B374" s="19"/>
      <c r="C374" s="195"/>
      <c r="D374" s="220"/>
      <c r="E374" s="239"/>
      <c r="G374" s="55"/>
      <c r="H374" s="12"/>
    </row>
    <row r="375" ht="14.25" customHeight="1">
      <c r="B375" s="19"/>
      <c r="C375" s="195"/>
      <c r="D375" s="220"/>
      <c r="E375" s="239"/>
      <c r="G375" s="55"/>
      <c r="H375" s="12"/>
    </row>
    <row r="376" ht="14.25" customHeight="1">
      <c r="B376" s="19"/>
      <c r="C376" s="195"/>
      <c r="D376" s="220"/>
      <c r="E376" s="239"/>
      <c r="G376" s="55"/>
      <c r="H376" s="12"/>
    </row>
    <row r="377" ht="14.25" customHeight="1">
      <c r="B377" s="19"/>
      <c r="C377" s="195"/>
      <c r="D377" s="220"/>
      <c r="E377" s="239"/>
      <c r="G377" s="55"/>
      <c r="H377" s="12"/>
    </row>
    <row r="378" ht="14.25" customHeight="1">
      <c r="B378" s="19"/>
      <c r="C378" s="195"/>
      <c r="D378" s="220"/>
      <c r="E378" s="239"/>
      <c r="G378" s="55"/>
      <c r="H378" s="12"/>
    </row>
    <row r="379" ht="14.25" customHeight="1">
      <c r="B379" s="19"/>
      <c r="C379" s="195"/>
      <c r="D379" s="220"/>
      <c r="E379" s="239"/>
      <c r="G379" s="55"/>
      <c r="H379" s="12"/>
    </row>
    <row r="380" ht="14.25" customHeight="1">
      <c r="B380" s="19"/>
      <c r="C380" s="195"/>
      <c r="D380" s="220"/>
      <c r="E380" s="239"/>
      <c r="G380" s="55"/>
      <c r="H380" s="12"/>
    </row>
    <row r="381" ht="14.25" customHeight="1">
      <c r="B381" s="19"/>
      <c r="C381" s="195"/>
      <c r="D381" s="220"/>
      <c r="E381" s="239"/>
      <c r="G381" s="55"/>
      <c r="H381" s="12"/>
    </row>
    <row r="382" ht="14.25" customHeight="1">
      <c r="B382" s="19"/>
      <c r="C382" s="195"/>
      <c r="D382" s="220"/>
      <c r="E382" s="239"/>
      <c r="G382" s="55"/>
      <c r="H382" s="12"/>
    </row>
    <row r="383" ht="14.25" customHeight="1">
      <c r="B383" s="19"/>
      <c r="C383" s="195"/>
      <c r="D383" s="220"/>
      <c r="E383" s="239"/>
      <c r="G383" s="55"/>
      <c r="H383" s="12"/>
    </row>
    <row r="384" ht="14.25" customHeight="1">
      <c r="B384" s="19"/>
      <c r="C384" s="195"/>
      <c r="D384" s="220"/>
      <c r="E384" s="239"/>
      <c r="G384" s="55"/>
      <c r="H384" s="12"/>
    </row>
    <row r="385" ht="14.25" customHeight="1">
      <c r="B385" s="19"/>
      <c r="C385" s="195"/>
      <c r="D385" s="220"/>
      <c r="E385" s="239"/>
      <c r="G385" s="55"/>
      <c r="H385" s="12"/>
    </row>
    <row r="386" ht="14.25" customHeight="1">
      <c r="B386" s="19"/>
      <c r="C386" s="195"/>
      <c r="D386" s="220"/>
      <c r="E386" s="239"/>
      <c r="G386" s="55"/>
      <c r="H386" s="12"/>
    </row>
    <row r="387" ht="14.25" customHeight="1">
      <c r="B387" s="19"/>
      <c r="C387" s="195"/>
      <c r="D387" s="220"/>
      <c r="E387" s="239"/>
      <c r="G387" s="55"/>
      <c r="H387" s="12"/>
    </row>
    <row r="388" ht="14.25" customHeight="1">
      <c r="B388" s="19"/>
      <c r="C388" s="195"/>
      <c r="D388" s="220"/>
      <c r="E388" s="239"/>
      <c r="G388" s="55"/>
      <c r="H388" s="12"/>
    </row>
    <row r="389" ht="14.25" customHeight="1">
      <c r="B389" s="19"/>
      <c r="C389" s="195"/>
      <c r="D389" s="220"/>
      <c r="E389" s="239"/>
      <c r="G389" s="55"/>
      <c r="H389" s="12"/>
    </row>
    <row r="390" ht="14.25" customHeight="1">
      <c r="B390" s="19"/>
      <c r="C390" s="195"/>
      <c r="D390" s="220"/>
      <c r="E390" s="239"/>
      <c r="G390" s="55"/>
      <c r="H390" s="12"/>
    </row>
    <row r="391" ht="14.25" customHeight="1">
      <c r="B391" s="19"/>
      <c r="C391" s="195"/>
      <c r="D391" s="220"/>
      <c r="E391" s="239"/>
      <c r="G391" s="55"/>
      <c r="H391" s="12"/>
    </row>
    <row r="392" ht="14.25" customHeight="1">
      <c r="B392" s="19"/>
      <c r="C392" s="195"/>
      <c r="D392" s="220"/>
      <c r="E392" s="239"/>
      <c r="G392" s="55"/>
      <c r="H392" s="12"/>
    </row>
    <row r="393" ht="14.25" customHeight="1">
      <c r="B393" s="19"/>
      <c r="C393" s="195"/>
      <c r="D393" s="220"/>
      <c r="E393" s="239"/>
      <c r="G393" s="55"/>
      <c r="H393" s="12"/>
    </row>
    <row r="394" ht="14.25" customHeight="1">
      <c r="B394" s="19"/>
      <c r="C394" s="195"/>
      <c r="D394" s="220"/>
      <c r="E394" s="239"/>
      <c r="G394" s="55"/>
      <c r="H394" s="12"/>
    </row>
    <row r="395" ht="14.25" customHeight="1">
      <c r="B395" s="19"/>
      <c r="C395" s="195"/>
      <c r="D395" s="220"/>
      <c r="E395" s="239"/>
      <c r="G395" s="55"/>
      <c r="H395" s="12"/>
    </row>
    <row r="396" ht="14.25" customHeight="1">
      <c r="B396" s="19"/>
      <c r="C396" s="195"/>
      <c r="D396" s="220"/>
      <c r="E396" s="239"/>
      <c r="G396" s="55"/>
      <c r="H396" s="12"/>
    </row>
    <row r="397" ht="14.25" customHeight="1">
      <c r="B397" s="19"/>
      <c r="C397" s="195"/>
      <c r="D397" s="220"/>
      <c r="E397" s="239"/>
      <c r="G397" s="55"/>
      <c r="H397" s="12"/>
    </row>
    <row r="398" ht="14.25" customHeight="1">
      <c r="B398" s="19"/>
      <c r="C398" s="195"/>
      <c r="D398" s="220"/>
      <c r="E398" s="239"/>
      <c r="G398" s="55"/>
      <c r="H398" s="12"/>
    </row>
    <row r="399" ht="14.25" customHeight="1">
      <c r="B399" s="19"/>
      <c r="C399" s="195"/>
      <c r="D399" s="220"/>
      <c r="E399" s="239"/>
      <c r="G399" s="55"/>
      <c r="H399" s="12"/>
    </row>
    <row r="400" ht="14.25" customHeight="1">
      <c r="B400" s="19"/>
      <c r="C400" s="195"/>
      <c r="D400" s="220"/>
      <c r="E400" s="239"/>
      <c r="G400" s="55"/>
      <c r="H400" s="12"/>
    </row>
    <row r="401" ht="14.25" customHeight="1">
      <c r="B401" s="19"/>
      <c r="C401" s="195"/>
      <c r="D401" s="220"/>
      <c r="E401" s="239"/>
      <c r="G401" s="55"/>
      <c r="H401" s="12"/>
    </row>
    <row r="402" ht="14.25" customHeight="1">
      <c r="B402" s="19"/>
      <c r="C402" s="195"/>
      <c r="D402" s="220"/>
      <c r="E402" s="239"/>
      <c r="G402" s="55"/>
      <c r="H402" s="12"/>
    </row>
    <row r="403" ht="14.25" customHeight="1">
      <c r="B403" s="19"/>
      <c r="C403" s="195"/>
      <c r="D403" s="220"/>
      <c r="E403" s="239"/>
      <c r="G403" s="55"/>
      <c r="H403" s="12"/>
    </row>
    <row r="404" ht="14.25" customHeight="1">
      <c r="B404" s="19"/>
      <c r="C404" s="195"/>
      <c r="D404" s="220"/>
      <c r="E404" s="239"/>
      <c r="G404" s="55"/>
      <c r="H404" s="12"/>
    </row>
    <row r="405" ht="14.25" customHeight="1">
      <c r="B405" s="19"/>
      <c r="C405" s="195"/>
      <c r="D405" s="220"/>
      <c r="E405" s="239"/>
      <c r="G405" s="55"/>
      <c r="H405" s="12"/>
    </row>
    <row r="406" ht="14.25" customHeight="1">
      <c r="B406" s="19"/>
      <c r="C406" s="195"/>
      <c r="D406" s="220"/>
      <c r="E406" s="239"/>
      <c r="G406" s="55"/>
      <c r="H406" s="12"/>
    </row>
    <row r="407" ht="14.25" customHeight="1">
      <c r="B407" s="19"/>
      <c r="C407" s="195"/>
      <c r="D407" s="220"/>
      <c r="E407" s="239"/>
      <c r="G407" s="55"/>
      <c r="H407" s="12"/>
    </row>
    <row r="408" ht="14.25" customHeight="1">
      <c r="B408" s="19"/>
      <c r="C408" s="195"/>
      <c r="D408" s="220"/>
      <c r="E408" s="239"/>
      <c r="G408" s="55"/>
      <c r="H408" s="12"/>
    </row>
    <row r="409" ht="14.25" customHeight="1">
      <c r="B409" s="19"/>
      <c r="C409" s="195"/>
      <c r="D409" s="220"/>
      <c r="E409" s="239"/>
      <c r="G409" s="55"/>
      <c r="H409" s="12"/>
    </row>
    <row r="410" ht="14.25" customHeight="1">
      <c r="B410" s="19"/>
      <c r="C410" s="195"/>
      <c r="D410" s="220"/>
      <c r="E410" s="239"/>
      <c r="G410" s="55"/>
      <c r="H410" s="12"/>
    </row>
    <row r="411" ht="14.25" customHeight="1">
      <c r="B411" s="19"/>
      <c r="C411" s="195"/>
      <c r="D411" s="220"/>
      <c r="E411" s="239"/>
      <c r="G411" s="55"/>
      <c r="H411" s="12"/>
    </row>
    <row r="412" ht="14.25" customHeight="1">
      <c r="B412" s="19"/>
      <c r="C412" s="195"/>
      <c r="D412" s="220"/>
      <c r="E412" s="239"/>
      <c r="G412" s="55"/>
      <c r="H412" s="12"/>
    </row>
    <row r="413" ht="14.25" customHeight="1">
      <c r="B413" s="19"/>
      <c r="C413" s="195"/>
      <c r="D413" s="220"/>
      <c r="E413" s="239"/>
      <c r="G413" s="55"/>
      <c r="H413" s="12"/>
    </row>
    <row r="414" ht="14.25" customHeight="1">
      <c r="B414" s="19"/>
      <c r="C414" s="195"/>
      <c r="D414" s="220"/>
      <c r="E414" s="239"/>
      <c r="G414" s="55"/>
      <c r="H414" s="12"/>
    </row>
    <row r="415" ht="14.25" customHeight="1">
      <c r="B415" s="19"/>
      <c r="C415" s="195"/>
      <c r="D415" s="220"/>
      <c r="E415" s="239"/>
      <c r="G415" s="55"/>
      <c r="H415" s="12"/>
    </row>
    <row r="416" ht="14.25" customHeight="1">
      <c r="B416" s="19"/>
      <c r="C416" s="195"/>
      <c r="D416" s="220"/>
      <c r="E416" s="239"/>
      <c r="G416" s="55"/>
      <c r="H416" s="12"/>
    </row>
    <row r="417" ht="14.25" customHeight="1">
      <c r="B417" s="19"/>
      <c r="C417" s="195"/>
      <c r="D417" s="220"/>
      <c r="E417" s="239"/>
      <c r="G417" s="55"/>
      <c r="H417" s="12"/>
    </row>
    <row r="418" ht="14.25" customHeight="1">
      <c r="B418" s="19"/>
      <c r="C418" s="195"/>
      <c r="D418" s="220"/>
      <c r="E418" s="239"/>
      <c r="G418" s="55"/>
      <c r="H418" s="12"/>
    </row>
    <row r="419" ht="14.25" customHeight="1">
      <c r="B419" s="19"/>
      <c r="C419" s="195"/>
      <c r="D419" s="220"/>
      <c r="E419" s="239"/>
      <c r="G419" s="55"/>
      <c r="H419" s="12"/>
    </row>
    <row r="420" ht="14.25" customHeight="1">
      <c r="B420" s="19"/>
      <c r="C420" s="195"/>
      <c r="D420" s="220"/>
      <c r="E420" s="239"/>
      <c r="G420" s="55"/>
      <c r="H420" s="12"/>
    </row>
    <row r="421" ht="14.25" customHeight="1">
      <c r="B421" s="19"/>
      <c r="C421" s="195"/>
      <c r="D421" s="220"/>
      <c r="E421" s="239"/>
      <c r="G421" s="55"/>
      <c r="H421" s="12"/>
    </row>
    <row r="422" ht="14.25" customHeight="1">
      <c r="B422" s="19"/>
      <c r="C422" s="195"/>
      <c r="D422" s="220"/>
      <c r="E422" s="239"/>
      <c r="G422" s="55"/>
      <c r="H422" s="12"/>
    </row>
    <row r="423" ht="14.25" customHeight="1">
      <c r="B423" s="19"/>
      <c r="C423" s="195"/>
      <c r="D423" s="220"/>
      <c r="E423" s="239"/>
      <c r="G423" s="55"/>
      <c r="H423" s="12"/>
    </row>
    <row r="424" ht="14.25" customHeight="1">
      <c r="B424" s="19"/>
      <c r="C424" s="195"/>
      <c r="D424" s="220"/>
      <c r="E424" s="239"/>
      <c r="G424" s="55"/>
      <c r="H424" s="12"/>
    </row>
    <row r="425" ht="14.25" customHeight="1">
      <c r="B425" s="19"/>
      <c r="C425" s="195"/>
      <c r="D425" s="220"/>
      <c r="E425" s="239"/>
      <c r="G425" s="55"/>
      <c r="H425" s="12"/>
    </row>
    <row r="426" ht="14.25" customHeight="1">
      <c r="B426" s="19"/>
      <c r="C426" s="195"/>
      <c r="D426" s="220"/>
      <c r="E426" s="239"/>
      <c r="G426" s="55"/>
      <c r="H426" s="12"/>
    </row>
    <row r="427" ht="14.25" customHeight="1">
      <c r="B427" s="19"/>
      <c r="C427" s="195"/>
      <c r="D427" s="220"/>
      <c r="E427" s="239"/>
      <c r="G427" s="55"/>
      <c r="H427" s="12"/>
    </row>
    <row r="428" ht="14.25" customHeight="1">
      <c r="B428" s="19"/>
      <c r="C428" s="195"/>
      <c r="D428" s="220"/>
      <c r="E428" s="239"/>
      <c r="G428" s="55"/>
      <c r="H428" s="12"/>
    </row>
    <row r="429" ht="14.25" customHeight="1">
      <c r="B429" s="19"/>
      <c r="C429" s="195"/>
      <c r="D429" s="220"/>
      <c r="E429" s="239"/>
      <c r="G429" s="55"/>
      <c r="H429" s="12"/>
    </row>
    <row r="430" ht="14.25" customHeight="1">
      <c r="B430" s="19"/>
      <c r="C430" s="195"/>
      <c r="D430" s="220"/>
      <c r="E430" s="239"/>
      <c r="G430" s="55"/>
      <c r="H430" s="12"/>
    </row>
    <row r="431" ht="14.25" customHeight="1">
      <c r="B431" s="19"/>
      <c r="C431" s="195"/>
      <c r="D431" s="220"/>
      <c r="E431" s="239"/>
      <c r="G431" s="55"/>
      <c r="H431" s="12"/>
    </row>
    <row r="432" ht="14.25" customHeight="1">
      <c r="B432" s="19"/>
      <c r="C432" s="195"/>
      <c r="D432" s="220"/>
      <c r="E432" s="239"/>
      <c r="G432" s="55"/>
      <c r="H432" s="12"/>
    </row>
    <row r="433" ht="14.25" customHeight="1">
      <c r="B433" s="19"/>
      <c r="C433" s="195"/>
      <c r="D433" s="220"/>
      <c r="E433" s="239"/>
      <c r="G433" s="55"/>
      <c r="H433" s="12"/>
    </row>
    <row r="434" ht="14.25" customHeight="1">
      <c r="B434" s="19"/>
      <c r="C434" s="195"/>
      <c r="D434" s="220"/>
      <c r="E434" s="239"/>
      <c r="G434" s="55"/>
      <c r="H434" s="12"/>
    </row>
    <row r="435" ht="14.25" customHeight="1">
      <c r="B435" s="19"/>
      <c r="C435" s="195"/>
      <c r="D435" s="220"/>
      <c r="E435" s="239"/>
      <c r="G435" s="55"/>
      <c r="H435" s="12"/>
    </row>
    <row r="436" ht="14.25" customHeight="1">
      <c r="B436" s="19"/>
      <c r="C436" s="195"/>
      <c r="D436" s="220"/>
      <c r="E436" s="239"/>
      <c r="G436" s="55"/>
      <c r="H436" s="12"/>
    </row>
    <row r="437" ht="14.25" customHeight="1">
      <c r="B437" s="19"/>
      <c r="C437" s="195"/>
      <c r="D437" s="220"/>
      <c r="E437" s="239"/>
      <c r="G437" s="55"/>
      <c r="H437" s="12"/>
    </row>
    <row r="438" ht="14.25" customHeight="1">
      <c r="B438" s="19"/>
      <c r="C438" s="195"/>
      <c r="D438" s="220"/>
      <c r="E438" s="239"/>
      <c r="G438" s="55"/>
      <c r="H438" s="12"/>
    </row>
    <row r="439" ht="14.25" customHeight="1">
      <c r="B439" s="19"/>
      <c r="C439" s="195"/>
      <c r="D439" s="220"/>
      <c r="E439" s="239"/>
      <c r="G439" s="55"/>
      <c r="H439" s="12"/>
    </row>
    <row r="440" ht="14.25" customHeight="1">
      <c r="B440" s="19"/>
      <c r="C440" s="195"/>
      <c r="D440" s="220"/>
      <c r="E440" s="239"/>
      <c r="G440" s="55"/>
      <c r="H440" s="12"/>
    </row>
    <row r="441" ht="14.25" customHeight="1">
      <c r="B441" s="19"/>
      <c r="C441" s="195"/>
      <c r="D441" s="220"/>
      <c r="E441" s="239"/>
      <c r="G441" s="55"/>
      <c r="H441" s="12"/>
    </row>
    <row r="442" ht="14.25" customHeight="1">
      <c r="B442" s="19"/>
      <c r="C442" s="195"/>
      <c r="D442" s="220"/>
      <c r="E442" s="239"/>
      <c r="G442" s="55"/>
      <c r="H442" s="12"/>
    </row>
    <row r="443" ht="14.25" customHeight="1">
      <c r="B443" s="19"/>
      <c r="C443" s="195"/>
      <c r="D443" s="220"/>
      <c r="E443" s="239"/>
      <c r="G443" s="55"/>
      <c r="H443" s="12"/>
    </row>
    <row r="444" ht="14.25" customHeight="1">
      <c r="B444" s="19"/>
      <c r="C444" s="195"/>
      <c r="D444" s="220"/>
      <c r="E444" s="239"/>
      <c r="G444" s="55"/>
      <c r="H444" s="12"/>
    </row>
    <row r="445" ht="14.25" customHeight="1">
      <c r="B445" s="19"/>
      <c r="C445" s="195"/>
      <c r="D445" s="220"/>
      <c r="E445" s="239"/>
      <c r="G445" s="55"/>
      <c r="H445" s="12"/>
    </row>
    <row r="446" ht="14.25" customHeight="1">
      <c r="B446" s="19"/>
      <c r="C446" s="195"/>
      <c r="D446" s="220"/>
      <c r="E446" s="239"/>
      <c r="G446" s="55"/>
      <c r="H446" s="12"/>
    </row>
    <row r="447" ht="14.25" customHeight="1">
      <c r="B447" s="19"/>
      <c r="C447" s="195"/>
      <c r="D447" s="220"/>
      <c r="E447" s="239"/>
      <c r="G447" s="55"/>
      <c r="H447" s="12"/>
    </row>
    <row r="448" ht="14.25" customHeight="1">
      <c r="B448" s="19"/>
      <c r="C448" s="195"/>
      <c r="D448" s="220"/>
      <c r="E448" s="239"/>
      <c r="G448" s="55"/>
      <c r="H448" s="12"/>
    </row>
    <row r="449" ht="14.25" customHeight="1">
      <c r="B449" s="19"/>
      <c r="C449" s="195"/>
      <c r="D449" s="220"/>
      <c r="E449" s="239"/>
      <c r="G449" s="55"/>
      <c r="H449" s="12"/>
    </row>
    <row r="450" ht="14.25" customHeight="1">
      <c r="B450" s="19"/>
      <c r="C450" s="195"/>
      <c r="D450" s="220"/>
      <c r="E450" s="239"/>
      <c r="G450" s="55"/>
      <c r="H450" s="12"/>
    </row>
    <row r="451" ht="14.25" customHeight="1">
      <c r="B451" s="19"/>
      <c r="C451" s="195"/>
      <c r="D451" s="220"/>
      <c r="E451" s="239"/>
      <c r="G451" s="55"/>
      <c r="H451" s="12"/>
    </row>
    <row r="452" ht="14.25" customHeight="1">
      <c r="B452" s="19"/>
      <c r="C452" s="195"/>
      <c r="D452" s="220"/>
      <c r="E452" s="239"/>
      <c r="G452" s="55"/>
      <c r="H452" s="12"/>
    </row>
    <row r="453" ht="14.25" customHeight="1">
      <c r="B453" s="19"/>
      <c r="C453" s="195"/>
      <c r="D453" s="220"/>
      <c r="E453" s="239"/>
      <c r="G453" s="55"/>
      <c r="H453" s="12"/>
    </row>
    <row r="454" ht="14.25" customHeight="1">
      <c r="B454" s="19"/>
      <c r="C454" s="195"/>
      <c r="D454" s="220"/>
      <c r="E454" s="239"/>
      <c r="G454" s="55"/>
      <c r="H454" s="12"/>
    </row>
    <row r="455" ht="14.25" customHeight="1">
      <c r="B455" s="19"/>
      <c r="C455" s="195"/>
      <c r="D455" s="220"/>
      <c r="E455" s="239"/>
      <c r="G455" s="55"/>
      <c r="H455" s="12"/>
    </row>
    <row r="456" ht="14.25" customHeight="1">
      <c r="B456" s="19"/>
      <c r="C456" s="195"/>
      <c r="D456" s="220"/>
      <c r="E456" s="239"/>
      <c r="G456" s="55"/>
      <c r="H456" s="12"/>
    </row>
    <row r="457" ht="14.25" customHeight="1">
      <c r="B457" s="19"/>
      <c r="C457" s="195"/>
      <c r="D457" s="220"/>
      <c r="E457" s="239"/>
      <c r="G457" s="55"/>
      <c r="H457" s="12"/>
    </row>
    <row r="458" ht="14.25" customHeight="1">
      <c r="B458" s="19"/>
      <c r="C458" s="195"/>
      <c r="D458" s="220"/>
      <c r="E458" s="239"/>
      <c r="G458" s="55"/>
      <c r="H458" s="12"/>
    </row>
    <row r="459" ht="14.25" customHeight="1">
      <c r="B459" s="19"/>
      <c r="C459" s="195"/>
      <c r="D459" s="220"/>
      <c r="E459" s="239"/>
      <c r="G459" s="55"/>
      <c r="H459" s="12"/>
    </row>
    <row r="460" ht="14.25" customHeight="1">
      <c r="B460" s="19"/>
      <c r="C460" s="195"/>
      <c r="D460" s="220"/>
      <c r="E460" s="239"/>
      <c r="G460" s="55"/>
      <c r="H460" s="12"/>
    </row>
    <row r="461" ht="14.25" customHeight="1">
      <c r="B461" s="19"/>
      <c r="C461" s="195"/>
      <c r="D461" s="220"/>
      <c r="E461" s="239"/>
      <c r="G461" s="55"/>
      <c r="H461" s="12"/>
    </row>
    <row r="462" ht="14.25" customHeight="1">
      <c r="B462" s="19"/>
      <c r="C462" s="195"/>
      <c r="D462" s="220"/>
      <c r="E462" s="239"/>
      <c r="G462" s="55"/>
      <c r="H462" s="12"/>
    </row>
    <row r="463" ht="14.25" customHeight="1">
      <c r="B463" s="19"/>
      <c r="C463" s="195"/>
      <c r="D463" s="220"/>
      <c r="E463" s="239"/>
      <c r="G463" s="55"/>
      <c r="H463" s="12"/>
    </row>
    <row r="464" ht="14.25" customHeight="1">
      <c r="B464" s="19"/>
      <c r="C464" s="195"/>
      <c r="D464" s="220"/>
      <c r="E464" s="239"/>
      <c r="G464" s="55"/>
      <c r="H464" s="12"/>
    </row>
    <row r="465" ht="14.25" customHeight="1">
      <c r="B465" s="19"/>
      <c r="C465" s="195"/>
      <c r="D465" s="220"/>
      <c r="E465" s="239"/>
      <c r="G465" s="55"/>
      <c r="H465" s="12"/>
    </row>
    <row r="466" ht="14.25" customHeight="1">
      <c r="B466" s="19"/>
      <c r="C466" s="195"/>
      <c r="D466" s="220"/>
      <c r="E466" s="239"/>
      <c r="G466" s="55"/>
      <c r="H466" s="12"/>
    </row>
    <row r="467" ht="14.25" customHeight="1">
      <c r="B467" s="19"/>
      <c r="C467" s="195"/>
      <c r="D467" s="220"/>
      <c r="E467" s="239"/>
      <c r="G467" s="55"/>
      <c r="H467" s="12"/>
    </row>
    <row r="468" ht="14.25" customHeight="1">
      <c r="B468" s="19"/>
      <c r="C468" s="195"/>
      <c r="D468" s="220"/>
      <c r="E468" s="239"/>
      <c r="G468" s="55"/>
      <c r="H468" s="12"/>
    </row>
    <row r="469" ht="14.25" customHeight="1">
      <c r="B469" s="19"/>
      <c r="C469" s="195"/>
      <c r="D469" s="220"/>
      <c r="E469" s="239"/>
      <c r="G469" s="55"/>
      <c r="H469" s="12"/>
    </row>
    <row r="470" ht="14.25" customHeight="1">
      <c r="B470" s="19"/>
      <c r="C470" s="195"/>
      <c r="D470" s="220"/>
      <c r="E470" s="239"/>
      <c r="G470" s="55"/>
      <c r="H470" s="12"/>
    </row>
    <row r="471" ht="14.25" customHeight="1">
      <c r="B471" s="19"/>
      <c r="C471" s="195"/>
      <c r="D471" s="220"/>
      <c r="E471" s="239"/>
      <c r="G471" s="55"/>
      <c r="H471" s="12"/>
    </row>
    <row r="472" ht="14.25" customHeight="1">
      <c r="B472" s="19"/>
      <c r="C472" s="195"/>
      <c r="D472" s="220"/>
      <c r="E472" s="239"/>
      <c r="G472" s="55"/>
      <c r="H472" s="12"/>
    </row>
    <row r="473" ht="14.25" customHeight="1">
      <c r="B473" s="19"/>
      <c r="C473" s="195"/>
      <c r="D473" s="220"/>
      <c r="E473" s="239"/>
      <c r="G473" s="55"/>
      <c r="H473" s="12"/>
    </row>
    <row r="474" ht="14.25" customHeight="1">
      <c r="B474" s="19"/>
      <c r="C474" s="195"/>
      <c r="D474" s="220"/>
      <c r="E474" s="239"/>
      <c r="G474" s="55"/>
      <c r="H474" s="12"/>
    </row>
    <row r="475" ht="14.25" customHeight="1">
      <c r="B475" s="19"/>
      <c r="C475" s="195"/>
      <c r="D475" s="220"/>
      <c r="E475" s="239"/>
      <c r="G475" s="55"/>
      <c r="H475" s="12"/>
    </row>
    <row r="476" ht="14.25" customHeight="1">
      <c r="B476" s="19"/>
      <c r="C476" s="195"/>
      <c r="D476" s="220"/>
      <c r="E476" s="239"/>
      <c r="G476" s="55"/>
      <c r="H476" s="12"/>
    </row>
    <row r="477" ht="14.25" customHeight="1">
      <c r="B477" s="19"/>
      <c r="C477" s="195"/>
      <c r="D477" s="220"/>
      <c r="E477" s="239"/>
      <c r="G477" s="55"/>
      <c r="H477" s="12"/>
    </row>
    <row r="478" ht="14.25" customHeight="1">
      <c r="B478" s="19"/>
      <c r="C478" s="195"/>
      <c r="D478" s="220"/>
      <c r="E478" s="239"/>
      <c r="G478" s="55"/>
      <c r="H478" s="12"/>
    </row>
    <row r="479" ht="14.25" customHeight="1">
      <c r="B479" s="19"/>
      <c r="C479" s="195"/>
      <c r="D479" s="220"/>
      <c r="E479" s="239"/>
      <c r="G479" s="55"/>
      <c r="H479" s="12"/>
    </row>
    <row r="480" ht="14.25" customHeight="1">
      <c r="B480" s="19"/>
      <c r="C480" s="195"/>
      <c r="D480" s="220"/>
      <c r="E480" s="239"/>
      <c r="G480" s="55"/>
      <c r="H480" s="12"/>
    </row>
    <row r="481" ht="14.25" customHeight="1">
      <c r="B481" s="19"/>
      <c r="C481" s="195"/>
      <c r="D481" s="220"/>
      <c r="E481" s="239"/>
      <c r="G481" s="55"/>
      <c r="H481" s="12"/>
    </row>
    <row r="482" ht="14.25" customHeight="1">
      <c r="B482" s="19"/>
      <c r="C482" s="195"/>
      <c r="D482" s="220"/>
      <c r="E482" s="239"/>
      <c r="G482" s="55"/>
      <c r="H482" s="12"/>
    </row>
    <row r="483" ht="14.25" customHeight="1">
      <c r="B483" s="19"/>
      <c r="C483" s="195"/>
      <c r="D483" s="220"/>
      <c r="E483" s="239"/>
      <c r="G483" s="55"/>
      <c r="H483" s="12"/>
    </row>
    <row r="484" ht="14.25" customHeight="1">
      <c r="B484" s="19"/>
      <c r="C484" s="195"/>
      <c r="D484" s="220"/>
      <c r="E484" s="239"/>
      <c r="G484" s="55"/>
      <c r="H484" s="12"/>
    </row>
    <row r="485" ht="14.25" customHeight="1">
      <c r="B485" s="19"/>
      <c r="C485" s="195"/>
      <c r="D485" s="220"/>
      <c r="E485" s="239"/>
      <c r="G485" s="55"/>
      <c r="H485" s="12"/>
    </row>
    <row r="486" ht="14.25" customHeight="1">
      <c r="B486" s="19"/>
      <c r="C486" s="195"/>
      <c r="D486" s="220"/>
      <c r="E486" s="239"/>
      <c r="G486" s="55"/>
      <c r="H486" s="12"/>
    </row>
    <row r="487" ht="14.25" customHeight="1">
      <c r="B487" s="19"/>
      <c r="C487" s="195"/>
      <c r="D487" s="220"/>
      <c r="E487" s="239"/>
      <c r="G487" s="55"/>
      <c r="H487" s="12"/>
    </row>
    <row r="488" ht="14.25" customHeight="1">
      <c r="B488" s="19"/>
      <c r="C488" s="195"/>
      <c r="D488" s="220"/>
      <c r="E488" s="239"/>
      <c r="G488" s="55"/>
      <c r="H488" s="12"/>
    </row>
    <row r="489" ht="14.25" customHeight="1">
      <c r="B489" s="19"/>
      <c r="C489" s="195"/>
      <c r="D489" s="220"/>
      <c r="E489" s="239"/>
      <c r="G489" s="55"/>
      <c r="H489" s="12"/>
    </row>
    <row r="490" ht="14.25" customHeight="1">
      <c r="B490" s="19"/>
      <c r="C490" s="195"/>
      <c r="D490" s="220"/>
      <c r="E490" s="239"/>
      <c r="G490" s="55"/>
      <c r="H490" s="12"/>
    </row>
    <row r="491" ht="14.25" customHeight="1">
      <c r="B491" s="19"/>
      <c r="C491" s="195"/>
      <c r="D491" s="220"/>
      <c r="E491" s="239"/>
      <c r="G491" s="55"/>
      <c r="H491" s="12"/>
    </row>
    <row r="492" ht="14.25" customHeight="1">
      <c r="B492" s="19"/>
      <c r="C492" s="195"/>
      <c r="D492" s="220"/>
      <c r="E492" s="239"/>
      <c r="G492" s="55"/>
      <c r="H492" s="12"/>
    </row>
    <row r="493" ht="14.25" customHeight="1">
      <c r="B493" s="19"/>
      <c r="C493" s="195"/>
      <c r="D493" s="220"/>
      <c r="E493" s="239"/>
      <c r="G493" s="55"/>
      <c r="H493" s="12"/>
    </row>
    <row r="494" ht="14.25" customHeight="1">
      <c r="B494" s="19"/>
      <c r="C494" s="195"/>
      <c r="D494" s="220"/>
      <c r="E494" s="239"/>
      <c r="G494" s="55"/>
      <c r="H494" s="12"/>
    </row>
    <row r="495" ht="14.25" customHeight="1">
      <c r="B495" s="19"/>
      <c r="C495" s="195"/>
      <c r="D495" s="220"/>
      <c r="E495" s="239"/>
      <c r="G495" s="55"/>
      <c r="H495" s="12"/>
    </row>
    <row r="496" ht="14.25" customHeight="1">
      <c r="B496" s="19"/>
      <c r="C496" s="195"/>
      <c r="D496" s="220"/>
      <c r="E496" s="239"/>
      <c r="G496" s="55"/>
      <c r="H496" s="12"/>
    </row>
    <row r="497" ht="14.25" customHeight="1">
      <c r="B497" s="19"/>
      <c r="C497" s="195"/>
      <c r="D497" s="220"/>
      <c r="E497" s="239"/>
      <c r="G497" s="55"/>
      <c r="H497" s="12"/>
    </row>
    <row r="498" ht="14.25" customHeight="1">
      <c r="B498" s="19"/>
      <c r="C498" s="195"/>
      <c r="D498" s="220"/>
      <c r="E498" s="239"/>
      <c r="G498" s="55"/>
      <c r="H498" s="12"/>
    </row>
    <row r="499" ht="14.25" customHeight="1">
      <c r="B499" s="19"/>
      <c r="C499" s="195"/>
      <c r="D499" s="220"/>
      <c r="E499" s="239"/>
      <c r="G499" s="55"/>
      <c r="H499" s="12"/>
    </row>
    <row r="500" ht="14.25" customHeight="1">
      <c r="B500" s="19"/>
      <c r="C500" s="195"/>
      <c r="D500" s="220"/>
      <c r="E500" s="239"/>
      <c r="G500" s="55"/>
      <c r="H500" s="12"/>
    </row>
    <row r="501" ht="14.25" customHeight="1">
      <c r="B501" s="19"/>
      <c r="C501" s="195"/>
      <c r="D501" s="220"/>
      <c r="E501" s="239"/>
      <c r="G501" s="55"/>
      <c r="H501" s="12"/>
    </row>
    <row r="502" ht="14.25" customHeight="1">
      <c r="B502" s="19"/>
      <c r="C502" s="195"/>
      <c r="D502" s="220"/>
      <c r="E502" s="239"/>
      <c r="G502" s="55"/>
      <c r="H502" s="12"/>
    </row>
    <row r="503" ht="14.25" customHeight="1">
      <c r="B503" s="19"/>
      <c r="C503" s="195"/>
      <c r="D503" s="220"/>
      <c r="E503" s="239"/>
      <c r="G503" s="55"/>
      <c r="H503" s="12"/>
    </row>
    <row r="504" ht="14.25" customHeight="1">
      <c r="B504" s="19"/>
      <c r="C504" s="195"/>
      <c r="D504" s="220"/>
      <c r="E504" s="239"/>
      <c r="G504" s="55"/>
      <c r="H504" s="12"/>
    </row>
    <row r="505" ht="14.25" customHeight="1">
      <c r="B505" s="19"/>
      <c r="C505" s="195"/>
      <c r="D505" s="220"/>
      <c r="E505" s="239"/>
      <c r="G505" s="55"/>
      <c r="H505" s="12"/>
    </row>
    <row r="506" ht="14.25" customHeight="1">
      <c r="B506" s="19"/>
      <c r="C506" s="195"/>
      <c r="D506" s="220"/>
      <c r="E506" s="239"/>
      <c r="G506" s="55"/>
      <c r="H506" s="12"/>
    </row>
    <row r="507" ht="14.25" customHeight="1">
      <c r="B507" s="19"/>
      <c r="C507" s="195"/>
      <c r="D507" s="220"/>
      <c r="E507" s="239"/>
      <c r="G507" s="55"/>
      <c r="H507" s="12"/>
    </row>
    <row r="508" ht="14.25" customHeight="1">
      <c r="B508" s="19"/>
      <c r="C508" s="195"/>
      <c r="D508" s="220"/>
      <c r="E508" s="239"/>
      <c r="G508" s="55"/>
      <c r="H508" s="12"/>
    </row>
    <row r="509" ht="14.25" customHeight="1">
      <c r="B509" s="19"/>
      <c r="C509" s="195"/>
      <c r="D509" s="220"/>
      <c r="E509" s="239"/>
      <c r="G509" s="55"/>
      <c r="H509" s="12"/>
    </row>
    <row r="510" ht="14.25" customHeight="1">
      <c r="B510" s="19"/>
      <c r="C510" s="195"/>
      <c r="D510" s="220"/>
      <c r="E510" s="239"/>
      <c r="G510" s="55"/>
      <c r="H510" s="12"/>
    </row>
    <row r="511" ht="14.25" customHeight="1">
      <c r="B511" s="19"/>
      <c r="C511" s="195"/>
      <c r="D511" s="220"/>
      <c r="E511" s="239"/>
      <c r="G511" s="55"/>
      <c r="H511" s="12"/>
    </row>
    <row r="512" ht="14.25" customHeight="1">
      <c r="B512" s="19"/>
      <c r="C512" s="195"/>
      <c r="D512" s="220"/>
      <c r="E512" s="239"/>
      <c r="G512" s="55"/>
      <c r="H512" s="12"/>
    </row>
    <row r="513" ht="14.25" customHeight="1">
      <c r="B513" s="19"/>
      <c r="C513" s="195"/>
      <c r="D513" s="220"/>
      <c r="E513" s="239"/>
      <c r="G513" s="55"/>
      <c r="H513" s="12"/>
    </row>
    <row r="514" ht="14.25" customHeight="1">
      <c r="B514" s="19"/>
      <c r="C514" s="195"/>
      <c r="D514" s="220"/>
      <c r="E514" s="239"/>
      <c r="G514" s="55"/>
      <c r="H514" s="12"/>
    </row>
    <row r="515" ht="14.25" customHeight="1">
      <c r="B515" s="19"/>
      <c r="C515" s="195"/>
      <c r="D515" s="220"/>
      <c r="E515" s="239"/>
      <c r="G515" s="55"/>
      <c r="H515" s="12"/>
    </row>
    <row r="516" ht="14.25" customHeight="1">
      <c r="B516" s="19"/>
      <c r="C516" s="195"/>
      <c r="D516" s="220"/>
      <c r="E516" s="239"/>
      <c r="G516" s="55"/>
      <c r="H516" s="12"/>
    </row>
    <row r="517" ht="14.25" customHeight="1">
      <c r="B517" s="19"/>
      <c r="C517" s="195"/>
      <c r="D517" s="220"/>
      <c r="E517" s="239"/>
      <c r="G517" s="55"/>
      <c r="H517" s="12"/>
    </row>
    <row r="518" ht="14.25" customHeight="1">
      <c r="B518" s="19"/>
      <c r="C518" s="195"/>
      <c r="D518" s="220"/>
      <c r="E518" s="239"/>
      <c r="G518" s="55"/>
      <c r="H518" s="12"/>
    </row>
    <row r="519" ht="14.25" customHeight="1">
      <c r="B519" s="19"/>
      <c r="C519" s="195"/>
      <c r="D519" s="220"/>
      <c r="E519" s="239"/>
      <c r="G519" s="55"/>
      <c r="H519" s="12"/>
    </row>
    <row r="520" ht="14.25" customHeight="1">
      <c r="B520" s="19"/>
      <c r="C520" s="195"/>
      <c r="D520" s="220"/>
      <c r="E520" s="239"/>
      <c r="G520" s="55"/>
      <c r="H520" s="12"/>
    </row>
    <row r="521" ht="14.25" customHeight="1">
      <c r="B521" s="19"/>
      <c r="C521" s="195"/>
      <c r="D521" s="220"/>
      <c r="E521" s="239"/>
      <c r="G521" s="55"/>
      <c r="H521" s="12"/>
    </row>
    <row r="522" ht="14.25" customHeight="1">
      <c r="B522" s="19"/>
      <c r="C522" s="195"/>
      <c r="D522" s="220"/>
      <c r="E522" s="239"/>
      <c r="G522" s="55"/>
      <c r="H522" s="12"/>
    </row>
    <row r="523" ht="14.25" customHeight="1">
      <c r="B523" s="19"/>
      <c r="C523" s="195"/>
      <c r="D523" s="220"/>
      <c r="E523" s="239"/>
      <c r="G523" s="55"/>
      <c r="H523" s="12"/>
    </row>
    <row r="524" ht="14.25" customHeight="1">
      <c r="B524" s="19"/>
      <c r="C524" s="195"/>
      <c r="D524" s="220"/>
      <c r="E524" s="239"/>
      <c r="G524" s="55"/>
      <c r="H524" s="12"/>
    </row>
    <row r="525" ht="14.25" customHeight="1">
      <c r="B525" s="19"/>
      <c r="C525" s="195"/>
      <c r="D525" s="220"/>
      <c r="E525" s="239"/>
      <c r="G525" s="55"/>
      <c r="H525" s="12"/>
    </row>
    <row r="526" ht="14.25" customHeight="1">
      <c r="B526" s="19"/>
      <c r="C526" s="195"/>
      <c r="D526" s="220"/>
      <c r="E526" s="239"/>
      <c r="G526" s="55"/>
      <c r="H526" s="12"/>
    </row>
    <row r="527" ht="14.25" customHeight="1">
      <c r="B527" s="19"/>
      <c r="C527" s="195"/>
      <c r="D527" s="220"/>
      <c r="E527" s="239"/>
      <c r="G527" s="55"/>
      <c r="H527" s="12"/>
    </row>
    <row r="528" ht="14.25" customHeight="1">
      <c r="B528" s="19"/>
      <c r="C528" s="195"/>
      <c r="D528" s="220"/>
      <c r="E528" s="239"/>
      <c r="G528" s="55"/>
      <c r="H528" s="12"/>
    </row>
    <row r="529" ht="14.25" customHeight="1">
      <c r="B529" s="19"/>
      <c r="C529" s="195"/>
      <c r="D529" s="220"/>
      <c r="E529" s="239"/>
      <c r="G529" s="55"/>
      <c r="H529" s="12"/>
    </row>
    <row r="530" ht="14.25" customHeight="1">
      <c r="B530" s="19"/>
      <c r="C530" s="195"/>
      <c r="D530" s="220"/>
      <c r="E530" s="239"/>
      <c r="G530" s="55"/>
      <c r="H530" s="12"/>
    </row>
    <row r="531" ht="14.25" customHeight="1">
      <c r="B531" s="19"/>
      <c r="C531" s="195"/>
      <c r="D531" s="220"/>
      <c r="E531" s="239"/>
      <c r="G531" s="55"/>
      <c r="H531" s="12"/>
    </row>
    <row r="532" ht="14.25" customHeight="1">
      <c r="B532" s="19"/>
      <c r="C532" s="195"/>
      <c r="D532" s="220"/>
      <c r="E532" s="239"/>
      <c r="G532" s="55"/>
      <c r="H532" s="12"/>
    </row>
    <row r="533" ht="14.25" customHeight="1">
      <c r="B533" s="19"/>
      <c r="C533" s="195"/>
      <c r="D533" s="220"/>
      <c r="E533" s="239"/>
      <c r="G533" s="55"/>
      <c r="H533" s="12"/>
    </row>
    <row r="534" ht="14.25" customHeight="1">
      <c r="B534" s="19"/>
      <c r="C534" s="195"/>
      <c r="D534" s="220"/>
      <c r="E534" s="239"/>
      <c r="G534" s="55"/>
      <c r="H534" s="12"/>
    </row>
    <row r="535" ht="14.25" customHeight="1">
      <c r="B535" s="19"/>
      <c r="C535" s="195"/>
      <c r="D535" s="220"/>
      <c r="E535" s="239"/>
      <c r="G535" s="55"/>
      <c r="H535" s="12"/>
    </row>
    <row r="536" ht="14.25" customHeight="1">
      <c r="B536" s="19"/>
      <c r="C536" s="195"/>
      <c r="D536" s="220"/>
      <c r="E536" s="239"/>
      <c r="G536" s="55"/>
      <c r="H536" s="12"/>
    </row>
    <row r="537" ht="14.25" customHeight="1">
      <c r="B537" s="19"/>
      <c r="C537" s="195"/>
      <c r="D537" s="220"/>
      <c r="E537" s="239"/>
      <c r="G537" s="55"/>
      <c r="H537" s="12"/>
    </row>
    <row r="538" ht="14.25" customHeight="1">
      <c r="B538" s="19"/>
      <c r="C538" s="195"/>
      <c r="D538" s="220"/>
      <c r="E538" s="239"/>
      <c r="G538" s="55"/>
      <c r="H538" s="12"/>
    </row>
    <row r="539" ht="14.25" customHeight="1">
      <c r="B539" s="19"/>
      <c r="C539" s="195"/>
      <c r="D539" s="220"/>
      <c r="E539" s="239"/>
      <c r="G539" s="55"/>
      <c r="H539" s="12"/>
    </row>
    <row r="540" ht="14.25" customHeight="1">
      <c r="B540" s="19"/>
      <c r="C540" s="195"/>
      <c r="D540" s="220"/>
      <c r="E540" s="239"/>
      <c r="G540" s="55"/>
      <c r="H540" s="12"/>
    </row>
    <row r="541" ht="14.25" customHeight="1">
      <c r="B541" s="19"/>
      <c r="C541" s="195"/>
      <c r="D541" s="220"/>
      <c r="E541" s="239"/>
      <c r="G541" s="55"/>
      <c r="H541" s="12"/>
    </row>
    <row r="542" ht="14.25" customHeight="1">
      <c r="B542" s="19"/>
      <c r="C542" s="195"/>
      <c r="D542" s="220"/>
      <c r="E542" s="239"/>
      <c r="G542" s="55"/>
      <c r="H542" s="12"/>
    </row>
    <row r="543" ht="14.25" customHeight="1">
      <c r="B543" s="19"/>
      <c r="C543" s="195"/>
      <c r="D543" s="220"/>
      <c r="E543" s="239"/>
      <c r="G543" s="55"/>
      <c r="H543" s="12"/>
    </row>
    <row r="544" ht="14.25" customHeight="1">
      <c r="B544" s="19"/>
      <c r="C544" s="195"/>
      <c r="D544" s="220"/>
      <c r="E544" s="239"/>
      <c r="G544" s="55"/>
      <c r="H544" s="12"/>
    </row>
    <row r="545" ht="14.25" customHeight="1">
      <c r="B545" s="19"/>
      <c r="C545" s="195"/>
      <c r="D545" s="220"/>
      <c r="E545" s="239"/>
      <c r="G545" s="55"/>
      <c r="H545" s="12"/>
    </row>
    <row r="546" ht="14.25" customHeight="1">
      <c r="B546" s="19"/>
      <c r="C546" s="195"/>
      <c r="D546" s="220"/>
      <c r="E546" s="239"/>
      <c r="G546" s="55"/>
      <c r="H546" s="12"/>
    </row>
    <row r="547" ht="14.25" customHeight="1">
      <c r="B547" s="19"/>
      <c r="C547" s="195"/>
      <c r="D547" s="220"/>
      <c r="E547" s="239"/>
      <c r="G547" s="55"/>
      <c r="H547" s="12"/>
    </row>
    <row r="548" ht="14.25" customHeight="1">
      <c r="B548" s="19"/>
      <c r="C548" s="195"/>
      <c r="D548" s="220"/>
      <c r="E548" s="239"/>
      <c r="G548" s="55"/>
      <c r="H548" s="12"/>
    </row>
    <row r="549" ht="14.25" customHeight="1">
      <c r="B549" s="19"/>
      <c r="C549" s="195"/>
      <c r="D549" s="220"/>
      <c r="E549" s="239"/>
      <c r="G549" s="55"/>
      <c r="H549" s="12"/>
    </row>
    <row r="550" ht="14.25" customHeight="1">
      <c r="B550" s="19"/>
      <c r="C550" s="195"/>
      <c r="D550" s="220"/>
      <c r="E550" s="239"/>
      <c r="G550" s="55"/>
      <c r="H550" s="12"/>
    </row>
    <row r="551" ht="14.25" customHeight="1">
      <c r="B551" s="19"/>
      <c r="C551" s="195"/>
      <c r="D551" s="220"/>
      <c r="E551" s="239"/>
      <c r="G551" s="55"/>
      <c r="H551" s="12"/>
    </row>
    <row r="552" ht="14.25" customHeight="1">
      <c r="B552" s="19"/>
      <c r="C552" s="195"/>
      <c r="D552" s="220"/>
      <c r="E552" s="239"/>
      <c r="G552" s="55"/>
      <c r="H552" s="12"/>
    </row>
    <row r="553" ht="14.25" customHeight="1">
      <c r="B553" s="19"/>
      <c r="C553" s="195"/>
      <c r="D553" s="220"/>
      <c r="E553" s="239"/>
      <c r="G553" s="55"/>
      <c r="H553" s="12"/>
    </row>
    <row r="554" ht="14.25" customHeight="1">
      <c r="B554" s="19"/>
      <c r="C554" s="195"/>
      <c r="D554" s="220"/>
      <c r="E554" s="239"/>
      <c r="G554" s="55"/>
      <c r="H554" s="12"/>
    </row>
    <row r="555" ht="14.25" customHeight="1">
      <c r="B555" s="19"/>
      <c r="C555" s="195"/>
      <c r="D555" s="220"/>
      <c r="E555" s="239"/>
      <c r="G555" s="55"/>
      <c r="H555" s="12"/>
    </row>
    <row r="556" ht="14.25" customHeight="1">
      <c r="B556" s="19"/>
      <c r="C556" s="195"/>
      <c r="D556" s="220"/>
      <c r="E556" s="239"/>
      <c r="G556" s="55"/>
      <c r="H556" s="12"/>
    </row>
    <row r="557" ht="14.25" customHeight="1">
      <c r="B557" s="19"/>
      <c r="C557" s="195"/>
      <c r="D557" s="220"/>
      <c r="E557" s="239"/>
      <c r="G557" s="55"/>
      <c r="H557" s="12"/>
    </row>
    <row r="558" ht="14.25" customHeight="1">
      <c r="B558" s="19"/>
      <c r="C558" s="195"/>
      <c r="D558" s="220"/>
      <c r="E558" s="239"/>
      <c r="G558" s="55"/>
      <c r="H558" s="12"/>
    </row>
    <row r="559" ht="14.25" customHeight="1">
      <c r="B559" s="19"/>
      <c r="C559" s="195"/>
      <c r="D559" s="220"/>
      <c r="E559" s="239"/>
      <c r="G559" s="55"/>
      <c r="H559" s="12"/>
    </row>
    <row r="560" ht="14.25" customHeight="1">
      <c r="B560" s="19"/>
      <c r="C560" s="195"/>
      <c r="D560" s="220"/>
      <c r="E560" s="239"/>
      <c r="G560" s="55"/>
      <c r="H560" s="12"/>
    </row>
    <row r="561" ht="14.25" customHeight="1">
      <c r="B561" s="19"/>
      <c r="C561" s="195"/>
      <c r="D561" s="220"/>
      <c r="E561" s="239"/>
      <c r="G561" s="55"/>
      <c r="H561" s="12"/>
    </row>
    <row r="562" ht="14.25" customHeight="1">
      <c r="B562" s="19"/>
      <c r="C562" s="195"/>
      <c r="D562" s="220"/>
      <c r="E562" s="239"/>
      <c r="G562" s="55"/>
      <c r="H562" s="12"/>
    </row>
    <row r="563" ht="14.25" customHeight="1">
      <c r="B563" s="19"/>
      <c r="C563" s="195"/>
      <c r="D563" s="220"/>
      <c r="E563" s="239"/>
      <c r="G563" s="55"/>
      <c r="H563" s="12"/>
    </row>
    <row r="564" ht="14.25" customHeight="1">
      <c r="B564" s="19"/>
      <c r="C564" s="195"/>
      <c r="D564" s="220"/>
      <c r="E564" s="239"/>
      <c r="G564" s="55"/>
      <c r="H564" s="12"/>
    </row>
    <row r="565" ht="14.25" customHeight="1">
      <c r="B565" s="19"/>
      <c r="C565" s="195"/>
      <c r="D565" s="220"/>
      <c r="E565" s="239"/>
      <c r="G565" s="55"/>
      <c r="H565" s="12"/>
    </row>
    <row r="566" ht="14.25" customHeight="1">
      <c r="B566" s="19"/>
      <c r="C566" s="195"/>
      <c r="D566" s="220"/>
      <c r="E566" s="239"/>
      <c r="G566" s="55"/>
      <c r="H566" s="12"/>
    </row>
    <row r="567" ht="14.25" customHeight="1">
      <c r="B567" s="19"/>
      <c r="C567" s="195"/>
      <c r="D567" s="220"/>
      <c r="E567" s="239"/>
      <c r="G567" s="55"/>
      <c r="H567" s="12"/>
    </row>
    <row r="568" ht="14.25" customHeight="1">
      <c r="B568" s="19"/>
      <c r="C568" s="195"/>
      <c r="D568" s="220"/>
      <c r="E568" s="239"/>
      <c r="G568" s="55"/>
      <c r="H568" s="12"/>
    </row>
    <row r="569" ht="14.25" customHeight="1">
      <c r="B569" s="19"/>
      <c r="C569" s="195"/>
      <c r="D569" s="220"/>
      <c r="E569" s="239"/>
      <c r="G569" s="55"/>
      <c r="H569" s="12"/>
    </row>
    <row r="570" ht="14.25" customHeight="1">
      <c r="B570" s="19"/>
      <c r="C570" s="195"/>
      <c r="D570" s="220"/>
      <c r="E570" s="239"/>
      <c r="G570" s="55"/>
      <c r="H570" s="12"/>
    </row>
    <row r="571" ht="14.25" customHeight="1">
      <c r="B571" s="19"/>
      <c r="C571" s="195"/>
      <c r="D571" s="220"/>
      <c r="E571" s="239"/>
      <c r="G571" s="55"/>
      <c r="H571" s="12"/>
    </row>
    <row r="572" ht="14.25" customHeight="1">
      <c r="B572" s="19"/>
      <c r="C572" s="195"/>
      <c r="D572" s="220"/>
      <c r="E572" s="239"/>
      <c r="G572" s="55"/>
      <c r="H572" s="12"/>
    </row>
    <row r="573" ht="14.25" customHeight="1">
      <c r="B573" s="19"/>
      <c r="C573" s="195"/>
      <c r="D573" s="220"/>
      <c r="E573" s="239"/>
      <c r="G573" s="55"/>
      <c r="H573" s="12"/>
    </row>
    <row r="574" ht="14.25" customHeight="1">
      <c r="B574" s="19"/>
      <c r="C574" s="195"/>
      <c r="D574" s="220"/>
      <c r="E574" s="239"/>
      <c r="G574" s="55"/>
      <c r="H574" s="12"/>
    </row>
    <row r="575" ht="14.25" customHeight="1">
      <c r="B575" s="19"/>
      <c r="C575" s="195"/>
      <c r="D575" s="220"/>
      <c r="E575" s="239"/>
      <c r="G575" s="55"/>
      <c r="H575" s="12"/>
    </row>
    <row r="576" ht="14.25" customHeight="1">
      <c r="B576" s="19"/>
      <c r="C576" s="195"/>
      <c r="D576" s="220"/>
      <c r="E576" s="239"/>
      <c r="G576" s="55"/>
      <c r="H576" s="12"/>
    </row>
    <row r="577" ht="14.25" customHeight="1">
      <c r="B577" s="19"/>
      <c r="C577" s="195"/>
      <c r="D577" s="220"/>
      <c r="E577" s="239"/>
      <c r="G577" s="55"/>
      <c r="H577" s="12"/>
    </row>
    <row r="578" ht="14.25" customHeight="1">
      <c r="B578" s="19"/>
      <c r="C578" s="195"/>
      <c r="D578" s="220"/>
      <c r="E578" s="239"/>
      <c r="G578" s="55"/>
      <c r="H578" s="12"/>
    </row>
    <row r="579" ht="14.25" customHeight="1">
      <c r="B579" s="19"/>
      <c r="C579" s="195"/>
      <c r="D579" s="220"/>
      <c r="E579" s="239"/>
      <c r="G579" s="55"/>
      <c r="H579" s="12"/>
    </row>
    <row r="580" ht="14.25" customHeight="1">
      <c r="B580" s="19"/>
      <c r="C580" s="195"/>
      <c r="D580" s="220"/>
      <c r="E580" s="239"/>
      <c r="G580" s="55"/>
      <c r="H580" s="12"/>
    </row>
    <row r="581" ht="14.25" customHeight="1">
      <c r="B581" s="19"/>
      <c r="C581" s="195"/>
      <c r="D581" s="220"/>
      <c r="E581" s="239"/>
      <c r="G581" s="55"/>
      <c r="H581" s="12"/>
    </row>
    <row r="582" ht="14.25" customHeight="1">
      <c r="B582" s="19"/>
      <c r="C582" s="195"/>
      <c r="D582" s="220"/>
      <c r="E582" s="239"/>
      <c r="G582" s="55"/>
      <c r="H582" s="12"/>
    </row>
    <row r="583" ht="14.25" customHeight="1">
      <c r="B583" s="19"/>
      <c r="C583" s="195"/>
      <c r="D583" s="220"/>
      <c r="E583" s="239"/>
      <c r="G583" s="55"/>
      <c r="H583" s="12"/>
    </row>
    <row r="584" ht="14.25" customHeight="1">
      <c r="B584" s="19"/>
      <c r="C584" s="195"/>
      <c r="D584" s="220"/>
      <c r="E584" s="239"/>
      <c r="G584" s="55"/>
      <c r="H584" s="12"/>
    </row>
    <row r="585" ht="14.25" customHeight="1">
      <c r="B585" s="19"/>
      <c r="C585" s="195"/>
      <c r="D585" s="220"/>
      <c r="E585" s="239"/>
      <c r="G585" s="55"/>
      <c r="H585" s="12"/>
    </row>
    <row r="586" ht="14.25" customHeight="1">
      <c r="B586" s="19"/>
      <c r="C586" s="195"/>
      <c r="D586" s="220"/>
      <c r="E586" s="239"/>
      <c r="G586" s="55"/>
      <c r="H586" s="12"/>
    </row>
    <row r="587" ht="14.25" customHeight="1">
      <c r="B587" s="19"/>
      <c r="C587" s="195"/>
      <c r="D587" s="220"/>
      <c r="E587" s="239"/>
      <c r="G587" s="55"/>
      <c r="H587" s="12"/>
    </row>
    <row r="588" ht="14.25" customHeight="1">
      <c r="B588" s="19"/>
      <c r="C588" s="195"/>
      <c r="D588" s="220"/>
      <c r="E588" s="239"/>
      <c r="G588" s="55"/>
      <c r="H588" s="12"/>
    </row>
    <row r="589" ht="14.25" customHeight="1">
      <c r="B589" s="19"/>
      <c r="C589" s="195"/>
      <c r="D589" s="220"/>
      <c r="E589" s="239"/>
      <c r="G589" s="55"/>
      <c r="H589" s="12"/>
    </row>
    <row r="590" ht="14.25" customHeight="1">
      <c r="B590" s="19"/>
      <c r="C590" s="195"/>
      <c r="D590" s="220"/>
      <c r="E590" s="239"/>
      <c r="G590" s="55"/>
      <c r="H590" s="12"/>
    </row>
    <row r="591" ht="14.25" customHeight="1">
      <c r="B591" s="19"/>
      <c r="C591" s="195"/>
      <c r="D591" s="220"/>
      <c r="E591" s="239"/>
      <c r="G591" s="55"/>
      <c r="H591" s="12"/>
    </row>
    <row r="592" ht="14.25" customHeight="1">
      <c r="B592" s="19"/>
      <c r="C592" s="195"/>
      <c r="D592" s="220"/>
      <c r="E592" s="239"/>
      <c r="G592" s="55"/>
      <c r="H592" s="12"/>
    </row>
    <row r="593" ht="14.25" customHeight="1">
      <c r="B593" s="19"/>
      <c r="C593" s="195"/>
      <c r="D593" s="220"/>
      <c r="E593" s="239"/>
      <c r="G593" s="55"/>
      <c r="H593" s="12"/>
    </row>
    <row r="594" ht="14.25" customHeight="1">
      <c r="B594" s="19"/>
      <c r="C594" s="195"/>
      <c r="D594" s="220"/>
      <c r="E594" s="239"/>
      <c r="G594" s="55"/>
      <c r="H594" s="12"/>
    </row>
    <row r="595" ht="14.25" customHeight="1">
      <c r="B595" s="19"/>
      <c r="C595" s="195"/>
      <c r="D595" s="220"/>
      <c r="E595" s="239"/>
      <c r="G595" s="55"/>
      <c r="H595" s="12"/>
    </row>
    <row r="596" ht="14.25" customHeight="1">
      <c r="B596" s="19"/>
      <c r="C596" s="195"/>
      <c r="D596" s="220"/>
      <c r="E596" s="239"/>
      <c r="G596" s="55"/>
      <c r="H596" s="12"/>
    </row>
    <row r="597" ht="14.25" customHeight="1">
      <c r="B597" s="19"/>
      <c r="C597" s="195"/>
      <c r="D597" s="220"/>
      <c r="E597" s="239"/>
      <c r="G597" s="55"/>
      <c r="H597" s="12"/>
    </row>
    <row r="598" ht="14.25" customHeight="1">
      <c r="B598" s="19"/>
      <c r="C598" s="195"/>
      <c r="D598" s="220"/>
      <c r="E598" s="239"/>
      <c r="G598" s="55"/>
      <c r="H598" s="12"/>
    </row>
    <row r="599" ht="14.25" customHeight="1">
      <c r="B599" s="19"/>
      <c r="C599" s="195"/>
      <c r="D599" s="220"/>
      <c r="E599" s="239"/>
      <c r="G599" s="55"/>
      <c r="H599" s="12"/>
    </row>
    <row r="600" ht="14.25" customHeight="1">
      <c r="B600" s="19"/>
      <c r="C600" s="195"/>
      <c r="D600" s="220"/>
      <c r="E600" s="239"/>
      <c r="G600" s="55"/>
      <c r="H600" s="12"/>
    </row>
    <row r="601" ht="14.25" customHeight="1">
      <c r="B601" s="19"/>
      <c r="C601" s="195"/>
      <c r="D601" s="220"/>
      <c r="E601" s="239"/>
      <c r="G601" s="55"/>
      <c r="H601" s="12"/>
    </row>
    <row r="602" ht="14.25" customHeight="1">
      <c r="B602" s="19"/>
      <c r="C602" s="195"/>
      <c r="D602" s="220"/>
      <c r="E602" s="239"/>
      <c r="G602" s="55"/>
      <c r="H602" s="12"/>
    </row>
    <row r="603" ht="14.25" customHeight="1">
      <c r="B603" s="19"/>
      <c r="C603" s="195"/>
      <c r="D603" s="220"/>
      <c r="E603" s="239"/>
      <c r="G603" s="55"/>
      <c r="H603" s="12"/>
    </row>
    <row r="604" ht="14.25" customHeight="1">
      <c r="B604" s="19"/>
      <c r="C604" s="195"/>
      <c r="D604" s="220"/>
      <c r="E604" s="239"/>
      <c r="G604" s="55"/>
      <c r="H604" s="12"/>
    </row>
    <row r="605" ht="14.25" customHeight="1">
      <c r="B605" s="19"/>
      <c r="C605" s="195"/>
      <c r="D605" s="220"/>
      <c r="E605" s="239"/>
      <c r="G605" s="55"/>
      <c r="H605" s="12"/>
    </row>
    <row r="606" ht="14.25" customHeight="1">
      <c r="B606" s="19"/>
      <c r="C606" s="195"/>
      <c r="D606" s="220"/>
      <c r="E606" s="239"/>
      <c r="G606" s="55"/>
      <c r="H606" s="12"/>
    </row>
    <row r="607" ht="14.25" customHeight="1">
      <c r="B607" s="19"/>
      <c r="C607" s="195"/>
      <c r="D607" s="220"/>
      <c r="E607" s="239"/>
      <c r="G607" s="55"/>
      <c r="H607" s="12"/>
    </row>
    <row r="608" ht="14.25" customHeight="1">
      <c r="B608" s="19"/>
      <c r="C608" s="195"/>
      <c r="D608" s="220"/>
      <c r="E608" s="239"/>
      <c r="G608" s="55"/>
      <c r="H608" s="12"/>
    </row>
    <row r="609" ht="14.25" customHeight="1">
      <c r="B609" s="19"/>
      <c r="C609" s="195"/>
      <c r="D609" s="220"/>
      <c r="E609" s="239"/>
      <c r="G609" s="55"/>
      <c r="H609" s="12"/>
    </row>
    <row r="610" ht="14.25" customHeight="1">
      <c r="B610" s="19"/>
      <c r="C610" s="195"/>
      <c r="D610" s="220"/>
      <c r="E610" s="239"/>
      <c r="G610" s="55"/>
      <c r="H610" s="12"/>
    </row>
    <row r="611" ht="14.25" customHeight="1">
      <c r="B611" s="19"/>
      <c r="C611" s="195"/>
      <c r="D611" s="220"/>
      <c r="E611" s="239"/>
      <c r="G611" s="55"/>
      <c r="H611" s="12"/>
    </row>
    <row r="612" ht="14.25" customHeight="1">
      <c r="B612" s="19"/>
      <c r="C612" s="195"/>
      <c r="D612" s="220"/>
      <c r="E612" s="239"/>
      <c r="G612" s="55"/>
      <c r="H612" s="12"/>
    </row>
    <row r="613" ht="14.25" customHeight="1">
      <c r="B613" s="19"/>
      <c r="C613" s="195"/>
      <c r="D613" s="220"/>
      <c r="E613" s="239"/>
      <c r="G613" s="55"/>
      <c r="H613" s="12"/>
    </row>
    <row r="614" ht="14.25" customHeight="1">
      <c r="B614" s="19"/>
      <c r="C614" s="195"/>
      <c r="D614" s="220"/>
      <c r="E614" s="239"/>
      <c r="G614" s="55"/>
      <c r="H614" s="12"/>
    </row>
    <row r="615" ht="14.25" customHeight="1">
      <c r="B615" s="19"/>
      <c r="C615" s="195"/>
      <c r="D615" s="220"/>
      <c r="E615" s="239"/>
      <c r="G615" s="55"/>
      <c r="H615" s="12"/>
    </row>
    <row r="616" ht="14.25" customHeight="1">
      <c r="B616" s="19"/>
      <c r="C616" s="195"/>
      <c r="D616" s="220"/>
      <c r="E616" s="239"/>
      <c r="G616" s="55"/>
      <c r="H616" s="12"/>
    </row>
    <row r="617" ht="14.25" customHeight="1">
      <c r="B617" s="19"/>
      <c r="C617" s="195"/>
      <c r="D617" s="220"/>
      <c r="E617" s="239"/>
      <c r="G617" s="55"/>
      <c r="H617" s="12"/>
    </row>
    <row r="618" ht="14.25" customHeight="1">
      <c r="B618" s="19"/>
      <c r="C618" s="195"/>
      <c r="D618" s="220"/>
      <c r="E618" s="239"/>
      <c r="G618" s="55"/>
      <c r="H618" s="12"/>
    </row>
    <row r="619" ht="14.25" customHeight="1">
      <c r="B619" s="19"/>
      <c r="C619" s="195"/>
      <c r="D619" s="220"/>
      <c r="E619" s="239"/>
      <c r="G619" s="55"/>
      <c r="H619" s="12"/>
    </row>
    <row r="620" ht="14.25" customHeight="1">
      <c r="B620" s="19"/>
      <c r="C620" s="195"/>
      <c r="D620" s="220"/>
      <c r="E620" s="239"/>
      <c r="G620" s="55"/>
      <c r="H620" s="12"/>
    </row>
    <row r="621" ht="14.25" customHeight="1">
      <c r="B621" s="19"/>
      <c r="C621" s="195"/>
      <c r="D621" s="220"/>
      <c r="E621" s="239"/>
      <c r="G621" s="55"/>
      <c r="H621" s="12"/>
    </row>
    <row r="622" ht="14.25" customHeight="1">
      <c r="B622" s="19"/>
      <c r="C622" s="195"/>
      <c r="D622" s="220"/>
      <c r="E622" s="239"/>
      <c r="G622" s="55"/>
      <c r="H622" s="12"/>
    </row>
    <row r="623" ht="14.25" customHeight="1">
      <c r="B623" s="19"/>
      <c r="C623" s="195"/>
      <c r="D623" s="220"/>
      <c r="E623" s="239"/>
      <c r="G623" s="55"/>
      <c r="H623" s="12"/>
    </row>
    <row r="624" ht="14.25" customHeight="1">
      <c r="B624" s="19"/>
      <c r="C624" s="195"/>
      <c r="D624" s="220"/>
      <c r="E624" s="239"/>
      <c r="G624" s="55"/>
      <c r="H624" s="12"/>
    </row>
    <row r="625" ht="14.25" customHeight="1">
      <c r="B625" s="19"/>
      <c r="C625" s="195"/>
      <c r="D625" s="220"/>
      <c r="E625" s="239"/>
      <c r="G625" s="55"/>
      <c r="H625" s="12"/>
    </row>
    <row r="626" ht="14.25" customHeight="1">
      <c r="B626" s="19"/>
      <c r="C626" s="195"/>
      <c r="D626" s="220"/>
      <c r="E626" s="239"/>
      <c r="G626" s="55"/>
      <c r="H626" s="12"/>
    </row>
    <row r="627" ht="14.25" customHeight="1">
      <c r="B627" s="19"/>
      <c r="C627" s="195"/>
      <c r="D627" s="220"/>
      <c r="E627" s="239"/>
      <c r="G627" s="55"/>
      <c r="H627" s="12"/>
    </row>
    <row r="628" ht="14.25" customHeight="1">
      <c r="B628" s="19"/>
      <c r="C628" s="195"/>
      <c r="D628" s="220"/>
      <c r="E628" s="239"/>
      <c r="G628" s="55"/>
      <c r="H628" s="12"/>
    </row>
    <row r="629" ht="14.25" customHeight="1">
      <c r="B629" s="19"/>
      <c r="C629" s="195"/>
      <c r="D629" s="220"/>
      <c r="E629" s="239"/>
      <c r="G629" s="55"/>
      <c r="H629" s="12"/>
    </row>
    <row r="630" ht="14.25" customHeight="1">
      <c r="B630" s="19"/>
      <c r="C630" s="195"/>
      <c r="D630" s="220"/>
      <c r="E630" s="239"/>
      <c r="G630" s="55"/>
      <c r="H630" s="12"/>
    </row>
    <row r="631" ht="14.25" customHeight="1">
      <c r="B631" s="19"/>
      <c r="C631" s="195"/>
      <c r="D631" s="220"/>
      <c r="E631" s="239"/>
      <c r="G631" s="55"/>
      <c r="H631" s="12"/>
    </row>
    <row r="632" ht="14.25" customHeight="1">
      <c r="B632" s="19"/>
      <c r="C632" s="195"/>
      <c r="D632" s="220"/>
      <c r="E632" s="239"/>
      <c r="G632" s="55"/>
      <c r="H632" s="12"/>
    </row>
    <row r="633" ht="14.25" customHeight="1">
      <c r="B633" s="19"/>
      <c r="C633" s="195"/>
      <c r="D633" s="220"/>
      <c r="E633" s="239"/>
      <c r="G633" s="55"/>
      <c r="H633" s="12"/>
    </row>
    <row r="634" ht="14.25" customHeight="1">
      <c r="B634" s="19"/>
      <c r="C634" s="195"/>
      <c r="D634" s="220"/>
      <c r="E634" s="239"/>
      <c r="G634" s="55"/>
      <c r="H634" s="12"/>
    </row>
    <row r="635" ht="14.25" customHeight="1">
      <c r="B635" s="19"/>
      <c r="C635" s="195"/>
      <c r="D635" s="220"/>
      <c r="E635" s="239"/>
      <c r="G635" s="55"/>
      <c r="H635" s="12"/>
    </row>
    <row r="636" ht="14.25" customHeight="1">
      <c r="B636" s="19"/>
      <c r="C636" s="195"/>
      <c r="D636" s="220"/>
      <c r="E636" s="239"/>
      <c r="G636" s="55"/>
      <c r="H636" s="12"/>
    </row>
    <row r="637" ht="14.25" customHeight="1">
      <c r="B637" s="19"/>
      <c r="C637" s="195"/>
      <c r="D637" s="220"/>
      <c r="E637" s="239"/>
      <c r="G637" s="55"/>
      <c r="H637" s="12"/>
    </row>
    <row r="638" ht="14.25" customHeight="1">
      <c r="B638" s="19"/>
      <c r="C638" s="195"/>
      <c r="D638" s="220"/>
      <c r="E638" s="239"/>
      <c r="G638" s="55"/>
      <c r="H638" s="12"/>
    </row>
    <row r="639" ht="14.25" customHeight="1">
      <c r="B639" s="19"/>
      <c r="C639" s="195"/>
      <c r="D639" s="220"/>
      <c r="E639" s="239"/>
      <c r="G639" s="55"/>
      <c r="H639" s="12"/>
    </row>
    <row r="640" ht="14.25" customHeight="1">
      <c r="B640" s="19"/>
      <c r="C640" s="195"/>
      <c r="D640" s="220"/>
      <c r="E640" s="239"/>
      <c r="G640" s="55"/>
      <c r="H640" s="12"/>
    </row>
    <row r="641" ht="14.25" customHeight="1">
      <c r="B641" s="19"/>
      <c r="C641" s="195"/>
      <c r="D641" s="220"/>
      <c r="E641" s="239"/>
      <c r="G641" s="55"/>
      <c r="H641" s="12"/>
    </row>
    <row r="642" ht="14.25" customHeight="1">
      <c r="B642" s="19"/>
      <c r="C642" s="195"/>
      <c r="D642" s="220"/>
      <c r="E642" s="239"/>
      <c r="G642" s="55"/>
      <c r="H642" s="12"/>
    </row>
    <row r="643" ht="14.25" customHeight="1">
      <c r="B643" s="19"/>
      <c r="C643" s="195"/>
      <c r="D643" s="220"/>
      <c r="E643" s="239"/>
      <c r="G643" s="55"/>
      <c r="H643" s="12"/>
    </row>
    <row r="644" ht="14.25" customHeight="1">
      <c r="B644" s="19"/>
      <c r="C644" s="195"/>
      <c r="D644" s="220"/>
      <c r="E644" s="239"/>
      <c r="G644" s="55"/>
      <c r="H644" s="12"/>
    </row>
    <row r="645" ht="14.25" customHeight="1">
      <c r="B645" s="19"/>
      <c r="C645" s="195"/>
      <c r="D645" s="220"/>
      <c r="E645" s="239"/>
      <c r="G645" s="55"/>
      <c r="H645" s="12"/>
    </row>
    <row r="646" ht="14.25" customHeight="1">
      <c r="B646" s="19"/>
      <c r="C646" s="195"/>
      <c r="D646" s="220"/>
      <c r="E646" s="239"/>
      <c r="G646" s="55"/>
      <c r="H646" s="12"/>
    </row>
    <row r="647" ht="14.25" customHeight="1">
      <c r="B647" s="19"/>
      <c r="C647" s="195"/>
      <c r="D647" s="220"/>
      <c r="E647" s="239"/>
      <c r="G647" s="55"/>
      <c r="H647" s="12"/>
    </row>
    <row r="648" ht="14.25" customHeight="1">
      <c r="B648" s="19"/>
      <c r="C648" s="195"/>
      <c r="D648" s="220"/>
      <c r="E648" s="239"/>
      <c r="G648" s="55"/>
      <c r="H648" s="12"/>
    </row>
    <row r="649" ht="14.25" customHeight="1">
      <c r="B649" s="19"/>
      <c r="C649" s="195"/>
      <c r="D649" s="220"/>
      <c r="E649" s="239"/>
      <c r="G649" s="55"/>
      <c r="H649" s="12"/>
    </row>
    <row r="650" ht="14.25" customHeight="1">
      <c r="B650" s="19"/>
      <c r="C650" s="195"/>
      <c r="D650" s="220"/>
      <c r="E650" s="239"/>
      <c r="G650" s="55"/>
      <c r="H650" s="12"/>
    </row>
    <row r="651" ht="14.25" customHeight="1">
      <c r="B651" s="19"/>
      <c r="C651" s="195"/>
      <c r="D651" s="220"/>
      <c r="E651" s="239"/>
      <c r="G651" s="55"/>
      <c r="H651" s="12"/>
    </row>
    <row r="652" ht="14.25" customHeight="1">
      <c r="B652" s="19"/>
      <c r="C652" s="195"/>
      <c r="D652" s="220"/>
      <c r="E652" s="239"/>
      <c r="G652" s="55"/>
      <c r="H652" s="12"/>
    </row>
    <row r="653" ht="14.25" customHeight="1">
      <c r="B653" s="19"/>
      <c r="C653" s="195"/>
      <c r="D653" s="220"/>
      <c r="E653" s="239"/>
      <c r="G653" s="55"/>
      <c r="H653" s="12"/>
    </row>
    <row r="654" ht="14.25" customHeight="1">
      <c r="B654" s="19"/>
      <c r="C654" s="195"/>
      <c r="D654" s="220"/>
      <c r="E654" s="239"/>
      <c r="G654" s="55"/>
      <c r="H654" s="12"/>
    </row>
    <row r="655" ht="14.25" customHeight="1">
      <c r="B655" s="19"/>
      <c r="C655" s="195"/>
      <c r="D655" s="220"/>
      <c r="E655" s="239"/>
      <c r="G655" s="55"/>
      <c r="H655" s="12"/>
    </row>
    <row r="656" ht="14.25" customHeight="1">
      <c r="B656" s="19"/>
      <c r="C656" s="195"/>
      <c r="D656" s="220"/>
      <c r="E656" s="239"/>
      <c r="G656" s="55"/>
      <c r="H656" s="12"/>
    </row>
    <row r="657" ht="14.25" customHeight="1">
      <c r="B657" s="19"/>
      <c r="C657" s="195"/>
      <c r="D657" s="220"/>
      <c r="E657" s="239"/>
      <c r="G657" s="55"/>
      <c r="H657" s="12"/>
    </row>
    <row r="658" ht="14.25" customHeight="1">
      <c r="B658" s="19"/>
      <c r="C658" s="195"/>
      <c r="D658" s="220"/>
      <c r="E658" s="239"/>
      <c r="G658" s="55"/>
      <c r="H658" s="12"/>
    </row>
    <row r="659" ht="14.25" customHeight="1">
      <c r="B659" s="19"/>
      <c r="C659" s="195"/>
      <c r="D659" s="220"/>
      <c r="E659" s="239"/>
      <c r="G659" s="55"/>
      <c r="H659" s="12"/>
    </row>
    <row r="660" ht="14.25" customHeight="1">
      <c r="B660" s="19"/>
      <c r="C660" s="195"/>
      <c r="D660" s="220"/>
      <c r="E660" s="239"/>
      <c r="G660" s="55"/>
      <c r="H660" s="12"/>
    </row>
    <row r="661" ht="14.25" customHeight="1">
      <c r="B661" s="19"/>
      <c r="C661" s="195"/>
      <c r="D661" s="220"/>
      <c r="E661" s="239"/>
      <c r="G661" s="55"/>
      <c r="H661" s="12"/>
    </row>
    <row r="662" ht="14.25" customHeight="1">
      <c r="B662" s="19"/>
      <c r="C662" s="195"/>
      <c r="D662" s="220"/>
      <c r="E662" s="239"/>
      <c r="G662" s="55"/>
      <c r="H662" s="12"/>
    </row>
    <row r="663" ht="14.25" customHeight="1">
      <c r="B663" s="19"/>
      <c r="C663" s="195"/>
      <c r="D663" s="220"/>
      <c r="E663" s="239"/>
      <c r="G663" s="55"/>
      <c r="H663" s="12"/>
    </row>
    <row r="664" ht="14.25" customHeight="1">
      <c r="B664" s="19"/>
      <c r="C664" s="195"/>
      <c r="D664" s="220"/>
      <c r="E664" s="239"/>
      <c r="G664" s="55"/>
      <c r="H664" s="12"/>
    </row>
    <row r="665" ht="14.25" customHeight="1">
      <c r="B665" s="19"/>
      <c r="C665" s="195"/>
      <c r="D665" s="220"/>
      <c r="E665" s="239"/>
      <c r="G665" s="55"/>
      <c r="H665" s="12"/>
    </row>
    <row r="666" ht="14.25" customHeight="1">
      <c r="B666" s="19"/>
      <c r="C666" s="195"/>
      <c r="D666" s="220"/>
      <c r="E666" s="239"/>
      <c r="G666" s="55"/>
      <c r="H666" s="12"/>
    </row>
    <row r="667" ht="14.25" customHeight="1">
      <c r="B667" s="19"/>
      <c r="C667" s="195"/>
      <c r="D667" s="220"/>
      <c r="E667" s="239"/>
      <c r="G667" s="55"/>
      <c r="H667" s="12"/>
    </row>
    <row r="668" ht="14.25" customHeight="1">
      <c r="B668" s="19"/>
      <c r="C668" s="195"/>
      <c r="D668" s="220"/>
      <c r="E668" s="239"/>
      <c r="G668" s="55"/>
      <c r="H668" s="12"/>
    </row>
    <row r="669" ht="14.25" customHeight="1">
      <c r="B669" s="19"/>
      <c r="C669" s="195"/>
      <c r="D669" s="220"/>
      <c r="E669" s="239"/>
      <c r="G669" s="55"/>
      <c r="H669" s="12"/>
    </row>
    <row r="670" ht="14.25" customHeight="1">
      <c r="B670" s="19"/>
      <c r="C670" s="195"/>
      <c r="D670" s="220"/>
      <c r="E670" s="239"/>
      <c r="G670" s="55"/>
      <c r="H670" s="12"/>
    </row>
    <row r="671" ht="14.25" customHeight="1">
      <c r="B671" s="19"/>
      <c r="C671" s="195"/>
      <c r="D671" s="220"/>
      <c r="E671" s="239"/>
      <c r="G671" s="55"/>
      <c r="H671" s="12"/>
    </row>
    <row r="672" ht="14.25" customHeight="1">
      <c r="B672" s="19"/>
      <c r="C672" s="195"/>
      <c r="D672" s="220"/>
      <c r="E672" s="239"/>
      <c r="G672" s="55"/>
      <c r="H672" s="12"/>
    </row>
    <row r="673" ht="14.25" customHeight="1">
      <c r="B673" s="19"/>
      <c r="C673" s="195"/>
      <c r="D673" s="220"/>
      <c r="E673" s="239"/>
      <c r="G673" s="55"/>
      <c r="H673" s="12"/>
    </row>
    <row r="674" ht="14.25" customHeight="1">
      <c r="B674" s="19"/>
      <c r="C674" s="195"/>
      <c r="D674" s="220"/>
      <c r="E674" s="239"/>
      <c r="G674" s="55"/>
      <c r="H674" s="12"/>
    </row>
    <row r="675" ht="14.25" customHeight="1">
      <c r="B675" s="19"/>
      <c r="C675" s="195"/>
      <c r="D675" s="220"/>
      <c r="E675" s="239"/>
      <c r="G675" s="55"/>
      <c r="H675" s="12"/>
    </row>
    <row r="676" ht="14.25" customHeight="1">
      <c r="B676" s="19"/>
      <c r="C676" s="195"/>
      <c r="D676" s="220"/>
      <c r="E676" s="239"/>
      <c r="G676" s="55"/>
      <c r="H676" s="12"/>
    </row>
    <row r="677" ht="14.25" customHeight="1">
      <c r="B677" s="19"/>
      <c r="C677" s="195"/>
      <c r="D677" s="220"/>
      <c r="E677" s="239"/>
      <c r="G677" s="55"/>
      <c r="H677" s="12"/>
    </row>
    <row r="678" ht="14.25" customHeight="1">
      <c r="B678" s="19"/>
      <c r="C678" s="195"/>
      <c r="D678" s="220"/>
      <c r="E678" s="239"/>
      <c r="G678" s="55"/>
      <c r="H678" s="12"/>
    </row>
    <row r="679" ht="14.25" customHeight="1">
      <c r="B679" s="19"/>
      <c r="C679" s="195"/>
      <c r="D679" s="220"/>
      <c r="E679" s="239"/>
      <c r="G679" s="55"/>
      <c r="H679" s="12"/>
    </row>
    <row r="680" ht="14.25" customHeight="1">
      <c r="B680" s="19"/>
      <c r="C680" s="195"/>
      <c r="D680" s="220"/>
      <c r="E680" s="239"/>
      <c r="G680" s="55"/>
      <c r="H680" s="12"/>
    </row>
    <row r="681" ht="14.25" customHeight="1">
      <c r="B681" s="19"/>
      <c r="C681" s="195"/>
      <c r="D681" s="220"/>
      <c r="E681" s="239"/>
      <c r="G681" s="55"/>
      <c r="H681" s="12"/>
    </row>
    <row r="682" ht="14.25" customHeight="1">
      <c r="B682" s="19"/>
      <c r="C682" s="195"/>
      <c r="D682" s="220"/>
      <c r="E682" s="239"/>
      <c r="G682" s="55"/>
      <c r="H682" s="12"/>
    </row>
    <row r="683" ht="14.25" customHeight="1">
      <c r="B683" s="19"/>
      <c r="C683" s="195"/>
      <c r="D683" s="220"/>
      <c r="E683" s="239"/>
      <c r="G683" s="55"/>
      <c r="H683" s="12"/>
    </row>
    <row r="684" ht="14.25" customHeight="1">
      <c r="B684" s="19"/>
      <c r="C684" s="195"/>
      <c r="D684" s="220"/>
      <c r="E684" s="239"/>
      <c r="G684" s="55"/>
      <c r="H684" s="12"/>
    </row>
    <row r="685" ht="14.25" customHeight="1">
      <c r="B685" s="19"/>
      <c r="C685" s="195"/>
      <c r="D685" s="220"/>
      <c r="E685" s="239"/>
      <c r="G685" s="55"/>
      <c r="H685" s="12"/>
    </row>
    <row r="686" ht="14.25" customHeight="1">
      <c r="B686" s="19"/>
      <c r="C686" s="195"/>
      <c r="D686" s="220"/>
      <c r="E686" s="239"/>
      <c r="G686" s="55"/>
      <c r="H686" s="12"/>
    </row>
    <row r="687" ht="14.25" customHeight="1">
      <c r="B687" s="19"/>
      <c r="C687" s="195"/>
      <c r="D687" s="220"/>
      <c r="E687" s="239"/>
      <c r="G687" s="55"/>
      <c r="H687" s="12"/>
    </row>
    <row r="688" ht="14.25" customHeight="1">
      <c r="B688" s="19"/>
      <c r="C688" s="195"/>
      <c r="D688" s="220"/>
      <c r="E688" s="239"/>
      <c r="G688" s="55"/>
      <c r="H688" s="12"/>
    </row>
    <row r="689" ht="14.25" customHeight="1">
      <c r="B689" s="19"/>
      <c r="C689" s="195"/>
      <c r="D689" s="220"/>
      <c r="E689" s="239"/>
      <c r="G689" s="55"/>
      <c r="H689" s="12"/>
    </row>
    <row r="690" ht="14.25" customHeight="1">
      <c r="B690" s="19"/>
      <c r="C690" s="195"/>
      <c r="D690" s="220"/>
      <c r="E690" s="239"/>
      <c r="G690" s="55"/>
      <c r="H690" s="12"/>
    </row>
    <row r="691" ht="14.25" customHeight="1">
      <c r="B691" s="19"/>
      <c r="C691" s="195"/>
      <c r="D691" s="220"/>
      <c r="E691" s="239"/>
      <c r="G691" s="55"/>
      <c r="H691" s="12"/>
    </row>
    <row r="692" ht="14.25" customHeight="1">
      <c r="B692" s="19"/>
      <c r="C692" s="195"/>
      <c r="D692" s="220"/>
      <c r="E692" s="239"/>
      <c r="G692" s="55"/>
      <c r="H692" s="12"/>
    </row>
    <row r="693" ht="14.25" customHeight="1">
      <c r="B693" s="19"/>
      <c r="C693" s="195"/>
      <c r="D693" s="220"/>
      <c r="E693" s="239"/>
      <c r="G693" s="55"/>
      <c r="H693" s="12"/>
    </row>
    <row r="694" ht="14.25" customHeight="1">
      <c r="B694" s="19"/>
      <c r="C694" s="195"/>
      <c r="D694" s="220"/>
      <c r="E694" s="239"/>
      <c r="G694" s="55"/>
      <c r="H694" s="12"/>
    </row>
    <row r="695" ht="14.25" customHeight="1">
      <c r="B695" s="19"/>
      <c r="C695" s="195"/>
      <c r="D695" s="220"/>
      <c r="E695" s="239"/>
      <c r="G695" s="55"/>
      <c r="H695" s="12"/>
    </row>
    <row r="696" ht="14.25" customHeight="1">
      <c r="B696" s="19"/>
      <c r="C696" s="195"/>
      <c r="D696" s="220"/>
      <c r="E696" s="239"/>
      <c r="G696" s="55"/>
      <c r="H696" s="12"/>
    </row>
    <row r="697" ht="14.25" customHeight="1">
      <c r="B697" s="19"/>
      <c r="C697" s="195"/>
      <c r="D697" s="220"/>
      <c r="E697" s="239"/>
      <c r="G697" s="55"/>
      <c r="H697" s="12"/>
    </row>
    <row r="698" ht="14.25" customHeight="1">
      <c r="B698" s="19"/>
      <c r="C698" s="195"/>
      <c r="D698" s="220"/>
      <c r="E698" s="239"/>
      <c r="G698" s="55"/>
      <c r="H698" s="12"/>
    </row>
    <row r="699" ht="14.25" customHeight="1">
      <c r="B699" s="19"/>
      <c r="C699" s="195"/>
      <c r="D699" s="220"/>
      <c r="E699" s="239"/>
      <c r="G699" s="55"/>
      <c r="H699" s="12"/>
    </row>
    <row r="700" ht="14.25" customHeight="1">
      <c r="B700" s="19"/>
      <c r="C700" s="195"/>
      <c r="D700" s="220"/>
      <c r="E700" s="239"/>
      <c r="G700" s="55"/>
      <c r="H700" s="12"/>
    </row>
    <row r="701" ht="14.25" customHeight="1">
      <c r="B701" s="19"/>
      <c r="C701" s="195"/>
      <c r="D701" s="220"/>
      <c r="E701" s="239"/>
      <c r="G701" s="55"/>
      <c r="H701" s="12"/>
    </row>
    <row r="702" ht="14.25" customHeight="1">
      <c r="B702" s="19"/>
      <c r="C702" s="195"/>
      <c r="D702" s="220"/>
      <c r="E702" s="239"/>
      <c r="G702" s="55"/>
      <c r="H702" s="12"/>
    </row>
    <row r="703" ht="14.25" customHeight="1">
      <c r="B703" s="19"/>
      <c r="C703" s="195"/>
      <c r="D703" s="220"/>
      <c r="E703" s="239"/>
      <c r="G703" s="55"/>
      <c r="H703" s="12"/>
    </row>
    <row r="704" ht="14.25" customHeight="1">
      <c r="B704" s="19"/>
      <c r="C704" s="195"/>
      <c r="D704" s="220"/>
      <c r="E704" s="239"/>
      <c r="G704" s="55"/>
      <c r="H704" s="12"/>
    </row>
    <row r="705" ht="14.25" customHeight="1">
      <c r="B705" s="19"/>
      <c r="C705" s="195"/>
      <c r="D705" s="220"/>
      <c r="E705" s="239"/>
      <c r="G705" s="55"/>
      <c r="H705" s="12"/>
    </row>
    <row r="706" ht="14.25" customHeight="1">
      <c r="B706" s="19"/>
      <c r="C706" s="195"/>
      <c r="D706" s="220"/>
      <c r="E706" s="239"/>
      <c r="G706" s="55"/>
      <c r="H706" s="12"/>
    </row>
    <row r="707" ht="14.25" customHeight="1">
      <c r="B707" s="19"/>
      <c r="C707" s="195"/>
      <c r="D707" s="220"/>
      <c r="E707" s="239"/>
      <c r="G707" s="55"/>
      <c r="H707" s="12"/>
    </row>
    <row r="708" ht="14.25" customHeight="1">
      <c r="B708" s="19"/>
      <c r="C708" s="195"/>
      <c r="D708" s="220"/>
      <c r="E708" s="239"/>
      <c r="G708" s="55"/>
      <c r="H708" s="12"/>
    </row>
    <row r="709" ht="14.25" customHeight="1">
      <c r="B709" s="19"/>
      <c r="C709" s="195"/>
      <c r="D709" s="220"/>
      <c r="E709" s="239"/>
      <c r="G709" s="55"/>
      <c r="H709" s="12"/>
    </row>
    <row r="710" ht="14.25" customHeight="1">
      <c r="B710" s="19"/>
      <c r="C710" s="195"/>
      <c r="D710" s="220"/>
      <c r="E710" s="239"/>
      <c r="G710" s="55"/>
      <c r="H710" s="12"/>
    </row>
    <row r="711" ht="14.25" customHeight="1">
      <c r="B711" s="19"/>
      <c r="C711" s="195"/>
      <c r="D711" s="220"/>
      <c r="E711" s="239"/>
      <c r="G711" s="55"/>
      <c r="H711" s="12"/>
    </row>
    <row r="712" ht="14.25" customHeight="1">
      <c r="B712" s="19"/>
      <c r="C712" s="195"/>
      <c r="D712" s="220"/>
      <c r="E712" s="239"/>
      <c r="G712" s="55"/>
      <c r="H712" s="12"/>
    </row>
    <row r="713" ht="14.25" customHeight="1">
      <c r="B713" s="19"/>
      <c r="C713" s="195"/>
      <c r="D713" s="220"/>
      <c r="E713" s="239"/>
      <c r="G713" s="55"/>
      <c r="H713" s="12"/>
    </row>
    <row r="714" ht="14.25" customHeight="1">
      <c r="B714" s="19"/>
      <c r="C714" s="195"/>
      <c r="D714" s="220"/>
      <c r="E714" s="239"/>
      <c r="G714" s="55"/>
      <c r="H714" s="12"/>
    </row>
    <row r="715" ht="14.25" customHeight="1">
      <c r="B715" s="19"/>
      <c r="C715" s="195"/>
      <c r="D715" s="220"/>
      <c r="E715" s="239"/>
      <c r="G715" s="55"/>
      <c r="H715" s="12"/>
    </row>
    <row r="716" ht="14.25" customHeight="1">
      <c r="B716" s="19"/>
      <c r="C716" s="195"/>
      <c r="D716" s="220"/>
      <c r="E716" s="239"/>
      <c r="G716" s="55"/>
      <c r="H716" s="12"/>
    </row>
    <row r="717" ht="14.25" customHeight="1">
      <c r="B717" s="19"/>
      <c r="C717" s="195"/>
      <c r="D717" s="220"/>
      <c r="E717" s="239"/>
      <c r="G717" s="55"/>
      <c r="H717" s="12"/>
    </row>
    <row r="718" ht="14.25" customHeight="1">
      <c r="B718" s="19"/>
      <c r="C718" s="195"/>
      <c r="D718" s="220"/>
      <c r="E718" s="239"/>
      <c r="G718" s="55"/>
      <c r="H718" s="12"/>
    </row>
    <row r="719" ht="14.25" customHeight="1">
      <c r="B719" s="19"/>
      <c r="C719" s="195"/>
      <c r="D719" s="220"/>
      <c r="E719" s="239"/>
      <c r="G719" s="55"/>
      <c r="H719" s="12"/>
    </row>
    <row r="720" ht="14.25" customHeight="1">
      <c r="B720" s="19"/>
      <c r="C720" s="195"/>
      <c r="D720" s="220"/>
      <c r="E720" s="239"/>
      <c r="G720" s="55"/>
      <c r="H720" s="12"/>
    </row>
    <row r="721" ht="14.25" customHeight="1">
      <c r="B721" s="19"/>
      <c r="C721" s="195"/>
      <c r="D721" s="220"/>
      <c r="E721" s="239"/>
      <c r="G721" s="55"/>
      <c r="H721" s="12"/>
    </row>
    <row r="722" ht="14.25" customHeight="1">
      <c r="B722" s="19"/>
      <c r="C722" s="195"/>
      <c r="D722" s="220"/>
      <c r="E722" s="239"/>
      <c r="G722" s="55"/>
      <c r="H722" s="12"/>
    </row>
    <row r="723" ht="14.25" customHeight="1">
      <c r="B723" s="19"/>
      <c r="C723" s="195"/>
      <c r="D723" s="220"/>
      <c r="E723" s="239"/>
      <c r="G723" s="55"/>
      <c r="H723" s="12"/>
    </row>
    <row r="724" ht="14.25" customHeight="1">
      <c r="B724" s="19"/>
      <c r="C724" s="195"/>
      <c r="D724" s="220"/>
      <c r="E724" s="239"/>
      <c r="G724" s="55"/>
      <c r="H724" s="12"/>
    </row>
    <row r="725" ht="14.25" customHeight="1">
      <c r="B725" s="19"/>
      <c r="C725" s="195"/>
      <c r="D725" s="220"/>
      <c r="E725" s="239"/>
      <c r="G725" s="55"/>
      <c r="H725" s="12"/>
    </row>
    <row r="726" ht="14.25" customHeight="1">
      <c r="B726" s="19"/>
      <c r="C726" s="195"/>
      <c r="D726" s="220"/>
      <c r="E726" s="239"/>
      <c r="G726" s="55"/>
      <c r="H726" s="12"/>
    </row>
    <row r="727" ht="14.25" customHeight="1">
      <c r="B727" s="19"/>
      <c r="C727" s="195"/>
      <c r="D727" s="220"/>
      <c r="E727" s="239"/>
      <c r="G727" s="55"/>
      <c r="H727" s="12"/>
    </row>
    <row r="728" ht="14.25" customHeight="1">
      <c r="B728" s="19"/>
      <c r="C728" s="195"/>
      <c r="D728" s="220"/>
      <c r="E728" s="239"/>
      <c r="G728" s="55"/>
      <c r="H728" s="12"/>
    </row>
    <row r="729" ht="14.25" customHeight="1">
      <c r="B729" s="19"/>
      <c r="C729" s="195"/>
      <c r="D729" s="220"/>
      <c r="E729" s="239"/>
      <c r="G729" s="55"/>
      <c r="H729" s="12"/>
    </row>
    <row r="730" ht="14.25" customHeight="1">
      <c r="B730" s="19"/>
      <c r="C730" s="195"/>
      <c r="D730" s="220"/>
      <c r="E730" s="239"/>
      <c r="G730" s="55"/>
      <c r="H730" s="12"/>
    </row>
    <row r="731" ht="14.25" customHeight="1">
      <c r="B731" s="19"/>
      <c r="C731" s="195"/>
      <c r="D731" s="220"/>
      <c r="E731" s="239"/>
      <c r="G731" s="55"/>
      <c r="H731" s="12"/>
    </row>
    <row r="732" ht="14.25" customHeight="1">
      <c r="B732" s="19"/>
      <c r="C732" s="195"/>
      <c r="D732" s="220"/>
      <c r="E732" s="239"/>
      <c r="G732" s="55"/>
      <c r="H732" s="12"/>
    </row>
    <row r="733" ht="14.25" customHeight="1">
      <c r="B733" s="19"/>
      <c r="C733" s="195"/>
      <c r="D733" s="220"/>
      <c r="E733" s="239"/>
      <c r="G733" s="55"/>
      <c r="H733" s="12"/>
    </row>
    <row r="734" ht="14.25" customHeight="1">
      <c r="B734" s="19"/>
      <c r="C734" s="195"/>
      <c r="D734" s="220"/>
      <c r="E734" s="239"/>
      <c r="G734" s="55"/>
      <c r="H734" s="12"/>
    </row>
    <row r="735" ht="14.25" customHeight="1">
      <c r="B735" s="19"/>
      <c r="C735" s="195"/>
      <c r="D735" s="220"/>
      <c r="E735" s="239"/>
      <c r="G735" s="55"/>
      <c r="H735" s="12"/>
    </row>
    <row r="736" ht="14.25" customHeight="1">
      <c r="B736" s="19"/>
      <c r="C736" s="195"/>
      <c r="D736" s="220"/>
      <c r="E736" s="239"/>
      <c r="G736" s="55"/>
      <c r="H736" s="12"/>
    </row>
    <row r="737" ht="14.25" customHeight="1">
      <c r="B737" s="19"/>
      <c r="C737" s="195"/>
      <c r="D737" s="220"/>
      <c r="E737" s="239"/>
      <c r="G737" s="55"/>
      <c r="H737" s="12"/>
    </row>
    <row r="738" ht="14.25" customHeight="1">
      <c r="B738" s="19"/>
      <c r="C738" s="195"/>
      <c r="D738" s="220"/>
      <c r="E738" s="239"/>
      <c r="G738" s="55"/>
      <c r="H738" s="12"/>
    </row>
    <row r="739" ht="14.25" customHeight="1">
      <c r="B739" s="19"/>
      <c r="C739" s="195"/>
      <c r="D739" s="220"/>
      <c r="E739" s="239"/>
      <c r="G739" s="55"/>
      <c r="H739" s="12"/>
    </row>
    <row r="740" ht="14.25" customHeight="1">
      <c r="B740" s="19"/>
      <c r="C740" s="195"/>
      <c r="D740" s="220"/>
      <c r="E740" s="239"/>
      <c r="G740" s="55"/>
      <c r="H740" s="12"/>
    </row>
    <row r="741" ht="14.25" customHeight="1">
      <c r="B741" s="19"/>
      <c r="C741" s="195"/>
      <c r="D741" s="220"/>
      <c r="E741" s="239"/>
      <c r="G741" s="55"/>
      <c r="H741" s="12"/>
    </row>
    <row r="742" ht="14.25" customHeight="1">
      <c r="B742" s="19"/>
      <c r="C742" s="195"/>
      <c r="D742" s="220"/>
      <c r="E742" s="239"/>
      <c r="G742" s="55"/>
      <c r="H742" s="12"/>
    </row>
    <row r="743" ht="14.25" customHeight="1">
      <c r="B743" s="19"/>
      <c r="C743" s="195"/>
      <c r="D743" s="220"/>
      <c r="E743" s="239"/>
      <c r="G743" s="55"/>
      <c r="H743" s="12"/>
    </row>
    <row r="744" ht="14.25" customHeight="1">
      <c r="B744" s="19"/>
      <c r="C744" s="195"/>
      <c r="D744" s="220"/>
      <c r="E744" s="239"/>
      <c r="G744" s="55"/>
      <c r="H744" s="12"/>
    </row>
    <row r="745" ht="14.25" customHeight="1">
      <c r="B745" s="19"/>
      <c r="C745" s="195"/>
      <c r="D745" s="220"/>
      <c r="E745" s="239"/>
      <c r="G745" s="55"/>
      <c r="H745" s="12"/>
    </row>
    <row r="746" ht="14.25" customHeight="1">
      <c r="B746" s="19"/>
      <c r="C746" s="195"/>
      <c r="D746" s="220"/>
      <c r="E746" s="239"/>
      <c r="G746" s="55"/>
      <c r="H746" s="12"/>
    </row>
    <row r="747" ht="14.25" customHeight="1">
      <c r="B747" s="19"/>
      <c r="C747" s="195"/>
      <c r="D747" s="220"/>
      <c r="E747" s="239"/>
      <c r="G747" s="55"/>
      <c r="H747" s="12"/>
    </row>
    <row r="748" ht="14.25" customHeight="1">
      <c r="B748" s="19"/>
      <c r="C748" s="195"/>
      <c r="D748" s="220"/>
      <c r="E748" s="239"/>
      <c r="G748" s="55"/>
      <c r="H748" s="12"/>
    </row>
    <row r="749" ht="14.25" customHeight="1">
      <c r="B749" s="19"/>
      <c r="C749" s="195"/>
      <c r="D749" s="220"/>
      <c r="E749" s="239"/>
      <c r="G749" s="55"/>
      <c r="H749" s="12"/>
    </row>
    <row r="750" ht="14.25" customHeight="1">
      <c r="B750" s="19"/>
      <c r="C750" s="195"/>
      <c r="D750" s="220"/>
      <c r="E750" s="239"/>
      <c r="G750" s="55"/>
      <c r="H750" s="12"/>
    </row>
    <row r="751" ht="14.25" customHeight="1">
      <c r="B751" s="19"/>
      <c r="C751" s="195"/>
      <c r="D751" s="220"/>
      <c r="E751" s="239"/>
      <c r="G751" s="55"/>
      <c r="H751" s="12"/>
    </row>
    <row r="752" ht="14.25" customHeight="1">
      <c r="B752" s="19"/>
      <c r="C752" s="195"/>
      <c r="D752" s="220"/>
      <c r="E752" s="239"/>
      <c r="G752" s="55"/>
      <c r="H752" s="12"/>
    </row>
    <row r="753" ht="14.25" customHeight="1">
      <c r="B753" s="19"/>
      <c r="C753" s="195"/>
      <c r="D753" s="220"/>
      <c r="E753" s="239"/>
      <c r="G753" s="55"/>
      <c r="H753" s="12"/>
    </row>
    <row r="754" ht="14.25" customHeight="1">
      <c r="B754" s="19"/>
      <c r="C754" s="195"/>
      <c r="D754" s="220"/>
      <c r="E754" s="239"/>
      <c r="G754" s="55"/>
      <c r="H754" s="12"/>
    </row>
    <row r="755" ht="14.25" customHeight="1">
      <c r="B755" s="19"/>
      <c r="C755" s="195"/>
      <c r="D755" s="220"/>
      <c r="E755" s="239"/>
      <c r="G755" s="55"/>
      <c r="H755" s="12"/>
    </row>
    <row r="756" ht="14.25" customHeight="1">
      <c r="B756" s="19"/>
      <c r="C756" s="195"/>
      <c r="D756" s="220"/>
      <c r="E756" s="239"/>
      <c r="G756" s="55"/>
      <c r="H756" s="12"/>
    </row>
    <row r="757" ht="14.25" customHeight="1">
      <c r="B757" s="19"/>
      <c r="C757" s="195"/>
      <c r="D757" s="220"/>
      <c r="E757" s="239"/>
      <c r="G757" s="55"/>
      <c r="H757" s="12"/>
    </row>
    <row r="758" ht="14.25" customHeight="1">
      <c r="B758" s="19"/>
      <c r="C758" s="195"/>
      <c r="D758" s="220"/>
      <c r="E758" s="239"/>
      <c r="G758" s="55"/>
      <c r="H758" s="12"/>
    </row>
    <row r="759" ht="14.25" customHeight="1">
      <c r="B759" s="19"/>
      <c r="C759" s="195"/>
      <c r="D759" s="220"/>
      <c r="E759" s="239"/>
      <c r="G759" s="55"/>
      <c r="H759" s="12"/>
    </row>
    <row r="760" ht="14.25" customHeight="1">
      <c r="B760" s="19"/>
      <c r="C760" s="195"/>
      <c r="D760" s="220"/>
      <c r="E760" s="239"/>
      <c r="G760" s="55"/>
      <c r="H760" s="12"/>
    </row>
    <row r="761" ht="14.25" customHeight="1">
      <c r="B761" s="19"/>
      <c r="C761" s="195"/>
      <c r="D761" s="220"/>
      <c r="E761" s="239"/>
      <c r="G761" s="55"/>
      <c r="H761" s="12"/>
    </row>
    <row r="762" ht="14.25" customHeight="1">
      <c r="B762" s="19"/>
      <c r="C762" s="195"/>
      <c r="D762" s="220"/>
      <c r="E762" s="239"/>
      <c r="G762" s="55"/>
      <c r="H762" s="12"/>
    </row>
    <row r="763" ht="14.25" customHeight="1">
      <c r="B763" s="19"/>
      <c r="C763" s="195"/>
      <c r="D763" s="220"/>
      <c r="E763" s="239"/>
      <c r="G763" s="55"/>
      <c r="H763" s="12"/>
    </row>
    <row r="764" ht="14.25" customHeight="1">
      <c r="B764" s="19"/>
      <c r="C764" s="195"/>
      <c r="D764" s="220"/>
      <c r="E764" s="239"/>
      <c r="G764" s="55"/>
      <c r="H764" s="12"/>
    </row>
    <row r="765" ht="14.25" customHeight="1">
      <c r="B765" s="19"/>
      <c r="C765" s="195"/>
      <c r="D765" s="220"/>
      <c r="E765" s="239"/>
      <c r="G765" s="55"/>
      <c r="H765" s="12"/>
    </row>
    <row r="766" ht="14.25" customHeight="1">
      <c r="B766" s="19"/>
      <c r="C766" s="195"/>
      <c r="D766" s="220"/>
      <c r="E766" s="239"/>
      <c r="G766" s="55"/>
      <c r="H766" s="12"/>
    </row>
    <row r="767" ht="14.25" customHeight="1">
      <c r="B767" s="19"/>
      <c r="C767" s="195"/>
      <c r="D767" s="220"/>
      <c r="E767" s="239"/>
      <c r="G767" s="55"/>
      <c r="H767" s="12"/>
    </row>
    <row r="768" ht="14.25" customHeight="1">
      <c r="B768" s="19"/>
      <c r="C768" s="195"/>
      <c r="D768" s="220"/>
      <c r="E768" s="239"/>
      <c r="G768" s="55"/>
      <c r="H768" s="12"/>
    </row>
    <row r="769" ht="14.25" customHeight="1">
      <c r="B769" s="19"/>
      <c r="C769" s="195"/>
      <c r="D769" s="220"/>
      <c r="E769" s="239"/>
      <c r="G769" s="55"/>
      <c r="H769" s="12"/>
    </row>
    <row r="770" ht="14.25" customHeight="1">
      <c r="B770" s="19"/>
      <c r="C770" s="195"/>
      <c r="D770" s="220"/>
      <c r="E770" s="239"/>
      <c r="G770" s="55"/>
      <c r="H770" s="12"/>
    </row>
    <row r="771" ht="14.25" customHeight="1">
      <c r="B771" s="19"/>
      <c r="C771" s="195"/>
      <c r="D771" s="220"/>
      <c r="E771" s="239"/>
      <c r="G771" s="55"/>
      <c r="H771" s="12"/>
    </row>
    <row r="772" ht="14.25" customHeight="1">
      <c r="B772" s="19"/>
      <c r="C772" s="195"/>
      <c r="D772" s="220"/>
      <c r="E772" s="239"/>
      <c r="G772" s="55"/>
      <c r="H772" s="12"/>
    </row>
    <row r="773" ht="14.25" customHeight="1">
      <c r="B773" s="19"/>
      <c r="C773" s="195"/>
      <c r="D773" s="220"/>
      <c r="E773" s="239"/>
      <c r="G773" s="55"/>
      <c r="H773" s="12"/>
    </row>
    <row r="774" ht="14.25" customHeight="1">
      <c r="B774" s="19"/>
      <c r="C774" s="195"/>
      <c r="D774" s="220"/>
      <c r="E774" s="239"/>
      <c r="G774" s="55"/>
      <c r="H774" s="12"/>
    </row>
    <row r="775" ht="14.25" customHeight="1">
      <c r="B775" s="19"/>
      <c r="C775" s="195"/>
      <c r="D775" s="220"/>
      <c r="E775" s="239"/>
      <c r="G775" s="55"/>
      <c r="H775" s="12"/>
    </row>
    <row r="776" ht="14.25" customHeight="1">
      <c r="B776" s="19"/>
      <c r="C776" s="195"/>
      <c r="D776" s="220"/>
      <c r="E776" s="239"/>
      <c r="G776" s="55"/>
      <c r="H776" s="12"/>
    </row>
    <row r="777" ht="14.25" customHeight="1">
      <c r="B777" s="19"/>
      <c r="C777" s="195"/>
      <c r="D777" s="220"/>
      <c r="E777" s="239"/>
      <c r="G777" s="55"/>
      <c r="H777" s="12"/>
    </row>
    <row r="778" ht="14.25" customHeight="1">
      <c r="B778" s="19"/>
      <c r="C778" s="195"/>
      <c r="D778" s="220"/>
      <c r="E778" s="239"/>
      <c r="G778" s="55"/>
      <c r="H778" s="12"/>
    </row>
    <row r="779" ht="14.25" customHeight="1">
      <c r="B779" s="19"/>
      <c r="C779" s="195"/>
      <c r="D779" s="220"/>
      <c r="E779" s="239"/>
      <c r="G779" s="55"/>
      <c r="H779" s="12"/>
    </row>
    <row r="780" ht="14.25" customHeight="1">
      <c r="B780" s="19"/>
      <c r="C780" s="195"/>
      <c r="D780" s="220"/>
      <c r="E780" s="239"/>
      <c r="G780" s="55"/>
      <c r="H780" s="12"/>
    </row>
    <row r="781" ht="14.25" customHeight="1">
      <c r="B781" s="19"/>
      <c r="C781" s="195"/>
      <c r="D781" s="220"/>
      <c r="E781" s="239"/>
      <c r="G781" s="55"/>
      <c r="H781" s="12"/>
    </row>
    <row r="782" ht="14.25" customHeight="1">
      <c r="B782" s="19"/>
      <c r="C782" s="195"/>
      <c r="D782" s="220"/>
      <c r="E782" s="239"/>
      <c r="G782" s="55"/>
      <c r="H782" s="12"/>
    </row>
    <row r="783" ht="14.25" customHeight="1">
      <c r="B783" s="19"/>
      <c r="C783" s="195"/>
      <c r="D783" s="220"/>
      <c r="E783" s="239"/>
      <c r="G783" s="55"/>
      <c r="H783" s="12"/>
    </row>
    <row r="784" ht="14.25" customHeight="1">
      <c r="B784" s="19"/>
      <c r="C784" s="195"/>
      <c r="D784" s="220"/>
      <c r="E784" s="239"/>
      <c r="G784" s="55"/>
      <c r="H784" s="12"/>
    </row>
    <row r="785" ht="14.25" customHeight="1">
      <c r="B785" s="19"/>
      <c r="C785" s="195"/>
      <c r="D785" s="220"/>
      <c r="E785" s="239"/>
      <c r="G785" s="55"/>
      <c r="H785" s="12"/>
    </row>
    <row r="786" ht="14.25" customHeight="1">
      <c r="B786" s="19"/>
      <c r="C786" s="195"/>
      <c r="D786" s="220"/>
      <c r="E786" s="239"/>
      <c r="G786" s="55"/>
      <c r="H786" s="12"/>
    </row>
    <row r="787" ht="14.25" customHeight="1">
      <c r="B787" s="19"/>
      <c r="C787" s="195"/>
      <c r="D787" s="220"/>
      <c r="E787" s="239"/>
      <c r="G787" s="55"/>
      <c r="H787" s="12"/>
    </row>
    <row r="788" ht="14.25" customHeight="1">
      <c r="B788" s="19"/>
      <c r="C788" s="195"/>
      <c r="D788" s="220"/>
      <c r="E788" s="239"/>
      <c r="G788" s="55"/>
      <c r="H788" s="12"/>
    </row>
    <row r="789" ht="14.25" customHeight="1">
      <c r="B789" s="19"/>
      <c r="C789" s="195"/>
      <c r="D789" s="220"/>
      <c r="E789" s="239"/>
      <c r="G789" s="55"/>
      <c r="H789" s="12"/>
    </row>
    <row r="790" ht="14.25" customHeight="1">
      <c r="B790" s="19"/>
      <c r="C790" s="195"/>
      <c r="D790" s="220"/>
      <c r="E790" s="239"/>
      <c r="G790" s="55"/>
      <c r="H790" s="12"/>
    </row>
    <row r="791" ht="14.25" customHeight="1">
      <c r="B791" s="19"/>
      <c r="C791" s="195"/>
      <c r="D791" s="220"/>
      <c r="E791" s="239"/>
      <c r="G791" s="55"/>
      <c r="H791" s="12"/>
    </row>
    <row r="792" ht="14.25" customHeight="1">
      <c r="B792" s="19"/>
      <c r="C792" s="195"/>
      <c r="D792" s="220"/>
      <c r="E792" s="239"/>
      <c r="G792" s="55"/>
      <c r="H792" s="12"/>
    </row>
    <row r="793" ht="14.25" customHeight="1">
      <c r="B793" s="19"/>
      <c r="C793" s="195"/>
      <c r="D793" s="220"/>
      <c r="E793" s="239"/>
      <c r="G793" s="55"/>
      <c r="H793" s="12"/>
    </row>
    <row r="794" ht="14.25" customHeight="1">
      <c r="B794" s="19"/>
      <c r="C794" s="195"/>
      <c r="D794" s="220"/>
      <c r="E794" s="239"/>
      <c r="G794" s="55"/>
      <c r="H794" s="12"/>
    </row>
    <row r="795" ht="14.25" customHeight="1">
      <c r="B795" s="19"/>
      <c r="C795" s="195"/>
      <c r="D795" s="220"/>
      <c r="E795" s="239"/>
      <c r="G795" s="55"/>
      <c r="H795" s="12"/>
    </row>
    <row r="796" ht="14.25" customHeight="1">
      <c r="B796" s="19"/>
      <c r="C796" s="195"/>
      <c r="D796" s="220"/>
      <c r="E796" s="239"/>
      <c r="G796" s="55"/>
      <c r="H796" s="12"/>
    </row>
    <row r="797" ht="14.25" customHeight="1">
      <c r="B797" s="19"/>
      <c r="C797" s="195"/>
      <c r="D797" s="220"/>
      <c r="E797" s="239"/>
      <c r="G797" s="55"/>
      <c r="H797" s="12"/>
    </row>
    <row r="798" ht="14.25" customHeight="1">
      <c r="B798" s="19"/>
      <c r="C798" s="195"/>
      <c r="D798" s="220"/>
      <c r="E798" s="239"/>
      <c r="G798" s="55"/>
      <c r="H798" s="12"/>
    </row>
    <row r="799" ht="14.25" customHeight="1">
      <c r="B799" s="19"/>
      <c r="C799" s="195"/>
      <c r="D799" s="220"/>
      <c r="E799" s="239"/>
      <c r="G799" s="55"/>
      <c r="H799" s="12"/>
    </row>
    <row r="800" ht="14.25" customHeight="1">
      <c r="B800" s="19"/>
      <c r="C800" s="195"/>
      <c r="D800" s="220"/>
      <c r="E800" s="239"/>
      <c r="G800" s="55"/>
      <c r="H800" s="12"/>
    </row>
    <row r="801" ht="14.25" customHeight="1">
      <c r="B801" s="19"/>
      <c r="C801" s="195"/>
      <c r="D801" s="220"/>
      <c r="E801" s="239"/>
      <c r="G801" s="55"/>
      <c r="H801" s="12"/>
    </row>
    <row r="802" ht="14.25" customHeight="1">
      <c r="B802" s="19"/>
      <c r="C802" s="195"/>
      <c r="D802" s="220"/>
      <c r="E802" s="239"/>
      <c r="G802" s="55"/>
      <c r="H802" s="12"/>
    </row>
    <row r="803" ht="14.25" customHeight="1">
      <c r="B803" s="19"/>
      <c r="C803" s="195"/>
      <c r="D803" s="220"/>
      <c r="E803" s="239"/>
      <c r="G803" s="55"/>
      <c r="H803" s="12"/>
    </row>
    <row r="804" ht="14.25" customHeight="1">
      <c r="B804" s="19"/>
      <c r="C804" s="195"/>
      <c r="D804" s="220"/>
      <c r="E804" s="239"/>
      <c r="G804" s="55"/>
      <c r="H804" s="12"/>
    </row>
    <row r="805" ht="14.25" customHeight="1">
      <c r="B805" s="19"/>
      <c r="C805" s="195"/>
      <c r="D805" s="220"/>
      <c r="E805" s="239"/>
      <c r="G805" s="55"/>
      <c r="H805" s="12"/>
    </row>
    <row r="806" ht="14.25" customHeight="1">
      <c r="B806" s="19"/>
      <c r="C806" s="195"/>
      <c r="D806" s="220"/>
      <c r="E806" s="239"/>
      <c r="G806" s="55"/>
      <c r="H806" s="12"/>
    </row>
    <row r="807" ht="14.25" customHeight="1">
      <c r="B807" s="19"/>
      <c r="C807" s="195"/>
      <c r="D807" s="220"/>
      <c r="E807" s="239"/>
      <c r="G807" s="55"/>
      <c r="H807" s="12"/>
    </row>
    <row r="808" ht="14.25" customHeight="1">
      <c r="B808" s="19"/>
      <c r="C808" s="195"/>
      <c r="D808" s="220"/>
      <c r="E808" s="239"/>
      <c r="G808" s="55"/>
      <c r="H808" s="12"/>
    </row>
    <row r="809" ht="14.25" customHeight="1">
      <c r="B809" s="19"/>
      <c r="C809" s="195"/>
      <c r="D809" s="220"/>
      <c r="E809" s="239"/>
      <c r="G809" s="55"/>
      <c r="H809" s="12"/>
    </row>
    <row r="810" ht="14.25" customHeight="1">
      <c r="B810" s="19"/>
      <c r="C810" s="195"/>
      <c r="D810" s="220"/>
      <c r="E810" s="239"/>
      <c r="G810" s="55"/>
      <c r="H810" s="12"/>
    </row>
    <row r="811" ht="14.25" customHeight="1">
      <c r="B811" s="19"/>
      <c r="C811" s="195"/>
      <c r="D811" s="220"/>
      <c r="E811" s="239"/>
      <c r="G811" s="55"/>
      <c r="H811" s="12"/>
    </row>
    <row r="812" ht="14.25" customHeight="1">
      <c r="B812" s="19"/>
      <c r="C812" s="195"/>
      <c r="D812" s="220"/>
      <c r="E812" s="239"/>
      <c r="G812" s="55"/>
      <c r="H812" s="12"/>
    </row>
    <row r="813" ht="14.25" customHeight="1">
      <c r="B813" s="19"/>
      <c r="C813" s="195"/>
      <c r="D813" s="220"/>
      <c r="E813" s="239"/>
      <c r="G813" s="55"/>
      <c r="H813" s="12"/>
    </row>
    <row r="814" ht="14.25" customHeight="1">
      <c r="B814" s="19"/>
      <c r="C814" s="195"/>
      <c r="D814" s="220"/>
      <c r="E814" s="239"/>
      <c r="G814" s="55"/>
      <c r="H814" s="12"/>
    </row>
    <row r="815" ht="14.25" customHeight="1">
      <c r="B815" s="19"/>
      <c r="C815" s="195"/>
      <c r="D815" s="220"/>
      <c r="E815" s="239"/>
      <c r="G815" s="55"/>
      <c r="H815" s="12"/>
    </row>
    <row r="816" ht="14.25" customHeight="1">
      <c r="B816" s="19"/>
      <c r="C816" s="195"/>
      <c r="D816" s="220"/>
      <c r="E816" s="239"/>
      <c r="G816" s="55"/>
      <c r="H816" s="12"/>
    </row>
    <row r="817" ht="14.25" customHeight="1">
      <c r="B817" s="19"/>
      <c r="C817" s="195"/>
      <c r="D817" s="220"/>
      <c r="E817" s="239"/>
      <c r="G817" s="55"/>
      <c r="H817" s="12"/>
    </row>
    <row r="818" ht="14.25" customHeight="1">
      <c r="B818" s="19"/>
      <c r="C818" s="195"/>
      <c r="D818" s="220"/>
      <c r="E818" s="239"/>
      <c r="G818" s="55"/>
      <c r="H818" s="12"/>
    </row>
    <row r="819" ht="14.25" customHeight="1">
      <c r="B819" s="19"/>
      <c r="C819" s="195"/>
      <c r="D819" s="220"/>
      <c r="E819" s="239"/>
      <c r="G819" s="55"/>
      <c r="H819" s="12"/>
    </row>
    <row r="820" ht="14.25" customHeight="1">
      <c r="B820" s="19"/>
      <c r="C820" s="195"/>
      <c r="D820" s="220"/>
      <c r="E820" s="239"/>
      <c r="G820" s="55"/>
      <c r="H820" s="12"/>
    </row>
    <row r="821" ht="14.25" customHeight="1">
      <c r="B821" s="19"/>
      <c r="C821" s="195"/>
      <c r="D821" s="220"/>
      <c r="E821" s="239"/>
      <c r="G821" s="55"/>
      <c r="H821" s="12"/>
    </row>
    <row r="822" ht="14.25" customHeight="1">
      <c r="B822" s="19"/>
      <c r="C822" s="195"/>
      <c r="D822" s="220"/>
      <c r="E822" s="239"/>
      <c r="G822" s="55"/>
      <c r="H822" s="12"/>
    </row>
    <row r="823" ht="14.25" customHeight="1">
      <c r="B823" s="19"/>
      <c r="C823" s="195"/>
      <c r="D823" s="220"/>
      <c r="E823" s="239"/>
      <c r="G823" s="55"/>
      <c r="H823" s="12"/>
    </row>
    <row r="824" ht="14.25" customHeight="1">
      <c r="B824" s="19"/>
      <c r="C824" s="195"/>
      <c r="D824" s="220"/>
      <c r="E824" s="239"/>
      <c r="G824" s="55"/>
      <c r="H824" s="12"/>
    </row>
    <row r="825" ht="14.25" customHeight="1">
      <c r="B825" s="19"/>
      <c r="C825" s="195"/>
      <c r="D825" s="220"/>
      <c r="E825" s="239"/>
      <c r="G825" s="55"/>
      <c r="H825" s="12"/>
    </row>
    <row r="826" ht="14.25" customHeight="1">
      <c r="B826" s="19"/>
      <c r="C826" s="195"/>
      <c r="D826" s="220"/>
      <c r="E826" s="239"/>
      <c r="G826" s="55"/>
      <c r="H826" s="12"/>
    </row>
    <row r="827" ht="14.25" customHeight="1">
      <c r="B827" s="19"/>
      <c r="C827" s="195"/>
      <c r="D827" s="220"/>
      <c r="E827" s="239"/>
      <c r="G827" s="55"/>
      <c r="H827" s="12"/>
    </row>
    <row r="828" ht="14.25" customHeight="1">
      <c r="B828" s="19"/>
      <c r="C828" s="195"/>
      <c r="D828" s="220"/>
      <c r="E828" s="239"/>
      <c r="G828" s="55"/>
      <c r="H828" s="12"/>
    </row>
    <row r="829" ht="14.25" customHeight="1">
      <c r="B829" s="19"/>
      <c r="C829" s="195"/>
      <c r="D829" s="220"/>
      <c r="E829" s="239"/>
      <c r="G829" s="55"/>
      <c r="H829" s="12"/>
    </row>
    <row r="830" ht="14.25" customHeight="1">
      <c r="B830" s="19"/>
      <c r="C830" s="195"/>
      <c r="D830" s="220"/>
      <c r="E830" s="239"/>
      <c r="G830" s="55"/>
      <c r="H830" s="12"/>
    </row>
    <row r="831" ht="14.25" customHeight="1">
      <c r="B831" s="19"/>
      <c r="C831" s="195"/>
      <c r="D831" s="220"/>
      <c r="E831" s="239"/>
      <c r="G831" s="55"/>
      <c r="H831" s="12"/>
    </row>
    <row r="832" ht="14.25" customHeight="1">
      <c r="B832" s="19"/>
      <c r="C832" s="195"/>
      <c r="D832" s="220"/>
      <c r="E832" s="239"/>
      <c r="G832" s="55"/>
      <c r="H832" s="12"/>
    </row>
    <row r="833" ht="14.25" customHeight="1">
      <c r="B833" s="19"/>
      <c r="C833" s="195"/>
      <c r="D833" s="220"/>
      <c r="E833" s="239"/>
      <c r="G833" s="55"/>
      <c r="H833" s="12"/>
    </row>
    <row r="834" ht="14.25" customHeight="1">
      <c r="B834" s="19"/>
      <c r="C834" s="195"/>
      <c r="D834" s="220"/>
      <c r="E834" s="239"/>
      <c r="G834" s="55"/>
      <c r="H834" s="12"/>
    </row>
    <row r="835" ht="14.25" customHeight="1">
      <c r="B835" s="19"/>
      <c r="C835" s="195"/>
      <c r="D835" s="220"/>
      <c r="E835" s="239"/>
      <c r="G835" s="55"/>
      <c r="H835" s="12"/>
    </row>
    <row r="836" ht="14.25" customHeight="1">
      <c r="B836" s="19"/>
      <c r="C836" s="195"/>
      <c r="D836" s="220"/>
      <c r="E836" s="239"/>
      <c r="G836" s="55"/>
      <c r="H836" s="12"/>
    </row>
    <row r="837" ht="14.25" customHeight="1">
      <c r="B837" s="19"/>
      <c r="C837" s="195"/>
      <c r="D837" s="220"/>
      <c r="E837" s="239"/>
      <c r="G837" s="55"/>
      <c r="H837" s="12"/>
    </row>
    <row r="838" ht="14.25" customHeight="1">
      <c r="B838" s="19"/>
      <c r="C838" s="195"/>
      <c r="D838" s="220"/>
      <c r="E838" s="239"/>
      <c r="G838" s="55"/>
      <c r="H838" s="12"/>
    </row>
    <row r="839" ht="14.25" customHeight="1">
      <c r="B839" s="19"/>
      <c r="C839" s="195"/>
      <c r="D839" s="220"/>
      <c r="E839" s="239"/>
      <c r="G839" s="55"/>
      <c r="H839" s="12"/>
    </row>
    <row r="840" ht="14.25" customHeight="1">
      <c r="B840" s="19"/>
      <c r="C840" s="195"/>
      <c r="D840" s="220"/>
      <c r="E840" s="239"/>
      <c r="G840" s="55"/>
      <c r="H840" s="12"/>
    </row>
    <row r="841" ht="14.25" customHeight="1">
      <c r="B841" s="19"/>
      <c r="C841" s="195"/>
      <c r="D841" s="220"/>
      <c r="E841" s="239"/>
      <c r="G841" s="55"/>
      <c r="H841" s="12"/>
    </row>
    <row r="842" ht="14.25" customHeight="1">
      <c r="B842" s="19"/>
      <c r="C842" s="195"/>
      <c r="D842" s="220"/>
      <c r="E842" s="239"/>
      <c r="G842" s="55"/>
      <c r="H842" s="12"/>
    </row>
    <row r="843" ht="14.25" customHeight="1">
      <c r="B843" s="19"/>
      <c r="C843" s="195"/>
      <c r="D843" s="220"/>
      <c r="E843" s="239"/>
      <c r="G843" s="55"/>
      <c r="H843" s="12"/>
    </row>
    <row r="844" ht="14.25" customHeight="1">
      <c r="B844" s="19"/>
      <c r="C844" s="195"/>
      <c r="D844" s="220"/>
      <c r="E844" s="239"/>
      <c r="G844" s="55"/>
      <c r="H844" s="12"/>
    </row>
    <row r="845" ht="14.25" customHeight="1">
      <c r="B845" s="19"/>
      <c r="C845" s="195"/>
      <c r="D845" s="220"/>
      <c r="E845" s="239"/>
      <c r="G845" s="55"/>
      <c r="H845" s="12"/>
    </row>
    <row r="846" ht="14.25" customHeight="1">
      <c r="B846" s="19"/>
      <c r="C846" s="195"/>
      <c r="D846" s="220"/>
      <c r="E846" s="239"/>
      <c r="G846" s="55"/>
      <c r="H846" s="12"/>
    </row>
    <row r="847" ht="14.25" customHeight="1">
      <c r="B847" s="19"/>
      <c r="C847" s="195"/>
      <c r="D847" s="220"/>
      <c r="E847" s="239"/>
      <c r="G847" s="55"/>
      <c r="H847" s="12"/>
    </row>
    <row r="848" ht="14.25" customHeight="1">
      <c r="B848" s="19"/>
      <c r="C848" s="195"/>
      <c r="D848" s="220"/>
      <c r="E848" s="239"/>
      <c r="G848" s="55"/>
      <c r="H848" s="12"/>
    </row>
    <row r="849" ht="14.25" customHeight="1">
      <c r="B849" s="19"/>
      <c r="C849" s="195"/>
      <c r="D849" s="220"/>
      <c r="E849" s="239"/>
      <c r="G849" s="55"/>
      <c r="H849" s="12"/>
    </row>
    <row r="850" ht="14.25" customHeight="1">
      <c r="B850" s="19"/>
      <c r="C850" s="195"/>
      <c r="D850" s="220"/>
      <c r="E850" s="239"/>
      <c r="G850" s="55"/>
      <c r="H850" s="12"/>
    </row>
    <row r="851" ht="14.25" customHeight="1">
      <c r="B851" s="19"/>
      <c r="C851" s="195"/>
      <c r="D851" s="220"/>
      <c r="E851" s="239"/>
      <c r="G851" s="55"/>
      <c r="H851" s="12"/>
    </row>
    <row r="852" ht="14.25" customHeight="1">
      <c r="B852" s="19"/>
      <c r="C852" s="195"/>
      <c r="D852" s="220"/>
      <c r="E852" s="239"/>
      <c r="G852" s="55"/>
      <c r="H852" s="12"/>
    </row>
    <row r="853" ht="14.25" customHeight="1">
      <c r="B853" s="19"/>
      <c r="C853" s="195"/>
      <c r="D853" s="220"/>
      <c r="E853" s="239"/>
      <c r="G853" s="55"/>
      <c r="H853" s="12"/>
    </row>
    <row r="854" ht="14.25" customHeight="1">
      <c r="B854" s="19"/>
      <c r="C854" s="195"/>
      <c r="D854" s="220"/>
      <c r="E854" s="239"/>
      <c r="G854" s="55"/>
      <c r="H854" s="12"/>
    </row>
    <row r="855" ht="14.25" customHeight="1">
      <c r="B855" s="19"/>
      <c r="C855" s="195"/>
      <c r="D855" s="220"/>
      <c r="E855" s="239"/>
      <c r="G855" s="55"/>
      <c r="H855" s="12"/>
    </row>
    <row r="856" ht="14.25" customHeight="1">
      <c r="B856" s="19"/>
      <c r="C856" s="195"/>
      <c r="D856" s="220"/>
      <c r="E856" s="239"/>
      <c r="G856" s="55"/>
      <c r="H856" s="12"/>
    </row>
    <row r="857" ht="14.25" customHeight="1">
      <c r="B857" s="19"/>
      <c r="C857" s="195"/>
      <c r="D857" s="220"/>
      <c r="E857" s="239"/>
      <c r="G857" s="55"/>
      <c r="H857" s="12"/>
    </row>
    <row r="858" ht="14.25" customHeight="1">
      <c r="B858" s="19"/>
      <c r="C858" s="195"/>
      <c r="D858" s="220"/>
      <c r="E858" s="239"/>
      <c r="G858" s="55"/>
      <c r="H858" s="12"/>
    </row>
    <row r="859" ht="14.25" customHeight="1">
      <c r="B859" s="19"/>
      <c r="C859" s="195"/>
      <c r="D859" s="220"/>
      <c r="E859" s="239"/>
      <c r="G859" s="55"/>
      <c r="H859" s="12"/>
    </row>
    <row r="860" ht="14.25" customHeight="1">
      <c r="B860" s="19"/>
      <c r="C860" s="195"/>
      <c r="D860" s="220"/>
      <c r="E860" s="239"/>
      <c r="G860" s="55"/>
      <c r="H860" s="12"/>
    </row>
    <row r="861" ht="14.25" customHeight="1">
      <c r="B861" s="19"/>
      <c r="C861" s="195"/>
      <c r="D861" s="220"/>
      <c r="E861" s="239"/>
      <c r="G861" s="55"/>
      <c r="H861" s="12"/>
    </row>
    <row r="862" ht="14.25" customHeight="1">
      <c r="B862" s="19"/>
      <c r="C862" s="195"/>
      <c r="D862" s="220"/>
      <c r="E862" s="239"/>
      <c r="G862" s="55"/>
      <c r="H862" s="12"/>
    </row>
    <row r="863" ht="14.25" customHeight="1">
      <c r="B863" s="19"/>
      <c r="C863" s="195"/>
      <c r="D863" s="220"/>
      <c r="E863" s="239"/>
      <c r="G863" s="55"/>
      <c r="H863" s="12"/>
    </row>
    <row r="864" ht="14.25" customHeight="1">
      <c r="B864" s="19"/>
      <c r="C864" s="195"/>
      <c r="D864" s="220"/>
      <c r="E864" s="239"/>
      <c r="G864" s="55"/>
      <c r="H864" s="12"/>
    </row>
    <row r="865" ht="14.25" customHeight="1">
      <c r="B865" s="19"/>
      <c r="C865" s="195"/>
      <c r="D865" s="220"/>
      <c r="E865" s="239"/>
      <c r="G865" s="55"/>
      <c r="H865" s="12"/>
    </row>
    <row r="866" ht="14.25" customHeight="1">
      <c r="B866" s="19"/>
      <c r="C866" s="195"/>
      <c r="D866" s="220"/>
      <c r="E866" s="239"/>
      <c r="G866" s="55"/>
      <c r="H866" s="12"/>
    </row>
    <row r="867" ht="14.25" customHeight="1">
      <c r="B867" s="19"/>
      <c r="C867" s="195"/>
      <c r="D867" s="220"/>
      <c r="E867" s="239"/>
      <c r="G867" s="55"/>
      <c r="H867" s="12"/>
    </row>
    <row r="868" ht="14.25" customHeight="1">
      <c r="B868" s="19"/>
      <c r="C868" s="195"/>
      <c r="D868" s="220"/>
      <c r="E868" s="239"/>
      <c r="G868" s="55"/>
      <c r="H868" s="12"/>
    </row>
    <row r="869" ht="14.25" customHeight="1">
      <c r="B869" s="19"/>
      <c r="C869" s="195"/>
      <c r="D869" s="220"/>
      <c r="E869" s="239"/>
      <c r="G869" s="55"/>
      <c r="H869" s="12"/>
    </row>
    <row r="870" ht="14.25" customHeight="1">
      <c r="B870" s="19"/>
      <c r="C870" s="195"/>
      <c r="D870" s="220"/>
      <c r="E870" s="239"/>
      <c r="G870" s="55"/>
      <c r="H870" s="12"/>
    </row>
    <row r="871" ht="14.25" customHeight="1">
      <c r="B871" s="19"/>
      <c r="C871" s="195"/>
      <c r="D871" s="220"/>
      <c r="E871" s="239"/>
      <c r="G871" s="55"/>
      <c r="H871" s="12"/>
    </row>
    <row r="872" ht="14.25" customHeight="1">
      <c r="B872" s="19"/>
      <c r="C872" s="195"/>
      <c r="D872" s="220"/>
      <c r="E872" s="239"/>
      <c r="G872" s="55"/>
      <c r="H872" s="12"/>
    </row>
    <row r="873" ht="14.25" customHeight="1">
      <c r="B873" s="19"/>
      <c r="C873" s="195"/>
      <c r="D873" s="220"/>
      <c r="E873" s="239"/>
      <c r="G873" s="55"/>
      <c r="H873" s="12"/>
    </row>
    <row r="874" ht="14.25" customHeight="1">
      <c r="B874" s="19"/>
      <c r="C874" s="195"/>
      <c r="D874" s="220"/>
      <c r="E874" s="239"/>
      <c r="G874" s="55"/>
      <c r="H874" s="12"/>
    </row>
    <row r="875" ht="14.25" customHeight="1">
      <c r="B875" s="19"/>
      <c r="C875" s="195"/>
      <c r="D875" s="220"/>
      <c r="E875" s="239"/>
      <c r="G875" s="55"/>
      <c r="H875" s="12"/>
    </row>
    <row r="876" ht="14.25" customHeight="1">
      <c r="B876" s="19"/>
      <c r="C876" s="195"/>
      <c r="D876" s="220"/>
      <c r="E876" s="239"/>
      <c r="G876" s="55"/>
      <c r="H876" s="12"/>
    </row>
    <row r="877" ht="14.25" customHeight="1">
      <c r="B877" s="19"/>
      <c r="C877" s="195"/>
      <c r="D877" s="220"/>
      <c r="E877" s="239"/>
      <c r="G877" s="55"/>
      <c r="H877" s="12"/>
    </row>
    <row r="878" ht="14.25" customHeight="1">
      <c r="B878" s="19"/>
      <c r="C878" s="195"/>
      <c r="D878" s="220"/>
      <c r="E878" s="239"/>
      <c r="G878" s="55"/>
      <c r="H878" s="12"/>
    </row>
    <row r="879" ht="14.25" customHeight="1">
      <c r="B879" s="19"/>
      <c r="C879" s="195"/>
      <c r="D879" s="220"/>
      <c r="E879" s="239"/>
      <c r="G879" s="55"/>
      <c r="H879" s="12"/>
    </row>
    <row r="880" ht="14.25" customHeight="1">
      <c r="B880" s="19"/>
      <c r="C880" s="195"/>
      <c r="D880" s="220"/>
      <c r="E880" s="239"/>
      <c r="G880" s="55"/>
      <c r="H880" s="12"/>
    </row>
    <row r="881" ht="14.25" customHeight="1">
      <c r="B881" s="19"/>
      <c r="C881" s="195"/>
      <c r="D881" s="220"/>
      <c r="E881" s="239"/>
      <c r="G881" s="55"/>
      <c r="H881" s="12"/>
    </row>
    <row r="882" ht="14.25" customHeight="1">
      <c r="B882" s="19"/>
      <c r="C882" s="195"/>
      <c r="D882" s="220"/>
      <c r="E882" s="239"/>
      <c r="G882" s="55"/>
      <c r="H882" s="12"/>
    </row>
    <row r="883" ht="14.25" customHeight="1">
      <c r="B883" s="19"/>
      <c r="C883" s="195"/>
      <c r="D883" s="220"/>
      <c r="E883" s="239"/>
      <c r="G883" s="55"/>
      <c r="H883" s="12"/>
    </row>
    <row r="884" ht="14.25" customHeight="1">
      <c r="B884" s="19"/>
      <c r="C884" s="195"/>
      <c r="D884" s="220"/>
      <c r="E884" s="239"/>
      <c r="G884" s="55"/>
      <c r="H884" s="12"/>
    </row>
    <row r="885" ht="14.25" customHeight="1">
      <c r="B885" s="19"/>
      <c r="C885" s="195"/>
      <c r="D885" s="220"/>
      <c r="E885" s="239"/>
      <c r="G885" s="55"/>
      <c r="H885" s="12"/>
    </row>
    <row r="886" ht="14.25" customHeight="1">
      <c r="B886" s="19"/>
      <c r="C886" s="195"/>
      <c r="D886" s="220"/>
      <c r="E886" s="239"/>
      <c r="G886" s="55"/>
      <c r="H886" s="12"/>
    </row>
    <row r="887" ht="14.25" customHeight="1">
      <c r="B887" s="19"/>
      <c r="C887" s="195"/>
      <c r="D887" s="220"/>
      <c r="E887" s="239"/>
      <c r="G887" s="55"/>
      <c r="H887" s="12"/>
    </row>
    <row r="888" ht="14.25" customHeight="1">
      <c r="B888" s="19"/>
      <c r="C888" s="195"/>
      <c r="D888" s="220"/>
      <c r="E888" s="239"/>
      <c r="G888" s="55"/>
      <c r="H888" s="12"/>
    </row>
    <row r="889" ht="14.25" customHeight="1">
      <c r="B889" s="19"/>
      <c r="C889" s="195"/>
      <c r="D889" s="220"/>
      <c r="E889" s="239"/>
      <c r="G889" s="55"/>
      <c r="H889" s="12"/>
    </row>
    <row r="890" ht="14.25" customHeight="1">
      <c r="B890" s="19"/>
      <c r="C890" s="195"/>
      <c r="D890" s="220"/>
      <c r="E890" s="239"/>
      <c r="G890" s="55"/>
      <c r="H890" s="12"/>
    </row>
    <row r="891" ht="14.25" customHeight="1">
      <c r="B891" s="19"/>
      <c r="C891" s="195"/>
      <c r="D891" s="220"/>
      <c r="E891" s="239"/>
      <c r="G891" s="55"/>
      <c r="H891" s="12"/>
    </row>
    <row r="892" ht="14.25" customHeight="1">
      <c r="B892" s="19"/>
      <c r="C892" s="195"/>
      <c r="D892" s="220"/>
      <c r="E892" s="239"/>
      <c r="G892" s="55"/>
      <c r="H892" s="12"/>
    </row>
    <row r="893" ht="14.25" customHeight="1">
      <c r="B893" s="19"/>
      <c r="C893" s="195"/>
      <c r="D893" s="220"/>
      <c r="E893" s="239"/>
      <c r="G893" s="55"/>
      <c r="H893" s="12"/>
    </row>
    <row r="894" ht="14.25" customHeight="1">
      <c r="B894" s="19"/>
      <c r="C894" s="195"/>
      <c r="D894" s="220"/>
      <c r="E894" s="239"/>
      <c r="G894" s="55"/>
      <c r="H894" s="12"/>
    </row>
    <row r="895" ht="14.25" customHeight="1">
      <c r="B895" s="19"/>
      <c r="C895" s="195"/>
      <c r="D895" s="220"/>
      <c r="E895" s="239"/>
      <c r="G895" s="55"/>
      <c r="H895" s="12"/>
    </row>
    <row r="896" ht="14.25" customHeight="1">
      <c r="B896" s="19"/>
      <c r="C896" s="195"/>
      <c r="D896" s="220"/>
      <c r="E896" s="239"/>
      <c r="G896" s="55"/>
      <c r="H896" s="12"/>
    </row>
    <row r="897" ht="14.25" customHeight="1">
      <c r="B897" s="19"/>
      <c r="C897" s="195"/>
      <c r="D897" s="220"/>
      <c r="E897" s="239"/>
      <c r="G897" s="55"/>
      <c r="H897" s="12"/>
    </row>
    <row r="898" ht="14.25" customHeight="1">
      <c r="B898" s="19"/>
      <c r="C898" s="195"/>
      <c r="D898" s="220"/>
      <c r="E898" s="239"/>
      <c r="G898" s="55"/>
      <c r="H898" s="12"/>
    </row>
    <row r="899" ht="14.25" customHeight="1">
      <c r="B899" s="19"/>
      <c r="C899" s="195"/>
      <c r="D899" s="220"/>
      <c r="E899" s="239"/>
      <c r="G899" s="55"/>
      <c r="H899" s="12"/>
    </row>
    <row r="900" ht="14.25" customHeight="1">
      <c r="B900" s="19"/>
      <c r="C900" s="195"/>
      <c r="D900" s="220"/>
      <c r="E900" s="239"/>
      <c r="G900" s="55"/>
      <c r="H900" s="12"/>
    </row>
    <row r="901" ht="14.25" customHeight="1">
      <c r="B901" s="19"/>
      <c r="C901" s="195"/>
      <c r="D901" s="220"/>
      <c r="E901" s="239"/>
      <c r="G901" s="55"/>
      <c r="H901" s="12"/>
    </row>
    <row r="902" ht="14.25" customHeight="1">
      <c r="B902" s="19"/>
      <c r="C902" s="195"/>
      <c r="D902" s="220"/>
      <c r="E902" s="239"/>
      <c r="G902" s="55"/>
      <c r="H902" s="12"/>
    </row>
    <row r="903" ht="14.25" customHeight="1">
      <c r="B903" s="19"/>
      <c r="C903" s="195"/>
      <c r="D903" s="220"/>
      <c r="E903" s="239"/>
      <c r="G903" s="55"/>
      <c r="H903" s="12"/>
    </row>
    <row r="904" ht="14.25" customHeight="1">
      <c r="B904" s="19"/>
      <c r="C904" s="195"/>
      <c r="D904" s="220"/>
      <c r="E904" s="239"/>
      <c r="G904" s="55"/>
      <c r="H904" s="12"/>
    </row>
    <row r="905" ht="14.25" customHeight="1">
      <c r="B905" s="19"/>
      <c r="C905" s="195"/>
      <c r="D905" s="220"/>
      <c r="E905" s="239"/>
      <c r="G905" s="55"/>
      <c r="H905" s="12"/>
    </row>
    <row r="906" ht="14.25" customHeight="1">
      <c r="B906" s="19"/>
      <c r="C906" s="195"/>
      <c r="D906" s="220"/>
      <c r="E906" s="239"/>
      <c r="G906" s="55"/>
      <c r="H906" s="12"/>
    </row>
    <row r="907" ht="14.25" customHeight="1">
      <c r="B907" s="19"/>
      <c r="C907" s="195"/>
      <c r="D907" s="220"/>
      <c r="E907" s="239"/>
      <c r="G907" s="55"/>
      <c r="H907" s="12"/>
    </row>
    <row r="908" ht="14.25" customHeight="1">
      <c r="B908" s="19"/>
      <c r="C908" s="195"/>
      <c r="D908" s="220"/>
      <c r="E908" s="239"/>
      <c r="G908" s="55"/>
      <c r="H908" s="12"/>
    </row>
    <row r="909" ht="14.25" customHeight="1">
      <c r="B909" s="19"/>
      <c r="C909" s="195"/>
      <c r="D909" s="220"/>
      <c r="E909" s="239"/>
      <c r="G909" s="55"/>
      <c r="H909" s="12"/>
    </row>
    <row r="910" ht="14.25" customHeight="1">
      <c r="B910" s="19"/>
      <c r="C910" s="195"/>
      <c r="D910" s="220"/>
      <c r="E910" s="239"/>
      <c r="G910" s="55"/>
      <c r="H910" s="12"/>
    </row>
    <row r="911" ht="14.25" customHeight="1">
      <c r="B911" s="19"/>
      <c r="C911" s="195"/>
      <c r="D911" s="220"/>
      <c r="E911" s="239"/>
      <c r="G911" s="55"/>
      <c r="H911" s="12"/>
    </row>
    <row r="912" ht="14.25" customHeight="1">
      <c r="B912" s="19"/>
      <c r="C912" s="195"/>
      <c r="D912" s="220"/>
      <c r="E912" s="239"/>
      <c r="G912" s="55"/>
      <c r="H912" s="12"/>
    </row>
    <row r="913" ht="14.25" customHeight="1">
      <c r="B913" s="19"/>
      <c r="C913" s="195"/>
      <c r="D913" s="220"/>
      <c r="E913" s="239"/>
      <c r="G913" s="55"/>
      <c r="H913" s="12"/>
    </row>
    <row r="914" ht="14.25" customHeight="1">
      <c r="B914" s="19"/>
      <c r="C914" s="195"/>
      <c r="D914" s="220"/>
      <c r="E914" s="239"/>
      <c r="G914" s="55"/>
      <c r="H914" s="12"/>
    </row>
    <row r="915" ht="14.25" customHeight="1">
      <c r="B915" s="19"/>
      <c r="C915" s="195"/>
      <c r="D915" s="220"/>
      <c r="E915" s="239"/>
      <c r="G915" s="55"/>
      <c r="H915" s="12"/>
    </row>
    <row r="916" ht="14.25" customHeight="1">
      <c r="B916" s="19"/>
      <c r="C916" s="195"/>
      <c r="D916" s="220"/>
      <c r="E916" s="239"/>
      <c r="G916" s="55"/>
      <c r="H916" s="12"/>
    </row>
    <row r="917" ht="14.25" customHeight="1">
      <c r="B917" s="19"/>
      <c r="C917" s="195"/>
      <c r="D917" s="220"/>
      <c r="E917" s="239"/>
      <c r="G917" s="55"/>
      <c r="H917" s="12"/>
    </row>
    <row r="918" ht="14.25" customHeight="1">
      <c r="B918" s="19"/>
      <c r="C918" s="195"/>
      <c r="D918" s="220"/>
      <c r="E918" s="239"/>
      <c r="G918" s="55"/>
      <c r="H918" s="12"/>
    </row>
    <row r="919" ht="14.25" customHeight="1">
      <c r="B919" s="19"/>
      <c r="C919" s="195"/>
      <c r="D919" s="220"/>
      <c r="E919" s="239"/>
      <c r="G919" s="55"/>
      <c r="H919" s="12"/>
    </row>
    <row r="920" ht="14.25" customHeight="1">
      <c r="B920" s="19"/>
      <c r="C920" s="195"/>
      <c r="D920" s="220"/>
      <c r="E920" s="239"/>
      <c r="G920" s="55"/>
      <c r="H920" s="12"/>
    </row>
    <row r="921" ht="14.25" customHeight="1">
      <c r="B921" s="19"/>
      <c r="C921" s="195"/>
      <c r="D921" s="220"/>
      <c r="E921" s="239"/>
      <c r="G921" s="55"/>
      <c r="H921" s="12"/>
    </row>
    <row r="922" ht="14.25" customHeight="1">
      <c r="B922" s="19"/>
      <c r="C922" s="195"/>
      <c r="D922" s="220"/>
      <c r="E922" s="239"/>
      <c r="G922" s="55"/>
      <c r="H922" s="12"/>
    </row>
    <row r="923" ht="14.25" customHeight="1">
      <c r="B923" s="19"/>
      <c r="C923" s="195"/>
      <c r="D923" s="220"/>
      <c r="E923" s="239"/>
      <c r="G923" s="55"/>
      <c r="H923" s="12"/>
    </row>
    <row r="924" ht="14.25" customHeight="1">
      <c r="B924" s="19"/>
      <c r="C924" s="195"/>
      <c r="D924" s="220"/>
      <c r="E924" s="239"/>
      <c r="G924" s="55"/>
      <c r="H924" s="12"/>
    </row>
    <row r="925" ht="14.25" customHeight="1">
      <c r="B925" s="19"/>
      <c r="C925" s="195"/>
      <c r="D925" s="220"/>
      <c r="E925" s="239"/>
      <c r="G925" s="55"/>
      <c r="H925" s="12"/>
    </row>
    <row r="926" ht="14.25" customHeight="1">
      <c r="B926" s="19"/>
      <c r="C926" s="195"/>
      <c r="D926" s="220"/>
      <c r="E926" s="239"/>
      <c r="G926" s="55"/>
      <c r="H926" s="12"/>
    </row>
    <row r="927" ht="14.25" customHeight="1">
      <c r="B927" s="19"/>
      <c r="C927" s="195"/>
      <c r="D927" s="220"/>
      <c r="E927" s="239"/>
      <c r="G927" s="55"/>
      <c r="H927" s="12"/>
    </row>
    <row r="928" ht="14.25" customHeight="1">
      <c r="B928" s="19"/>
      <c r="C928" s="195"/>
      <c r="D928" s="220"/>
      <c r="E928" s="239"/>
      <c r="G928" s="55"/>
      <c r="H928" s="12"/>
    </row>
    <row r="929" ht="14.25" customHeight="1">
      <c r="B929" s="19"/>
      <c r="C929" s="195"/>
      <c r="D929" s="220"/>
      <c r="E929" s="239"/>
      <c r="G929" s="55"/>
      <c r="H929" s="12"/>
    </row>
    <row r="930" ht="14.25" customHeight="1">
      <c r="B930" s="19"/>
      <c r="C930" s="195"/>
      <c r="D930" s="220"/>
      <c r="E930" s="239"/>
      <c r="G930" s="55"/>
      <c r="H930" s="12"/>
    </row>
    <row r="931" ht="14.25" customHeight="1">
      <c r="B931" s="19"/>
      <c r="C931" s="195"/>
      <c r="D931" s="220"/>
      <c r="E931" s="239"/>
      <c r="G931" s="55"/>
      <c r="H931" s="12"/>
    </row>
    <row r="932" ht="14.25" customHeight="1">
      <c r="B932" s="19"/>
      <c r="C932" s="195"/>
      <c r="D932" s="220"/>
      <c r="E932" s="239"/>
      <c r="G932" s="55"/>
      <c r="H932" s="12"/>
    </row>
    <row r="933" ht="14.25" customHeight="1">
      <c r="B933" s="19"/>
      <c r="C933" s="195"/>
      <c r="D933" s="220"/>
      <c r="E933" s="239"/>
      <c r="G933" s="55"/>
      <c r="H933" s="12"/>
    </row>
    <row r="934" ht="14.25" customHeight="1">
      <c r="B934" s="19"/>
      <c r="C934" s="195"/>
      <c r="D934" s="220"/>
      <c r="E934" s="239"/>
      <c r="G934" s="55"/>
      <c r="H934" s="12"/>
    </row>
    <row r="935" ht="14.25" customHeight="1">
      <c r="B935" s="19"/>
      <c r="C935" s="195"/>
      <c r="D935" s="220"/>
      <c r="E935" s="239"/>
      <c r="G935" s="55"/>
      <c r="H935" s="12"/>
    </row>
    <row r="936" ht="14.25" customHeight="1">
      <c r="B936" s="19"/>
      <c r="C936" s="195"/>
      <c r="D936" s="220"/>
      <c r="E936" s="239"/>
      <c r="G936" s="55"/>
      <c r="H936" s="12"/>
    </row>
    <row r="937" ht="14.25" customHeight="1">
      <c r="B937" s="19"/>
      <c r="C937" s="195"/>
      <c r="D937" s="220"/>
      <c r="E937" s="239"/>
      <c r="G937" s="55"/>
      <c r="H937" s="12"/>
    </row>
    <row r="938" ht="14.25" customHeight="1">
      <c r="B938" s="19"/>
      <c r="C938" s="195"/>
      <c r="D938" s="220"/>
      <c r="E938" s="239"/>
      <c r="G938" s="55"/>
      <c r="H938" s="12"/>
    </row>
    <row r="939" ht="14.25" customHeight="1">
      <c r="B939" s="19"/>
      <c r="C939" s="195"/>
      <c r="D939" s="220"/>
      <c r="E939" s="239"/>
      <c r="G939" s="55"/>
      <c r="H939" s="12"/>
    </row>
    <row r="940" ht="14.25" customHeight="1">
      <c r="B940" s="19"/>
      <c r="C940" s="195"/>
      <c r="D940" s="220"/>
      <c r="E940" s="239"/>
      <c r="G940" s="55"/>
      <c r="H940" s="12"/>
    </row>
    <row r="941" ht="14.25" customHeight="1">
      <c r="B941" s="19"/>
      <c r="C941" s="195"/>
      <c r="D941" s="220"/>
      <c r="E941" s="239"/>
      <c r="G941" s="55"/>
      <c r="H941" s="12"/>
    </row>
    <row r="942" ht="14.25" customHeight="1">
      <c r="B942" s="19"/>
      <c r="C942" s="195"/>
      <c r="D942" s="220"/>
      <c r="E942" s="239"/>
      <c r="G942" s="55"/>
      <c r="H942" s="12"/>
    </row>
    <row r="943" ht="14.25" customHeight="1">
      <c r="B943" s="19"/>
      <c r="C943" s="195"/>
      <c r="D943" s="220"/>
      <c r="E943" s="239"/>
      <c r="G943" s="55"/>
      <c r="H943" s="12"/>
    </row>
    <row r="944" ht="14.25" customHeight="1">
      <c r="B944" s="19"/>
      <c r="C944" s="195"/>
      <c r="D944" s="220"/>
      <c r="E944" s="239"/>
      <c r="G944" s="55"/>
      <c r="H944" s="12"/>
    </row>
    <row r="945" ht="14.25" customHeight="1">
      <c r="B945" s="19"/>
      <c r="C945" s="195"/>
      <c r="D945" s="220"/>
      <c r="E945" s="239"/>
      <c r="G945" s="55"/>
      <c r="H945" s="12"/>
    </row>
    <row r="946" ht="14.25" customHeight="1">
      <c r="B946" s="19"/>
      <c r="C946" s="195"/>
      <c r="D946" s="220"/>
      <c r="E946" s="239"/>
      <c r="G946" s="55"/>
      <c r="H946" s="12"/>
    </row>
    <row r="947" ht="14.25" customHeight="1">
      <c r="B947" s="19"/>
      <c r="C947" s="195"/>
      <c r="D947" s="220"/>
      <c r="E947" s="239"/>
      <c r="G947" s="55"/>
      <c r="H947" s="12"/>
    </row>
    <row r="948" ht="14.25" customHeight="1">
      <c r="B948" s="19"/>
      <c r="C948" s="195"/>
      <c r="D948" s="220"/>
      <c r="E948" s="239"/>
      <c r="G948" s="55"/>
      <c r="H948" s="12"/>
    </row>
    <row r="949" ht="14.25" customHeight="1">
      <c r="B949" s="19"/>
      <c r="C949" s="195"/>
      <c r="D949" s="220"/>
      <c r="E949" s="239"/>
      <c r="G949" s="55"/>
      <c r="H949" s="12"/>
    </row>
    <row r="950" ht="14.25" customHeight="1">
      <c r="B950" s="19"/>
      <c r="C950" s="195"/>
      <c r="D950" s="220"/>
      <c r="E950" s="239"/>
      <c r="G950" s="55"/>
      <c r="H950" s="12"/>
    </row>
    <row r="951" ht="14.25" customHeight="1">
      <c r="B951" s="19"/>
      <c r="C951" s="195"/>
      <c r="D951" s="220"/>
      <c r="E951" s="239"/>
      <c r="G951" s="55"/>
      <c r="H951" s="12"/>
    </row>
    <row r="952" ht="14.25" customHeight="1">
      <c r="B952" s="19"/>
      <c r="C952" s="195"/>
      <c r="D952" s="220"/>
      <c r="E952" s="239"/>
      <c r="G952" s="55"/>
      <c r="H952" s="12"/>
    </row>
    <row r="953" ht="14.25" customHeight="1">
      <c r="B953" s="19"/>
      <c r="C953" s="195"/>
      <c r="D953" s="220"/>
      <c r="E953" s="239"/>
      <c r="G953" s="55"/>
      <c r="H953" s="12"/>
    </row>
    <row r="954" ht="14.25" customHeight="1">
      <c r="B954" s="19"/>
      <c r="C954" s="195"/>
      <c r="D954" s="220"/>
      <c r="E954" s="239"/>
      <c r="G954" s="55"/>
      <c r="H954" s="12"/>
    </row>
    <row r="955" ht="14.25" customHeight="1">
      <c r="B955" s="19"/>
      <c r="C955" s="195"/>
      <c r="D955" s="220"/>
      <c r="E955" s="239"/>
      <c r="G955" s="55"/>
      <c r="H955" s="12"/>
    </row>
    <row r="956" ht="14.25" customHeight="1">
      <c r="B956" s="19"/>
      <c r="C956" s="195"/>
      <c r="D956" s="220"/>
      <c r="E956" s="239"/>
      <c r="G956" s="55"/>
      <c r="H956" s="12"/>
    </row>
    <row r="957" ht="14.25" customHeight="1">
      <c r="B957" s="19"/>
      <c r="C957" s="195"/>
      <c r="D957" s="220"/>
      <c r="E957" s="239"/>
      <c r="G957" s="55"/>
      <c r="H957" s="12"/>
    </row>
    <row r="958" ht="14.25" customHeight="1">
      <c r="B958" s="19"/>
      <c r="C958" s="195"/>
      <c r="D958" s="220"/>
      <c r="E958" s="239"/>
      <c r="G958" s="55"/>
      <c r="H958" s="12"/>
    </row>
    <row r="959" ht="14.25" customHeight="1">
      <c r="B959" s="19"/>
      <c r="C959" s="195"/>
      <c r="D959" s="220"/>
      <c r="E959" s="239"/>
      <c r="G959" s="55"/>
      <c r="H959" s="12"/>
    </row>
    <row r="960" ht="14.25" customHeight="1">
      <c r="B960" s="19"/>
      <c r="C960" s="195"/>
      <c r="D960" s="220"/>
      <c r="E960" s="239"/>
      <c r="G960" s="55"/>
      <c r="H960" s="12"/>
    </row>
    <row r="961" ht="14.25" customHeight="1">
      <c r="B961" s="19"/>
      <c r="C961" s="195"/>
      <c r="D961" s="220"/>
      <c r="E961" s="239"/>
      <c r="G961" s="55"/>
      <c r="H961" s="12"/>
    </row>
    <row r="962" ht="14.25" customHeight="1">
      <c r="B962" s="19"/>
      <c r="C962" s="195"/>
      <c r="D962" s="220"/>
      <c r="E962" s="239"/>
      <c r="G962" s="55"/>
      <c r="H962" s="12"/>
    </row>
    <row r="963" ht="14.25" customHeight="1">
      <c r="B963" s="19"/>
      <c r="C963" s="195"/>
      <c r="D963" s="220"/>
      <c r="E963" s="239"/>
      <c r="G963" s="55"/>
      <c r="H963" s="12"/>
    </row>
    <row r="964" ht="14.25" customHeight="1">
      <c r="B964" s="19"/>
      <c r="C964" s="195"/>
      <c r="D964" s="220"/>
      <c r="E964" s="239"/>
      <c r="G964" s="55"/>
      <c r="H964" s="12"/>
    </row>
    <row r="965" ht="14.25" customHeight="1">
      <c r="B965" s="19"/>
      <c r="C965" s="195"/>
      <c r="D965" s="220"/>
      <c r="E965" s="239"/>
      <c r="G965" s="55"/>
      <c r="H965" s="12"/>
    </row>
    <row r="966" ht="14.25" customHeight="1">
      <c r="B966" s="19"/>
      <c r="C966" s="195"/>
      <c r="D966" s="220"/>
      <c r="E966" s="239"/>
      <c r="G966" s="55"/>
      <c r="H966" s="12"/>
    </row>
    <row r="967" ht="14.25" customHeight="1">
      <c r="B967" s="19"/>
      <c r="C967" s="195"/>
      <c r="D967" s="220"/>
      <c r="E967" s="239"/>
      <c r="G967" s="55"/>
      <c r="H967" s="12"/>
    </row>
    <row r="968" ht="14.25" customHeight="1">
      <c r="B968" s="19"/>
      <c r="C968" s="195"/>
      <c r="D968" s="220"/>
      <c r="E968" s="239"/>
      <c r="G968" s="55"/>
      <c r="H968" s="12"/>
    </row>
    <row r="969" ht="14.25" customHeight="1">
      <c r="B969" s="19"/>
      <c r="C969" s="195"/>
      <c r="D969" s="220"/>
      <c r="E969" s="239"/>
      <c r="G969" s="55"/>
      <c r="H969" s="12"/>
    </row>
    <row r="970" ht="14.25" customHeight="1">
      <c r="B970" s="19"/>
      <c r="C970" s="195"/>
      <c r="D970" s="220"/>
      <c r="E970" s="239"/>
      <c r="G970" s="55"/>
      <c r="H970" s="12"/>
    </row>
    <row r="971" ht="14.25" customHeight="1">
      <c r="B971" s="19"/>
      <c r="C971" s="195"/>
      <c r="D971" s="220"/>
      <c r="E971" s="239"/>
      <c r="G971" s="55"/>
      <c r="H971" s="12"/>
    </row>
    <row r="972" ht="14.25" customHeight="1">
      <c r="B972" s="19"/>
      <c r="C972" s="195"/>
      <c r="D972" s="220"/>
      <c r="E972" s="239"/>
      <c r="G972" s="55"/>
      <c r="H972" s="12"/>
    </row>
    <row r="973" ht="14.25" customHeight="1">
      <c r="B973" s="19"/>
      <c r="C973" s="195"/>
      <c r="D973" s="220"/>
      <c r="E973" s="239"/>
      <c r="G973" s="55"/>
      <c r="H973" s="12"/>
    </row>
    <row r="974" ht="14.25" customHeight="1">
      <c r="B974" s="19"/>
      <c r="C974" s="195"/>
      <c r="D974" s="220"/>
      <c r="E974" s="239"/>
      <c r="G974" s="55"/>
      <c r="H974" s="12"/>
    </row>
    <row r="975" ht="14.25" customHeight="1">
      <c r="B975" s="19"/>
      <c r="C975" s="195"/>
      <c r="D975" s="220"/>
      <c r="E975" s="239"/>
      <c r="G975" s="55"/>
      <c r="H975" s="12"/>
    </row>
    <row r="976" ht="14.25" customHeight="1">
      <c r="B976" s="19"/>
      <c r="C976" s="195"/>
      <c r="D976" s="220"/>
      <c r="E976" s="239"/>
      <c r="G976" s="55"/>
      <c r="H976" s="12"/>
    </row>
    <row r="977" ht="14.25" customHeight="1">
      <c r="B977" s="19"/>
      <c r="C977" s="195"/>
      <c r="D977" s="220"/>
      <c r="E977" s="239"/>
      <c r="G977" s="55"/>
      <c r="H977" s="12"/>
    </row>
    <row r="978" ht="14.25" customHeight="1">
      <c r="B978" s="19"/>
      <c r="C978" s="195"/>
      <c r="D978" s="220"/>
      <c r="E978" s="239"/>
      <c r="G978" s="55"/>
      <c r="H978" s="12"/>
    </row>
    <row r="979" ht="14.25" customHeight="1">
      <c r="B979" s="19"/>
      <c r="C979" s="195"/>
      <c r="D979" s="220"/>
      <c r="E979" s="239"/>
      <c r="G979" s="55"/>
      <c r="H979" s="12"/>
    </row>
    <row r="980" ht="14.25" customHeight="1">
      <c r="B980" s="19"/>
      <c r="C980" s="195"/>
      <c r="D980" s="220"/>
      <c r="E980" s="239"/>
      <c r="G980" s="55"/>
      <c r="H980" s="12"/>
    </row>
    <row r="981" ht="14.25" customHeight="1">
      <c r="B981" s="19"/>
      <c r="C981" s="195"/>
      <c r="D981" s="220"/>
      <c r="E981" s="239"/>
      <c r="G981" s="55"/>
      <c r="H981" s="12"/>
    </row>
    <row r="982" ht="14.25" customHeight="1">
      <c r="B982" s="19"/>
      <c r="C982" s="195"/>
      <c r="D982" s="220"/>
      <c r="E982" s="239"/>
      <c r="G982" s="55"/>
      <c r="H982" s="12"/>
    </row>
    <row r="983" ht="14.25" customHeight="1">
      <c r="B983" s="19"/>
      <c r="C983" s="195"/>
      <c r="D983" s="220"/>
      <c r="E983" s="239"/>
      <c r="G983" s="55"/>
      <c r="H983" s="12"/>
    </row>
    <row r="984" ht="14.25" customHeight="1">
      <c r="B984" s="19"/>
      <c r="C984" s="195"/>
      <c r="D984" s="220"/>
      <c r="E984" s="239"/>
      <c r="G984" s="55"/>
      <c r="H984" s="12"/>
    </row>
    <row r="985" ht="14.25" customHeight="1">
      <c r="B985" s="19"/>
      <c r="C985" s="195"/>
      <c r="D985" s="220"/>
      <c r="E985" s="239"/>
      <c r="G985" s="55"/>
      <c r="H985" s="12"/>
    </row>
    <row r="986" ht="14.25" customHeight="1">
      <c r="B986" s="19"/>
      <c r="C986" s="195"/>
      <c r="D986" s="220"/>
      <c r="E986" s="239"/>
      <c r="G986" s="55"/>
      <c r="H986" s="12"/>
    </row>
    <row r="987" ht="14.25" customHeight="1">
      <c r="B987" s="19"/>
      <c r="C987" s="195"/>
      <c r="D987" s="220"/>
      <c r="E987" s="239"/>
      <c r="G987" s="55"/>
      <c r="H987" s="12"/>
    </row>
    <row r="988" ht="14.25" customHeight="1">
      <c r="B988" s="19"/>
      <c r="C988" s="195"/>
      <c r="D988" s="220"/>
      <c r="E988" s="239"/>
      <c r="G988" s="55"/>
      <c r="H988" s="12"/>
    </row>
    <row r="989" ht="14.25" customHeight="1">
      <c r="B989" s="19"/>
      <c r="C989" s="195"/>
      <c r="D989" s="220"/>
      <c r="E989" s="239"/>
      <c r="G989" s="55"/>
      <c r="H989" s="12"/>
    </row>
    <row r="990" ht="14.25" customHeight="1">
      <c r="B990" s="19"/>
      <c r="C990" s="195"/>
      <c r="D990" s="220"/>
      <c r="E990" s="239"/>
      <c r="G990" s="55"/>
      <c r="H990" s="12"/>
    </row>
    <row r="991" ht="14.25" customHeight="1">
      <c r="B991" s="19"/>
      <c r="C991" s="195"/>
      <c r="D991" s="220"/>
      <c r="E991" s="239"/>
      <c r="G991" s="55"/>
      <c r="H991" s="12"/>
    </row>
    <row r="992" ht="14.25" customHeight="1">
      <c r="B992" s="19"/>
      <c r="C992" s="195"/>
      <c r="D992" s="220"/>
      <c r="E992" s="239"/>
      <c r="G992" s="55"/>
      <c r="H992" s="12"/>
    </row>
    <row r="993" ht="14.25" customHeight="1">
      <c r="B993" s="19"/>
      <c r="C993" s="195"/>
      <c r="D993" s="220"/>
      <c r="E993" s="239"/>
      <c r="G993" s="55"/>
      <c r="H993" s="12"/>
    </row>
    <row r="994" ht="14.25" customHeight="1">
      <c r="B994" s="19"/>
      <c r="C994" s="195"/>
      <c r="D994" s="220"/>
      <c r="E994" s="239"/>
      <c r="G994" s="55"/>
      <c r="H994" s="12"/>
    </row>
    <row r="995" ht="14.25" customHeight="1">
      <c r="B995" s="19"/>
      <c r="C995" s="195"/>
      <c r="D995" s="220"/>
      <c r="E995" s="239"/>
      <c r="G995" s="55"/>
      <c r="H995" s="12"/>
    </row>
  </sheetData>
  <mergeCells count="11">
    <mergeCell ref="B5:D5"/>
    <mergeCell ref="B6:D6"/>
    <mergeCell ref="F6:G6"/>
    <mergeCell ref="F35:I35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7.0"/>
    <col customWidth="1" min="7" max="7" width="22.29"/>
    <col customWidth="1" min="8" max="8" width="13.29"/>
    <col customWidth="1" min="9" max="9" width="24.0"/>
    <col customWidth="1" min="10" max="28" width="8.71"/>
  </cols>
  <sheetData>
    <row r="1" ht="31.5" customHeight="1">
      <c r="A1" s="11" t="s">
        <v>42</v>
      </c>
      <c r="H1" s="193"/>
    </row>
    <row r="2" ht="26.25" customHeight="1">
      <c r="B2" s="19"/>
      <c r="C2" s="13" t="s">
        <v>43</v>
      </c>
      <c r="F2" s="55"/>
      <c r="G2" s="55"/>
      <c r="H2" s="193"/>
    </row>
    <row r="3" ht="14.25" customHeight="1">
      <c r="A3" s="14" t="s">
        <v>44</v>
      </c>
      <c r="B3" s="56" t="s">
        <v>782</v>
      </c>
      <c r="E3" s="194" t="s">
        <v>46</v>
      </c>
      <c r="F3" s="80" t="s">
        <v>783</v>
      </c>
      <c r="H3" s="193"/>
    </row>
    <row r="4" ht="14.25" customHeight="1">
      <c r="A4" s="14" t="s">
        <v>48</v>
      </c>
      <c r="B4" s="56" t="s">
        <v>31</v>
      </c>
      <c r="E4" s="194" t="s">
        <v>105</v>
      </c>
      <c r="F4" s="80">
        <v>7.012256101369E12</v>
      </c>
      <c r="H4" s="193"/>
    </row>
    <row r="5" ht="14.25" customHeight="1">
      <c r="A5" s="14" t="s">
        <v>51</v>
      </c>
      <c r="B5" s="56" t="s">
        <v>784</v>
      </c>
      <c r="E5" s="194" t="s">
        <v>53</v>
      </c>
      <c r="F5" s="80" t="s">
        <v>31</v>
      </c>
      <c r="H5" s="193"/>
    </row>
    <row r="6" ht="14.25" customHeight="1">
      <c r="A6" s="14" t="s">
        <v>54</v>
      </c>
      <c r="B6" s="18"/>
      <c r="E6" s="194" t="s">
        <v>55</v>
      </c>
      <c r="F6" s="80">
        <v>9.110005355063E12</v>
      </c>
      <c r="H6" s="193"/>
    </row>
    <row r="7" ht="14.25" customHeight="1">
      <c r="B7" s="19"/>
      <c r="C7" s="195"/>
      <c r="D7" s="220"/>
      <c r="E7" s="220"/>
      <c r="F7" s="55"/>
      <c r="G7" s="55"/>
      <c r="H7" s="193"/>
    </row>
    <row r="8" ht="14.25" customHeight="1">
      <c r="B8" s="19"/>
      <c r="C8" s="195"/>
      <c r="D8" s="220"/>
      <c r="E8" s="220"/>
      <c r="F8" s="55"/>
      <c r="G8" s="55"/>
      <c r="H8" s="193"/>
    </row>
    <row r="9" ht="14.25" customHeight="1">
      <c r="A9" s="107" t="s">
        <v>56</v>
      </c>
      <c r="B9" s="108" t="s">
        <v>107</v>
      </c>
      <c r="C9" s="245" t="s">
        <v>58</v>
      </c>
      <c r="D9" s="178" t="s">
        <v>59</v>
      </c>
      <c r="E9" s="178" t="s">
        <v>60</v>
      </c>
      <c r="F9" s="110" t="s">
        <v>61</v>
      </c>
      <c r="G9" s="110" t="s">
        <v>62</v>
      </c>
      <c r="H9" s="246" t="s">
        <v>63</v>
      </c>
      <c r="I9" s="107" t="s">
        <v>64</v>
      </c>
    </row>
    <row r="10" ht="14.25" customHeight="1">
      <c r="A10" s="114" t="s">
        <v>785</v>
      </c>
      <c r="B10" s="114">
        <v>7.8673636E7</v>
      </c>
      <c r="C10" s="231">
        <v>45088.0</v>
      </c>
      <c r="D10" s="233">
        <v>0.2916666666666667</v>
      </c>
      <c r="E10" s="247">
        <v>0.33402777777777776</v>
      </c>
      <c r="F10" s="117">
        <v>1.0</v>
      </c>
      <c r="G10" s="117">
        <v>1.0</v>
      </c>
      <c r="H10" s="248">
        <f t="shared" ref="H10:H50" si="1">G10*200</f>
        <v>200</v>
      </c>
      <c r="I10" s="249" t="s">
        <v>786</v>
      </c>
    </row>
    <row r="11" ht="14.25" customHeight="1">
      <c r="A11" s="250" t="s">
        <v>787</v>
      </c>
      <c r="B11" s="250">
        <v>7.6737415E7</v>
      </c>
      <c r="C11" s="231">
        <v>45088.0</v>
      </c>
      <c r="D11" s="247">
        <v>0.3368055555555556</v>
      </c>
      <c r="E11" s="233">
        <v>0.3784722222222222</v>
      </c>
      <c r="F11" s="251">
        <v>1.0</v>
      </c>
      <c r="G11" s="117">
        <v>1.0</v>
      </c>
      <c r="H11" s="248">
        <f t="shared" si="1"/>
        <v>200</v>
      </c>
      <c r="I11" s="249" t="s">
        <v>786</v>
      </c>
    </row>
    <row r="12" ht="14.25" customHeight="1">
      <c r="A12" s="179" t="s">
        <v>788</v>
      </c>
      <c r="B12" s="114">
        <v>7.8250927E7</v>
      </c>
      <c r="C12" s="231">
        <v>45088.0</v>
      </c>
      <c r="D12" s="180">
        <v>0.3840277777777778</v>
      </c>
      <c r="E12" s="180">
        <v>0.42569444444444443</v>
      </c>
      <c r="F12" s="251">
        <v>1.0</v>
      </c>
      <c r="G12" s="117">
        <v>1.0</v>
      </c>
      <c r="H12" s="248">
        <f t="shared" si="1"/>
        <v>200</v>
      </c>
      <c r="I12" s="249" t="s">
        <v>716</v>
      </c>
    </row>
    <row r="13" ht="14.25" customHeight="1">
      <c r="A13" s="179" t="s">
        <v>789</v>
      </c>
      <c r="B13" s="114">
        <v>7.8039281E7</v>
      </c>
      <c r="C13" s="231">
        <v>45088.0</v>
      </c>
      <c r="D13" s="180">
        <v>0.71875</v>
      </c>
      <c r="E13" s="180">
        <v>0.7604166666666666</v>
      </c>
      <c r="F13" s="251">
        <v>1.0</v>
      </c>
      <c r="G13" s="117">
        <v>1.0</v>
      </c>
      <c r="H13" s="248">
        <f t="shared" si="1"/>
        <v>200</v>
      </c>
      <c r="I13" s="119"/>
    </row>
    <row r="14" ht="14.25" customHeight="1">
      <c r="A14" s="179" t="s">
        <v>790</v>
      </c>
      <c r="B14" s="114">
        <v>7.8538219E7</v>
      </c>
      <c r="C14" s="231">
        <v>45088.0</v>
      </c>
      <c r="D14" s="180">
        <v>0.7986111111111112</v>
      </c>
      <c r="E14" s="180">
        <v>0.8402777777777778</v>
      </c>
      <c r="F14" s="251">
        <v>1.0</v>
      </c>
      <c r="G14" s="117">
        <v>1.0</v>
      </c>
      <c r="H14" s="248">
        <f t="shared" si="1"/>
        <v>200</v>
      </c>
      <c r="I14" s="119"/>
    </row>
    <row r="15" ht="14.25" customHeight="1">
      <c r="A15" s="179" t="s">
        <v>791</v>
      </c>
      <c r="B15" s="250">
        <v>7.6686676E7</v>
      </c>
      <c r="C15" s="231">
        <v>45088.0</v>
      </c>
      <c r="D15" s="180">
        <v>0.8541666666666666</v>
      </c>
      <c r="E15" s="180">
        <v>0.8979166666666667</v>
      </c>
      <c r="F15" s="251">
        <v>1.0</v>
      </c>
      <c r="G15" s="117">
        <v>1.0</v>
      </c>
      <c r="H15" s="248">
        <f t="shared" si="1"/>
        <v>200</v>
      </c>
      <c r="I15" s="252"/>
    </row>
    <row r="16" ht="14.25" customHeight="1">
      <c r="A16" s="136" t="s">
        <v>792</v>
      </c>
      <c r="B16" s="136">
        <v>7.6614196E7</v>
      </c>
      <c r="C16" s="231">
        <v>45088.0</v>
      </c>
      <c r="D16" s="180">
        <v>0.9097222222222222</v>
      </c>
      <c r="E16" s="180">
        <v>0.9930555555555556</v>
      </c>
      <c r="F16" s="253">
        <v>3.0</v>
      </c>
      <c r="G16" s="117">
        <v>3.0</v>
      </c>
      <c r="H16" s="248">
        <f t="shared" si="1"/>
        <v>600</v>
      </c>
      <c r="I16" s="252" t="s">
        <v>793</v>
      </c>
    </row>
    <row r="17" ht="14.25" customHeight="1">
      <c r="A17" s="250" t="s">
        <v>794</v>
      </c>
      <c r="B17" s="250">
        <v>7.6073877E7</v>
      </c>
      <c r="C17" s="231">
        <v>45118.0</v>
      </c>
      <c r="D17" s="180">
        <v>0.9722222222222222</v>
      </c>
      <c r="E17" s="180">
        <v>0.01597222222222222</v>
      </c>
      <c r="F17" s="251">
        <v>1.0</v>
      </c>
      <c r="G17" s="117">
        <v>1.0</v>
      </c>
      <c r="H17" s="248">
        <f t="shared" si="1"/>
        <v>200</v>
      </c>
      <c r="I17" s="252" t="s">
        <v>795</v>
      </c>
    </row>
    <row r="18" ht="14.25" customHeight="1">
      <c r="A18" s="136" t="s">
        <v>796</v>
      </c>
      <c r="B18" s="250">
        <v>7.6811647E7</v>
      </c>
      <c r="C18" s="231">
        <v>45118.0</v>
      </c>
      <c r="D18" s="254">
        <v>0.4583333333333333</v>
      </c>
      <c r="E18" s="255">
        <v>0.5006944444444444</v>
      </c>
      <c r="F18" s="121">
        <v>1.0</v>
      </c>
      <c r="G18" s="117">
        <v>1.0</v>
      </c>
      <c r="H18" s="248">
        <f t="shared" si="1"/>
        <v>200</v>
      </c>
      <c r="I18" s="154" t="s">
        <v>716</v>
      </c>
    </row>
    <row r="19" ht="14.25" customHeight="1">
      <c r="A19" s="88" t="s">
        <v>797</v>
      </c>
      <c r="B19" s="150">
        <v>7.6600492E7</v>
      </c>
      <c r="C19" s="256">
        <v>45118.0</v>
      </c>
      <c r="D19" s="257">
        <v>0.5034722222222222</v>
      </c>
      <c r="E19" s="258">
        <v>0.5451388888888888</v>
      </c>
      <c r="F19" s="121">
        <v>1.0</v>
      </c>
      <c r="G19" s="117">
        <v>1.0</v>
      </c>
      <c r="H19" s="248">
        <f t="shared" si="1"/>
        <v>200</v>
      </c>
      <c r="I19" s="154" t="s">
        <v>716</v>
      </c>
    </row>
    <row r="20" ht="14.25" customHeight="1">
      <c r="A20" s="88" t="s">
        <v>798</v>
      </c>
      <c r="B20" s="150">
        <v>7.6263751E7</v>
      </c>
      <c r="C20" s="231">
        <v>45118.0</v>
      </c>
      <c r="D20" s="180" t="s">
        <v>799</v>
      </c>
      <c r="E20" s="180" t="s">
        <v>800</v>
      </c>
      <c r="F20" s="126">
        <v>1.0</v>
      </c>
      <c r="G20" s="117">
        <v>1.0</v>
      </c>
      <c r="H20" s="248">
        <f t="shared" si="1"/>
        <v>200</v>
      </c>
      <c r="I20" s="154" t="s">
        <v>801</v>
      </c>
    </row>
    <row r="21" ht="14.25" customHeight="1">
      <c r="A21" s="2" t="s">
        <v>802</v>
      </c>
      <c r="B21" s="259" t="s">
        <v>593</v>
      </c>
      <c r="C21" s="231">
        <v>45118.0</v>
      </c>
      <c r="D21" s="180" t="s">
        <v>803</v>
      </c>
      <c r="E21" s="180" t="s">
        <v>804</v>
      </c>
      <c r="F21" s="121">
        <v>1.0</v>
      </c>
      <c r="G21" s="117">
        <v>1.0</v>
      </c>
      <c r="H21" s="248">
        <f t="shared" si="1"/>
        <v>200</v>
      </c>
      <c r="I21" s="154" t="s">
        <v>805</v>
      </c>
    </row>
    <row r="22" ht="14.25" customHeight="1">
      <c r="A22" s="88" t="s">
        <v>806</v>
      </c>
      <c r="B22" s="136">
        <v>7.6274237E7</v>
      </c>
      <c r="C22" s="231">
        <v>45118.0</v>
      </c>
      <c r="D22" s="180" t="s">
        <v>807</v>
      </c>
      <c r="E22" s="180" t="s">
        <v>808</v>
      </c>
      <c r="F22" s="121">
        <v>1.0</v>
      </c>
      <c r="G22" s="117">
        <v>1.0</v>
      </c>
      <c r="H22" s="248">
        <f t="shared" si="1"/>
        <v>200</v>
      </c>
      <c r="I22" s="154" t="s">
        <v>809</v>
      </c>
    </row>
    <row r="23" ht="14.25" customHeight="1">
      <c r="A23" s="260" t="s">
        <v>810</v>
      </c>
      <c r="B23" s="135">
        <v>7.6834985E7</v>
      </c>
      <c r="C23" s="231">
        <v>45149.0</v>
      </c>
      <c r="D23" s="180">
        <v>0.23958333333333334</v>
      </c>
      <c r="E23" s="180">
        <v>0.2826388888888889</v>
      </c>
      <c r="F23" s="121">
        <v>1.0</v>
      </c>
      <c r="G23" s="117">
        <v>1.0</v>
      </c>
      <c r="H23" s="248">
        <f t="shared" si="1"/>
        <v>200</v>
      </c>
      <c r="I23" s="154" t="s">
        <v>811</v>
      </c>
    </row>
    <row r="24" ht="14.25" customHeight="1">
      <c r="A24" s="136" t="s">
        <v>812</v>
      </c>
      <c r="B24" s="136">
        <v>7.6739195E7</v>
      </c>
      <c r="C24" s="231">
        <v>45149.0</v>
      </c>
      <c r="D24" s="180">
        <v>0.4166666666666667</v>
      </c>
      <c r="E24" s="180">
        <v>0.4583333333333333</v>
      </c>
      <c r="F24" s="251">
        <v>1.0</v>
      </c>
      <c r="G24" s="117">
        <v>1.0</v>
      </c>
      <c r="H24" s="248">
        <f t="shared" si="1"/>
        <v>200</v>
      </c>
      <c r="I24" s="154" t="s">
        <v>813</v>
      </c>
    </row>
    <row r="25" ht="14.25" customHeight="1">
      <c r="A25" s="250" t="s">
        <v>814</v>
      </c>
      <c r="B25" s="250">
        <v>7.6407809E7</v>
      </c>
      <c r="C25" s="231">
        <v>45149.0</v>
      </c>
      <c r="D25" s="233">
        <v>0.5208333333333334</v>
      </c>
      <c r="E25" s="233">
        <v>0.5625</v>
      </c>
      <c r="F25" s="251">
        <v>1.0</v>
      </c>
      <c r="G25" s="117">
        <v>1.0</v>
      </c>
      <c r="H25" s="248">
        <f t="shared" si="1"/>
        <v>200</v>
      </c>
      <c r="I25" s="154" t="s">
        <v>815</v>
      </c>
    </row>
    <row r="26" ht="14.25" customHeight="1">
      <c r="A26" s="261" t="s">
        <v>816</v>
      </c>
      <c r="B26" s="114">
        <v>7.6278557E7</v>
      </c>
      <c r="C26" s="231">
        <v>45149.0</v>
      </c>
      <c r="D26" s="233">
        <v>0.5972222222222222</v>
      </c>
      <c r="E26" s="233">
        <v>0.6388888888888888</v>
      </c>
      <c r="F26" s="251">
        <v>1.0</v>
      </c>
      <c r="G26" s="117">
        <v>1.0</v>
      </c>
      <c r="H26" s="248">
        <f t="shared" si="1"/>
        <v>200</v>
      </c>
      <c r="I26" s="154" t="s">
        <v>815</v>
      </c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262"/>
      <c r="AA26" s="262"/>
      <c r="AB26" s="262"/>
    </row>
    <row r="27" ht="14.25" customHeight="1">
      <c r="A27" s="88" t="s">
        <v>817</v>
      </c>
      <c r="B27" s="150">
        <v>7.611882E7</v>
      </c>
      <c r="C27" s="231">
        <v>45149.0</v>
      </c>
      <c r="D27" s="263">
        <v>0.7465277777777778</v>
      </c>
      <c r="E27" s="180">
        <v>0.7881944444444444</v>
      </c>
      <c r="F27" s="121">
        <v>1.0</v>
      </c>
      <c r="G27" s="117">
        <v>1.0</v>
      </c>
      <c r="H27" s="248">
        <f t="shared" si="1"/>
        <v>200</v>
      </c>
      <c r="I27" s="154" t="s">
        <v>818</v>
      </c>
    </row>
    <row r="28" ht="14.25" customHeight="1">
      <c r="A28" s="88" t="s">
        <v>819</v>
      </c>
      <c r="B28" s="150">
        <v>7.8475928E7</v>
      </c>
      <c r="C28" s="231">
        <v>45149.0</v>
      </c>
      <c r="D28" s="229">
        <v>0.7951388888888888</v>
      </c>
      <c r="E28" s="229">
        <v>0.8368055555555556</v>
      </c>
      <c r="F28" s="121">
        <v>1.0</v>
      </c>
      <c r="G28" s="121">
        <v>1.0</v>
      </c>
      <c r="H28" s="248">
        <f t="shared" si="1"/>
        <v>200</v>
      </c>
      <c r="I28" s="154" t="s">
        <v>818</v>
      </c>
    </row>
    <row r="29" ht="14.25" customHeight="1">
      <c r="A29" s="88" t="s">
        <v>820</v>
      </c>
      <c r="B29" s="150">
        <v>7.6725577E7</v>
      </c>
      <c r="C29" s="231">
        <v>45149.0</v>
      </c>
      <c r="D29" s="229">
        <v>0.8680555555555556</v>
      </c>
      <c r="E29" s="229">
        <v>0.9097222222222222</v>
      </c>
      <c r="F29" s="121">
        <v>1.0</v>
      </c>
      <c r="G29" s="117">
        <v>1.0</v>
      </c>
      <c r="H29" s="248">
        <f t="shared" si="1"/>
        <v>200</v>
      </c>
      <c r="I29" s="154" t="s">
        <v>821</v>
      </c>
    </row>
    <row r="30" ht="14.25" customHeight="1">
      <c r="A30" s="88" t="s">
        <v>822</v>
      </c>
      <c r="B30" s="150">
        <v>7.6361848E7</v>
      </c>
      <c r="C30" s="231">
        <v>45180.0</v>
      </c>
      <c r="D30" s="264">
        <v>0.22916666666666666</v>
      </c>
      <c r="E30" s="265">
        <v>0.2708333333333333</v>
      </c>
      <c r="F30" s="121">
        <v>1.0</v>
      </c>
      <c r="G30" s="117">
        <v>1.0</v>
      </c>
      <c r="H30" s="248">
        <f t="shared" si="1"/>
        <v>200</v>
      </c>
      <c r="I30" s="154" t="s">
        <v>823</v>
      </c>
    </row>
    <row r="31" ht="14.25" customHeight="1">
      <c r="A31" s="88" t="s">
        <v>824</v>
      </c>
      <c r="B31" s="150">
        <v>7.6605964E7</v>
      </c>
      <c r="C31" s="231">
        <v>45180.0</v>
      </c>
      <c r="D31" s="265">
        <v>0.3472222222222222</v>
      </c>
      <c r="E31" s="266">
        <v>0.3888888888888889</v>
      </c>
      <c r="F31" s="121">
        <v>1.0</v>
      </c>
      <c r="G31" s="117">
        <v>1.0</v>
      </c>
      <c r="H31" s="248">
        <f t="shared" si="1"/>
        <v>200</v>
      </c>
      <c r="I31" s="154" t="s">
        <v>825</v>
      </c>
    </row>
    <row r="32" ht="14.25" customHeight="1">
      <c r="A32" s="88" t="s">
        <v>826</v>
      </c>
      <c r="B32" s="150">
        <v>7.8144908E7</v>
      </c>
      <c r="C32" s="231">
        <v>45180.0</v>
      </c>
      <c r="D32" s="265">
        <v>0.2847222222222222</v>
      </c>
      <c r="E32" s="266">
        <v>0.3263888888888889</v>
      </c>
      <c r="F32" s="121">
        <v>1.0</v>
      </c>
      <c r="G32" s="117">
        <v>1.0</v>
      </c>
      <c r="H32" s="248">
        <f t="shared" si="1"/>
        <v>200</v>
      </c>
      <c r="I32" s="267" t="s">
        <v>825</v>
      </c>
    </row>
    <row r="33" ht="14.25" customHeight="1">
      <c r="A33" s="88" t="s">
        <v>827</v>
      </c>
      <c r="B33" s="135">
        <v>7.6921927E7</v>
      </c>
      <c r="C33" s="231">
        <v>45180.0</v>
      </c>
      <c r="D33" s="180">
        <v>0.4375</v>
      </c>
      <c r="E33" s="180">
        <v>0.4791666666666667</v>
      </c>
      <c r="F33" s="121">
        <v>1.0</v>
      </c>
      <c r="G33" s="117">
        <v>1.0</v>
      </c>
      <c r="H33" s="248">
        <f t="shared" si="1"/>
        <v>200</v>
      </c>
      <c r="I33" s="154" t="s">
        <v>716</v>
      </c>
    </row>
    <row r="34" ht="14.25" customHeight="1">
      <c r="A34" s="88" t="s">
        <v>828</v>
      </c>
      <c r="B34" s="137">
        <v>7.8137897E7</v>
      </c>
      <c r="C34" s="231">
        <v>45180.0</v>
      </c>
      <c r="D34" s="180">
        <v>0.5208333333333334</v>
      </c>
      <c r="E34" s="180">
        <v>0.5625</v>
      </c>
      <c r="F34" s="121">
        <v>1.0</v>
      </c>
      <c r="G34" s="117">
        <v>1.0</v>
      </c>
      <c r="H34" s="248">
        <f t="shared" si="1"/>
        <v>200</v>
      </c>
      <c r="I34" s="154" t="s">
        <v>829</v>
      </c>
    </row>
    <row r="35" ht="14.25" customHeight="1">
      <c r="A35" s="88" t="s">
        <v>830</v>
      </c>
      <c r="B35" s="268">
        <v>7.6648987E7</v>
      </c>
      <c r="C35" s="231">
        <v>45180.0</v>
      </c>
      <c r="D35" s="180">
        <v>0.5763888888888888</v>
      </c>
      <c r="E35" s="266">
        <v>0.6180555555555556</v>
      </c>
      <c r="F35" s="116">
        <v>1.0</v>
      </c>
      <c r="G35" s="117">
        <v>1.0</v>
      </c>
      <c r="H35" s="248">
        <f t="shared" si="1"/>
        <v>200</v>
      </c>
      <c r="I35" s="154" t="s">
        <v>831</v>
      </c>
    </row>
    <row r="36" ht="14.25" customHeight="1">
      <c r="A36" s="88" t="s">
        <v>832</v>
      </c>
      <c r="B36" s="114">
        <v>7.6658811E7</v>
      </c>
      <c r="C36" s="231">
        <v>45180.0</v>
      </c>
      <c r="D36" s="266">
        <v>0.6673611111111111</v>
      </c>
      <c r="E36" s="233">
        <v>0.7520833333333333</v>
      </c>
      <c r="F36" s="116">
        <v>2.0</v>
      </c>
      <c r="G36" s="117">
        <v>2.0</v>
      </c>
      <c r="H36" s="248">
        <f t="shared" si="1"/>
        <v>400</v>
      </c>
      <c r="I36" s="154" t="s">
        <v>833</v>
      </c>
    </row>
    <row r="37" ht="14.25" customHeight="1">
      <c r="A37" s="114" t="s">
        <v>834</v>
      </c>
      <c r="B37" s="259" t="s">
        <v>593</v>
      </c>
      <c r="C37" s="231">
        <v>45180.0</v>
      </c>
      <c r="D37" s="180" t="s">
        <v>835</v>
      </c>
      <c r="E37" s="114" t="s">
        <v>836</v>
      </c>
      <c r="F37" s="116">
        <v>1.0</v>
      </c>
      <c r="G37" s="117">
        <v>1.0</v>
      </c>
      <c r="H37" s="248">
        <f t="shared" si="1"/>
        <v>200</v>
      </c>
      <c r="I37" s="154" t="s">
        <v>833</v>
      </c>
    </row>
    <row r="38" ht="14.25" customHeight="1">
      <c r="A38" s="135" t="s">
        <v>837</v>
      </c>
      <c r="B38" s="135">
        <v>7.6147545E7</v>
      </c>
      <c r="C38" s="269">
        <v>45180.0</v>
      </c>
      <c r="D38" s="270">
        <v>0.8125</v>
      </c>
      <c r="E38" s="180">
        <v>0.8958333333333334</v>
      </c>
      <c r="F38" s="116">
        <v>2.0</v>
      </c>
      <c r="G38" s="117">
        <v>2.0</v>
      </c>
      <c r="H38" s="248">
        <f t="shared" si="1"/>
        <v>400</v>
      </c>
      <c r="I38" s="154" t="s">
        <v>838</v>
      </c>
    </row>
    <row r="39" ht="14.25" customHeight="1">
      <c r="A39" s="137" t="s">
        <v>839</v>
      </c>
      <c r="B39" s="135">
        <v>7.6833507E7</v>
      </c>
      <c r="C39" s="231">
        <v>45210.0</v>
      </c>
      <c r="D39" s="270">
        <v>0.3819444444444444</v>
      </c>
      <c r="E39" s="271">
        <v>0.42430555555555555</v>
      </c>
      <c r="F39" s="116">
        <v>1.0</v>
      </c>
      <c r="G39" s="117">
        <v>1.0</v>
      </c>
      <c r="H39" s="248">
        <f t="shared" si="1"/>
        <v>200</v>
      </c>
      <c r="I39" s="154" t="s">
        <v>840</v>
      </c>
    </row>
    <row r="40" ht="14.25" customHeight="1">
      <c r="A40" s="135" t="s">
        <v>841</v>
      </c>
      <c r="B40" s="135">
        <v>7.6672364E7</v>
      </c>
      <c r="C40" s="231">
        <v>45210.0</v>
      </c>
      <c r="D40" s="233">
        <v>0.4305555555555556</v>
      </c>
      <c r="E40" s="233">
        <v>0.4722222222222222</v>
      </c>
      <c r="F40" s="116">
        <v>1.0</v>
      </c>
      <c r="G40" s="117">
        <v>1.0</v>
      </c>
      <c r="H40" s="248">
        <f t="shared" si="1"/>
        <v>200</v>
      </c>
      <c r="I40" s="154" t="s">
        <v>842</v>
      </c>
    </row>
    <row r="41" ht="14.25" customHeight="1">
      <c r="A41" s="135" t="s">
        <v>843</v>
      </c>
      <c r="B41" s="135">
        <v>7.8484935E7</v>
      </c>
      <c r="C41" s="231">
        <v>45210.0</v>
      </c>
      <c r="D41" s="270">
        <v>0.4756944444444444</v>
      </c>
      <c r="E41" s="272">
        <v>0.5173611111111112</v>
      </c>
      <c r="F41" s="116">
        <v>1.0</v>
      </c>
      <c r="G41" s="117">
        <v>1.0</v>
      </c>
      <c r="H41" s="248">
        <f t="shared" si="1"/>
        <v>200</v>
      </c>
      <c r="I41" s="154" t="s">
        <v>844</v>
      </c>
    </row>
    <row r="42">
      <c r="A42" s="88" t="s">
        <v>845</v>
      </c>
      <c r="B42" s="150">
        <v>7.6408824E7</v>
      </c>
      <c r="C42" s="231">
        <v>45210.0</v>
      </c>
      <c r="D42" s="229">
        <v>0.5208333333333334</v>
      </c>
      <c r="E42" s="273">
        <v>0.6041666666666666</v>
      </c>
      <c r="F42" s="89">
        <v>2.0</v>
      </c>
      <c r="G42" s="89">
        <v>2.0</v>
      </c>
      <c r="H42" s="248">
        <f t="shared" si="1"/>
        <v>400</v>
      </c>
      <c r="I42" s="274" t="s">
        <v>846</v>
      </c>
    </row>
    <row r="43" ht="14.25" customHeight="1">
      <c r="A43" s="112" t="s">
        <v>847</v>
      </c>
      <c r="B43" s="112">
        <v>7.635852E7</v>
      </c>
      <c r="C43" s="275">
        <v>45210.0</v>
      </c>
      <c r="D43" s="180">
        <v>0.625</v>
      </c>
      <c r="E43" s="180">
        <v>0.7083333333333334</v>
      </c>
      <c r="F43" s="116">
        <v>2.0</v>
      </c>
      <c r="G43" s="117">
        <v>2.0</v>
      </c>
      <c r="H43" s="248">
        <f t="shared" si="1"/>
        <v>400</v>
      </c>
      <c r="I43" s="154" t="s">
        <v>848</v>
      </c>
    </row>
    <row r="44" ht="16.5" customHeight="1">
      <c r="A44" s="88" t="s">
        <v>849</v>
      </c>
      <c r="B44" s="150">
        <v>7.8032888E7</v>
      </c>
      <c r="C44" s="256">
        <v>45210.0</v>
      </c>
      <c r="D44" s="229">
        <v>0.7291666666666666</v>
      </c>
      <c r="E44" s="229">
        <v>0.7715277777777778</v>
      </c>
      <c r="F44" s="89">
        <v>1.0</v>
      </c>
      <c r="G44" s="89">
        <v>1.0</v>
      </c>
      <c r="H44" s="248">
        <f t="shared" si="1"/>
        <v>200</v>
      </c>
      <c r="I44" s="154" t="s">
        <v>850</v>
      </c>
    </row>
    <row r="45" ht="15.0" customHeight="1">
      <c r="A45" s="88" t="s">
        <v>851</v>
      </c>
      <c r="B45" s="150">
        <v>7.6857917E7</v>
      </c>
      <c r="C45" s="256">
        <v>45241.0</v>
      </c>
      <c r="D45" s="229">
        <v>0.2916666666666667</v>
      </c>
      <c r="E45" s="229">
        <v>0.3333333333333333</v>
      </c>
      <c r="F45" s="89">
        <v>1.0</v>
      </c>
      <c r="G45" s="89">
        <v>1.0</v>
      </c>
      <c r="H45" s="248">
        <f t="shared" si="1"/>
        <v>200</v>
      </c>
      <c r="I45" s="154" t="s">
        <v>852</v>
      </c>
    </row>
    <row r="46" ht="14.25" customHeight="1">
      <c r="A46" s="88" t="s">
        <v>853</v>
      </c>
      <c r="B46" s="150">
        <v>7.6969399E7</v>
      </c>
      <c r="C46" s="227">
        <v>45241.0</v>
      </c>
      <c r="D46" s="229">
        <v>0.3472222222222222</v>
      </c>
      <c r="E46" s="229">
        <v>0.3888888888888889</v>
      </c>
      <c r="F46" s="89">
        <v>2.0</v>
      </c>
      <c r="G46" s="89">
        <v>2.0</v>
      </c>
      <c r="H46" s="248">
        <f t="shared" si="1"/>
        <v>400</v>
      </c>
      <c r="I46" s="154" t="s">
        <v>854</v>
      </c>
    </row>
    <row r="47" ht="14.25" customHeight="1">
      <c r="A47" s="88" t="s">
        <v>855</v>
      </c>
      <c r="B47" s="150">
        <v>7.6727893E7</v>
      </c>
      <c r="C47" s="227">
        <v>45241.0</v>
      </c>
      <c r="D47" s="229">
        <v>0.4375</v>
      </c>
      <c r="E47" s="229">
        <v>0.4791666666666667</v>
      </c>
      <c r="F47" s="89">
        <v>1.0</v>
      </c>
      <c r="G47" s="89">
        <v>1.0</v>
      </c>
      <c r="H47" s="248">
        <f t="shared" si="1"/>
        <v>200</v>
      </c>
      <c r="I47" s="154" t="s">
        <v>856</v>
      </c>
    </row>
    <row r="48" ht="14.25" customHeight="1">
      <c r="A48" s="88" t="s">
        <v>857</v>
      </c>
      <c r="B48" s="150">
        <v>7.6606725E7</v>
      </c>
      <c r="C48" s="227">
        <v>45241.0</v>
      </c>
      <c r="D48" s="229">
        <v>0.4930555555555556</v>
      </c>
      <c r="E48" s="229">
        <v>0.5347222222222222</v>
      </c>
      <c r="F48" s="89">
        <v>1.0</v>
      </c>
      <c r="G48" s="89">
        <v>1.0</v>
      </c>
      <c r="H48" s="248">
        <f t="shared" si="1"/>
        <v>200</v>
      </c>
      <c r="I48" s="43"/>
    </row>
    <row r="49" ht="14.25" customHeight="1">
      <c r="A49" s="88" t="s">
        <v>75</v>
      </c>
      <c r="B49" s="150">
        <v>7.8187142E7</v>
      </c>
      <c r="C49" s="150" t="s">
        <v>119</v>
      </c>
      <c r="D49" s="229">
        <v>0.5208333333333334</v>
      </c>
      <c r="E49" s="229">
        <v>0.6041666666666666</v>
      </c>
      <c r="F49" s="89">
        <v>2.0</v>
      </c>
      <c r="G49" s="89">
        <v>2.0</v>
      </c>
      <c r="H49" s="248">
        <f t="shared" si="1"/>
        <v>400</v>
      </c>
      <c r="I49" s="43"/>
    </row>
    <row r="50" ht="14.25" customHeight="1">
      <c r="A50" s="88" t="s">
        <v>858</v>
      </c>
      <c r="B50" s="150">
        <v>7.618399E7</v>
      </c>
      <c r="C50" s="150" t="s">
        <v>119</v>
      </c>
      <c r="D50" s="229">
        <v>0.6458333333333334</v>
      </c>
      <c r="E50" s="229">
        <v>0.7291666666666666</v>
      </c>
      <c r="F50" s="89">
        <v>2.0</v>
      </c>
      <c r="G50" s="89">
        <v>2.0</v>
      </c>
      <c r="H50" s="248">
        <f t="shared" si="1"/>
        <v>400</v>
      </c>
      <c r="I50" s="43"/>
    </row>
    <row r="51" ht="19.5" customHeight="1">
      <c r="A51" s="276"/>
      <c r="B51" s="277"/>
      <c r="C51" s="278"/>
      <c r="D51" s="188"/>
      <c r="E51" s="189" t="s">
        <v>41</v>
      </c>
      <c r="F51" s="142">
        <f>SUM(F9:F50)</f>
        <v>50</v>
      </c>
      <c r="G51" s="142">
        <f>SUM(G10:G50)</f>
        <v>50</v>
      </c>
      <c r="H51" s="190">
        <f>SUM(H9:H50)</f>
        <v>10000</v>
      </c>
      <c r="I51" s="191"/>
    </row>
    <row r="52">
      <c r="A52" s="279"/>
      <c r="B52" s="140"/>
      <c r="C52" s="280"/>
      <c r="D52" s="189"/>
      <c r="E52" s="281" t="s">
        <v>100</v>
      </c>
      <c r="F52" s="147">
        <f>COUNT(G10:G50)</f>
        <v>41</v>
      </c>
      <c r="G52" s="47"/>
      <c r="H52" s="47"/>
      <c r="I52" s="48"/>
    </row>
    <row r="53" ht="14.25" customHeight="1">
      <c r="B53" s="19"/>
      <c r="C53" s="195"/>
      <c r="D53" s="220"/>
      <c r="E53" s="220"/>
      <c r="F53" s="55"/>
      <c r="G53" s="55"/>
      <c r="H53" s="193"/>
    </row>
    <row r="54" ht="14.25" customHeight="1">
      <c r="B54" s="19"/>
      <c r="C54" s="195"/>
      <c r="D54" s="49" t="s">
        <v>101</v>
      </c>
      <c r="E54" s="50"/>
      <c r="F54" s="55"/>
      <c r="G54" s="55"/>
      <c r="H54" s="193"/>
    </row>
    <row r="55" ht="14.25" customHeight="1">
      <c r="B55" s="19"/>
      <c r="C55" s="195"/>
      <c r="D55" s="51" t="s">
        <v>102</v>
      </c>
      <c r="E55" s="50"/>
      <c r="F55" s="55"/>
      <c r="G55" s="55"/>
      <c r="H55" s="193"/>
    </row>
    <row r="56" ht="14.25" customHeight="1">
      <c r="B56" s="19"/>
      <c r="C56" s="195"/>
      <c r="D56" s="52" t="s">
        <v>58</v>
      </c>
      <c r="E56" s="53"/>
      <c r="F56" s="55"/>
      <c r="G56" s="55"/>
      <c r="H56" s="193"/>
    </row>
    <row r="57" ht="14.25" customHeight="1">
      <c r="B57" s="19"/>
      <c r="C57" s="195"/>
      <c r="D57" s="220"/>
      <c r="E57" s="220"/>
      <c r="F57" s="55"/>
      <c r="G57" s="55"/>
      <c r="H57" s="193"/>
    </row>
    <row r="58" ht="14.25" customHeight="1">
      <c r="B58" s="19"/>
      <c r="C58" s="195"/>
      <c r="D58" s="220"/>
      <c r="E58" s="220"/>
      <c r="F58" s="55"/>
      <c r="G58" s="55"/>
      <c r="H58" s="193"/>
    </row>
    <row r="59" ht="14.25" customHeight="1">
      <c r="B59" s="19"/>
      <c r="C59" s="195"/>
      <c r="D59" s="220"/>
      <c r="E59" s="220"/>
      <c r="F59" s="55"/>
      <c r="G59" s="55"/>
      <c r="H59" s="193"/>
    </row>
    <row r="60" ht="14.25" customHeight="1">
      <c r="B60" s="19"/>
      <c r="C60" s="195"/>
      <c r="D60" s="220"/>
      <c r="E60" s="220"/>
      <c r="F60" s="55"/>
      <c r="G60" s="55"/>
      <c r="H60" s="193"/>
    </row>
    <row r="61" ht="14.25" customHeight="1">
      <c r="B61" s="19"/>
      <c r="C61" s="195"/>
      <c r="D61" s="220"/>
      <c r="E61" s="220"/>
      <c r="F61" s="55"/>
      <c r="G61" s="55"/>
      <c r="H61" s="193"/>
    </row>
    <row r="62" ht="14.25" customHeight="1">
      <c r="B62" s="19"/>
      <c r="C62" s="195"/>
      <c r="D62" s="220"/>
      <c r="E62" s="220"/>
      <c r="F62" s="55"/>
      <c r="G62" s="55"/>
      <c r="H62" s="193"/>
    </row>
    <row r="63" ht="14.25" customHeight="1">
      <c r="B63" s="19"/>
      <c r="C63" s="195"/>
      <c r="D63" s="220"/>
      <c r="E63" s="220"/>
      <c r="F63" s="55"/>
      <c r="G63" s="55"/>
      <c r="H63" s="193"/>
    </row>
    <row r="64" ht="14.25" customHeight="1">
      <c r="B64" s="19"/>
      <c r="C64" s="195"/>
      <c r="D64" s="220"/>
      <c r="E64" s="220"/>
      <c r="F64" s="55"/>
      <c r="G64" s="55"/>
      <c r="H64" s="193"/>
    </row>
    <row r="65" ht="14.25" customHeight="1">
      <c r="B65" s="19"/>
      <c r="C65" s="195"/>
      <c r="D65" s="220"/>
      <c r="E65" s="220"/>
      <c r="F65" s="55"/>
      <c r="G65" s="55"/>
      <c r="H65" s="193"/>
    </row>
    <row r="66" ht="14.25" customHeight="1">
      <c r="B66" s="19"/>
      <c r="C66" s="195"/>
      <c r="D66" s="220"/>
      <c r="E66" s="220"/>
      <c r="F66" s="55"/>
      <c r="G66" s="55"/>
      <c r="H66" s="193"/>
    </row>
    <row r="67" ht="14.25" customHeight="1">
      <c r="B67" s="19"/>
      <c r="C67" s="195"/>
      <c r="D67" s="220"/>
      <c r="E67" s="220"/>
      <c r="F67" s="55"/>
      <c r="G67" s="55"/>
      <c r="H67" s="193"/>
    </row>
    <row r="68" ht="14.25" customHeight="1">
      <c r="B68" s="19"/>
      <c r="C68" s="195"/>
      <c r="D68" s="220"/>
      <c r="E68" s="220"/>
      <c r="F68" s="55"/>
      <c r="G68" s="55"/>
      <c r="H68" s="193"/>
    </row>
    <row r="69" ht="14.25" customHeight="1">
      <c r="B69" s="19"/>
      <c r="C69" s="195"/>
      <c r="D69" s="220"/>
      <c r="E69" s="220"/>
      <c r="F69" s="55"/>
      <c r="G69" s="55"/>
      <c r="H69" s="193"/>
    </row>
    <row r="70" ht="14.25" customHeight="1">
      <c r="B70" s="19"/>
      <c r="C70" s="195"/>
      <c r="D70" s="220"/>
      <c r="E70" s="220"/>
      <c r="F70" s="55"/>
      <c r="G70" s="55"/>
      <c r="H70" s="193"/>
    </row>
    <row r="71" ht="14.25" customHeight="1">
      <c r="B71" s="19"/>
      <c r="C71" s="195"/>
      <c r="D71" s="220"/>
      <c r="E71" s="220"/>
      <c r="F71" s="55"/>
      <c r="G71" s="55"/>
      <c r="H71" s="193"/>
    </row>
    <row r="72" ht="14.25" customHeight="1">
      <c r="B72" s="19"/>
      <c r="C72" s="195"/>
      <c r="D72" s="220"/>
      <c r="E72" s="220"/>
      <c r="F72" s="55"/>
      <c r="G72" s="55"/>
      <c r="H72" s="193"/>
    </row>
    <row r="73" ht="14.25" customHeight="1">
      <c r="B73" s="19"/>
      <c r="C73" s="195"/>
      <c r="D73" s="220"/>
      <c r="E73" s="220"/>
      <c r="F73" s="55"/>
      <c r="G73" s="55"/>
      <c r="H73" s="193"/>
    </row>
    <row r="74" ht="14.25" customHeight="1">
      <c r="B74" s="19"/>
      <c r="C74" s="195"/>
      <c r="D74" s="220"/>
      <c r="E74" s="220"/>
      <c r="F74" s="55"/>
      <c r="G74" s="55"/>
      <c r="H74" s="193"/>
    </row>
    <row r="75" ht="14.25" customHeight="1">
      <c r="B75" s="19"/>
      <c r="C75" s="195"/>
      <c r="D75" s="220"/>
      <c r="E75" s="220"/>
      <c r="F75" s="55"/>
      <c r="G75" s="55"/>
      <c r="H75" s="193"/>
    </row>
    <row r="76" ht="14.25" customHeight="1">
      <c r="B76" s="19"/>
      <c r="C76" s="195"/>
      <c r="D76" s="220"/>
      <c r="E76" s="220"/>
      <c r="F76" s="55"/>
      <c r="G76" s="55"/>
      <c r="H76" s="193"/>
    </row>
    <row r="77" ht="14.25" customHeight="1">
      <c r="B77" s="19"/>
      <c r="C77" s="195"/>
      <c r="D77" s="220"/>
      <c r="E77" s="220"/>
      <c r="F77" s="55"/>
      <c r="G77" s="55"/>
      <c r="H77" s="193"/>
    </row>
    <row r="78" ht="14.25" customHeight="1">
      <c r="B78" s="19"/>
      <c r="C78" s="195"/>
      <c r="D78" s="220"/>
      <c r="E78" s="220"/>
      <c r="F78" s="55"/>
      <c r="G78" s="55"/>
      <c r="H78" s="193"/>
    </row>
    <row r="79" ht="14.25" customHeight="1">
      <c r="B79" s="19"/>
      <c r="C79" s="195"/>
      <c r="D79" s="220"/>
      <c r="E79" s="220"/>
      <c r="F79" s="55"/>
      <c r="G79" s="55"/>
      <c r="H79" s="193"/>
    </row>
    <row r="80" ht="14.25" customHeight="1">
      <c r="B80" s="19"/>
      <c r="C80" s="195"/>
      <c r="D80" s="220"/>
      <c r="E80" s="220"/>
      <c r="F80" s="55"/>
      <c r="G80" s="55"/>
      <c r="H80" s="193"/>
    </row>
    <row r="81" ht="14.25" customHeight="1">
      <c r="B81" s="19"/>
      <c r="C81" s="195"/>
      <c r="D81" s="220"/>
      <c r="E81" s="220"/>
      <c r="F81" s="55"/>
      <c r="G81" s="55"/>
      <c r="H81" s="193"/>
    </row>
    <row r="82" ht="14.25" customHeight="1">
      <c r="B82" s="19"/>
      <c r="C82" s="195"/>
      <c r="D82" s="220"/>
      <c r="E82" s="220"/>
      <c r="F82" s="55"/>
      <c r="G82" s="55"/>
      <c r="H82" s="193"/>
    </row>
    <row r="83" ht="14.25" customHeight="1">
      <c r="B83" s="19"/>
      <c r="C83" s="195"/>
      <c r="D83" s="220"/>
      <c r="E83" s="220"/>
      <c r="F83" s="55"/>
      <c r="G83" s="55"/>
      <c r="H83" s="193"/>
    </row>
    <row r="84" ht="14.25" customHeight="1">
      <c r="B84" s="19"/>
      <c r="C84" s="195"/>
      <c r="D84" s="220"/>
      <c r="E84" s="220"/>
      <c r="F84" s="55"/>
      <c r="G84" s="55"/>
      <c r="H84" s="193"/>
    </row>
    <row r="85" ht="14.25" customHeight="1">
      <c r="B85" s="19"/>
      <c r="C85" s="195"/>
      <c r="D85" s="220"/>
      <c r="E85" s="220"/>
      <c r="F85" s="55"/>
      <c r="G85" s="55"/>
      <c r="H85" s="193"/>
    </row>
    <row r="86" ht="14.25" customHeight="1">
      <c r="B86" s="19"/>
      <c r="C86" s="195"/>
      <c r="D86" s="220"/>
      <c r="E86" s="220"/>
      <c r="F86" s="55"/>
      <c r="G86" s="55"/>
      <c r="H86" s="193"/>
    </row>
    <row r="87" ht="14.25" customHeight="1">
      <c r="B87" s="19"/>
      <c r="C87" s="195"/>
      <c r="D87" s="220"/>
      <c r="E87" s="220"/>
      <c r="F87" s="55"/>
      <c r="G87" s="55"/>
      <c r="H87" s="193"/>
    </row>
    <row r="88" ht="14.25" customHeight="1">
      <c r="B88" s="19"/>
      <c r="C88" s="195"/>
      <c r="D88" s="220"/>
      <c r="E88" s="220"/>
      <c r="F88" s="55"/>
      <c r="G88" s="55"/>
      <c r="H88" s="193"/>
    </row>
    <row r="89" ht="14.25" customHeight="1">
      <c r="B89" s="19"/>
      <c r="C89" s="195"/>
      <c r="D89" s="220"/>
      <c r="E89" s="220"/>
      <c r="F89" s="55"/>
      <c r="G89" s="55"/>
      <c r="H89" s="193"/>
    </row>
    <row r="90" ht="14.25" customHeight="1">
      <c r="B90" s="19"/>
      <c r="C90" s="195"/>
      <c r="D90" s="220"/>
      <c r="E90" s="220"/>
      <c r="F90" s="55"/>
      <c r="G90" s="55"/>
      <c r="H90" s="193"/>
    </row>
    <row r="91" ht="14.25" customHeight="1">
      <c r="B91" s="19"/>
      <c r="C91" s="195"/>
      <c r="D91" s="220"/>
      <c r="E91" s="220"/>
      <c r="F91" s="55"/>
      <c r="G91" s="55"/>
      <c r="H91" s="193"/>
    </row>
    <row r="92" ht="14.25" customHeight="1">
      <c r="B92" s="19"/>
      <c r="C92" s="195"/>
      <c r="D92" s="220"/>
      <c r="E92" s="220"/>
      <c r="F92" s="55"/>
      <c r="G92" s="55"/>
      <c r="H92" s="193"/>
    </row>
    <row r="93" ht="14.25" customHeight="1">
      <c r="B93" s="19"/>
      <c r="C93" s="195"/>
      <c r="D93" s="220"/>
      <c r="E93" s="220"/>
      <c r="F93" s="55"/>
      <c r="G93" s="55"/>
      <c r="H93" s="193"/>
    </row>
    <row r="94" ht="14.25" customHeight="1">
      <c r="B94" s="19"/>
      <c r="C94" s="195"/>
      <c r="D94" s="220"/>
      <c r="E94" s="220"/>
      <c r="F94" s="55"/>
      <c r="G94" s="55"/>
      <c r="H94" s="193"/>
    </row>
    <row r="95" ht="14.25" customHeight="1">
      <c r="B95" s="19"/>
      <c r="C95" s="195"/>
      <c r="D95" s="220"/>
      <c r="E95" s="220"/>
      <c r="F95" s="55"/>
      <c r="G95" s="55"/>
      <c r="H95" s="193"/>
    </row>
    <row r="96" ht="14.25" customHeight="1">
      <c r="B96" s="19"/>
      <c r="C96" s="195"/>
      <c r="D96" s="220"/>
      <c r="E96" s="220"/>
      <c r="F96" s="55"/>
      <c r="G96" s="55"/>
      <c r="H96" s="193"/>
    </row>
    <row r="97" ht="14.25" customHeight="1">
      <c r="B97" s="19"/>
      <c r="C97" s="195"/>
      <c r="D97" s="220"/>
      <c r="E97" s="220"/>
      <c r="F97" s="55"/>
      <c r="G97" s="55"/>
      <c r="H97" s="193"/>
    </row>
    <row r="98" ht="14.25" customHeight="1">
      <c r="B98" s="19"/>
      <c r="C98" s="195"/>
      <c r="D98" s="220"/>
      <c r="E98" s="220"/>
      <c r="F98" s="55"/>
      <c r="G98" s="55"/>
      <c r="H98" s="193"/>
    </row>
    <row r="99" ht="14.25" customHeight="1">
      <c r="B99" s="19"/>
      <c r="C99" s="195"/>
      <c r="D99" s="220"/>
      <c r="E99" s="220"/>
      <c r="F99" s="55"/>
      <c r="G99" s="55"/>
      <c r="H99" s="193"/>
    </row>
    <row r="100" ht="14.25" customHeight="1">
      <c r="B100" s="19"/>
      <c r="C100" s="195"/>
      <c r="D100" s="220"/>
      <c r="E100" s="220"/>
      <c r="F100" s="55"/>
      <c r="G100" s="55"/>
      <c r="H100" s="193"/>
    </row>
    <row r="101" ht="14.25" customHeight="1">
      <c r="B101" s="19"/>
      <c r="C101" s="195"/>
      <c r="D101" s="220"/>
      <c r="E101" s="220"/>
      <c r="F101" s="55"/>
      <c r="G101" s="55"/>
      <c r="H101" s="193"/>
    </row>
    <row r="102" ht="14.25" customHeight="1">
      <c r="B102" s="19"/>
      <c r="C102" s="195"/>
      <c r="D102" s="220"/>
      <c r="E102" s="220"/>
      <c r="F102" s="55"/>
      <c r="G102" s="55"/>
      <c r="H102" s="193"/>
    </row>
    <row r="103" ht="14.25" customHeight="1">
      <c r="B103" s="19"/>
      <c r="C103" s="195"/>
      <c r="D103" s="220"/>
      <c r="E103" s="220"/>
      <c r="F103" s="55"/>
      <c r="G103" s="55"/>
      <c r="H103" s="193"/>
    </row>
    <row r="104" ht="14.25" customHeight="1">
      <c r="B104" s="19"/>
      <c r="C104" s="195"/>
      <c r="D104" s="220"/>
      <c r="E104" s="220"/>
      <c r="F104" s="55"/>
      <c r="G104" s="55"/>
      <c r="H104" s="193"/>
    </row>
    <row r="105" ht="14.25" customHeight="1">
      <c r="B105" s="19"/>
      <c r="C105" s="195"/>
      <c r="D105" s="220"/>
      <c r="E105" s="220"/>
      <c r="F105" s="55"/>
      <c r="G105" s="55"/>
      <c r="H105" s="193"/>
    </row>
    <row r="106" ht="14.25" customHeight="1">
      <c r="B106" s="19"/>
      <c r="C106" s="195"/>
      <c r="D106" s="220"/>
      <c r="E106" s="220"/>
      <c r="F106" s="55"/>
      <c r="G106" s="55"/>
      <c r="H106" s="193"/>
    </row>
    <row r="107" ht="14.25" customHeight="1">
      <c r="B107" s="19"/>
      <c r="C107" s="195"/>
      <c r="D107" s="220"/>
      <c r="E107" s="220"/>
      <c r="F107" s="55"/>
      <c r="G107" s="55"/>
      <c r="H107" s="193"/>
    </row>
    <row r="108" ht="14.25" customHeight="1">
      <c r="B108" s="19"/>
      <c r="C108" s="195"/>
      <c r="D108" s="220"/>
      <c r="E108" s="220"/>
      <c r="F108" s="55"/>
      <c r="G108" s="55"/>
      <c r="H108" s="193"/>
    </row>
    <row r="109" ht="14.25" customHeight="1">
      <c r="B109" s="19"/>
      <c r="C109" s="195"/>
      <c r="D109" s="220"/>
      <c r="E109" s="220"/>
      <c r="F109" s="55"/>
      <c r="G109" s="55"/>
      <c r="H109" s="193"/>
    </row>
    <row r="110" ht="14.25" customHeight="1">
      <c r="B110" s="19"/>
      <c r="C110" s="195"/>
      <c r="D110" s="220"/>
      <c r="E110" s="220"/>
      <c r="F110" s="55"/>
      <c r="G110" s="55"/>
      <c r="H110" s="193"/>
    </row>
    <row r="111" ht="14.25" customHeight="1">
      <c r="B111" s="19"/>
      <c r="C111" s="195"/>
      <c r="D111" s="220"/>
      <c r="E111" s="220"/>
      <c r="F111" s="55"/>
      <c r="G111" s="55"/>
      <c r="H111" s="193"/>
    </row>
    <row r="112" ht="14.25" customHeight="1">
      <c r="B112" s="19"/>
      <c r="C112" s="195"/>
      <c r="D112" s="220"/>
      <c r="E112" s="220"/>
      <c r="F112" s="55"/>
      <c r="G112" s="55"/>
      <c r="H112" s="193"/>
    </row>
    <row r="113" ht="14.25" customHeight="1">
      <c r="B113" s="19"/>
      <c r="C113" s="195"/>
      <c r="D113" s="220"/>
      <c r="E113" s="220"/>
      <c r="F113" s="55"/>
      <c r="G113" s="55"/>
      <c r="H113" s="193"/>
    </row>
    <row r="114" ht="14.25" customHeight="1">
      <c r="B114" s="19"/>
      <c r="C114" s="195"/>
      <c r="D114" s="220"/>
      <c r="E114" s="220"/>
      <c r="F114" s="55"/>
      <c r="G114" s="55"/>
      <c r="H114" s="193"/>
    </row>
    <row r="115" ht="14.25" customHeight="1">
      <c r="B115" s="19"/>
      <c r="C115" s="195"/>
      <c r="D115" s="220"/>
      <c r="E115" s="220"/>
      <c r="F115" s="55"/>
      <c r="G115" s="55"/>
      <c r="H115" s="193"/>
    </row>
    <row r="116" ht="14.25" customHeight="1">
      <c r="B116" s="19"/>
      <c r="C116" s="195"/>
      <c r="D116" s="220"/>
      <c r="E116" s="220"/>
      <c r="F116" s="55"/>
      <c r="G116" s="55"/>
      <c r="H116" s="193"/>
    </row>
    <row r="117" ht="14.25" customHeight="1">
      <c r="B117" s="19"/>
      <c r="C117" s="195"/>
      <c r="D117" s="220"/>
      <c r="E117" s="220"/>
      <c r="F117" s="55"/>
      <c r="G117" s="55"/>
      <c r="H117" s="193"/>
    </row>
    <row r="118" ht="14.25" customHeight="1">
      <c r="B118" s="19"/>
      <c r="C118" s="195"/>
      <c r="D118" s="220"/>
      <c r="E118" s="220"/>
      <c r="F118" s="55"/>
      <c r="G118" s="55"/>
      <c r="H118" s="193"/>
    </row>
    <row r="119" ht="14.25" customHeight="1">
      <c r="B119" s="19"/>
      <c r="C119" s="195"/>
      <c r="D119" s="220"/>
      <c r="E119" s="220"/>
      <c r="F119" s="55"/>
      <c r="G119" s="55"/>
      <c r="H119" s="193"/>
    </row>
    <row r="120" ht="14.25" customHeight="1">
      <c r="B120" s="19"/>
      <c r="C120" s="195"/>
      <c r="D120" s="220"/>
      <c r="E120" s="220"/>
      <c r="F120" s="55"/>
      <c r="G120" s="55"/>
      <c r="H120" s="193"/>
    </row>
    <row r="121" ht="14.25" customHeight="1">
      <c r="B121" s="19"/>
      <c r="C121" s="195"/>
      <c r="D121" s="220"/>
      <c r="E121" s="220"/>
      <c r="F121" s="55"/>
      <c r="G121" s="55"/>
      <c r="H121" s="193"/>
    </row>
    <row r="122" ht="14.25" customHeight="1">
      <c r="B122" s="19"/>
      <c r="C122" s="195"/>
      <c r="D122" s="220"/>
      <c r="E122" s="220"/>
      <c r="F122" s="55"/>
      <c r="G122" s="55"/>
      <c r="H122" s="193"/>
    </row>
    <row r="123" ht="14.25" customHeight="1">
      <c r="B123" s="19"/>
      <c r="C123" s="195"/>
      <c r="D123" s="220"/>
      <c r="E123" s="220"/>
      <c r="F123" s="55"/>
      <c r="G123" s="55"/>
      <c r="H123" s="193"/>
    </row>
    <row r="124" ht="14.25" customHeight="1">
      <c r="B124" s="19"/>
      <c r="C124" s="195"/>
      <c r="D124" s="220"/>
      <c r="E124" s="220"/>
      <c r="F124" s="55"/>
      <c r="G124" s="55"/>
      <c r="H124" s="193"/>
    </row>
    <row r="125" ht="14.25" customHeight="1">
      <c r="B125" s="19"/>
      <c r="C125" s="195"/>
      <c r="D125" s="220"/>
      <c r="E125" s="220"/>
      <c r="F125" s="55"/>
      <c r="G125" s="55"/>
      <c r="H125" s="193"/>
    </row>
    <row r="126" ht="14.25" customHeight="1">
      <c r="B126" s="19"/>
      <c r="C126" s="195"/>
      <c r="D126" s="220"/>
      <c r="E126" s="220"/>
      <c r="F126" s="55"/>
      <c r="G126" s="55"/>
      <c r="H126" s="193"/>
    </row>
    <row r="127" ht="14.25" customHeight="1">
      <c r="B127" s="19"/>
      <c r="C127" s="195"/>
      <c r="D127" s="220"/>
      <c r="E127" s="220"/>
      <c r="F127" s="55"/>
      <c r="G127" s="55"/>
      <c r="H127" s="193"/>
    </row>
    <row r="128" ht="14.25" customHeight="1">
      <c r="B128" s="19"/>
      <c r="C128" s="195"/>
      <c r="D128" s="220"/>
      <c r="E128" s="220"/>
      <c r="F128" s="55"/>
      <c r="G128" s="55"/>
      <c r="H128" s="193"/>
    </row>
    <row r="129" ht="14.25" customHeight="1">
      <c r="B129" s="19"/>
      <c r="C129" s="195"/>
      <c r="D129" s="220"/>
      <c r="E129" s="220"/>
      <c r="F129" s="55"/>
      <c r="G129" s="55"/>
      <c r="H129" s="193"/>
    </row>
    <row r="130" ht="14.25" customHeight="1">
      <c r="B130" s="19"/>
      <c r="C130" s="195"/>
      <c r="D130" s="220"/>
      <c r="E130" s="220"/>
      <c r="F130" s="55"/>
      <c r="G130" s="55"/>
      <c r="H130" s="193"/>
    </row>
    <row r="131" ht="14.25" customHeight="1">
      <c r="B131" s="19"/>
      <c r="C131" s="195"/>
      <c r="D131" s="220"/>
      <c r="E131" s="220"/>
      <c r="F131" s="55"/>
      <c r="G131" s="55"/>
      <c r="H131" s="193"/>
    </row>
    <row r="132" ht="14.25" customHeight="1">
      <c r="B132" s="19"/>
      <c r="C132" s="195"/>
      <c r="D132" s="220"/>
      <c r="E132" s="220"/>
      <c r="F132" s="55"/>
      <c r="G132" s="55"/>
      <c r="H132" s="193"/>
    </row>
    <row r="133" ht="14.25" customHeight="1">
      <c r="B133" s="19"/>
      <c r="C133" s="195"/>
      <c r="D133" s="220"/>
      <c r="E133" s="220"/>
      <c r="F133" s="55"/>
      <c r="G133" s="55"/>
      <c r="H133" s="193"/>
    </row>
    <row r="134" ht="14.25" customHeight="1">
      <c r="B134" s="19"/>
      <c r="C134" s="195"/>
      <c r="D134" s="220"/>
      <c r="E134" s="220"/>
      <c r="F134" s="55"/>
      <c r="G134" s="55"/>
      <c r="H134" s="193"/>
    </row>
    <row r="135" ht="14.25" customHeight="1">
      <c r="B135" s="19"/>
      <c r="C135" s="195"/>
      <c r="D135" s="220"/>
      <c r="E135" s="220"/>
      <c r="F135" s="55"/>
      <c r="G135" s="55"/>
      <c r="H135" s="193"/>
    </row>
    <row r="136" ht="14.25" customHeight="1">
      <c r="B136" s="19"/>
      <c r="C136" s="195"/>
      <c r="D136" s="220"/>
      <c r="E136" s="220"/>
      <c r="F136" s="55"/>
      <c r="G136" s="55"/>
      <c r="H136" s="193"/>
    </row>
    <row r="137" ht="14.25" customHeight="1">
      <c r="B137" s="19"/>
      <c r="C137" s="195"/>
      <c r="D137" s="220"/>
      <c r="E137" s="220"/>
      <c r="F137" s="55"/>
      <c r="G137" s="55"/>
      <c r="H137" s="193"/>
    </row>
    <row r="138" ht="14.25" customHeight="1">
      <c r="B138" s="19"/>
      <c r="C138" s="195"/>
      <c r="D138" s="220"/>
      <c r="E138" s="220"/>
      <c r="F138" s="55"/>
      <c r="G138" s="55"/>
      <c r="H138" s="193"/>
    </row>
    <row r="139" ht="14.25" customHeight="1">
      <c r="B139" s="19"/>
      <c r="C139" s="195"/>
      <c r="D139" s="220"/>
      <c r="E139" s="220"/>
      <c r="F139" s="55"/>
      <c r="G139" s="55"/>
      <c r="H139" s="193"/>
    </row>
    <row r="140" ht="14.25" customHeight="1">
      <c r="B140" s="19"/>
      <c r="C140" s="195"/>
      <c r="D140" s="220"/>
      <c r="E140" s="220"/>
      <c r="F140" s="55"/>
      <c r="G140" s="55"/>
      <c r="H140" s="193"/>
    </row>
    <row r="141" ht="14.25" customHeight="1">
      <c r="B141" s="19"/>
      <c r="C141" s="195"/>
      <c r="D141" s="220"/>
      <c r="E141" s="220"/>
      <c r="F141" s="55"/>
      <c r="G141" s="55"/>
      <c r="H141" s="193"/>
    </row>
    <row r="142" ht="14.25" customHeight="1">
      <c r="B142" s="19"/>
      <c r="C142" s="195"/>
      <c r="D142" s="220"/>
      <c r="E142" s="220"/>
      <c r="F142" s="55"/>
      <c r="G142" s="55"/>
      <c r="H142" s="193"/>
    </row>
    <row r="143" ht="14.25" customHeight="1">
      <c r="B143" s="19"/>
      <c r="C143" s="195"/>
      <c r="D143" s="220"/>
      <c r="E143" s="220"/>
      <c r="F143" s="55"/>
      <c r="G143" s="55"/>
      <c r="H143" s="193"/>
    </row>
    <row r="144" ht="14.25" customHeight="1">
      <c r="B144" s="19"/>
      <c r="C144" s="195"/>
      <c r="D144" s="220"/>
      <c r="E144" s="220"/>
      <c r="F144" s="55"/>
      <c r="G144" s="55"/>
      <c r="H144" s="193"/>
    </row>
    <row r="145" ht="14.25" customHeight="1">
      <c r="B145" s="19"/>
      <c r="C145" s="195"/>
      <c r="D145" s="220"/>
      <c r="E145" s="220"/>
      <c r="F145" s="55"/>
      <c r="G145" s="55"/>
      <c r="H145" s="193"/>
    </row>
    <row r="146" ht="14.25" customHeight="1">
      <c r="B146" s="19"/>
      <c r="C146" s="195"/>
      <c r="D146" s="220"/>
      <c r="E146" s="220"/>
      <c r="F146" s="55"/>
      <c r="G146" s="55"/>
      <c r="H146" s="193"/>
    </row>
    <row r="147" ht="14.25" customHeight="1">
      <c r="B147" s="19"/>
      <c r="C147" s="195"/>
      <c r="D147" s="220"/>
      <c r="E147" s="220"/>
      <c r="F147" s="55"/>
      <c r="G147" s="55"/>
      <c r="H147" s="193"/>
    </row>
    <row r="148" ht="14.25" customHeight="1">
      <c r="B148" s="19"/>
      <c r="C148" s="195"/>
      <c r="D148" s="220"/>
      <c r="E148" s="220"/>
      <c r="F148" s="55"/>
      <c r="G148" s="55"/>
      <c r="H148" s="193"/>
    </row>
    <row r="149" ht="14.25" customHeight="1">
      <c r="B149" s="19"/>
      <c r="C149" s="195"/>
      <c r="D149" s="220"/>
      <c r="E149" s="220"/>
      <c r="F149" s="55"/>
      <c r="G149" s="55"/>
      <c r="H149" s="193"/>
    </row>
    <row r="150" ht="14.25" customHeight="1">
      <c r="B150" s="19"/>
      <c r="C150" s="195"/>
      <c r="D150" s="220"/>
      <c r="E150" s="220"/>
      <c r="F150" s="55"/>
      <c r="G150" s="55"/>
      <c r="H150" s="193"/>
    </row>
    <row r="151" ht="14.25" customHeight="1">
      <c r="B151" s="19"/>
      <c r="C151" s="195"/>
      <c r="D151" s="220"/>
      <c r="E151" s="220"/>
      <c r="F151" s="55"/>
      <c r="G151" s="55"/>
      <c r="H151" s="193"/>
    </row>
    <row r="152" ht="14.25" customHeight="1">
      <c r="B152" s="19"/>
      <c r="C152" s="195"/>
      <c r="D152" s="220"/>
      <c r="E152" s="220"/>
      <c r="F152" s="55"/>
      <c r="G152" s="55"/>
      <c r="H152" s="193"/>
    </row>
    <row r="153" ht="14.25" customHeight="1">
      <c r="B153" s="19"/>
      <c r="C153" s="195"/>
      <c r="D153" s="220"/>
      <c r="E153" s="220"/>
      <c r="F153" s="55"/>
      <c r="G153" s="55"/>
      <c r="H153" s="193"/>
    </row>
    <row r="154" ht="14.25" customHeight="1">
      <c r="B154" s="19"/>
      <c r="C154" s="195"/>
      <c r="D154" s="220"/>
      <c r="E154" s="220"/>
      <c r="F154" s="55"/>
      <c r="G154" s="55"/>
      <c r="H154" s="193"/>
    </row>
    <row r="155" ht="14.25" customHeight="1">
      <c r="B155" s="19"/>
      <c r="C155" s="195"/>
      <c r="D155" s="220"/>
      <c r="E155" s="220"/>
      <c r="F155" s="55"/>
      <c r="G155" s="55"/>
      <c r="H155" s="193"/>
    </row>
    <row r="156" ht="14.25" customHeight="1">
      <c r="B156" s="19"/>
      <c r="C156" s="195"/>
      <c r="D156" s="220"/>
      <c r="E156" s="220"/>
      <c r="F156" s="55"/>
      <c r="G156" s="55"/>
      <c r="H156" s="193"/>
    </row>
    <row r="157" ht="14.25" customHeight="1">
      <c r="B157" s="19"/>
      <c r="C157" s="195"/>
      <c r="D157" s="220"/>
      <c r="E157" s="220"/>
      <c r="F157" s="55"/>
      <c r="G157" s="55"/>
      <c r="H157" s="193"/>
    </row>
    <row r="158" ht="14.25" customHeight="1">
      <c r="B158" s="19"/>
      <c r="C158" s="195"/>
      <c r="D158" s="220"/>
      <c r="E158" s="220"/>
      <c r="F158" s="55"/>
      <c r="G158" s="55"/>
      <c r="H158" s="193"/>
    </row>
    <row r="159" ht="14.25" customHeight="1">
      <c r="B159" s="19"/>
      <c r="C159" s="195"/>
      <c r="D159" s="220"/>
      <c r="E159" s="220"/>
      <c r="F159" s="55"/>
      <c r="G159" s="55"/>
      <c r="H159" s="193"/>
    </row>
    <row r="160" ht="14.25" customHeight="1">
      <c r="B160" s="19"/>
      <c r="C160" s="195"/>
      <c r="D160" s="220"/>
      <c r="E160" s="220"/>
      <c r="F160" s="55"/>
      <c r="G160" s="55"/>
      <c r="H160" s="193"/>
    </row>
    <row r="161" ht="14.25" customHeight="1">
      <c r="B161" s="19"/>
      <c r="C161" s="195"/>
      <c r="D161" s="220"/>
      <c r="E161" s="220"/>
      <c r="F161" s="55"/>
      <c r="G161" s="55"/>
      <c r="H161" s="193"/>
    </row>
    <row r="162" ht="14.25" customHeight="1">
      <c r="B162" s="19"/>
      <c r="C162" s="195"/>
      <c r="D162" s="220"/>
      <c r="E162" s="220"/>
      <c r="F162" s="55"/>
      <c r="G162" s="55"/>
      <c r="H162" s="193"/>
    </row>
    <row r="163" ht="14.25" customHeight="1">
      <c r="B163" s="19"/>
      <c r="C163" s="195"/>
      <c r="D163" s="220"/>
      <c r="E163" s="220"/>
      <c r="F163" s="55"/>
      <c r="G163" s="55"/>
      <c r="H163" s="193"/>
    </row>
    <row r="164" ht="14.25" customHeight="1">
      <c r="B164" s="19"/>
      <c r="C164" s="195"/>
      <c r="D164" s="220"/>
      <c r="E164" s="220"/>
      <c r="F164" s="55"/>
      <c r="G164" s="55"/>
      <c r="H164" s="193"/>
    </row>
    <row r="165" ht="14.25" customHeight="1">
      <c r="B165" s="19"/>
      <c r="C165" s="195"/>
      <c r="D165" s="220"/>
      <c r="E165" s="220"/>
      <c r="F165" s="55"/>
      <c r="G165" s="55"/>
      <c r="H165" s="193"/>
    </row>
    <row r="166" ht="14.25" customHeight="1">
      <c r="B166" s="19"/>
      <c r="C166" s="195"/>
      <c r="D166" s="220"/>
      <c r="E166" s="220"/>
      <c r="F166" s="55"/>
      <c r="G166" s="55"/>
      <c r="H166" s="193"/>
    </row>
    <row r="167" ht="14.25" customHeight="1">
      <c r="B167" s="19"/>
      <c r="C167" s="195"/>
      <c r="D167" s="220"/>
      <c r="E167" s="220"/>
      <c r="F167" s="55"/>
      <c r="G167" s="55"/>
      <c r="H167" s="193"/>
    </row>
    <row r="168" ht="14.25" customHeight="1">
      <c r="B168" s="19"/>
      <c r="C168" s="195"/>
      <c r="D168" s="220"/>
      <c r="E168" s="220"/>
      <c r="F168" s="55"/>
      <c r="G168" s="55"/>
      <c r="H168" s="193"/>
    </row>
    <row r="169" ht="14.25" customHeight="1">
      <c r="B169" s="19"/>
      <c r="C169" s="195"/>
      <c r="D169" s="220"/>
      <c r="E169" s="220"/>
      <c r="F169" s="55"/>
      <c r="G169" s="55"/>
      <c r="H169" s="193"/>
    </row>
    <row r="170" ht="14.25" customHeight="1">
      <c r="B170" s="19"/>
      <c r="C170" s="195"/>
      <c r="D170" s="220"/>
      <c r="E170" s="220"/>
      <c r="F170" s="55"/>
      <c r="G170" s="55"/>
      <c r="H170" s="193"/>
    </row>
    <row r="171" ht="14.25" customHeight="1">
      <c r="B171" s="19"/>
      <c r="C171" s="195"/>
      <c r="D171" s="220"/>
      <c r="E171" s="220"/>
      <c r="F171" s="55"/>
      <c r="G171" s="55"/>
      <c r="H171" s="193"/>
    </row>
    <row r="172" ht="14.25" customHeight="1">
      <c r="B172" s="19"/>
      <c r="C172" s="195"/>
      <c r="D172" s="220"/>
      <c r="E172" s="220"/>
      <c r="F172" s="55"/>
      <c r="G172" s="55"/>
      <c r="H172" s="193"/>
    </row>
    <row r="173" ht="14.25" customHeight="1">
      <c r="B173" s="19"/>
      <c r="C173" s="195"/>
      <c r="D173" s="220"/>
      <c r="E173" s="220"/>
      <c r="F173" s="55"/>
      <c r="G173" s="55"/>
      <c r="H173" s="193"/>
    </row>
    <row r="174" ht="14.25" customHeight="1">
      <c r="B174" s="19"/>
      <c r="C174" s="195"/>
      <c r="D174" s="220"/>
      <c r="E174" s="220"/>
      <c r="F174" s="55"/>
      <c r="G174" s="55"/>
      <c r="H174" s="193"/>
    </row>
    <row r="175" ht="14.25" customHeight="1">
      <c r="B175" s="19"/>
      <c r="C175" s="195"/>
      <c r="D175" s="220"/>
      <c r="E175" s="220"/>
      <c r="F175" s="55"/>
      <c r="G175" s="55"/>
      <c r="H175" s="193"/>
    </row>
    <row r="176" ht="14.25" customHeight="1">
      <c r="B176" s="19"/>
      <c r="C176" s="195"/>
      <c r="D176" s="220"/>
      <c r="E176" s="220"/>
      <c r="F176" s="55"/>
      <c r="G176" s="55"/>
      <c r="H176" s="193"/>
    </row>
    <row r="177" ht="14.25" customHeight="1">
      <c r="B177" s="19"/>
      <c r="C177" s="195"/>
      <c r="D177" s="220"/>
      <c r="E177" s="220"/>
      <c r="F177" s="55"/>
      <c r="G177" s="55"/>
      <c r="H177" s="193"/>
    </row>
    <row r="178" ht="14.25" customHeight="1">
      <c r="B178" s="19"/>
      <c r="C178" s="195"/>
      <c r="D178" s="220"/>
      <c r="E178" s="220"/>
      <c r="F178" s="55"/>
      <c r="G178" s="55"/>
      <c r="H178" s="193"/>
    </row>
    <row r="179" ht="14.25" customHeight="1">
      <c r="B179" s="19"/>
      <c r="C179" s="195"/>
      <c r="D179" s="220"/>
      <c r="E179" s="220"/>
      <c r="F179" s="55"/>
      <c r="G179" s="55"/>
      <c r="H179" s="193"/>
    </row>
    <row r="180" ht="14.25" customHeight="1">
      <c r="B180" s="19"/>
      <c r="C180" s="195"/>
      <c r="D180" s="220"/>
      <c r="E180" s="220"/>
      <c r="F180" s="55"/>
      <c r="G180" s="55"/>
      <c r="H180" s="193"/>
    </row>
    <row r="181" ht="14.25" customHeight="1">
      <c r="B181" s="19"/>
      <c r="C181" s="195"/>
      <c r="D181" s="220"/>
      <c r="E181" s="220"/>
      <c r="F181" s="55"/>
      <c r="G181" s="55"/>
      <c r="H181" s="193"/>
    </row>
    <row r="182" ht="14.25" customHeight="1">
      <c r="B182" s="19"/>
      <c r="C182" s="195"/>
      <c r="D182" s="220"/>
      <c r="E182" s="220"/>
      <c r="F182" s="55"/>
      <c r="G182" s="55"/>
      <c r="H182" s="193"/>
    </row>
    <row r="183" ht="14.25" customHeight="1">
      <c r="B183" s="19"/>
      <c r="C183" s="195"/>
      <c r="D183" s="220"/>
      <c r="E183" s="220"/>
      <c r="F183" s="55"/>
      <c r="G183" s="55"/>
      <c r="H183" s="193"/>
    </row>
    <row r="184" ht="14.25" customHeight="1">
      <c r="B184" s="19"/>
      <c r="C184" s="195"/>
      <c r="D184" s="220"/>
      <c r="E184" s="220"/>
      <c r="F184" s="55"/>
      <c r="G184" s="55"/>
      <c r="H184" s="193"/>
    </row>
    <row r="185" ht="14.25" customHeight="1">
      <c r="B185" s="19"/>
      <c r="C185" s="195"/>
      <c r="D185" s="220"/>
      <c r="E185" s="220"/>
      <c r="F185" s="55"/>
      <c r="G185" s="55"/>
      <c r="H185" s="193"/>
    </row>
    <row r="186" ht="14.25" customHeight="1">
      <c r="B186" s="19"/>
      <c r="C186" s="195"/>
      <c r="D186" s="220"/>
      <c r="E186" s="220"/>
      <c r="F186" s="55"/>
      <c r="G186" s="55"/>
      <c r="H186" s="193"/>
    </row>
    <row r="187" ht="14.25" customHeight="1">
      <c r="B187" s="19"/>
      <c r="C187" s="195"/>
      <c r="D187" s="220"/>
      <c r="E187" s="220"/>
      <c r="F187" s="55"/>
      <c r="G187" s="55"/>
      <c r="H187" s="193"/>
    </row>
    <row r="188" ht="14.25" customHeight="1">
      <c r="B188" s="19"/>
      <c r="C188" s="195"/>
      <c r="D188" s="220"/>
      <c r="E188" s="220"/>
      <c r="F188" s="55"/>
      <c r="G188" s="55"/>
      <c r="H188" s="193"/>
    </row>
    <row r="189" ht="14.25" customHeight="1">
      <c r="B189" s="19"/>
      <c r="C189" s="195"/>
      <c r="D189" s="220"/>
      <c r="E189" s="220"/>
      <c r="F189" s="55"/>
      <c r="G189" s="55"/>
      <c r="H189" s="193"/>
    </row>
    <row r="190" ht="14.25" customHeight="1">
      <c r="B190" s="19"/>
      <c r="C190" s="195"/>
      <c r="D190" s="220"/>
      <c r="E190" s="220"/>
      <c r="F190" s="55"/>
      <c r="G190" s="55"/>
      <c r="H190" s="193"/>
    </row>
    <row r="191" ht="14.25" customHeight="1">
      <c r="B191" s="19"/>
      <c r="C191" s="195"/>
      <c r="D191" s="220"/>
      <c r="E191" s="220"/>
      <c r="F191" s="55"/>
      <c r="G191" s="55"/>
      <c r="H191" s="193"/>
    </row>
    <row r="192" ht="14.25" customHeight="1">
      <c r="B192" s="19"/>
      <c r="C192" s="195"/>
      <c r="D192" s="220"/>
      <c r="E192" s="220"/>
      <c r="F192" s="55"/>
      <c r="G192" s="55"/>
      <c r="H192" s="193"/>
    </row>
    <row r="193" ht="14.25" customHeight="1">
      <c r="B193" s="19"/>
      <c r="C193" s="195"/>
      <c r="D193" s="220"/>
      <c r="E193" s="220"/>
      <c r="F193" s="55"/>
      <c r="G193" s="55"/>
      <c r="H193" s="193"/>
    </row>
    <row r="194" ht="14.25" customHeight="1">
      <c r="B194" s="19"/>
      <c r="C194" s="195"/>
      <c r="D194" s="220"/>
      <c r="E194" s="220"/>
      <c r="F194" s="55"/>
      <c r="G194" s="55"/>
      <c r="H194" s="193"/>
    </row>
    <row r="195" ht="14.25" customHeight="1">
      <c r="B195" s="19"/>
      <c r="C195" s="195"/>
      <c r="D195" s="220"/>
      <c r="E195" s="220"/>
      <c r="F195" s="55"/>
      <c r="G195" s="55"/>
      <c r="H195" s="193"/>
    </row>
    <row r="196" ht="14.25" customHeight="1">
      <c r="B196" s="19"/>
      <c r="C196" s="195"/>
      <c r="D196" s="220"/>
      <c r="E196" s="220"/>
      <c r="F196" s="55"/>
      <c r="G196" s="55"/>
      <c r="H196" s="193"/>
    </row>
    <row r="197" ht="14.25" customHeight="1">
      <c r="B197" s="19"/>
      <c r="C197" s="195"/>
      <c r="D197" s="220"/>
      <c r="E197" s="220"/>
      <c r="F197" s="55"/>
      <c r="G197" s="55"/>
      <c r="H197" s="193"/>
    </row>
    <row r="198" ht="14.25" customHeight="1">
      <c r="B198" s="19"/>
      <c r="C198" s="195"/>
      <c r="D198" s="220"/>
      <c r="E198" s="220"/>
      <c r="F198" s="55"/>
      <c r="G198" s="55"/>
      <c r="H198" s="193"/>
    </row>
    <row r="199" ht="14.25" customHeight="1">
      <c r="B199" s="19"/>
      <c r="C199" s="195"/>
      <c r="D199" s="220"/>
      <c r="E199" s="220"/>
      <c r="F199" s="55"/>
      <c r="G199" s="55"/>
      <c r="H199" s="193"/>
    </row>
    <row r="200" ht="14.25" customHeight="1">
      <c r="B200" s="19"/>
      <c r="C200" s="195"/>
      <c r="D200" s="220"/>
      <c r="E200" s="220"/>
      <c r="F200" s="55"/>
      <c r="G200" s="55"/>
      <c r="H200" s="193"/>
    </row>
    <row r="201" ht="14.25" customHeight="1">
      <c r="B201" s="19"/>
      <c r="C201" s="195"/>
      <c r="D201" s="220"/>
      <c r="E201" s="220"/>
      <c r="F201" s="55"/>
      <c r="G201" s="55"/>
      <c r="H201" s="193"/>
    </row>
    <row r="202" ht="14.25" customHeight="1">
      <c r="B202" s="19"/>
      <c r="C202" s="195"/>
      <c r="D202" s="220"/>
      <c r="E202" s="220"/>
      <c r="F202" s="55"/>
      <c r="G202" s="55"/>
      <c r="H202" s="193"/>
    </row>
    <row r="203" ht="14.25" customHeight="1">
      <c r="B203" s="19"/>
      <c r="C203" s="195"/>
      <c r="D203" s="220"/>
      <c r="E203" s="220"/>
      <c r="F203" s="55"/>
      <c r="G203" s="55"/>
      <c r="H203" s="193"/>
    </row>
    <row r="204" ht="14.25" customHeight="1">
      <c r="B204" s="19"/>
      <c r="C204" s="195"/>
      <c r="D204" s="220"/>
      <c r="E204" s="220"/>
      <c r="F204" s="55"/>
      <c r="G204" s="55"/>
      <c r="H204" s="193"/>
    </row>
    <row r="205" ht="14.25" customHeight="1">
      <c r="B205" s="19"/>
      <c r="C205" s="195"/>
      <c r="D205" s="220"/>
      <c r="E205" s="220"/>
      <c r="F205" s="55"/>
      <c r="G205" s="55"/>
      <c r="H205" s="193"/>
    </row>
    <row r="206" ht="14.25" customHeight="1">
      <c r="B206" s="19"/>
      <c r="C206" s="195"/>
      <c r="D206" s="220"/>
      <c r="E206" s="220"/>
      <c r="F206" s="55"/>
      <c r="G206" s="55"/>
      <c r="H206" s="193"/>
    </row>
    <row r="207" ht="14.25" customHeight="1">
      <c r="B207" s="19"/>
      <c r="C207" s="195"/>
      <c r="D207" s="220"/>
      <c r="E207" s="220"/>
      <c r="F207" s="55"/>
      <c r="G207" s="55"/>
      <c r="H207" s="193"/>
    </row>
    <row r="208" ht="14.25" customHeight="1">
      <c r="B208" s="19"/>
      <c r="C208" s="195"/>
      <c r="D208" s="220"/>
      <c r="E208" s="220"/>
      <c r="F208" s="55"/>
      <c r="G208" s="55"/>
      <c r="H208" s="193"/>
    </row>
    <row r="209" ht="14.25" customHeight="1">
      <c r="B209" s="19"/>
      <c r="C209" s="195"/>
      <c r="D209" s="220"/>
      <c r="E209" s="220"/>
      <c r="F209" s="55"/>
      <c r="G209" s="55"/>
      <c r="H209" s="193"/>
    </row>
    <row r="210" ht="14.25" customHeight="1">
      <c r="B210" s="19"/>
      <c r="C210" s="195"/>
      <c r="D210" s="220"/>
      <c r="E210" s="220"/>
      <c r="F210" s="55"/>
      <c r="G210" s="55"/>
      <c r="H210" s="193"/>
    </row>
    <row r="211" ht="14.25" customHeight="1">
      <c r="B211" s="19"/>
      <c r="C211" s="195"/>
      <c r="D211" s="220"/>
      <c r="E211" s="220"/>
      <c r="F211" s="55"/>
      <c r="G211" s="55"/>
      <c r="H211" s="193"/>
    </row>
    <row r="212" ht="14.25" customHeight="1">
      <c r="B212" s="19"/>
      <c r="C212" s="195"/>
      <c r="D212" s="220"/>
      <c r="E212" s="220"/>
      <c r="F212" s="55"/>
      <c r="G212" s="55"/>
      <c r="H212" s="193"/>
    </row>
    <row r="213" ht="14.25" customHeight="1">
      <c r="B213" s="19"/>
      <c r="C213" s="195"/>
      <c r="D213" s="220"/>
      <c r="E213" s="220"/>
      <c r="F213" s="55"/>
      <c r="G213" s="55"/>
      <c r="H213" s="193"/>
    </row>
    <row r="214" ht="14.25" customHeight="1">
      <c r="B214" s="19"/>
      <c r="C214" s="195"/>
      <c r="D214" s="220"/>
      <c r="E214" s="220"/>
      <c r="F214" s="55"/>
      <c r="G214" s="55"/>
      <c r="H214" s="193"/>
    </row>
    <row r="215" ht="14.25" customHeight="1">
      <c r="B215" s="19"/>
      <c r="C215" s="195"/>
      <c r="D215" s="220"/>
      <c r="E215" s="220"/>
      <c r="F215" s="55"/>
      <c r="G215" s="55"/>
      <c r="H215" s="193"/>
    </row>
    <row r="216" ht="14.25" customHeight="1">
      <c r="B216" s="19"/>
      <c r="C216" s="195"/>
      <c r="D216" s="220"/>
      <c r="E216" s="220"/>
      <c r="F216" s="55"/>
      <c r="G216" s="55"/>
      <c r="H216" s="193"/>
    </row>
    <row r="217" ht="14.25" customHeight="1">
      <c r="B217" s="19"/>
      <c r="C217" s="195"/>
      <c r="D217" s="220"/>
      <c r="E217" s="220"/>
      <c r="F217" s="55"/>
      <c r="G217" s="55"/>
      <c r="H217" s="193"/>
    </row>
    <row r="218" ht="14.25" customHeight="1">
      <c r="B218" s="19"/>
      <c r="C218" s="195"/>
      <c r="D218" s="220"/>
      <c r="E218" s="220"/>
      <c r="F218" s="55"/>
      <c r="G218" s="55"/>
      <c r="H218" s="193"/>
    </row>
    <row r="219" ht="14.25" customHeight="1">
      <c r="B219" s="19"/>
      <c r="C219" s="195"/>
      <c r="D219" s="220"/>
      <c r="E219" s="220"/>
      <c r="F219" s="55"/>
      <c r="G219" s="55"/>
      <c r="H219" s="193"/>
    </row>
    <row r="220" ht="14.25" customHeight="1">
      <c r="B220" s="19"/>
      <c r="C220" s="195"/>
      <c r="D220" s="220"/>
      <c r="E220" s="220"/>
      <c r="F220" s="55"/>
      <c r="G220" s="55"/>
      <c r="H220" s="193"/>
    </row>
    <row r="221" ht="14.25" customHeight="1">
      <c r="B221" s="19"/>
      <c r="C221" s="195"/>
      <c r="D221" s="220"/>
      <c r="E221" s="220"/>
      <c r="F221" s="55"/>
      <c r="G221" s="55"/>
      <c r="H221" s="193"/>
    </row>
    <row r="222" ht="14.25" customHeight="1">
      <c r="B222" s="19"/>
      <c r="C222" s="195"/>
      <c r="D222" s="220"/>
      <c r="E222" s="220"/>
      <c r="F222" s="55"/>
      <c r="G222" s="55"/>
      <c r="H222" s="193"/>
    </row>
    <row r="223" ht="14.25" customHeight="1">
      <c r="B223" s="19"/>
      <c r="C223" s="195"/>
      <c r="D223" s="220"/>
      <c r="E223" s="220"/>
      <c r="F223" s="55"/>
      <c r="G223" s="55"/>
      <c r="H223" s="193"/>
    </row>
    <row r="224" ht="14.25" customHeight="1">
      <c r="B224" s="19"/>
      <c r="C224" s="195"/>
      <c r="D224" s="220"/>
      <c r="E224" s="220"/>
      <c r="F224" s="55"/>
      <c r="G224" s="55"/>
      <c r="H224" s="193"/>
    </row>
    <row r="225" ht="14.25" customHeight="1">
      <c r="B225" s="19"/>
      <c r="C225" s="195"/>
      <c r="D225" s="220"/>
      <c r="E225" s="220"/>
      <c r="F225" s="55"/>
      <c r="G225" s="55"/>
      <c r="H225" s="193"/>
    </row>
    <row r="226" ht="14.25" customHeight="1">
      <c r="B226" s="19"/>
      <c r="C226" s="195"/>
      <c r="D226" s="220"/>
      <c r="E226" s="220"/>
      <c r="F226" s="55"/>
      <c r="G226" s="55"/>
      <c r="H226" s="193"/>
    </row>
    <row r="227" ht="14.25" customHeight="1">
      <c r="B227" s="19"/>
      <c r="C227" s="195"/>
      <c r="D227" s="220"/>
      <c r="E227" s="220"/>
      <c r="F227" s="55"/>
      <c r="G227" s="55"/>
      <c r="H227" s="193"/>
    </row>
    <row r="228" ht="14.25" customHeight="1">
      <c r="B228" s="19"/>
      <c r="C228" s="195"/>
      <c r="D228" s="220"/>
      <c r="E228" s="220"/>
      <c r="F228" s="55"/>
      <c r="G228" s="55"/>
      <c r="H228" s="193"/>
    </row>
    <row r="229" ht="14.25" customHeight="1">
      <c r="B229" s="19"/>
      <c r="C229" s="195"/>
      <c r="D229" s="220"/>
      <c r="E229" s="220"/>
      <c r="F229" s="55"/>
      <c r="G229" s="55"/>
      <c r="H229" s="193"/>
    </row>
    <row r="230" ht="14.25" customHeight="1">
      <c r="B230" s="19"/>
      <c r="C230" s="195"/>
      <c r="D230" s="220"/>
      <c r="E230" s="220"/>
      <c r="F230" s="55"/>
      <c r="G230" s="55"/>
      <c r="H230" s="193"/>
    </row>
    <row r="231" ht="14.25" customHeight="1">
      <c r="B231" s="19"/>
      <c r="C231" s="195"/>
      <c r="D231" s="220"/>
      <c r="E231" s="220"/>
      <c r="F231" s="55"/>
      <c r="G231" s="55"/>
      <c r="H231" s="193"/>
    </row>
    <row r="232" ht="14.25" customHeight="1">
      <c r="B232" s="19"/>
      <c r="C232" s="195"/>
      <c r="D232" s="220"/>
      <c r="E232" s="220"/>
      <c r="F232" s="55"/>
      <c r="G232" s="55"/>
      <c r="H232" s="193"/>
    </row>
    <row r="233" ht="14.25" customHeight="1">
      <c r="B233" s="19"/>
      <c r="C233" s="195"/>
      <c r="D233" s="220"/>
      <c r="E233" s="220"/>
      <c r="F233" s="55"/>
      <c r="G233" s="55"/>
      <c r="H233" s="193"/>
    </row>
    <row r="234" ht="14.25" customHeight="1">
      <c r="B234" s="19"/>
      <c r="C234" s="195"/>
      <c r="D234" s="220"/>
      <c r="E234" s="220"/>
      <c r="F234" s="55"/>
      <c r="G234" s="55"/>
      <c r="H234" s="193"/>
    </row>
    <row r="235" ht="14.25" customHeight="1">
      <c r="B235" s="19"/>
      <c r="C235" s="195"/>
      <c r="D235" s="220"/>
      <c r="E235" s="220"/>
      <c r="F235" s="55"/>
      <c r="G235" s="55"/>
      <c r="H235" s="193"/>
    </row>
    <row r="236" ht="14.25" customHeight="1">
      <c r="B236" s="19"/>
      <c r="C236" s="195"/>
      <c r="D236" s="220"/>
      <c r="E236" s="220"/>
      <c r="F236" s="55"/>
      <c r="G236" s="55"/>
      <c r="H236" s="193"/>
    </row>
    <row r="237" ht="14.25" customHeight="1">
      <c r="B237" s="19"/>
      <c r="C237" s="195"/>
      <c r="D237" s="220"/>
      <c r="E237" s="220"/>
      <c r="F237" s="55"/>
      <c r="G237" s="55"/>
      <c r="H237" s="193"/>
    </row>
    <row r="238" ht="14.25" customHeight="1">
      <c r="B238" s="19"/>
      <c r="C238" s="195"/>
      <c r="D238" s="220"/>
      <c r="E238" s="220"/>
      <c r="F238" s="55"/>
      <c r="G238" s="55"/>
      <c r="H238" s="193"/>
    </row>
    <row r="239" ht="14.25" customHeight="1">
      <c r="B239" s="19"/>
      <c r="C239" s="195"/>
      <c r="D239" s="220"/>
      <c r="E239" s="220"/>
      <c r="F239" s="55"/>
      <c r="G239" s="55"/>
      <c r="H239" s="193"/>
    </row>
    <row r="240" ht="14.25" customHeight="1">
      <c r="B240" s="19"/>
      <c r="C240" s="195"/>
      <c r="D240" s="220"/>
      <c r="E240" s="220"/>
      <c r="F240" s="55"/>
      <c r="G240" s="55"/>
      <c r="H240" s="193"/>
    </row>
    <row r="241" ht="14.25" customHeight="1">
      <c r="B241" s="19"/>
      <c r="C241" s="195"/>
      <c r="D241" s="220"/>
      <c r="E241" s="220"/>
      <c r="F241" s="55"/>
      <c r="G241" s="55"/>
      <c r="H241" s="193"/>
    </row>
    <row r="242" ht="14.25" customHeight="1">
      <c r="B242" s="19"/>
      <c r="C242" s="195"/>
      <c r="D242" s="220"/>
      <c r="E242" s="220"/>
      <c r="F242" s="55"/>
      <c r="G242" s="55"/>
      <c r="H242" s="193"/>
    </row>
    <row r="243" ht="14.25" customHeight="1">
      <c r="B243" s="19"/>
      <c r="C243" s="195"/>
      <c r="D243" s="220"/>
      <c r="E243" s="220"/>
      <c r="F243" s="55"/>
      <c r="G243" s="55"/>
      <c r="H243" s="193"/>
    </row>
    <row r="244" ht="14.25" customHeight="1">
      <c r="B244" s="19"/>
      <c r="C244" s="195"/>
      <c r="D244" s="220"/>
      <c r="E244" s="220"/>
      <c r="F244" s="55"/>
      <c r="G244" s="55"/>
      <c r="H244" s="193"/>
    </row>
    <row r="245" ht="14.25" customHeight="1">
      <c r="B245" s="19"/>
      <c r="C245" s="195"/>
      <c r="D245" s="220"/>
      <c r="E245" s="220"/>
      <c r="F245" s="55"/>
      <c r="G245" s="55"/>
      <c r="H245" s="193"/>
    </row>
    <row r="246" ht="14.25" customHeight="1">
      <c r="B246" s="19"/>
      <c r="C246" s="195"/>
      <c r="D246" s="220"/>
      <c r="E246" s="220"/>
      <c r="F246" s="55"/>
      <c r="G246" s="55"/>
      <c r="H246" s="193"/>
    </row>
    <row r="247" ht="14.25" customHeight="1">
      <c r="B247" s="19"/>
      <c r="C247" s="195"/>
      <c r="D247" s="220"/>
      <c r="E247" s="220"/>
      <c r="F247" s="55"/>
      <c r="G247" s="55"/>
      <c r="H247" s="193"/>
    </row>
    <row r="248" ht="14.25" customHeight="1">
      <c r="B248" s="19"/>
      <c r="C248" s="195"/>
      <c r="D248" s="220"/>
      <c r="E248" s="220"/>
      <c r="F248" s="55"/>
      <c r="G248" s="55"/>
      <c r="H248" s="193"/>
    </row>
    <row r="249" ht="14.25" customHeight="1">
      <c r="B249" s="19"/>
      <c r="C249" s="195"/>
      <c r="D249" s="220"/>
      <c r="E249" s="220"/>
      <c r="F249" s="55"/>
      <c r="G249" s="55"/>
      <c r="H249" s="193"/>
    </row>
    <row r="250" ht="14.25" customHeight="1">
      <c r="B250" s="19"/>
      <c r="C250" s="195"/>
      <c r="D250" s="220"/>
      <c r="E250" s="220"/>
      <c r="F250" s="55"/>
      <c r="G250" s="55"/>
      <c r="H250" s="193"/>
    </row>
    <row r="251" ht="14.25" customHeight="1">
      <c r="B251" s="19"/>
      <c r="C251" s="195"/>
      <c r="D251" s="220"/>
      <c r="E251" s="220"/>
      <c r="F251" s="55"/>
      <c r="G251" s="55"/>
      <c r="H251" s="193"/>
    </row>
    <row r="252" ht="14.25" customHeight="1">
      <c r="B252" s="19"/>
      <c r="C252" s="195"/>
      <c r="D252" s="220"/>
      <c r="E252" s="220"/>
      <c r="F252" s="55"/>
      <c r="G252" s="55"/>
      <c r="H252" s="193"/>
    </row>
    <row r="253" ht="14.25" customHeight="1">
      <c r="B253" s="19"/>
      <c r="C253" s="195"/>
      <c r="D253" s="220"/>
      <c r="E253" s="220"/>
      <c r="F253" s="55"/>
      <c r="G253" s="55"/>
      <c r="H253" s="193"/>
    </row>
    <row r="254" ht="14.25" customHeight="1">
      <c r="B254" s="19"/>
      <c r="C254" s="195"/>
      <c r="D254" s="220"/>
      <c r="E254" s="220"/>
      <c r="F254" s="55"/>
      <c r="G254" s="55"/>
      <c r="H254" s="193"/>
    </row>
    <row r="255" ht="14.25" customHeight="1">
      <c r="B255" s="19"/>
      <c r="C255" s="195"/>
      <c r="D255" s="220"/>
      <c r="E255" s="220"/>
      <c r="F255" s="55"/>
      <c r="G255" s="55"/>
      <c r="H255" s="193"/>
    </row>
    <row r="256" ht="14.25" customHeight="1">
      <c r="B256" s="19"/>
      <c r="C256" s="195"/>
      <c r="D256" s="220"/>
      <c r="E256" s="220"/>
      <c r="F256" s="55"/>
      <c r="G256" s="55"/>
      <c r="H256" s="193"/>
    </row>
    <row r="257" ht="14.25" customHeight="1">
      <c r="B257" s="19"/>
      <c r="C257" s="195"/>
      <c r="D257" s="220"/>
      <c r="E257" s="220"/>
      <c r="F257" s="55"/>
      <c r="G257" s="55"/>
      <c r="H257" s="193"/>
    </row>
    <row r="258" ht="14.25" customHeight="1">
      <c r="B258" s="19"/>
      <c r="C258" s="195"/>
      <c r="D258" s="220"/>
      <c r="E258" s="220"/>
      <c r="F258" s="55"/>
      <c r="G258" s="55"/>
      <c r="H258" s="193"/>
    </row>
    <row r="259" ht="14.25" customHeight="1">
      <c r="B259" s="19"/>
      <c r="C259" s="195"/>
      <c r="D259" s="220"/>
      <c r="E259" s="220"/>
      <c r="F259" s="55"/>
      <c r="G259" s="55"/>
      <c r="H259" s="193"/>
    </row>
    <row r="260" ht="14.25" customHeight="1">
      <c r="B260" s="19"/>
      <c r="C260" s="195"/>
      <c r="D260" s="220"/>
      <c r="E260" s="220"/>
      <c r="F260" s="55"/>
      <c r="G260" s="55"/>
      <c r="H260" s="193"/>
    </row>
    <row r="261" ht="14.25" customHeight="1">
      <c r="B261" s="19"/>
      <c r="C261" s="195"/>
      <c r="D261" s="220"/>
      <c r="E261" s="220"/>
      <c r="F261" s="55"/>
      <c r="G261" s="55"/>
      <c r="H261" s="193"/>
    </row>
    <row r="262" ht="14.25" customHeight="1">
      <c r="B262" s="19"/>
      <c r="C262" s="195"/>
      <c r="D262" s="220"/>
      <c r="E262" s="220"/>
      <c r="F262" s="55"/>
      <c r="G262" s="55"/>
      <c r="H262" s="193"/>
    </row>
    <row r="263" ht="14.25" customHeight="1">
      <c r="B263" s="19"/>
      <c r="C263" s="195"/>
      <c r="D263" s="220"/>
      <c r="E263" s="220"/>
      <c r="F263" s="55"/>
      <c r="G263" s="55"/>
      <c r="H263" s="193"/>
    </row>
    <row r="264" ht="14.25" customHeight="1">
      <c r="B264" s="19"/>
      <c r="C264" s="195"/>
      <c r="D264" s="220"/>
      <c r="E264" s="220"/>
      <c r="F264" s="55"/>
      <c r="G264" s="55"/>
      <c r="H264" s="193"/>
    </row>
    <row r="265" ht="14.25" customHeight="1">
      <c r="B265" s="19"/>
      <c r="C265" s="195"/>
      <c r="D265" s="220"/>
      <c r="E265" s="220"/>
      <c r="F265" s="55"/>
      <c r="G265" s="55"/>
      <c r="H265" s="193"/>
    </row>
    <row r="266" ht="14.25" customHeight="1">
      <c r="B266" s="19"/>
      <c r="C266" s="195"/>
      <c r="D266" s="220"/>
      <c r="E266" s="220"/>
      <c r="F266" s="55"/>
      <c r="G266" s="55"/>
      <c r="H266" s="193"/>
    </row>
    <row r="267" ht="14.25" customHeight="1">
      <c r="B267" s="19"/>
      <c r="C267" s="195"/>
      <c r="D267" s="220"/>
      <c r="E267" s="220"/>
      <c r="F267" s="55"/>
      <c r="G267" s="55"/>
      <c r="H267" s="193"/>
    </row>
    <row r="268" ht="14.25" customHeight="1">
      <c r="B268" s="19"/>
      <c r="C268" s="195"/>
      <c r="D268" s="220"/>
      <c r="E268" s="220"/>
      <c r="F268" s="55"/>
      <c r="G268" s="55"/>
      <c r="H268" s="193"/>
    </row>
    <row r="269" ht="14.25" customHeight="1">
      <c r="B269" s="19"/>
      <c r="C269" s="195"/>
      <c r="D269" s="220"/>
      <c r="E269" s="220"/>
      <c r="F269" s="55"/>
      <c r="G269" s="55"/>
      <c r="H269" s="193"/>
    </row>
    <row r="270" ht="14.25" customHeight="1">
      <c r="B270" s="19"/>
      <c r="C270" s="195"/>
      <c r="D270" s="220"/>
      <c r="E270" s="220"/>
      <c r="F270" s="55"/>
      <c r="G270" s="55"/>
      <c r="H270" s="193"/>
    </row>
    <row r="271" ht="14.25" customHeight="1">
      <c r="B271" s="19"/>
      <c r="C271" s="195"/>
      <c r="D271" s="220"/>
      <c r="E271" s="220"/>
      <c r="F271" s="55"/>
      <c r="G271" s="55"/>
      <c r="H271" s="193"/>
    </row>
    <row r="272" ht="14.25" customHeight="1">
      <c r="B272" s="19"/>
      <c r="C272" s="195"/>
      <c r="D272" s="220"/>
      <c r="E272" s="220"/>
      <c r="F272" s="55"/>
      <c r="G272" s="55"/>
      <c r="H272" s="193"/>
    </row>
    <row r="273" ht="14.25" customHeight="1">
      <c r="B273" s="19"/>
      <c r="C273" s="195"/>
      <c r="D273" s="220"/>
      <c r="E273" s="220"/>
      <c r="F273" s="55"/>
      <c r="G273" s="55"/>
      <c r="H273" s="193"/>
    </row>
    <row r="274" ht="14.25" customHeight="1">
      <c r="B274" s="19"/>
      <c r="C274" s="195"/>
      <c r="D274" s="220"/>
      <c r="E274" s="220"/>
      <c r="F274" s="55"/>
      <c r="G274" s="55"/>
      <c r="H274" s="193"/>
    </row>
    <row r="275" ht="14.25" customHeight="1">
      <c r="B275" s="19"/>
      <c r="C275" s="195"/>
      <c r="D275" s="220"/>
      <c r="E275" s="220"/>
      <c r="F275" s="55"/>
      <c r="G275" s="55"/>
      <c r="H275" s="193"/>
    </row>
    <row r="276" ht="14.25" customHeight="1">
      <c r="B276" s="19"/>
      <c r="C276" s="195"/>
      <c r="D276" s="220"/>
      <c r="E276" s="220"/>
      <c r="F276" s="55"/>
      <c r="G276" s="55"/>
      <c r="H276" s="193"/>
    </row>
    <row r="277" ht="14.25" customHeight="1">
      <c r="B277" s="19"/>
      <c r="C277" s="195"/>
      <c r="D277" s="220"/>
      <c r="E277" s="220"/>
      <c r="F277" s="55"/>
      <c r="G277" s="55"/>
      <c r="H277" s="193"/>
    </row>
    <row r="278" ht="14.25" customHeight="1">
      <c r="B278" s="19"/>
      <c r="C278" s="195"/>
      <c r="D278" s="220"/>
      <c r="E278" s="220"/>
      <c r="F278" s="55"/>
      <c r="G278" s="55"/>
      <c r="H278" s="193"/>
    </row>
    <row r="279" ht="14.25" customHeight="1">
      <c r="B279" s="19"/>
      <c r="C279" s="195"/>
      <c r="D279" s="220"/>
      <c r="E279" s="220"/>
      <c r="F279" s="55"/>
      <c r="G279" s="55"/>
      <c r="H279" s="193"/>
    </row>
    <row r="280" ht="14.25" customHeight="1">
      <c r="B280" s="19"/>
      <c r="C280" s="195"/>
      <c r="D280" s="220"/>
      <c r="E280" s="220"/>
      <c r="F280" s="55"/>
      <c r="G280" s="55"/>
      <c r="H280" s="193"/>
    </row>
    <row r="281" ht="14.25" customHeight="1">
      <c r="B281" s="19"/>
      <c r="C281" s="195"/>
      <c r="D281" s="220"/>
      <c r="E281" s="220"/>
      <c r="F281" s="55"/>
      <c r="G281" s="55"/>
      <c r="H281" s="193"/>
    </row>
    <row r="282" ht="14.25" customHeight="1">
      <c r="B282" s="19"/>
      <c r="C282" s="195"/>
      <c r="D282" s="220"/>
      <c r="E282" s="220"/>
      <c r="F282" s="55"/>
      <c r="G282" s="55"/>
      <c r="H282" s="193"/>
    </row>
    <row r="283" ht="14.25" customHeight="1">
      <c r="B283" s="19"/>
      <c r="C283" s="195"/>
      <c r="D283" s="220"/>
      <c r="E283" s="220"/>
      <c r="F283" s="55"/>
      <c r="G283" s="55"/>
      <c r="H283" s="193"/>
    </row>
    <row r="284" ht="14.25" customHeight="1">
      <c r="B284" s="19"/>
      <c r="C284" s="195"/>
      <c r="D284" s="220"/>
      <c r="E284" s="220"/>
      <c r="F284" s="55"/>
      <c r="G284" s="55"/>
      <c r="H284" s="193"/>
    </row>
    <row r="285" ht="14.25" customHeight="1">
      <c r="B285" s="19"/>
      <c r="C285" s="195"/>
      <c r="D285" s="220"/>
      <c r="E285" s="220"/>
      <c r="F285" s="55"/>
      <c r="G285" s="55"/>
      <c r="H285" s="193"/>
    </row>
    <row r="286" ht="14.25" customHeight="1">
      <c r="B286" s="19"/>
      <c r="C286" s="195"/>
      <c r="D286" s="220"/>
      <c r="E286" s="220"/>
      <c r="F286" s="55"/>
      <c r="G286" s="55"/>
      <c r="H286" s="193"/>
    </row>
    <row r="287" ht="14.25" customHeight="1">
      <c r="B287" s="19"/>
      <c r="C287" s="195"/>
      <c r="D287" s="220"/>
      <c r="E287" s="220"/>
      <c r="F287" s="55"/>
      <c r="G287" s="55"/>
      <c r="H287" s="193"/>
    </row>
    <row r="288" ht="14.25" customHeight="1">
      <c r="B288" s="19"/>
      <c r="C288" s="195"/>
      <c r="D288" s="220"/>
      <c r="E288" s="220"/>
      <c r="F288" s="55"/>
      <c r="G288" s="55"/>
      <c r="H288" s="193"/>
    </row>
    <row r="289" ht="14.25" customHeight="1">
      <c r="B289" s="19"/>
      <c r="C289" s="195"/>
      <c r="D289" s="220"/>
      <c r="E289" s="220"/>
      <c r="F289" s="55"/>
      <c r="G289" s="55"/>
      <c r="H289" s="193"/>
    </row>
    <row r="290" ht="14.25" customHeight="1">
      <c r="B290" s="19"/>
      <c r="C290" s="195"/>
      <c r="D290" s="220"/>
      <c r="E290" s="220"/>
      <c r="F290" s="55"/>
      <c r="G290" s="55"/>
      <c r="H290" s="193"/>
    </row>
    <row r="291" ht="14.25" customHeight="1">
      <c r="B291" s="19"/>
      <c r="C291" s="195"/>
      <c r="D291" s="220"/>
      <c r="E291" s="220"/>
      <c r="F291" s="55"/>
      <c r="G291" s="55"/>
      <c r="H291" s="193"/>
    </row>
    <row r="292" ht="14.25" customHeight="1">
      <c r="B292" s="19"/>
      <c r="C292" s="195"/>
      <c r="D292" s="220"/>
      <c r="E292" s="220"/>
      <c r="F292" s="55"/>
      <c r="G292" s="55"/>
      <c r="H292" s="193"/>
    </row>
    <row r="293" ht="14.25" customHeight="1">
      <c r="B293" s="19"/>
      <c r="C293" s="195"/>
      <c r="D293" s="220"/>
      <c r="E293" s="220"/>
      <c r="F293" s="55"/>
      <c r="G293" s="55"/>
      <c r="H293" s="193"/>
    </row>
    <row r="294" ht="14.25" customHeight="1">
      <c r="B294" s="19"/>
      <c r="C294" s="195"/>
      <c r="D294" s="220"/>
      <c r="E294" s="220"/>
      <c r="F294" s="55"/>
      <c r="G294" s="55"/>
      <c r="H294" s="193"/>
    </row>
    <row r="295" ht="14.25" customHeight="1">
      <c r="B295" s="19"/>
      <c r="C295" s="195"/>
      <c r="D295" s="220"/>
      <c r="E295" s="220"/>
      <c r="F295" s="55"/>
      <c r="G295" s="55"/>
      <c r="H295" s="193"/>
    </row>
    <row r="296" ht="14.25" customHeight="1">
      <c r="B296" s="19"/>
      <c r="C296" s="195"/>
      <c r="D296" s="220"/>
      <c r="E296" s="220"/>
      <c r="F296" s="55"/>
      <c r="G296" s="55"/>
      <c r="H296" s="193"/>
    </row>
    <row r="297" ht="14.25" customHeight="1">
      <c r="B297" s="19"/>
      <c r="C297" s="195"/>
      <c r="D297" s="220"/>
      <c r="E297" s="220"/>
      <c r="F297" s="55"/>
      <c r="G297" s="55"/>
      <c r="H297" s="193"/>
    </row>
    <row r="298" ht="14.25" customHeight="1">
      <c r="B298" s="19"/>
      <c r="C298" s="195"/>
      <c r="D298" s="220"/>
      <c r="E298" s="220"/>
      <c r="F298" s="55"/>
      <c r="G298" s="55"/>
      <c r="H298" s="193"/>
    </row>
    <row r="299" ht="14.25" customHeight="1">
      <c r="B299" s="19"/>
      <c r="C299" s="195"/>
      <c r="D299" s="220"/>
      <c r="E299" s="220"/>
      <c r="F299" s="55"/>
      <c r="G299" s="55"/>
      <c r="H299" s="193"/>
    </row>
    <row r="300" ht="14.25" customHeight="1">
      <c r="B300" s="19"/>
      <c r="C300" s="195"/>
      <c r="D300" s="220"/>
      <c r="E300" s="220"/>
      <c r="F300" s="55"/>
      <c r="G300" s="55"/>
      <c r="H300" s="193"/>
    </row>
    <row r="301" ht="14.25" customHeight="1">
      <c r="B301" s="19"/>
      <c r="C301" s="195"/>
      <c r="D301" s="220"/>
      <c r="E301" s="220"/>
      <c r="F301" s="55"/>
      <c r="G301" s="55"/>
      <c r="H301" s="193"/>
    </row>
    <row r="302" ht="14.25" customHeight="1">
      <c r="B302" s="19"/>
      <c r="C302" s="195"/>
      <c r="D302" s="220"/>
      <c r="E302" s="220"/>
      <c r="F302" s="55"/>
      <c r="G302" s="55"/>
      <c r="H302" s="193"/>
    </row>
    <row r="303" ht="14.25" customHeight="1">
      <c r="B303" s="19"/>
      <c r="C303" s="195"/>
      <c r="D303" s="220"/>
      <c r="E303" s="220"/>
      <c r="F303" s="55"/>
      <c r="G303" s="55"/>
      <c r="H303" s="193"/>
    </row>
    <row r="304" ht="14.25" customHeight="1">
      <c r="B304" s="19"/>
      <c r="C304" s="195"/>
      <c r="D304" s="220"/>
      <c r="E304" s="220"/>
      <c r="F304" s="55"/>
      <c r="G304" s="55"/>
      <c r="H304" s="193"/>
    </row>
    <row r="305" ht="14.25" customHeight="1">
      <c r="B305" s="19"/>
      <c r="C305" s="195"/>
      <c r="D305" s="220"/>
      <c r="E305" s="220"/>
      <c r="F305" s="55"/>
      <c r="G305" s="55"/>
      <c r="H305" s="193"/>
    </row>
    <row r="306" ht="14.25" customHeight="1">
      <c r="B306" s="19"/>
      <c r="C306" s="195"/>
      <c r="D306" s="220"/>
      <c r="E306" s="220"/>
      <c r="F306" s="55"/>
      <c r="G306" s="55"/>
      <c r="H306" s="193"/>
    </row>
    <row r="307" ht="14.25" customHeight="1">
      <c r="B307" s="19"/>
      <c r="C307" s="195"/>
      <c r="D307" s="220"/>
      <c r="E307" s="220"/>
      <c r="F307" s="55"/>
      <c r="G307" s="55"/>
      <c r="H307" s="193"/>
    </row>
    <row r="308" ht="14.25" customHeight="1">
      <c r="B308" s="19"/>
      <c r="C308" s="195"/>
      <c r="D308" s="220"/>
      <c r="E308" s="220"/>
      <c r="F308" s="55"/>
      <c r="G308" s="55"/>
      <c r="H308" s="193"/>
    </row>
    <row r="309" ht="14.25" customHeight="1">
      <c r="B309" s="19"/>
      <c r="C309" s="195"/>
      <c r="D309" s="220"/>
      <c r="E309" s="220"/>
      <c r="F309" s="55"/>
      <c r="G309" s="55"/>
      <c r="H309" s="193"/>
    </row>
    <row r="310" ht="14.25" customHeight="1">
      <c r="B310" s="19"/>
      <c r="C310" s="195"/>
      <c r="D310" s="220"/>
      <c r="E310" s="220"/>
      <c r="F310" s="55"/>
      <c r="G310" s="55"/>
      <c r="H310" s="193"/>
    </row>
    <row r="311" ht="14.25" customHeight="1">
      <c r="B311" s="19"/>
      <c r="C311" s="195"/>
      <c r="D311" s="220"/>
      <c r="E311" s="220"/>
      <c r="F311" s="55"/>
      <c r="G311" s="55"/>
      <c r="H311" s="193"/>
    </row>
    <row r="312" ht="14.25" customHeight="1">
      <c r="B312" s="19"/>
      <c r="C312" s="195"/>
      <c r="D312" s="220"/>
      <c r="E312" s="220"/>
      <c r="F312" s="55"/>
      <c r="G312" s="55"/>
      <c r="H312" s="193"/>
    </row>
    <row r="313" ht="14.25" customHeight="1">
      <c r="B313" s="19"/>
      <c r="C313" s="195"/>
      <c r="D313" s="220"/>
      <c r="E313" s="220"/>
      <c r="F313" s="55"/>
      <c r="G313" s="55"/>
      <c r="H313" s="193"/>
    </row>
    <row r="314" ht="14.25" customHeight="1">
      <c r="B314" s="19"/>
      <c r="C314" s="195"/>
      <c r="D314" s="220"/>
      <c r="E314" s="220"/>
      <c r="F314" s="55"/>
      <c r="G314" s="55"/>
      <c r="H314" s="193"/>
    </row>
    <row r="315" ht="14.25" customHeight="1">
      <c r="B315" s="19"/>
      <c r="C315" s="195"/>
      <c r="D315" s="220"/>
      <c r="E315" s="220"/>
      <c r="F315" s="55"/>
      <c r="G315" s="55"/>
      <c r="H315" s="193"/>
    </row>
    <row r="316" ht="14.25" customHeight="1">
      <c r="B316" s="19"/>
      <c r="C316" s="195"/>
      <c r="D316" s="220"/>
      <c r="E316" s="220"/>
      <c r="F316" s="55"/>
      <c r="G316" s="55"/>
      <c r="H316" s="193"/>
    </row>
    <row r="317" ht="14.25" customHeight="1">
      <c r="B317" s="19"/>
      <c r="C317" s="195"/>
      <c r="D317" s="220"/>
      <c r="E317" s="220"/>
      <c r="F317" s="55"/>
      <c r="G317" s="55"/>
      <c r="H317" s="193"/>
    </row>
    <row r="318" ht="14.25" customHeight="1">
      <c r="B318" s="19"/>
      <c r="C318" s="195"/>
      <c r="D318" s="220"/>
      <c r="E318" s="220"/>
      <c r="F318" s="55"/>
      <c r="G318" s="55"/>
      <c r="H318" s="193"/>
    </row>
    <row r="319" ht="14.25" customHeight="1">
      <c r="B319" s="19"/>
      <c r="C319" s="195"/>
      <c r="D319" s="220"/>
      <c r="E319" s="220"/>
      <c r="F319" s="55"/>
      <c r="G319" s="55"/>
      <c r="H319" s="193"/>
    </row>
    <row r="320" ht="14.25" customHeight="1">
      <c r="B320" s="19"/>
      <c r="C320" s="195"/>
      <c r="D320" s="220"/>
      <c r="E320" s="220"/>
      <c r="F320" s="55"/>
      <c r="G320" s="55"/>
      <c r="H320" s="193"/>
    </row>
    <row r="321" ht="14.25" customHeight="1">
      <c r="B321" s="19"/>
      <c r="C321" s="195"/>
      <c r="D321" s="220"/>
      <c r="E321" s="220"/>
      <c r="F321" s="55"/>
      <c r="G321" s="55"/>
      <c r="H321" s="193"/>
    </row>
    <row r="322" ht="14.25" customHeight="1">
      <c r="B322" s="19"/>
      <c r="C322" s="195"/>
      <c r="D322" s="220"/>
      <c r="E322" s="220"/>
      <c r="F322" s="55"/>
      <c r="G322" s="55"/>
      <c r="H322" s="193"/>
    </row>
    <row r="323" ht="14.25" customHeight="1">
      <c r="B323" s="19"/>
      <c r="C323" s="195"/>
      <c r="D323" s="220"/>
      <c r="E323" s="220"/>
      <c r="F323" s="55"/>
      <c r="G323" s="55"/>
      <c r="H323" s="193"/>
    </row>
    <row r="324" ht="14.25" customHeight="1">
      <c r="B324" s="19"/>
      <c r="C324" s="195"/>
      <c r="D324" s="220"/>
      <c r="E324" s="220"/>
      <c r="F324" s="55"/>
      <c r="G324" s="55"/>
      <c r="H324" s="193"/>
    </row>
    <row r="325" ht="14.25" customHeight="1">
      <c r="B325" s="19"/>
      <c r="C325" s="195"/>
      <c r="D325" s="220"/>
      <c r="E325" s="220"/>
      <c r="F325" s="55"/>
      <c r="G325" s="55"/>
      <c r="H325" s="193"/>
    </row>
    <row r="326" ht="14.25" customHeight="1">
      <c r="B326" s="19"/>
      <c r="C326" s="195"/>
      <c r="D326" s="220"/>
      <c r="E326" s="220"/>
      <c r="F326" s="55"/>
      <c r="G326" s="55"/>
      <c r="H326" s="193"/>
    </row>
    <row r="327" ht="14.25" customHeight="1">
      <c r="B327" s="19"/>
      <c r="C327" s="195"/>
      <c r="D327" s="220"/>
      <c r="E327" s="220"/>
      <c r="F327" s="55"/>
      <c r="G327" s="55"/>
      <c r="H327" s="193"/>
    </row>
    <row r="328" ht="14.25" customHeight="1">
      <c r="B328" s="19"/>
      <c r="C328" s="195"/>
      <c r="D328" s="220"/>
      <c r="E328" s="220"/>
      <c r="F328" s="55"/>
      <c r="G328" s="55"/>
      <c r="H328" s="193"/>
    </row>
    <row r="329" ht="14.25" customHeight="1">
      <c r="B329" s="19"/>
      <c r="C329" s="195"/>
      <c r="D329" s="220"/>
      <c r="E329" s="220"/>
      <c r="F329" s="55"/>
      <c r="G329" s="55"/>
      <c r="H329" s="193"/>
    </row>
    <row r="330" ht="14.25" customHeight="1">
      <c r="B330" s="19"/>
      <c r="C330" s="195"/>
      <c r="D330" s="220"/>
      <c r="E330" s="220"/>
      <c r="F330" s="55"/>
      <c r="G330" s="55"/>
      <c r="H330" s="193"/>
    </row>
    <row r="331" ht="14.25" customHeight="1">
      <c r="B331" s="19"/>
      <c r="C331" s="195"/>
      <c r="D331" s="220"/>
      <c r="E331" s="220"/>
      <c r="F331" s="55"/>
      <c r="G331" s="55"/>
      <c r="H331" s="193"/>
    </row>
    <row r="332" ht="14.25" customHeight="1">
      <c r="B332" s="19"/>
      <c r="C332" s="195"/>
      <c r="D332" s="220"/>
      <c r="E332" s="220"/>
      <c r="F332" s="55"/>
      <c r="G332" s="55"/>
      <c r="H332" s="193"/>
    </row>
    <row r="333" ht="14.25" customHeight="1">
      <c r="B333" s="19"/>
      <c r="C333" s="195"/>
      <c r="D333" s="220"/>
      <c r="E333" s="220"/>
      <c r="F333" s="55"/>
      <c r="G333" s="55"/>
      <c r="H333" s="193"/>
    </row>
    <row r="334" ht="14.25" customHeight="1">
      <c r="B334" s="19"/>
      <c r="C334" s="195"/>
      <c r="D334" s="220"/>
      <c r="E334" s="220"/>
      <c r="F334" s="55"/>
      <c r="G334" s="55"/>
      <c r="H334" s="193"/>
    </row>
    <row r="335" ht="14.25" customHeight="1">
      <c r="B335" s="19"/>
      <c r="C335" s="195"/>
      <c r="D335" s="220"/>
      <c r="E335" s="220"/>
      <c r="F335" s="55"/>
      <c r="G335" s="55"/>
      <c r="H335" s="193"/>
    </row>
    <row r="336" ht="14.25" customHeight="1">
      <c r="B336" s="19"/>
      <c r="C336" s="195"/>
      <c r="D336" s="220"/>
      <c r="E336" s="220"/>
      <c r="F336" s="55"/>
      <c r="G336" s="55"/>
      <c r="H336" s="193"/>
    </row>
    <row r="337" ht="14.25" customHeight="1">
      <c r="B337" s="19"/>
      <c r="C337" s="195"/>
      <c r="D337" s="220"/>
      <c r="E337" s="220"/>
      <c r="F337" s="55"/>
      <c r="G337" s="55"/>
      <c r="H337" s="193"/>
    </row>
    <row r="338" ht="14.25" customHeight="1">
      <c r="B338" s="19"/>
      <c r="C338" s="195"/>
      <c r="D338" s="220"/>
      <c r="E338" s="220"/>
      <c r="F338" s="55"/>
      <c r="G338" s="55"/>
      <c r="H338" s="193"/>
    </row>
    <row r="339" ht="14.25" customHeight="1">
      <c r="B339" s="19"/>
      <c r="C339" s="195"/>
      <c r="D339" s="220"/>
      <c r="E339" s="220"/>
      <c r="F339" s="55"/>
      <c r="G339" s="55"/>
      <c r="H339" s="193"/>
    </row>
    <row r="340" ht="14.25" customHeight="1">
      <c r="B340" s="19"/>
      <c r="C340" s="195"/>
      <c r="D340" s="220"/>
      <c r="E340" s="220"/>
      <c r="F340" s="55"/>
      <c r="G340" s="55"/>
      <c r="H340" s="193"/>
    </row>
    <row r="341" ht="14.25" customHeight="1">
      <c r="B341" s="19"/>
      <c r="C341" s="195"/>
      <c r="D341" s="220"/>
      <c r="E341" s="220"/>
      <c r="F341" s="55"/>
      <c r="G341" s="55"/>
      <c r="H341" s="193"/>
    </row>
    <row r="342" ht="14.25" customHeight="1">
      <c r="B342" s="19"/>
      <c r="C342" s="195"/>
      <c r="D342" s="220"/>
      <c r="E342" s="220"/>
      <c r="F342" s="55"/>
      <c r="G342" s="55"/>
      <c r="H342" s="193"/>
    </row>
    <row r="343" ht="14.25" customHeight="1">
      <c r="B343" s="19"/>
      <c r="C343" s="195"/>
      <c r="D343" s="220"/>
      <c r="E343" s="220"/>
      <c r="F343" s="55"/>
      <c r="G343" s="55"/>
      <c r="H343" s="193"/>
    </row>
    <row r="344" ht="14.25" customHeight="1">
      <c r="B344" s="19"/>
      <c r="C344" s="195"/>
      <c r="D344" s="220"/>
      <c r="E344" s="220"/>
      <c r="F344" s="55"/>
      <c r="G344" s="55"/>
      <c r="H344" s="193"/>
    </row>
    <row r="345" ht="14.25" customHeight="1">
      <c r="B345" s="19"/>
      <c r="C345" s="195"/>
      <c r="D345" s="220"/>
      <c r="E345" s="220"/>
      <c r="F345" s="55"/>
      <c r="G345" s="55"/>
      <c r="H345" s="193"/>
    </row>
    <row r="346" ht="14.25" customHeight="1">
      <c r="B346" s="19"/>
      <c r="C346" s="195"/>
      <c r="D346" s="220"/>
      <c r="E346" s="220"/>
      <c r="F346" s="55"/>
      <c r="G346" s="55"/>
      <c r="H346" s="193"/>
    </row>
    <row r="347" ht="14.25" customHeight="1">
      <c r="B347" s="19"/>
      <c r="C347" s="195"/>
      <c r="D347" s="220"/>
      <c r="E347" s="220"/>
      <c r="F347" s="55"/>
      <c r="G347" s="55"/>
      <c r="H347" s="193"/>
    </row>
    <row r="348" ht="14.25" customHeight="1">
      <c r="B348" s="19"/>
      <c r="C348" s="195"/>
      <c r="D348" s="220"/>
      <c r="E348" s="220"/>
      <c r="F348" s="55"/>
      <c r="G348" s="55"/>
      <c r="H348" s="193"/>
    </row>
    <row r="349" ht="14.25" customHeight="1">
      <c r="B349" s="19"/>
      <c r="C349" s="195"/>
      <c r="D349" s="220"/>
      <c r="E349" s="220"/>
      <c r="F349" s="55"/>
      <c r="G349" s="55"/>
      <c r="H349" s="193"/>
    </row>
    <row r="350" ht="14.25" customHeight="1">
      <c r="B350" s="19"/>
      <c r="C350" s="195"/>
      <c r="D350" s="220"/>
      <c r="E350" s="220"/>
      <c r="F350" s="55"/>
      <c r="G350" s="55"/>
      <c r="H350" s="193"/>
    </row>
    <row r="351" ht="14.25" customHeight="1">
      <c r="B351" s="19"/>
      <c r="C351" s="195"/>
      <c r="D351" s="220"/>
      <c r="E351" s="220"/>
      <c r="F351" s="55"/>
      <c r="G351" s="55"/>
      <c r="H351" s="193"/>
    </row>
    <row r="352" ht="14.25" customHeight="1">
      <c r="B352" s="19"/>
      <c r="C352" s="195"/>
      <c r="D352" s="220"/>
      <c r="E352" s="220"/>
      <c r="F352" s="55"/>
      <c r="G352" s="55"/>
      <c r="H352" s="193"/>
    </row>
    <row r="353" ht="14.25" customHeight="1">
      <c r="B353" s="19"/>
      <c r="C353" s="195"/>
      <c r="D353" s="220"/>
      <c r="E353" s="220"/>
      <c r="F353" s="55"/>
      <c r="G353" s="55"/>
      <c r="H353" s="193"/>
    </row>
    <row r="354" ht="14.25" customHeight="1">
      <c r="B354" s="19"/>
      <c r="C354" s="195"/>
      <c r="D354" s="220"/>
      <c r="E354" s="220"/>
      <c r="F354" s="55"/>
      <c r="G354" s="55"/>
      <c r="H354" s="193"/>
    </row>
    <row r="355" ht="14.25" customHeight="1">
      <c r="B355" s="19"/>
      <c r="C355" s="195"/>
      <c r="D355" s="220"/>
      <c r="E355" s="220"/>
      <c r="F355" s="55"/>
      <c r="G355" s="55"/>
      <c r="H355" s="193"/>
    </row>
    <row r="356" ht="14.25" customHeight="1">
      <c r="B356" s="19"/>
      <c r="C356" s="195"/>
      <c r="D356" s="220"/>
      <c r="E356" s="220"/>
      <c r="F356" s="55"/>
      <c r="G356" s="55"/>
      <c r="H356" s="193"/>
    </row>
    <row r="357" ht="14.25" customHeight="1">
      <c r="B357" s="19"/>
      <c r="C357" s="195"/>
      <c r="D357" s="220"/>
      <c r="E357" s="220"/>
      <c r="F357" s="55"/>
      <c r="G357" s="55"/>
      <c r="H357" s="193"/>
    </row>
    <row r="358" ht="14.25" customHeight="1">
      <c r="B358" s="19"/>
      <c r="C358" s="195"/>
      <c r="D358" s="220"/>
      <c r="E358" s="220"/>
      <c r="F358" s="55"/>
      <c r="G358" s="55"/>
      <c r="H358" s="193"/>
    </row>
    <row r="359" ht="14.25" customHeight="1">
      <c r="B359" s="19"/>
      <c r="C359" s="195"/>
      <c r="D359" s="220"/>
      <c r="E359" s="220"/>
      <c r="F359" s="55"/>
      <c r="G359" s="55"/>
      <c r="H359" s="193"/>
    </row>
    <row r="360" ht="14.25" customHeight="1">
      <c r="B360" s="19"/>
      <c r="C360" s="195"/>
      <c r="D360" s="220"/>
      <c r="E360" s="220"/>
      <c r="F360" s="55"/>
      <c r="G360" s="55"/>
      <c r="H360" s="193"/>
    </row>
    <row r="361" ht="14.25" customHeight="1">
      <c r="B361" s="19"/>
      <c r="C361" s="195"/>
      <c r="D361" s="220"/>
      <c r="E361" s="220"/>
      <c r="F361" s="55"/>
      <c r="G361" s="55"/>
      <c r="H361" s="193"/>
    </row>
    <row r="362" ht="14.25" customHeight="1">
      <c r="B362" s="19"/>
      <c r="C362" s="195"/>
      <c r="D362" s="220"/>
      <c r="E362" s="220"/>
      <c r="F362" s="55"/>
      <c r="G362" s="55"/>
      <c r="H362" s="193"/>
    </row>
    <row r="363" ht="14.25" customHeight="1">
      <c r="B363" s="19"/>
      <c r="C363" s="195"/>
      <c r="D363" s="220"/>
      <c r="E363" s="220"/>
      <c r="F363" s="55"/>
      <c r="G363" s="55"/>
      <c r="H363" s="193"/>
    </row>
    <row r="364" ht="14.25" customHeight="1">
      <c r="B364" s="19"/>
      <c r="C364" s="195"/>
      <c r="D364" s="220"/>
      <c r="E364" s="220"/>
      <c r="F364" s="55"/>
      <c r="G364" s="55"/>
      <c r="H364" s="193"/>
    </row>
    <row r="365" ht="14.25" customHeight="1">
      <c r="B365" s="19"/>
      <c r="C365" s="195"/>
      <c r="D365" s="220"/>
      <c r="E365" s="220"/>
      <c r="F365" s="55"/>
      <c r="G365" s="55"/>
      <c r="H365" s="193"/>
    </row>
    <row r="366" ht="14.25" customHeight="1">
      <c r="B366" s="19"/>
      <c r="C366" s="195"/>
      <c r="D366" s="220"/>
      <c r="E366" s="220"/>
      <c r="F366" s="55"/>
      <c r="G366" s="55"/>
      <c r="H366" s="193"/>
    </row>
    <row r="367" ht="14.25" customHeight="1">
      <c r="B367" s="19"/>
      <c r="C367" s="195"/>
      <c r="D367" s="220"/>
      <c r="E367" s="220"/>
      <c r="F367" s="55"/>
      <c r="G367" s="55"/>
      <c r="H367" s="193"/>
    </row>
    <row r="368" ht="14.25" customHeight="1">
      <c r="B368" s="19"/>
      <c r="C368" s="195"/>
      <c r="D368" s="220"/>
      <c r="E368" s="220"/>
      <c r="F368" s="55"/>
      <c r="G368" s="55"/>
      <c r="H368" s="193"/>
    </row>
    <row r="369" ht="14.25" customHeight="1">
      <c r="B369" s="19"/>
      <c r="C369" s="195"/>
      <c r="D369" s="220"/>
      <c r="E369" s="220"/>
      <c r="F369" s="55"/>
      <c r="G369" s="55"/>
      <c r="H369" s="193"/>
    </row>
    <row r="370" ht="14.25" customHeight="1">
      <c r="B370" s="19"/>
      <c r="C370" s="195"/>
      <c r="D370" s="220"/>
      <c r="E370" s="220"/>
      <c r="F370" s="55"/>
      <c r="G370" s="55"/>
      <c r="H370" s="193"/>
    </row>
    <row r="371" ht="14.25" customHeight="1">
      <c r="B371" s="19"/>
      <c r="C371" s="195"/>
      <c r="D371" s="220"/>
      <c r="E371" s="220"/>
      <c r="F371" s="55"/>
      <c r="G371" s="55"/>
      <c r="H371" s="193"/>
    </row>
    <row r="372" ht="14.25" customHeight="1">
      <c r="B372" s="19"/>
      <c r="C372" s="195"/>
      <c r="D372" s="220"/>
      <c r="E372" s="220"/>
      <c r="F372" s="55"/>
      <c r="G372" s="55"/>
      <c r="H372" s="193"/>
    </row>
    <row r="373" ht="14.25" customHeight="1">
      <c r="B373" s="19"/>
      <c r="C373" s="195"/>
      <c r="D373" s="220"/>
      <c r="E373" s="220"/>
      <c r="F373" s="55"/>
      <c r="G373" s="55"/>
      <c r="H373" s="193"/>
    </row>
    <row r="374" ht="14.25" customHeight="1">
      <c r="B374" s="19"/>
      <c r="C374" s="195"/>
      <c r="D374" s="220"/>
      <c r="E374" s="220"/>
      <c r="F374" s="55"/>
      <c r="G374" s="55"/>
      <c r="H374" s="193"/>
    </row>
    <row r="375" ht="14.25" customHeight="1">
      <c r="B375" s="19"/>
      <c r="C375" s="195"/>
      <c r="D375" s="220"/>
      <c r="E375" s="220"/>
      <c r="F375" s="55"/>
      <c r="G375" s="55"/>
      <c r="H375" s="193"/>
    </row>
    <row r="376" ht="14.25" customHeight="1">
      <c r="B376" s="19"/>
      <c r="C376" s="195"/>
      <c r="D376" s="220"/>
      <c r="E376" s="220"/>
      <c r="F376" s="55"/>
      <c r="G376" s="55"/>
      <c r="H376" s="193"/>
    </row>
    <row r="377" ht="14.25" customHeight="1">
      <c r="B377" s="19"/>
      <c r="C377" s="195"/>
      <c r="D377" s="220"/>
      <c r="E377" s="220"/>
      <c r="F377" s="55"/>
      <c r="G377" s="55"/>
      <c r="H377" s="193"/>
    </row>
    <row r="378" ht="14.25" customHeight="1">
      <c r="B378" s="19"/>
      <c r="C378" s="195"/>
      <c r="D378" s="220"/>
      <c r="E378" s="220"/>
      <c r="F378" s="55"/>
      <c r="G378" s="55"/>
      <c r="H378" s="193"/>
    </row>
    <row r="379" ht="14.25" customHeight="1">
      <c r="B379" s="19"/>
      <c r="C379" s="195"/>
      <c r="D379" s="220"/>
      <c r="E379" s="220"/>
      <c r="F379" s="55"/>
      <c r="G379" s="55"/>
      <c r="H379" s="193"/>
    </row>
    <row r="380" ht="14.25" customHeight="1">
      <c r="B380" s="19"/>
      <c r="C380" s="195"/>
      <c r="D380" s="220"/>
      <c r="E380" s="220"/>
      <c r="F380" s="55"/>
      <c r="G380" s="55"/>
      <c r="H380" s="193"/>
    </row>
    <row r="381" ht="14.25" customHeight="1">
      <c r="B381" s="19"/>
      <c r="C381" s="195"/>
      <c r="D381" s="220"/>
      <c r="E381" s="220"/>
      <c r="F381" s="55"/>
      <c r="G381" s="55"/>
      <c r="H381" s="193"/>
    </row>
    <row r="382" ht="14.25" customHeight="1">
      <c r="B382" s="19"/>
      <c r="C382" s="195"/>
      <c r="D382" s="220"/>
      <c r="E382" s="220"/>
      <c r="F382" s="55"/>
      <c r="G382" s="55"/>
      <c r="H382" s="193"/>
    </row>
    <row r="383" ht="14.25" customHeight="1">
      <c r="B383" s="19"/>
      <c r="C383" s="195"/>
      <c r="D383" s="220"/>
      <c r="E383" s="220"/>
      <c r="F383" s="55"/>
      <c r="G383" s="55"/>
      <c r="H383" s="193"/>
    </row>
    <row r="384" ht="14.25" customHeight="1">
      <c r="B384" s="19"/>
      <c r="C384" s="195"/>
      <c r="D384" s="220"/>
      <c r="E384" s="220"/>
      <c r="F384" s="55"/>
      <c r="G384" s="55"/>
      <c r="H384" s="193"/>
    </row>
    <row r="385" ht="14.25" customHeight="1">
      <c r="B385" s="19"/>
      <c r="C385" s="195"/>
      <c r="D385" s="220"/>
      <c r="E385" s="220"/>
      <c r="F385" s="55"/>
      <c r="G385" s="55"/>
      <c r="H385" s="193"/>
    </row>
    <row r="386" ht="14.25" customHeight="1">
      <c r="B386" s="19"/>
      <c r="C386" s="195"/>
      <c r="D386" s="220"/>
      <c r="E386" s="220"/>
      <c r="F386" s="55"/>
      <c r="G386" s="55"/>
      <c r="H386" s="193"/>
    </row>
    <row r="387" ht="14.25" customHeight="1">
      <c r="B387" s="19"/>
      <c r="C387" s="195"/>
      <c r="D387" s="220"/>
      <c r="E387" s="220"/>
      <c r="F387" s="55"/>
      <c r="G387" s="55"/>
      <c r="H387" s="193"/>
    </row>
    <row r="388" ht="14.25" customHeight="1">
      <c r="B388" s="19"/>
      <c r="C388" s="195"/>
      <c r="D388" s="220"/>
      <c r="E388" s="220"/>
      <c r="F388" s="55"/>
      <c r="G388" s="55"/>
      <c r="H388" s="193"/>
    </row>
    <row r="389" ht="14.25" customHeight="1">
      <c r="B389" s="19"/>
      <c r="C389" s="195"/>
      <c r="D389" s="220"/>
      <c r="E389" s="220"/>
      <c r="F389" s="55"/>
      <c r="G389" s="55"/>
      <c r="H389" s="193"/>
    </row>
    <row r="390" ht="14.25" customHeight="1">
      <c r="B390" s="19"/>
      <c r="C390" s="195"/>
      <c r="D390" s="220"/>
      <c r="E390" s="220"/>
      <c r="F390" s="55"/>
      <c r="G390" s="55"/>
      <c r="H390" s="193"/>
    </row>
    <row r="391" ht="14.25" customHeight="1">
      <c r="B391" s="19"/>
      <c r="C391" s="195"/>
      <c r="D391" s="220"/>
      <c r="E391" s="220"/>
      <c r="F391" s="55"/>
      <c r="G391" s="55"/>
      <c r="H391" s="193"/>
    </row>
    <row r="392" ht="14.25" customHeight="1">
      <c r="B392" s="19"/>
      <c r="C392" s="195"/>
      <c r="D392" s="220"/>
      <c r="E392" s="220"/>
      <c r="F392" s="55"/>
      <c r="G392" s="55"/>
      <c r="H392" s="193"/>
    </row>
    <row r="393" ht="14.25" customHeight="1">
      <c r="B393" s="19"/>
      <c r="C393" s="195"/>
      <c r="D393" s="220"/>
      <c r="E393" s="220"/>
      <c r="F393" s="55"/>
      <c r="G393" s="55"/>
      <c r="H393" s="193"/>
    </row>
    <row r="394" ht="14.25" customHeight="1">
      <c r="B394" s="19"/>
      <c r="C394" s="195"/>
      <c r="D394" s="220"/>
      <c r="E394" s="220"/>
      <c r="F394" s="55"/>
      <c r="G394" s="55"/>
      <c r="H394" s="193"/>
    </row>
    <row r="395" ht="14.25" customHeight="1">
      <c r="B395" s="19"/>
      <c r="C395" s="195"/>
      <c r="D395" s="220"/>
      <c r="E395" s="220"/>
      <c r="F395" s="55"/>
      <c r="G395" s="55"/>
      <c r="H395" s="193"/>
    </row>
    <row r="396" ht="14.25" customHeight="1">
      <c r="B396" s="19"/>
      <c r="C396" s="195"/>
      <c r="D396" s="220"/>
      <c r="E396" s="220"/>
      <c r="F396" s="55"/>
      <c r="G396" s="55"/>
      <c r="H396" s="193"/>
    </row>
    <row r="397" ht="14.25" customHeight="1">
      <c r="B397" s="19"/>
      <c r="C397" s="195"/>
      <c r="D397" s="220"/>
      <c r="E397" s="220"/>
      <c r="F397" s="55"/>
      <c r="G397" s="55"/>
      <c r="H397" s="193"/>
    </row>
    <row r="398" ht="14.25" customHeight="1">
      <c r="B398" s="19"/>
      <c r="C398" s="195"/>
      <c r="D398" s="220"/>
      <c r="E398" s="220"/>
      <c r="F398" s="55"/>
      <c r="G398" s="55"/>
      <c r="H398" s="193"/>
    </row>
    <row r="399" ht="14.25" customHeight="1">
      <c r="B399" s="19"/>
      <c r="C399" s="195"/>
      <c r="D399" s="220"/>
      <c r="E399" s="220"/>
      <c r="F399" s="55"/>
      <c r="G399" s="55"/>
      <c r="H399" s="193"/>
    </row>
    <row r="400" ht="14.25" customHeight="1">
      <c r="B400" s="19"/>
      <c r="C400" s="195"/>
      <c r="D400" s="220"/>
      <c r="E400" s="220"/>
      <c r="F400" s="55"/>
      <c r="G400" s="55"/>
      <c r="H400" s="193"/>
    </row>
    <row r="401" ht="14.25" customHeight="1">
      <c r="B401" s="19"/>
      <c r="C401" s="195"/>
      <c r="D401" s="220"/>
      <c r="E401" s="220"/>
      <c r="F401" s="55"/>
      <c r="G401" s="55"/>
      <c r="H401" s="193"/>
    </row>
    <row r="402" ht="14.25" customHeight="1">
      <c r="B402" s="19"/>
      <c r="C402" s="195"/>
      <c r="D402" s="220"/>
      <c r="E402" s="220"/>
      <c r="F402" s="55"/>
      <c r="G402" s="55"/>
      <c r="H402" s="193"/>
    </row>
    <row r="403" ht="14.25" customHeight="1">
      <c r="B403" s="19"/>
      <c r="C403" s="195"/>
      <c r="D403" s="220"/>
      <c r="E403" s="220"/>
      <c r="F403" s="55"/>
      <c r="G403" s="55"/>
      <c r="H403" s="193"/>
    </row>
    <row r="404" ht="14.25" customHeight="1">
      <c r="B404" s="19"/>
      <c r="C404" s="195"/>
      <c r="D404" s="220"/>
      <c r="E404" s="220"/>
      <c r="F404" s="55"/>
      <c r="G404" s="55"/>
      <c r="H404" s="193"/>
    </row>
    <row r="405" ht="14.25" customHeight="1">
      <c r="B405" s="19"/>
      <c r="C405" s="195"/>
      <c r="D405" s="220"/>
      <c r="E405" s="220"/>
      <c r="F405" s="55"/>
      <c r="G405" s="55"/>
      <c r="H405" s="193"/>
    </row>
    <row r="406" ht="14.25" customHeight="1">
      <c r="B406" s="19"/>
      <c r="C406" s="195"/>
      <c r="D406" s="220"/>
      <c r="E406" s="220"/>
      <c r="F406" s="55"/>
      <c r="G406" s="55"/>
      <c r="H406" s="193"/>
    </row>
    <row r="407" ht="14.25" customHeight="1">
      <c r="B407" s="19"/>
      <c r="C407" s="195"/>
      <c r="D407" s="220"/>
      <c r="E407" s="220"/>
      <c r="F407" s="55"/>
      <c r="G407" s="55"/>
      <c r="H407" s="193"/>
    </row>
    <row r="408" ht="14.25" customHeight="1">
      <c r="B408" s="19"/>
      <c r="C408" s="195"/>
      <c r="D408" s="220"/>
      <c r="E408" s="220"/>
      <c r="F408" s="55"/>
      <c r="G408" s="55"/>
      <c r="H408" s="193"/>
    </row>
    <row r="409" ht="14.25" customHeight="1">
      <c r="B409" s="19"/>
      <c r="C409" s="195"/>
      <c r="D409" s="220"/>
      <c r="E409" s="220"/>
      <c r="F409" s="55"/>
      <c r="G409" s="55"/>
      <c r="H409" s="193"/>
    </row>
    <row r="410" ht="14.25" customHeight="1">
      <c r="B410" s="19"/>
      <c r="C410" s="195"/>
      <c r="D410" s="220"/>
      <c r="E410" s="220"/>
      <c r="F410" s="55"/>
      <c r="G410" s="55"/>
      <c r="H410" s="193"/>
    </row>
    <row r="411" ht="14.25" customHeight="1">
      <c r="B411" s="19"/>
      <c r="C411" s="195"/>
      <c r="D411" s="220"/>
      <c r="E411" s="220"/>
      <c r="F411" s="55"/>
      <c r="G411" s="55"/>
      <c r="H411" s="193"/>
    </row>
    <row r="412" ht="14.25" customHeight="1">
      <c r="B412" s="19"/>
      <c r="C412" s="195"/>
      <c r="D412" s="220"/>
      <c r="E412" s="220"/>
      <c r="F412" s="55"/>
      <c r="G412" s="55"/>
      <c r="H412" s="193"/>
    </row>
    <row r="413" ht="14.25" customHeight="1">
      <c r="B413" s="19"/>
      <c r="C413" s="195"/>
      <c r="D413" s="220"/>
      <c r="E413" s="220"/>
      <c r="F413" s="55"/>
      <c r="G413" s="55"/>
      <c r="H413" s="193"/>
    </row>
    <row r="414" ht="14.25" customHeight="1">
      <c r="B414" s="19"/>
      <c r="C414" s="195"/>
      <c r="D414" s="220"/>
      <c r="E414" s="220"/>
      <c r="F414" s="55"/>
      <c r="G414" s="55"/>
      <c r="H414" s="193"/>
    </row>
    <row r="415" ht="14.25" customHeight="1">
      <c r="B415" s="19"/>
      <c r="C415" s="195"/>
      <c r="D415" s="220"/>
      <c r="E415" s="220"/>
      <c r="F415" s="55"/>
      <c r="G415" s="55"/>
      <c r="H415" s="193"/>
    </row>
    <row r="416" ht="14.25" customHeight="1">
      <c r="B416" s="19"/>
      <c r="C416" s="195"/>
      <c r="D416" s="220"/>
      <c r="E416" s="220"/>
      <c r="F416" s="55"/>
      <c r="G416" s="55"/>
      <c r="H416" s="193"/>
    </row>
    <row r="417" ht="14.25" customHeight="1">
      <c r="B417" s="19"/>
      <c r="C417" s="195"/>
      <c r="D417" s="220"/>
      <c r="E417" s="220"/>
      <c r="F417" s="55"/>
      <c r="G417" s="55"/>
      <c r="H417" s="193"/>
    </row>
    <row r="418" ht="14.25" customHeight="1">
      <c r="B418" s="19"/>
      <c r="C418" s="195"/>
      <c r="D418" s="220"/>
      <c r="E418" s="220"/>
      <c r="F418" s="55"/>
      <c r="G418" s="55"/>
      <c r="H418" s="193"/>
    </row>
    <row r="419" ht="14.25" customHeight="1">
      <c r="B419" s="19"/>
      <c r="C419" s="195"/>
      <c r="D419" s="220"/>
      <c r="E419" s="220"/>
      <c r="F419" s="55"/>
      <c r="G419" s="55"/>
      <c r="H419" s="193"/>
    </row>
    <row r="420" ht="14.25" customHeight="1">
      <c r="B420" s="19"/>
      <c r="C420" s="195"/>
      <c r="D420" s="220"/>
      <c r="E420" s="220"/>
      <c r="F420" s="55"/>
      <c r="G420" s="55"/>
      <c r="H420" s="193"/>
    </row>
    <row r="421" ht="14.25" customHeight="1">
      <c r="B421" s="19"/>
      <c r="C421" s="195"/>
      <c r="D421" s="220"/>
      <c r="E421" s="220"/>
      <c r="F421" s="55"/>
      <c r="G421" s="55"/>
      <c r="H421" s="193"/>
    </row>
    <row r="422" ht="14.25" customHeight="1">
      <c r="B422" s="19"/>
      <c r="C422" s="195"/>
      <c r="D422" s="220"/>
      <c r="E422" s="220"/>
      <c r="F422" s="55"/>
      <c r="G422" s="55"/>
      <c r="H422" s="193"/>
    </row>
    <row r="423" ht="14.25" customHeight="1">
      <c r="B423" s="19"/>
      <c r="C423" s="195"/>
      <c r="D423" s="220"/>
      <c r="E423" s="220"/>
      <c r="F423" s="55"/>
      <c r="G423" s="55"/>
      <c r="H423" s="193"/>
    </row>
    <row r="424" ht="14.25" customHeight="1">
      <c r="B424" s="19"/>
      <c r="C424" s="195"/>
      <c r="D424" s="220"/>
      <c r="E424" s="220"/>
      <c r="F424" s="55"/>
      <c r="G424" s="55"/>
      <c r="H424" s="193"/>
    </row>
    <row r="425" ht="14.25" customHeight="1">
      <c r="B425" s="19"/>
      <c r="C425" s="195"/>
      <c r="D425" s="220"/>
      <c r="E425" s="220"/>
      <c r="F425" s="55"/>
      <c r="G425" s="55"/>
      <c r="H425" s="193"/>
    </row>
    <row r="426" ht="14.25" customHeight="1">
      <c r="B426" s="19"/>
      <c r="C426" s="195"/>
      <c r="D426" s="220"/>
      <c r="E426" s="220"/>
      <c r="F426" s="55"/>
      <c r="G426" s="55"/>
      <c r="H426" s="193"/>
    </row>
    <row r="427" ht="14.25" customHeight="1">
      <c r="B427" s="19"/>
      <c r="C427" s="195"/>
      <c r="D427" s="220"/>
      <c r="E427" s="220"/>
      <c r="F427" s="55"/>
      <c r="G427" s="55"/>
      <c r="H427" s="193"/>
    </row>
    <row r="428" ht="14.25" customHeight="1">
      <c r="B428" s="19"/>
      <c r="C428" s="195"/>
      <c r="D428" s="220"/>
      <c r="E428" s="220"/>
      <c r="F428" s="55"/>
      <c r="G428" s="55"/>
      <c r="H428" s="193"/>
    </row>
    <row r="429" ht="14.25" customHeight="1">
      <c r="B429" s="19"/>
      <c r="C429" s="195"/>
      <c r="D429" s="220"/>
      <c r="E429" s="220"/>
      <c r="F429" s="55"/>
      <c r="G429" s="55"/>
      <c r="H429" s="193"/>
    </row>
    <row r="430" ht="14.25" customHeight="1">
      <c r="B430" s="19"/>
      <c r="C430" s="195"/>
      <c r="D430" s="220"/>
      <c r="E430" s="220"/>
      <c r="F430" s="55"/>
      <c r="G430" s="55"/>
      <c r="H430" s="193"/>
    </row>
    <row r="431" ht="14.25" customHeight="1">
      <c r="B431" s="19"/>
      <c r="C431" s="195"/>
      <c r="D431" s="220"/>
      <c r="E431" s="220"/>
      <c r="F431" s="55"/>
      <c r="G431" s="55"/>
      <c r="H431" s="193"/>
    </row>
    <row r="432" ht="14.25" customHeight="1">
      <c r="B432" s="19"/>
      <c r="C432" s="195"/>
      <c r="D432" s="220"/>
      <c r="E432" s="220"/>
      <c r="F432" s="55"/>
      <c r="G432" s="55"/>
      <c r="H432" s="193"/>
    </row>
    <row r="433" ht="14.25" customHeight="1">
      <c r="B433" s="19"/>
      <c r="C433" s="195"/>
      <c r="D433" s="220"/>
      <c r="E433" s="220"/>
      <c r="F433" s="55"/>
      <c r="G433" s="55"/>
      <c r="H433" s="193"/>
    </row>
    <row r="434" ht="14.25" customHeight="1">
      <c r="B434" s="19"/>
      <c r="C434" s="195"/>
      <c r="D434" s="220"/>
      <c r="E434" s="220"/>
      <c r="F434" s="55"/>
      <c r="G434" s="55"/>
      <c r="H434" s="193"/>
    </row>
    <row r="435" ht="14.25" customHeight="1">
      <c r="B435" s="19"/>
      <c r="C435" s="195"/>
      <c r="D435" s="220"/>
      <c r="E435" s="220"/>
      <c r="F435" s="55"/>
      <c r="G435" s="55"/>
      <c r="H435" s="193"/>
    </row>
    <row r="436" ht="14.25" customHeight="1">
      <c r="B436" s="19"/>
      <c r="C436" s="195"/>
      <c r="D436" s="220"/>
      <c r="E436" s="220"/>
      <c r="F436" s="55"/>
      <c r="G436" s="55"/>
      <c r="H436" s="193"/>
    </row>
    <row r="437" ht="14.25" customHeight="1">
      <c r="B437" s="19"/>
      <c r="C437" s="195"/>
      <c r="D437" s="220"/>
      <c r="E437" s="220"/>
      <c r="F437" s="55"/>
      <c r="G437" s="55"/>
      <c r="H437" s="193"/>
    </row>
    <row r="438" ht="14.25" customHeight="1">
      <c r="B438" s="19"/>
      <c r="C438" s="195"/>
      <c r="D438" s="220"/>
      <c r="E438" s="220"/>
      <c r="F438" s="55"/>
      <c r="G438" s="55"/>
      <c r="H438" s="193"/>
    </row>
    <row r="439" ht="14.25" customHeight="1">
      <c r="B439" s="19"/>
      <c r="C439" s="195"/>
      <c r="D439" s="220"/>
      <c r="E439" s="220"/>
      <c r="F439" s="55"/>
      <c r="G439" s="55"/>
      <c r="H439" s="193"/>
    </row>
    <row r="440" ht="14.25" customHeight="1">
      <c r="B440" s="19"/>
      <c r="C440" s="195"/>
      <c r="D440" s="220"/>
      <c r="E440" s="220"/>
      <c r="F440" s="55"/>
      <c r="G440" s="55"/>
      <c r="H440" s="193"/>
    </row>
    <row r="441" ht="14.25" customHeight="1">
      <c r="B441" s="19"/>
      <c r="C441" s="195"/>
      <c r="D441" s="220"/>
      <c r="E441" s="220"/>
      <c r="F441" s="55"/>
      <c r="G441" s="55"/>
      <c r="H441" s="193"/>
    </row>
    <row r="442" ht="14.25" customHeight="1">
      <c r="B442" s="19"/>
      <c r="C442" s="195"/>
      <c r="D442" s="220"/>
      <c r="E442" s="220"/>
      <c r="F442" s="55"/>
      <c r="G442" s="55"/>
      <c r="H442" s="193"/>
    </row>
    <row r="443" ht="14.25" customHeight="1">
      <c r="B443" s="19"/>
      <c r="C443" s="195"/>
      <c r="D443" s="220"/>
      <c r="E443" s="220"/>
      <c r="F443" s="55"/>
      <c r="G443" s="55"/>
      <c r="H443" s="193"/>
    </row>
    <row r="444" ht="14.25" customHeight="1">
      <c r="B444" s="19"/>
      <c r="C444" s="195"/>
      <c r="D444" s="220"/>
      <c r="E444" s="220"/>
      <c r="F444" s="55"/>
      <c r="G444" s="55"/>
      <c r="H444" s="193"/>
    </row>
    <row r="445" ht="14.25" customHeight="1">
      <c r="B445" s="19"/>
      <c r="C445" s="195"/>
      <c r="D445" s="220"/>
      <c r="E445" s="220"/>
      <c r="F445" s="55"/>
      <c r="G445" s="55"/>
      <c r="H445" s="193"/>
    </row>
    <row r="446" ht="14.25" customHeight="1">
      <c r="B446" s="19"/>
      <c r="C446" s="195"/>
      <c r="D446" s="220"/>
      <c r="E446" s="220"/>
      <c r="F446" s="55"/>
      <c r="G446" s="55"/>
      <c r="H446" s="193"/>
    </row>
    <row r="447" ht="14.25" customHeight="1">
      <c r="B447" s="19"/>
      <c r="C447" s="195"/>
      <c r="D447" s="220"/>
      <c r="E447" s="220"/>
      <c r="F447" s="55"/>
      <c r="G447" s="55"/>
      <c r="H447" s="193"/>
    </row>
    <row r="448" ht="14.25" customHeight="1">
      <c r="B448" s="19"/>
      <c r="C448" s="195"/>
      <c r="D448" s="220"/>
      <c r="E448" s="220"/>
      <c r="F448" s="55"/>
      <c r="G448" s="55"/>
      <c r="H448" s="193"/>
    </row>
    <row r="449" ht="14.25" customHeight="1">
      <c r="B449" s="19"/>
      <c r="C449" s="195"/>
      <c r="D449" s="220"/>
      <c r="E449" s="220"/>
      <c r="F449" s="55"/>
      <c r="G449" s="55"/>
      <c r="H449" s="193"/>
    </row>
    <row r="450" ht="14.25" customHeight="1">
      <c r="B450" s="19"/>
      <c r="C450" s="195"/>
      <c r="D450" s="220"/>
      <c r="E450" s="220"/>
      <c r="F450" s="55"/>
      <c r="G450" s="55"/>
      <c r="H450" s="193"/>
    </row>
    <row r="451" ht="14.25" customHeight="1">
      <c r="B451" s="19"/>
      <c r="C451" s="195"/>
      <c r="D451" s="220"/>
      <c r="E451" s="220"/>
      <c r="F451" s="55"/>
      <c r="G451" s="55"/>
      <c r="H451" s="193"/>
    </row>
    <row r="452" ht="14.25" customHeight="1">
      <c r="B452" s="19"/>
      <c r="C452" s="195"/>
      <c r="D452" s="220"/>
      <c r="E452" s="220"/>
      <c r="F452" s="55"/>
      <c r="G452" s="55"/>
      <c r="H452" s="193"/>
    </row>
    <row r="453" ht="14.25" customHeight="1">
      <c r="B453" s="19"/>
      <c r="C453" s="195"/>
      <c r="D453" s="220"/>
      <c r="E453" s="220"/>
      <c r="F453" s="55"/>
      <c r="G453" s="55"/>
      <c r="H453" s="193"/>
    </row>
    <row r="454" ht="14.25" customHeight="1">
      <c r="B454" s="19"/>
      <c r="C454" s="195"/>
      <c r="D454" s="220"/>
      <c r="E454" s="220"/>
      <c r="F454" s="55"/>
      <c r="G454" s="55"/>
      <c r="H454" s="193"/>
    </row>
    <row r="455" ht="14.25" customHeight="1">
      <c r="B455" s="19"/>
      <c r="C455" s="195"/>
      <c r="D455" s="220"/>
      <c r="E455" s="220"/>
      <c r="F455" s="55"/>
      <c r="G455" s="55"/>
      <c r="H455" s="193"/>
    </row>
    <row r="456" ht="14.25" customHeight="1">
      <c r="B456" s="19"/>
      <c r="C456" s="195"/>
      <c r="D456" s="220"/>
      <c r="E456" s="220"/>
      <c r="F456" s="55"/>
      <c r="G456" s="55"/>
      <c r="H456" s="193"/>
    </row>
    <row r="457" ht="14.25" customHeight="1">
      <c r="B457" s="19"/>
      <c r="C457" s="195"/>
      <c r="D457" s="220"/>
      <c r="E457" s="220"/>
      <c r="F457" s="55"/>
      <c r="G457" s="55"/>
      <c r="H457" s="193"/>
    </row>
    <row r="458" ht="14.25" customHeight="1">
      <c r="B458" s="19"/>
      <c r="C458" s="195"/>
      <c r="D458" s="220"/>
      <c r="E458" s="220"/>
      <c r="F458" s="55"/>
      <c r="G458" s="55"/>
      <c r="H458" s="193"/>
    </row>
    <row r="459" ht="14.25" customHeight="1">
      <c r="B459" s="19"/>
      <c r="C459" s="195"/>
      <c r="D459" s="220"/>
      <c r="E459" s="220"/>
      <c r="F459" s="55"/>
      <c r="G459" s="55"/>
      <c r="H459" s="193"/>
    </row>
    <row r="460" ht="14.25" customHeight="1">
      <c r="B460" s="19"/>
      <c r="C460" s="195"/>
      <c r="D460" s="220"/>
      <c r="E460" s="220"/>
      <c r="F460" s="55"/>
      <c r="G460" s="55"/>
      <c r="H460" s="193"/>
    </row>
    <row r="461" ht="14.25" customHeight="1">
      <c r="B461" s="19"/>
      <c r="C461" s="195"/>
      <c r="D461" s="220"/>
      <c r="E461" s="220"/>
      <c r="F461" s="55"/>
      <c r="G461" s="55"/>
      <c r="H461" s="193"/>
    </row>
    <row r="462" ht="14.25" customHeight="1">
      <c r="B462" s="19"/>
      <c r="C462" s="195"/>
      <c r="D462" s="220"/>
      <c r="E462" s="220"/>
      <c r="F462" s="55"/>
      <c r="G462" s="55"/>
      <c r="H462" s="193"/>
    </row>
    <row r="463" ht="14.25" customHeight="1">
      <c r="B463" s="19"/>
      <c r="C463" s="195"/>
      <c r="D463" s="220"/>
      <c r="E463" s="220"/>
      <c r="F463" s="55"/>
      <c r="G463" s="55"/>
      <c r="H463" s="193"/>
    </row>
    <row r="464" ht="14.25" customHeight="1">
      <c r="B464" s="19"/>
      <c r="C464" s="195"/>
      <c r="D464" s="220"/>
      <c r="E464" s="220"/>
      <c r="F464" s="55"/>
      <c r="G464" s="55"/>
      <c r="H464" s="193"/>
    </row>
    <row r="465" ht="14.25" customHeight="1">
      <c r="B465" s="19"/>
      <c r="C465" s="195"/>
      <c r="D465" s="220"/>
      <c r="E465" s="220"/>
      <c r="F465" s="55"/>
      <c r="G465" s="55"/>
      <c r="H465" s="193"/>
    </row>
    <row r="466" ht="14.25" customHeight="1">
      <c r="B466" s="19"/>
      <c r="C466" s="195"/>
      <c r="D466" s="220"/>
      <c r="E466" s="220"/>
      <c r="F466" s="55"/>
      <c r="G466" s="55"/>
      <c r="H466" s="193"/>
    </row>
    <row r="467" ht="14.25" customHeight="1">
      <c r="B467" s="19"/>
      <c r="C467" s="195"/>
      <c r="D467" s="220"/>
      <c r="E467" s="220"/>
      <c r="F467" s="55"/>
      <c r="G467" s="55"/>
      <c r="H467" s="193"/>
    </row>
    <row r="468" ht="14.25" customHeight="1">
      <c r="B468" s="19"/>
      <c r="C468" s="195"/>
      <c r="D468" s="220"/>
      <c r="E468" s="220"/>
      <c r="F468" s="55"/>
      <c r="G468" s="55"/>
      <c r="H468" s="193"/>
    </row>
    <row r="469" ht="14.25" customHeight="1">
      <c r="B469" s="19"/>
      <c r="C469" s="195"/>
      <c r="D469" s="220"/>
      <c r="E469" s="220"/>
      <c r="F469" s="55"/>
      <c r="G469" s="55"/>
      <c r="H469" s="193"/>
    </row>
    <row r="470" ht="14.25" customHeight="1">
      <c r="B470" s="19"/>
      <c r="C470" s="195"/>
      <c r="D470" s="220"/>
      <c r="E470" s="220"/>
      <c r="F470" s="55"/>
      <c r="G470" s="55"/>
      <c r="H470" s="193"/>
    </row>
    <row r="471" ht="14.25" customHeight="1">
      <c r="B471" s="19"/>
      <c r="C471" s="195"/>
      <c r="D471" s="220"/>
      <c r="E471" s="220"/>
      <c r="F471" s="55"/>
      <c r="G471" s="55"/>
      <c r="H471" s="193"/>
    </row>
    <row r="472" ht="14.25" customHeight="1">
      <c r="B472" s="19"/>
      <c r="C472" s="195"/>
      <c r="D472" s="220"/>
      <c r="E472" s="220"/>
      <c r="F472" s="55"/>
      <c r="G472" s="55"/>
      <c r="H472" s="193"/>
    </row>
    <row r="473" ht="14.25" customHeight="1">
      <c r="B473" s="19"/>
      <c r="C473" s="195"/>
      <c r="D473" s="220"/>
      <c r="E473" s="220"/>
      <c r="F473" s="55"/>
      <c r="G473" s="55"/>
      <c r="H473" s="193"/>
    </row>
    <row r="474" ht="14.25" customHeight="1">
      <c r="B474" s="19"/>
      <c r="C474" s="195"/>
      <c r="D474" s="220"/>
      <c r="E474" s="220"/>
      <c r="F474" s="55"/>
      <c r="G474" s="55"/>
      <c r="H474" s="193"/>
    </row>
    <row r="475" ht="14.25" customHeight="1">
      <c r="B475" s="19"/>
      <c r="C475" s="195"/>
      <c r="D475" s="220"/>
      <c r="E475" s="220"/>
      <c r="F475" s="55"/>
      <c r="G475" s="55"/>
      <c r="H475" s="193"/>
    </row>
    <row r="476" ht="14.25" customHeight="1">
      <c r="B476" s="19"/>
      <c r="C476" s="195"/>
      <c r="D476" s="220"/>
      <c r="E476" s="220"/>
      <c r="F476" s="55"/>
      <c r="G476" s="55"/>
      <c r="H476" s="193"/>
    </row>
    <row r="477" ht="14.25" customHeight="1">
      <c r="B477" s="19"/>
      <c r="C477" s="195"/>
      <c r="D477" s="220"/>
      <c r="E477" s="220"/>
      <c r="F477" s="55"/>
      <c r="G477" s="55"/>
      <c r="H477" s="193"/>
    </row>
    <row r="478" ht="14.25" customHeight="1">
      <c r="B478" s="19"/>
      <c r="C478" s="195"/>
      <c r="D478" s="220"/>
      <c r="E478" s="220"/>
      <c r="F478" s="55"/>
      <c r="G478" s="55"/>
      <c r="H478" s="193"/>
    </row>
    <row r="479" ht="14.25" customHeight="1">
      <c r="B479" s="19"/>
      <c r="C479" s="195"/>
      <c r="D479" s="220"/>
      <c r="E479" s="220"/>
      <c r="F479" s="55"/>
      <c r="G479" s="55"/>
      <c r="H479" s="193"/>
    </row>
    <row r="480" ht="14.25" customHeight="1">
      <c r="B480" s="19"/>
      <c r="C480" s="195"/>
      <c r="D480" s="220"/>
      <c r="E480" s="220"/>
      <c r="F480" s="55"/>
      <c r="G480" s="55"/>
      <c r="H480" s="193"/>
    </row>
    <row r="481" ht="14.25" customHeight="1">
      <c r="B481" s="19"/>
      <c r="C481" s="195"/>
      <c r="D481" s="220"/>
      <c r="E481" s="220"/>
      <c r="F481" s="55"/>
      <c r="G481" s="55"/>
      <c r="H481" s="193"/>
    </row>
    <row r="482" ht="14.25" customHeight="1">
      <c r="B482" s="19"/>
      <c r="C482" s="195"/>
      <c r="D482" s="220"/>
      <c r="E482" s="220"/>
      <c r="F482" s="55"/>
      <c r="G482" s="55"/>
      <c r="H482" s="193"/>
    </row>
    <row r="483" ht="14.25" customHeight="1">
      <c r="B483" s="19"/>
      <c r="C483" s="195"/>
      <c r="D483" s="220"/>
      <c r="E483" s="220"/>
      <c r="F483" s="55"/>
      <c r="G483" s="55"/>
      <c r="H483" s="193"/>
    </row>
    <row r="484" ht="14.25" customHeight="1">
      <c r="B484" s="19"/>
      <c r="C484" s="195"/>
      <c r="D484" s="220"/>
      <c r="E484" s="220"/>
      <c r="F484" s="55"/>
      <c r="G484" s="55"/>
      <c r="H484" s="193"/>
    </row>
    <row r="485" ht="14.25" customHeight="1">
      <c r="B485" s="19"/>
      <c r="C485" s="195"/>
      <c r="D485" s="220"/>
      <c r="E485" s="220"/>
      <c r="F485" s="55"/>
      <c r="G485" s="55"/>
      <c r="H485" s="193"/>
    </row>
    <row r="486" ht="14.25" customHeight="1">
      <c r="B486" s="19"/>
      <c r="C486" s="195"/>
      <c r="D486" s="220"/>
      <c r="E486" s="220"/>
      <c r="F486" s="55"/>
      <c r="G486" s="55"/>
      <c r="H486" s="193"/>
    </row>
    <row r="487" ht="14.25" customHeight="1">
      <c r="B487" s="19"/>
      <c r="C487" s="195"/>
      <c r="D487" s="220"/>
      <c r="E487" s="220"/>
      <c r="F487" s="55"/>
      <c r="G487" s="55"/>
      <c r="H487" s="193"/>
    </row>
    <row r="488" ht="14.25" customHeight="1">
      <c r="B488" s="19"/>
      <c r="C488" s="195"/>
      <c r="D488" s="220"/>
      <c r="E488" s="220"/>
      <c r="F488" s="55"/>
      <c r="G488" s="55"/>
      <c r="H488" s="193"/>
    </row>
    <row r="489" ht="14.25" customHeight="1">
      <c r="B489" s="19"/>
      <c r="C489" s="195"/>
      <c r="D489" s="220"/>
      <c r="E489" s="220"/>
      <c r="F489" s="55"/>
      <c r="G489" s="55"/>
      <c r="H489" s="193"/>
    </row>
    <row r="490" ht="14.25" customHeight="1">
      <c r="B490" s="19"/>
      <c r="C490" s="195"/>
      <c r="D490" s="220"/>
      <c r="E490" s="220"/>
      <c r="F490" s="55"/>
      <c r="G490" s="55"/>
      <c r="H490" s="193"/>
    </row>
    <row r="491" ht="14.25" customHeight="1">
      <c r="B491" s="19"/>
      <c r="C491" s="195"/>
      <c r="D491" s="220"/>
      <c r="E491" s="220"/>
      <c r="F491" s="55"/>
      <c r="G491" s="55"/>
      <c r="H491" s="193"/>
    </row>
    <row r="492" ht="14.25" customHeight="1">
      <c r="B492" s="19"/>
      <c r="C492" s="195"/>
      <c r="D492" s="220"/>
      <c r="E492" s="220"/>
      <c r="F492" s="55"/>
      <c r="G492" s="55"/>
      <c r="H492" s="193"/>
    </row>
    <row r="493" ht="14.25" customHeight="1">
      <c r="B493" s="19"/>
      <c r="C493" s="195"/>
      <c r="D493" s="220"/>
      <c r="E493" s="220"/>
      <c r="F493" s="55"/>
      <c r="G493" s="55"/>
      <c r="H493" s="193"/>
    </row>
    <row r="494" ht="14.25" customHeight="1">
      <c r="B494" s="19"/>
      <c r="C494" s="195"/>
      <c r="D494" s="220"/>
      <c r="E494" s="220"/>
      <c r="F494" s="55"/>
      <c r="G494" s="55"/>
      <c r="H494" s="193"/>
    </row>
    <row r="495" ht="14.25" customHeight="1">
      <c r="B495" s="19"/>
      <c r="C495" s="195"/>
      <c r="D495" s="220"/>
      <c r="E495" s="220"/>
      <c r="F495" s="55"/>
      <c r="G495" s="55"/>
      <c r="H495" s="193"/>
    </row>
    <row r="496" ht="14.25" customHeight="1">
      <c r="B496" s="19"/>
      <c r="C496" s="195"/>
      <c r="D496" s="220"/>
      <c r="E496" s="220"/>
      <c r="F496" s="55"/>
      <c r="G496" s="55"/>
      <c r="H496" s="193"/>
    </row>
    <row r="497" ht="14.25" customHeight="1">
      <c r="B497" s="19"/>
      <c r="C497" s="195"/>
      <c r="D497" s="220"/>
      <c r="E497" s="220"/>
      <c r="F497" s="55"/>
      <c r="G497" s="55"/>
      <c r="H497" s="193"/>
    </row>
    <row r="498" ht="14.25" customHeight="1">
      <c r="B498" s="19"/>
      <c r="C498" s="195"/>
      <c r="D498" s="220"/>
      <c r="E498" s="220"/>
      <c r="F498" s="55"/>
      <c r="G498" s="55"/>
      <c r="H498" s="193"/>
    </row>
    <row r="499" ht="14.25" customHeight="1">
      <c r="B499" s="19"/>
      <c r="C499" s="195"/>
      <c r="D499" s="220"/>
      <c r="E499" s="220"/>
      <c r="F499" s="55"/>
      <c r="G499" s="55"/>
      <c r="H499" s="193"/>
    </row>
    <row r="500" ht="14.25" customHeight="1">
      <c r="B500" s="19"/>
      <c r="C500" s="195"/>
      <c r="D500" s="220"/>
      <c r="E500" s="220"/>
      <c r="F500" s="55"/>
      <c r="G500" s="55"/>
      <c r="H500" s="193"/>
    </row>
    <row r="501" ht="14.25" customHeight="1">
      <c r="B501" s="19"/>
      <c r="C501" s="195"/>
      <c r="D501" s="220"/>
      <c r="E501" s="220"/>
      <c r="F501" s="55"/>
      <c r="G501" s="55"/>
      <c r="H501" s="193"/>
    </row>
    <row r="502" ht="14.25" customHeight="1">
      <c r="B502" s="19"/>
      <c r="C502" s="195"/>
      <c r="D502" s="220"/>
      <c r="E502" s="220"/>
      <c r="F502" s="55"/>
      <c r="G502" s="55"/>
      <c r="H502" s="193"/>
    </row>
    <row r="503" ht="14.25" customHeight="1">
      <c r="B503" s="19"/>
      <c r="C503" s="195"/>
      <c r="D503" s="220"/>
      <c r="E503" s="220"/>
      <c r="F503" s="55"/>
      <c r="G503" s="55"/>
      <c r="H503" s="193"/>
    </row>
    <row r="504" ht="14.25" customHeight="1">
      <c r="B504" s="19"/>
      <c r="C504" s="195"/>
      <c r="D504" s="220"/>
      <c r="E504" s="220"/>
      <c r="F504" s="55"/>
      <c r="G504" s="55"/>
      <c r="H504" s="193"/>
    </row>
    <row r="505" ht="14.25" customHeight="1">
      <c r="B505" s="19"/>
      <c r="C505" s="195"/>
      <c r="D505" s="220"/>
      <c r="E505" s="220"/>
      <c r="F505" s="55"/>
      <c r="G505" s="55"/>
      <c r="H505" s="193"/>
    </row>
    <row r="506" ht="14.25" customHeight="1">
      <c r="B506" s="19"/>
      <c r="C506" s="195"/>
      <c r="D506" s="220"/>
      <c r="E506" s="220"/>
      <c r="F506" s="55"/>
      <c r="G506" s="55"/>
      <c r="H506" s="193"/>
    </row>
    <row r="507" ht="14.25" customHeight="1">
      <c r="B507" s="19"/>
      <c r="C507" s="195"/>
      <c r="D507" s="220"/>
      <c r="E507" s="220"/>
      <c r="F507" s="55"/>
      <c r="G507" s="55"/>
      <c r="H507" s="193"/>
    </row>
    <row r="508" ht="14.25" customHeight="1">
      <c r="B508" s="19"/>
      <c r="C508" s="195"/>
      <c r="D508" s="220"/>
      <c r="E508" s="220"/>
      <c r="F508" s="55"/>
      <c r="G508" s="55"/>
      <c r="H508" s="193"/>
    </row>
    <row r="509" ht="14.25" customHeight="1">
      <c r="B509" s="19"/>
      <c r="C509" s="195"/>
      <c r="D509" s="220"/>
      <c r="E509" s="220"/>
      <c r="F509" s="55"/>
      <c r="G509" s="55"/>
      <c r="H509" s="193"/>
    </row>
    <row r="510" ht="14.25" customHeight="1">
      <c r="B510" s="19"/>
      <c r="C510" s="195"/>
      <c r="D510" s="220"/>
      <c r="E510" s="220"/>
      <c r="F510" s="55"/>
      <c r="G510" s="55"/>
      <c r="H510" s="193"/>
    </row>
    <row r="511" ht="14.25" customHeight="1">
      <c r="B511" s="19"/>
      <c r="C511" s="195"/>
      <c r="D511" s="220"/>
      <c r="E511" s="220"/>
      <c r="F511" s="55"/>
      <c r="G511" s="55"/>
      <c r="H511" s="193"/>
    </row>
    <row r="512" ht="14.25" customHeight="1">
      <c r="B512" s="19"/>
      <c r="C512" s="195"/>
      <c r="D512" s="220"/>
      <c r="E512" s="220"/>
      <c r="F512" s="55"/>
      <c r="G512" s="55"/>
      <c r="H512" s="193"/>
    </row>
    <row r="513" ht="14.25" customHeight="1">
      <c r="B513" s="19"/>
      <c r="C513" s="195"/>
      <c r="D513" s="220"/>
      <c r="E513" s="220"/>
      <c r="F513" s="55"/>
      <c r="G513" s="55"/>
      <c r="H513" s="193"/>
    </row>
    <row r="514" ht="14.25" customHeight="1">
      <c r="B514" s="19"/>
      <c r="C514" s="195"/>
      <c r="D514" s="220"/>
      <c r="E514" s="220"/>
      <c r="F514" s="55"/>
      <c r="G514" s="55"/>
      <c r="H514" s="193"/>
    </row>
    <row r="515" ht="14.25" customHeight="1">
      <c r="B515" s="19"/>
      <c r="C515" s="195"/>
      <c r="D515" s="220"/>
      <c r="E515" s="220"/>
      <c r="F515" s="55"/>
      <c r="G515" s="55"/>
      <c r="H515" s="193"/>
    </row>
    <row r="516" ht="14.25" customHeight="1">
      <c r="B516" s="19"/>
      <c r="C516" s="195"/>
      <c r="D516" s="220"/>
      <c r="E516" s="220"/>
      <c r="F516" s="55"/>
      <c r="G516" s="55"/>
      <c r="H516" s="193"/>
    </row>
    <row r="517" ht="14.25" customHeight="1">
      <c r="B517" s="19"/>
      <c r="C517" s="195"/>
      <c r="D517" s="220"/>
      <c r="E517" s="220"/>
      <c r="F517" s="55"/>
      <c r="G517" s="55"/>
      <c r="H517" s="193"/>
    </row>
    <row r="518" ht="14.25" customHeight="1">
      <c r="B518" s="19"/>
      <c r="C518" s="195"/>
      <c r="D518" s="220"/>
      <c r="E518" s="220"/>
      <c r="F518" s="55"/>
      <c r="G518" s="55"/>
      <c r="H518" s="193"/>
    </row>
    <row r="519" ht="14.25" customHeight="1">
      <c r="B519" s="19"/>
      <c r="C519" s="195"/>
      <c r="D519" s="220"/>
      <c r="E519" s="220"/>
      <c r="F519" s="55"/>
      <c r="G519" s="55"/>
      <c r="H519" s="193"/>
    </row>
    <row r="520" ht="14.25" customHeight="1">
      <c r="B520" s="19"/>
      <c r="C520" s="195"/>
      <c r="D520" s="220"/>
      <c r="E520" s="220"/>
      <c r="F520" s="55"/>
      <c r="G520" s="55"/>
      <c r="H520" s="193"/>
    </row>
    <row r="521" ht="14.25" customHeight="1">
      <c r="B521" s="19"/>
      <c r="C521" s="195"/>
      <c r="D521" s="220"/>
      <c r="E521" s="220"/>
      <c r="F521" s="55"/>
      <c r="G521" s="55"/>
      <c r="H521" s="193"/>
    </row>
    <row r="522" ht="14.25" customHeight="1">
      <c r="B522" s="19"/>
      <c r="C522" s="195"/>
      <c r="D522" s="220"/>
      <c r="E522" s="220"/>
      <c r="F522" s="55"/>
      <c r="G522" s="55"/>
      <c r="H522" s="193"/>
    </row>
    <row r="523" ht="14.25" customHeight="1">
      <c r="B523" s="19"/>
      <c r="C523" s="195"/>
      <c r="D523" s="220"/>
      <c r="E523" s="220"/>
      <c r="F523" s="55"/>
      <c r="G523" s="55"/>
      <c r="H523" s="193"/>
    </row>
    <row r="524" ht="14.25" customHeight="1">
      <c r="B524" s="19"/>
      <c r="C524" s="195"/>
      <c r="D524" s="220"/>
      <c r="E524" s="220"/>
      <c r="F524" s="55"/>
      <c r="G524" s="55"/>
      <c r="H524" s="193"/>
    </row>
    <row r="525" ht="14.25" customHeight="1">
      <c r="B525" s="19"/>
      <c r="C525" s="195"/>
      <c r="D525" s="220"/>
      <c r="E525" s="220"/>
      <c r="F525" s="55"/>
      <c r="G525" s="55"/>
      <c r="H525" s="193"/>
    </row>
    <row r="526" ht="14.25" customHeight="1">
      <c r="B526" s="19"/>
      <c r="C526" s="195"/>
      <c r="D526" s="220"/>
      <c r="E526" s="220"/>
      <c r="F526" s="55"/>
      <c r="G526" s="55"/>
      <c r="H526" s="193"/>
    </row>
    <row r="527" ht="14.25" customHeight="1">
      <c r="B527" s="19"/>
      <c r="C527" s="195"/>
      <c r="D527" s="220"/>
      <c r="E527" s="220"/>
      <c r="F527" s="55"/>
      <c r="G527" s="55"/>
      <c r="H527" s="193"/>
    </row>
    <row r="528" ht="14.25" customHeight="1">
      <c r="B528" s="19"/>
      <c r="C528" s="195"/>
      <c r="D528" s="220"/>
      <c r="E528" s="220"/>
      <c r="F528" s="55"/>
      <c r="G528" s="55"/>
      <c r="H528" s="193"/>
    </row>
    <row r="529" ht="14.25" customHeight="1">
      <c r="B529" s="19"/>
      <c r="C529" s="195"/>
      <c r="D529" s="220"/>
      <c r="E529" s="220"/>
      <c r="F529" s="55"/>
      <c r="G529" s="55"/>
      <c r="H529" s="193"/>
    </row>
    <row r="530" ht="14.25" customHeight="1">
      <c r="B530" s="19"/>
      <c r="C530" s="195"/>
      <c r="D530" s="220"/>
      <c r="E530" s="220"/>
      <c r="F530" s="55"/>
      <c r="G530" s="55"/>
      <c r="H530" s="193"/>
    </row>
    <row r="531" ht="14.25" customHeight="1">
      <c r="B531" s="19"/>
      <c r="C531" s="195"/>
      <c r="D531" s="220"/>
      <c r="E531" s="220"/>
      <c r="F531" s="55"/>
      <c r="G531" s="55"/>
      <c r="H531" s="193"/>
    </row>
    <row r="532" ht="14.25" customHeight="1">
      <c r="B532" s="19"/>
      <c r="C532" s="195"/>
      <c r="D532" s="220"/>
      <c r="E532" s="220"/>
      <c r="F532" s="55"/>
      <c r="G532" s="55"/>
      <c r="H532" s="193"/>
    </row>
    <row r="533" ht="14.25" customHeight="1">
      <c r="B533" s="19"/>
      <c r="C533" s="195"/>
      <c r="D533" s="220"/>
      <c r="E533" s="220"/>
      <c r="F533" s="55"/>
      <c r="G533" s="55"/>
      <c r="H533" s="193"/>
    </row>
    <row r="534" ht="14.25" customHeight="1">
      <c r="B534" s="19"/>
      <c r="C534" s="195"/>
      <c r="D534" s="220"/>
      <c r="E534" s="220"/>
      <c r="F534" s="55"/>
      <c r="G534" s="55"/>
      <c r="H534" s="193"/>
    </row>
    <row r="535" ht="14.25" customHeight="1">
      <c r="B535" s="19"/>
      <c r="C535" s="195"/>
      <c r="D535" s="220"/>
      <c r="E535" s="220"/>
      <c r="F535" s="55"/>
      <c r="G535" s="55"/>
      <c r="H535" s="193"/>
    </row>
    <row r="536" ht="14.25" customHeight="1">
      <c r="B536" s="19"/>
      <c r="C536" s="195"/>
      <c r="D536" s="220"/>
      <c r="E536" s="220"/>
      <c r="F536" s="55"/>
      <c r="G536" s="55"/>
      <c r="H536" s="193"/>
    </row>
    <row r="537" ht="14.25" customHeight="1">
      <c r="B537" s="19"/>
      <c r="C537" s="195"/>
      <c r="D537" s="220"/>
      <c r="E537" s="220"/>
      <c r="F537" s="55"/>
      <c r="G537" s="55"/>
      <c r="H537" s="193"/>
    </row>
    <row r="538" ht="14.25" customHeight="1">
      <c r="B538" s="19"/>
      <c r="C538" s="195"/>
      <c r="D538" s="220"/>
      <c r="E538" s="220"/>
      <c r="F538" s="55"/>
      <c r="G538" s="55"/>
      <c r="H538" s="193"/>
    </row>
    <row r="539" ht="14.25" customHeight="1">
      <c r="B539" s="19"/>
      <c r="C539" s="195"/>
      <c r="D539" s="220"/>
      <c r="E539" s="220"/>
      <c r="F539" s="55"/>
      <c r="G539" s="55"/>
      <c r="H539" s="193"/>
    </row>
    <row r="540" ht="14.25" customHeight="1">
      <c r="B540" s="19"/>
      <c r="C540" s="195"/>
      <c r="D540" s="220"/>
      <c r="E540" s="220"/>
      <c r="F540" s="55"/>
      <c r="G540" s="55"/>
      <c r="H540" s="193"/>
    </row>
    <row r="541" ht="14.25" customHeight="1">
      <c r="B541" s="19"/>
      <c r="C541" s="195"/>
      <c r="D541" s="220"/>
      <c r="E541" s="220"/>
      <c r="F541" s="55"/>
      <c r="G541" s="55"/>
      <c r="H541" s="193"/>
    </row>
    <row r="542" ht="14.25" customHeight="1">
      <c r="B542" s="19"/>
      <c r="C542" s="195"/>
      <c r="D542" s="220"/>
      <c r="E542" s="220"/>
      <c r="F542" s="55"/>
      <c r="G542" s="55"/>
      <c r="H542" s="193"/>
    </row>
    <row r="543" ht="14.25" customHeight="1">
      <c r="B543" s="19"/>
      <c r="C543" s="195"/>
      <c r="D543" s="220"/>
      <c r="E543" s="220"/>
      <c r="F543" s="55"/>
      <c r="G543" s="55"/>
      <c r="H543" s="193"/>
    </row>
    <row r="544" ht="14.25" customHeight="1">
      <c r="B544" s="19"/>
      <c r="C544" s="195"/>
      <c r="D544" s="220"/>
      <c r="E544" s="220"/>
      <c r="F544" s="55"/>
      <c r="G544" s="55"/>
      <c r="H544" s="193"/>
    </row>
    <row r="545" ht="14.25" customHeight="1">
      <c r="B545" s="19"/>
      <c r="C545" s="195"/>
      <c r="D545" s="220"/>
      <c r="E545" s="220"/>
      <c r="F545" s="55"/>
      <c r="G545" s="55"/>
      <c r="H545" s="193"/>
    </row>
    <row r="546" ht="14.25" customHeight="1">
      <c r="B546" s="19"/>
      <c r="C546" s="195"/>
      <c r="D546" s="220"/>
      <c r="E546" s="220"/>
      <c r="F546" s="55"/>
      <c r="G546" s="55"/>
      <c r="H546" s="193"/>
    </row>
    <row r="547" ht="14.25" customHeight="1">
      <c r="B547" s="19"/>
      <c r="C547" s="195"/>
      <c r="D547" s="220"/>
      <c r="E547" s="220"/>
      <c r="F547" s="55"/>
      <c r="G547" s="55"/>
      <c r="H547" s="193"/>
    </row>
    <row r="548" ht="14.25" customHeight="1">
      <c r="B548" s="19"/>
      <c r="C548" s="195"/>
      <c r="D548" s="220"/>
      <c r="E548" s="220"/>
      <c r="F548" s="55"/>
      <c r="G548" s="55"/>
      <c r="H548" s="193"/>
    </row>
    <row r="549" ht="14.25" customHeight="1">
      <c r="B549" s="19"/>
      <c r="C549" s="195"/>
      <c r="D549" s="220"/>
      <c r="E549" s="220"/>
      <c r="F549" s="55"/>
      <c r="G549" s="55"/>
      <c r="H549" s="193"/>
    </row>
    <row r="550" ht="14.25" customHeight="1">
      <c r="B550" s="19"/>
      <c r="C550" s="195"/>
      <c r="D550" s="220"/>
      <c r="E550" s="220"/>
      <c r="F550" s="55"/>
      <c r="G550" s="55"/>
      <c r="H550" s="193"/>
    </row>
    <row r="551" ht="14.25" customHeight="1">
      <c r="B551" s="19"/>
      <c r="C551" s="195"/>
      <c r="D551" s="220"/>
      <c r="E551" s="220"/>
      <c r="F551" s="55"/>
      <c r="G551" s="55"/>
      <c r="H551" s="193"/>
    </row>
    <row r="552" ht="14.25" customHeight="1">
      <c r="B552" s="19"/>
      <c r="C552" s="195"/>
      <c r="D552" s="220"/>
      <c r="E552" s="220"/>
      <c r="F552" s="55"/>
      <c r="G552" s="55"/>
      <c r="H552" s="193"/>
    </row>
    <row r="553" ht="14.25" customHeight="1">
      <c r="B553" s="19"/>
      <c r="C553" s="195"/>
      <c r="D553" s="220"/>
      <c r="E553" s="220"/>
      <c r="F553" s="55"/>
      <c r="G553" s="55"/>
      <c r="H553" s="193"/>
    </row>
    <row r="554" ht="14.25" customHeight="1">
      <c r="B554" s="19"/>
      <c r="C554" s="195"/>
      <c r="D554" s="220"/>
      <c r="E554" s="220"/>
      <c r="F554" s="55"/>
      <c r="G554" s="55"/>
      <c r="H554" s="193"/>
    </row>
    <row r="555" ht="14.25" customHeight="1">
      <c r="B555" s="19"/>
      <c r="C555" s="195"/>
      <c r="D555" s="220"/>
      <c r="E555" s="220"/>
      <c r="F555" s="55"/>
      <c r="G555" s="55"/>
      <c r="H555" s="193"/>
    </row>
    <row r="556" ht="14.25" customHeight="1">
      <c r="B556" s="19"/>
      <c r="C556" s="195"/>
      <c r="D556" s="220"/>
      <c r="E556" s="220"/>
      <c r="F556" s="55"/>
      <c r="G556" s="55"/>
      <c r="H556" s="193"/>
    </row>
    <row r="557" ht="14.25" customHeight="1">
      <c r="B557" s="19"/>
      <c r="C557" s="195"/>
      <c r="D557" s="220"/>
      <c r="E557" s="220"/>
      <c r="F557" s="55"/>
      <c r="G557" s="55"/>
      <c r="H557" s="193"/>
    </row>
    <row r="558" ht="14.25" customHeight="1">
      <c r="B558" s="19"/>
      <c r="C558" s="195"/>
      <c r="D558" s="220"/>
      <c r="E558" s="220"/>
      <c r="F558" s="55"/>
      <c r="G558" s="55"/>
      <c r="H558" s="193"/>
    </row>
    <row r="559" ht="14.25" customHeight="1">
      <c r="B559" s="19"/>
      <c r="C559" s="195"/>
      <c r="D559" s="220"/>
      <c r="E559" s="220"/>
      <c r="F559" s="55"/>
      <c r="G559" s="55"/>
      <c r="H559" s="193"/>
    </row>
    <row r="560" ht="14.25" customHeight="1">
      <c r="B560" s="19"/>
      <c r="C560" s="195"/>
      <c r="D560" s="220"/>
      <c r="E560" s="220"/>
      <c r="F560" s="55"/>
      <c r="G560" s="55"/>
      <c r="H560" s="193"/>
    </row>
    <row r="561" ht="14.25" customHeight="1">
      <c r="B561" s="19"/>
      <c r="C561" s="195"/>
      <c r="D561" s="220"/>
      <c r="E561" s="220"/>
      <c r="F561" s="55"/>
      <c r="G561" s="55"/>
      <c r="H561" s="193"/>
    </row>
    <row r="562" ht="14.25" customHeight="1">
      <c r="B562" s="19"/>
      <c r="C562" s="195"/>
      <c r="D562" s="220"/>
      <c r="E562" s="220"/>
      <c r="F562" s="55"/>
      <c r="G562" s="55"/>
      <c r="H562" s="193"/>
    </row>
    <row r="563" ht="14.25" customHeight="1">
      <c r="B563" s="19"/>
      <c r="C563" s="195"/>
      <c r="D563" s="220"/>
      <c r="E563" s="220"/>
      <c r="F563" s="55"/>
      <c r="G563" s="55"/>
      <c r="H563" s="193"/>
    </row>
    <row r="564" ht="14.25" customHeight="1">
      <c r="B564" s="19"/>
      <c r="C564" s="195"/>
      <c r="D564" s="220"/>
      <c r="E564" s="220"/>
      <c r="F564" s="55"/>
      <c r="G564" s="55"/>
      <c r="H564" s="193"/>
    </row>
    <row r="565" ht="14.25" customHeight="1">
      <c r="B565" s="19"/>
      <c r="C565" s="195"/>
      <c r="D565" s="220"/>
      <c r="E565" s="220"/>
      <c r="F565" s="55"/>
      <c r="G565" s="55"/>
      <c r="H565" s="193"/>
    </row>
    <row r="566" ht="14.25" customHeight="1">
      <c r="B566" s="19"/>
      <c r="C566" s="195"/>
      <c r="D566" s="220"/>
      <c r="E566" s="220"/>
      <c r="F566" s="55"/>
      <c r="G566" s="55"/>
      <c r="H566" s="193"/>
    </row>
    <row r="567" ht="14.25" customHeight="1">
      <c r="B567" s="19"/>
      <c r="C567" s="195"/>
      <c r="D567" s="220"/>
      <c r="E567" s="220"/>
      <c r="F567" s="55"/>
      <c r="G567" s="55"/>
      <c r="H567" s="193"/>
    </row>
    <row r="568" ht="14.25" customHeight="1">
      <c r="B568" s="19"/>
      <c r="C568" s="195"/>
      <c r="D568" s="220"/>
      <c r="E568" s="220"/>
      <c r="F568" s="55"/>
      <c r="G568" s="55"/>
      <c r="H568" s="193"/>
    </row>
    <row r="569" ht="14.25" customHeight="1">
      <c r="B569" s="19"/>
      <c r="C569" s="195"/>
      <c r="D569" s="220"/>
      <c r="E569" s="220"/>
      <c r="F569" s="55"/>
      <c r="G569" s="55"/>
      <c r="H569" s="193"/>
    </row>
    <row r="570" ht="14.25" customHeight="1">
      <c r="B570" s="19"/>
      <c r="C570" s="195"/>
      <c r="D570" s="220"/>
      <c r="E570" s="220"/>
      <c r="F570" s="55"/>
      <c r="G570" s="55"/>
      <c r="H570" s="193"/>
    </row>
    <row r="571" ht="14.25" customHeight="1">
      <c r="B571" s="19"/>
      <c r="C571" s="195"/>
      <c r="D571" s="220"/>
      <c r="E571" s="220"/>
      <c r="F571" s="55"/>
      <c r="G571" s="55"/>
      <c r="H571" s="193"/>
    </row>
    <row r="572" ht="14.25" customHeight="1">
      <c r="B572" s="19"/>
      <c r="C572" s="195"/>
      <c r="D572" s="220"/>
      <c r="E572" s="220"/>
      <c r="F572" s="55"/>
      <c r="G572" s="55"/>
      <c r="H572" s="193"/>
    </row>
    <row r="573" ht="14.25" customHeight="1">
      <c r="B573" s="19"/>
      <c r="C573" s="195"/>
      <c r="D573" s="220"/>
      <c r="E573" s="220"/>
      <c r="F573" s="55"/>
      <c r="G573" s="55"/>
      <c r="H573" s="193"/>
    </row>
    <row r="574" ht="14.25" customHeight="1">
      <c r="B574" s="19"/>
      <c r="C574" s="195"/>
      <c r="D574" s="220"/>
      <c r="E574" s="220"/>
      <c r="F574" s="55"/>
      <c r="G574" s="55"/>
      <c r="H574" s="193"/>
    </row>
    <row r="575" ht="14.25" customHeight="1">
      <c r="B575" s="19"/>
      <c r="C575" s="195"/>
      <c r="D575" s="220"/>
      <c r="E575" s="220"/>
      <c r="F575" s="55"/>
      <c r="G575" s="55"/>
      <c r="H575" s="193"/>
    </row>
    <row r="576" ht="14.25" customHeight="1">
      <c r="B576" s="19"/>
      <c r="C576" s="195"/>
      <c r="D576" s="220"/>
      <c r="E576" s="220"/>
      <c r="F576" s="55"/>
      <c r="G576" s="55"/>
      <c r="H576" s="193"/>
    </row>
    <row r="577" ht="14.25" customHeight="1">
      <c r="B577" s="19"/>
      <c r="C577" s="195"/>
      <c r="D577" s="220"/>
      <c r="E577" s="220"/>
      <c r="F577" s="55"/>
      <c r="G577" s="55"/>
      <c r="H577" s="193"/>
    </row>
    <row r="578" ht="14.25" customHeight="1">
      <c r="B578" s="19"/>
      <c r="C578" s="195"/>
      <c r="D578" s="220"/>
      <c r="E578" s="220"/>
      <c r="F578" s="55"/>
      <c r="G578" s="55"/>
      <c r="H578" s="193"/>
    </row>
    <row r="579" ht="14.25" customHeight="1">
      <c r="B579" s="19"/>
      <c r="C579" s="195"/>
      <c r="D579" s="220"/>
      <c r="E579" s="220"/>
      <c r="F579" s="55"/>
      <c r="G579" s="55"/>
      <c r="H579" s="193"/>
    </row>
    <row r="580" ht="14.25" customHeight="1">
      <c r="B580" s="19"/>
      <c r="C580" s="195"/>
      <c r="D580" s="220"/>
      <c r="E580" s="220"/>
      <c r="F580" s="55"/>
      <c r="G580" s="55"/>
      <c r="H580" s="193"/>
    </row>
    <row r="581" ht="14.25" customHeight="1">
      <c r="B581" s="19"/>
      <c r="C581" s="195"/>
      <c r="D581" s="220"/>
      <c r="E581" s="220"/>
      <c r="F581" s="55"/>
      <c r="G581" s="55"/>
      <c r="H581" s="193"/>
    </row>
    <row r="582" ht="14.25" customHeight="1">
      <c r="B582" s="19"/>
      <c r="C582" s="195"/>
      <c r="D582" s="220"/>
      <c r="E582" s="220"/>
      <c r="F582" s="55"/>
      <c r="G582" s="55"/>
      <c r="H582" s="193"/>
    </row>
    <row r="583" ht="14.25" customHeight="1">
      <c r="B583" s="19"/>
      <c r="C583" s="195"/>
      <c r="D583" s="220"/>
      <c r="E583" s="220"/>
      <c r="F583" s="55"/>
      <c r="G583" s="55"/>
      <c r="H583" s="193"/>
    </row>
    <row r="584" ht="14.25" customHeight="1">
      <c r="B584" s="19"/>
      <c r="C584" s="195"/>
      <c r="D584" s="220"/>
      <c r="E584" s="220"/>
      <c r="F584" s="55"/>
      <c r="G584" s="55"/>
      <c r="H584" s="193"/>
    </row>
    <row r="585" ht="14.25" customHeight="1">
      <c r="B585" s="19"/>
      <c r="C585" s="195"/>
      <c r="D585" s="220"/>
      <c r="E585" s="220"/>
      <c r="F585" s="55"/>
      <c r="G585" s="55"/>
      <c r="H585" s="193"/>
    </row>
    <row r="586" ht="14.25" customHeight="1">
      <c r="B586" s="19"/>
      <c r="C586" s="195"/>
      <c r="D586" s="220"/>
      <c r="E586" s="220"/>
      <c r="F586" s="55"/>
      <c r="G586" s="55"/>
      <c r="H586" s="193"/>
    </row>
    <row r="587" ht="14.25" customHeight="1">
      <c r="B587" s="19"/>
      <c r="C587" s="195"/>
      <c r="D587" s="220"/>
      <c r="E587" s="220"/>
      <c r="F587" s="55"/>
      <c r="G587" s="55"/>
      <c r="H587" s="193"/>
    </row>
    <row r="588" ht="14.25" customHeight="1">
      <c r="B588" s="19"/>
      <c r="C588" s="195"/>
      <c r="D588" s="220"/>
      <c r="E588" s="220"/>
      <c r="F588" s="55"/>
      <c r="G588" s="55"/>
      <c r="H588" s="193"/>
    </row>
    <row r="589" ht="14.25" customHeight="1">
      <c r="B589" s="19"/>
      <c r="C589" s="195"/>
      <c r="D589" s="220"/>
      <c r="E589" s="220"/>
      <c r="F589" s="55"/>
      <c r="G589" s="55"/>
      <c r="H589" s="193"/>
    </row>
    <row r="590" ht="14.25" customHeight="1">
      <c r="B590" s="19"/>
      <c r="C590" s="195"/>
      <c r="D590" s="220"/>
      <c r="E590" s="220"/>
      <c r="F590" s="55"/>
      <c r="G590" s="55"/>
      <c r="H590" s="193"/>
    </row>
    <row r="591" ht="14.25" customHeight="1">
      <c r="B591" s="19"/>
      <c r="C591" s="195"/>
      <c r="D591" s="220"/>
      <c r="E591" s="220"/>
      <c r="F591" s="55"/>
      <c r="G591" s="55"/>
      <c r="H591" s="193"/>
    </row>
    <row r="592" ht="14.25" customHeight="1">
      <c r="B592" s="19"/>
      <c r="C592" s="195"/>
      <c r="D592" s="220"/>
      <c r="E592" s="220"/>
      <c r="F592" s="55"/>
      <c r="G592" s="55"/>
      <c r="H592" s="193"/>
    </row>
    <row r="593" ht="14.25" customHeight="1">
      <c r="B593" s="19"/>
      <c r="C593" s="195"/>
      <c r="D593" s="220"/>
      <c r="E593" s="220"/>
      <c r="F593" s="55"/>
      <c r="G593" s="55"/>
      <c r="H593" s="193"/>
    </row>
    <row r="594" ht="14.25" customHeight="1">
      <c r="B594" s="19"/>
      <c r="C594" s="195"/>
      <c r="D594" s="220"/>
      <c r="E594" s="220"/>
      <c r="F594" s="55"/>
      <c r="G594" s="55"/>
      <c r="H594" s="193"/>
    </row>
    <row r="595" ht="14.25" customHeight="1">
      <c r="B595" s="19"/>
      <c r="C595" s="195"/>
      <c r="D595" s="220"/>
      <c r="E595" s="220"/>
      <c r="F595" s="55"/>
      <c r="G595" s="55"/>
      <c r="H595" s="193"/>
    </row>
    <row r="596" ht="14.25" customHeight="1">
      <c r="B596" s="19"/>
      <c r="C596" s="195"/>
      <c r="D596" s="220"/>
      <c r="E596" s="220"/>
      <c r="F596" s="55"/>
      <c r="G596" s="55"/>
      <c r="H596" s="193"/>
    </row>
    <row r="597" ht="14.25" customHeight="1">
      <c r="B597" s="19"/>
      <c r="C597" s="195"/>
      <c r="D597" s="220"/>
      <c r="E597" s="220"/>
      <c r="F597" s="55"/>
      <c r="G597" s="55"/>
      <c r="H597" s="193"/>
    </row>
    <row r="598" ht="14.25" customHeight="1">
      <c r="B598" s="19"/>
      <c r="C598" s="195"/>
      <c r="D598" s="220"/>
      <c r="E598" s="220"/>
      <c r="F598" s="55"/>
      <c r="G598" s="55"/>
      <c r="H598" s="193"/>
    </row>
    <row r="599" ht="14.25" customHeight="1">
      <c r="B599" s="19"/>
      <c r="C599" s="195"/>
      <c r="D599" s="220"/>
      <c r="E599" s="220"/>
      <c r="F599" s="55"/>
      <c r="G599" s="55"/>
      <c r="H599" s="193"/>
    </row>
    <row r="600" ht="14.25" customHeight="1">
      <c r="B600" s="19"/>
      <c r="C600" s="195"/>
      <c r="D600" s="220"/>
      <c r="E600" s="220"/>
      <c r="F600" s="55"/>
      <c r="G600" s="55"/>
      <c r="H600" s="193"/>
    </row>
    <row r="601" ht="14.25" customHeight="1">
      <c r="B601" s="19"/>
      <c r="C601" s="195"/>
      <c r="D601" s="220"/>
      <c r="E601" s="220"/>
      <c r="F601" s="55"/>
      <c r="G601" s="55"/>
      <c r="H601" s="193"/>
    </row>
    <row r="602" ht="14.25" customHeight="1">
      <c r="B602" s="19"/>
      <c r="C602" s="195"/>
      <c r="D602" s="220"/>
      <c r="E602" s="220"/>
      <c r="F602" s="55"/>
      <c r="G602" s="55"/>
      <c r="H602" s="193"/>
    </row>
    <row r="603" ht="14.25" customHeight="1">
      <c r="B603" s="19"/>
      <c r="C603" s="195"/>
      <c r="D603" s="220"/>
      <c r="E603" s="220"/>
      <c r="F603" s="55"/>
      <c r="G603" s="55"/>
      <c r="H603" s="193"/>
    </row>
    <row r="604" ht="14.25" customHeight="1">
      <c r="B604" s="19"/>
      <c r="C604" s="195"/>
      <c r="D604" s="220"/>
      <c r="E604" s="220"/>
      <c r="F604" s="55"/>
      <c r="G604" s="55"/>
      <c r="H604" s="193"/>
    </row>
    <row r="605" ht="14.25" customHeight="1">
      <c r="B605" s="19"/>
      <c r="C605" s="195"/>
      <c r="D605" s="220"/>
      <c r="E605" s="220"/>
      <c r="F605" s="55"/>
      <c r="G605" s="55"/>
      <c r="H605" s="193"/>
    </row>
    <row r="606" ht="14.25" customHeight="1">
      <c r="B606" s="19"/>
      <c r="C606" s="195"/>
      <c r="D606" s="220"/>
      <c r="E606" s="220"/>
      <c r="F606" s="55"/>
      <c r="G606" s="55"/>
      <c r="H606" s="193"/>
    </row>
    <row r="607" ht="14.25" customHeight="1">
      <c r="B607" s="19"/>
      <c r="C607" s="195"/>
      <c r="D607" s="220"/>
      <c r="E607" s="220"/>
      <c r="F607" s="55"/>
      <c r="G607" s="55"/>
      <c r="H607" s="193"/>
    </row>
    <row r="608" ht="14.25" customHeight="1">
      <c r="B608" s="19"/>
      <c r="C608" s="195"/>
      <c r="D608" s="220"/>
      <c r="E608" s="220"/>
      <c r="F608" s="55"/>
      <c r="G608" s="55"/>
      <c r="H608" s="193"/>
    </row>
    <row r="609" ht="14.25" customHeight="1">
      <c r="B609" s="19"/>
      <c r="C609" s="195"/>
      <c r="D609" s="220"/>
      <c r="E609" s="220"/>
      <c r="F609" s="55"/>
      <c r="G609" s="55"/>
      <c r="H609" s="193"/>
    </row>
    <row r="610" ht="14.25" customHeight="1">
      <c r="B610" s="19"/>
      <c r="C610" s="195"/>
      <c r="D610" s="220"/>
      <c r="E610" s="220"/>
      <c r="F610" s="55"/>
      <c r="G610" s="55"/>
      <c r="H610" s="193"/>
    </row>
    <row r="611" ht="14.25" customHeight="1">
      <c r="B611" s="19"/>
      <c r="C611" s="195"/>
      <c r="D611" s="220"/>
      <c r="E611" s="220"/>
      <c r="F611" s="55"/>
      <c r="G611" s="55"/>
      <c r="H611" s="193"/>
    </row>
    <row r="612" ht="14.25" customHeight="1">
      <c r="B612" s="19"/>
      <c r="C612" s="195"/>
      <c r="D612" s="220"/>
      <c r="E612" s="220"/>
      <c r="F612" s="55"/>
      <c r="G612" s="55"/>
      <c r="H612" s="193"/>
    </row>
    <row r="613" ht="14.25" customHeight="1">
      <c r="B613" s="19"/>
      <c r="C613" s="195"/>
      <c r="D613" s="220"/>
      <c r="E613" s="220"/>
      <c r="F613" s="55"/>
      <c r="G613" s="55"/>
      <c r="H613" s="193"/>
    </row>
    <row r="614" ht="14.25" customHeight="1">
      <c r="B614" s="19"/>
      <c r="C614" s="195"/>
      <c r="D614" s="220"/>
      <c r="E614" s="220"/>
      <c r="F614" s="55"/>
      <c r="G614" s="55"/>
      <c r="H614" s="193"/>
    </row>
    <row r="615" ht="14.25" customHeight="1">
      <c r="B615" s="19"/>
      <c r="C615" s="195"/>
      <c r="D615" s="220"/>
      <c r="E615" s="220"/>
      <c r="F615" s="55"/>
      <c r="G615" s="55"/>
      <c r="H615" s="193"/>
    </row>
    <row r="616" ht="14.25" customHeight="1">
      <c r="B616" s="19"/>
      <c r="C616" s="195"/>
      <c r="D616" s="220"/>
      <c r="E616" s="220"/>
      <c r="F616" s="55"/>
      <c r="G616" s="55"/>
      <c r="H616" s="193"/>
    </row>
    <row r="617" ht="14.25" customHeight="1">
      <c r="B617" s="19"/>
      <c r="C617" s="195"/>
      <c r="D617" s="220"/>
      <c r="E617" s="220"/>
      <c r="F617" s="55"/>
      <c r="G617" s="55"/>
      <c r="H617" s="193"/>
    </row>
    <row r="618" ht="14.25" customHeight="1">
      <c r="B618" s="19"/>
      <c r="C618" s="195"/>
      <c r="D618" s="220"/>
      <c r="E618" s="220"/>
      <c r="F618" s="55"/>
      <c r="G618" s="55"/>
      <c r="H618" s="193"/>
    </row>
    <row r="619" ht="14.25" customHeight="1">
      <c r="B619" s="19"/>
      <c r="C619" s="195"/>
      <c r="D619" s="220"/>
      <c r="E619" s="220"/>
      <c r="F619" s="55"/>
      <c r="G619" s="55"/>
      <c r="H619" s="193"/>
    </row>
    <row r="620" ht="14.25" customHeight="1">
      <c r="B620" s="19"/>
      <c r="C620" s="195"/>
      <c r="D620" s="220"/>
      <c r="E620" s="220"/>
      <c r="F620" s="55"/>
      <c r="G620" s="55"/>
      <c r="H620" s="193"/>
    </row>
    <row r="621" ht="14.25" customHeight="1">
      <c r="B621" s="19"/>
      <c r="C621" s="195"/>
      <c r="D621" s="220"/>
      <c r="E621" s="220"/>
      <c r="F621" s="55"/>
      <c r="G621" s="55"/>
      <c r="H621" s="193"/>
    </row>
    <row r="622" ht="14.25" customHeight="1">
      <c r="B622" s="19"/>
      <c r="C622" s="195"/>
      <c r="D622" s="220"/>
      <c r="E622" s="220"/>
      <c r="F622" s="55"/>
      <c r="G622" s="55"/>
      <c r="H622" s="193"/>
    </row>
    <row r="623" ht="14.25" customHeight="1">
      <c r="B623" s="19"/>
      <c r="C623" s="195"/>
      <c r="D623" s="220"/>
      <c r="E623" s="220"/>
      <c r="F623" s="55"/>
      <c r="G623" s="55"/>
      <c r="H623" s="193"/>
    </row>
    <row r="624" ht="14.25" customHeight="1">
      <c r="B624" s="19"/>
      <c r="C624" s="195"/>
      <c r="D624" s="220"/>
      <c r="E624" s="220"/>
      <c r="F624" s="55"/>
      <c r="G624" s="55"/>
      <c r="H624" s="193"/>
    </row>
    <row r="625" ht="14.25" customHeight="1">
      <c r="B625" s="19"/>
      <c r="C625" s="195"/>
      <c r="D625" s="220"/>
      <c r="E625" s="220"/>
      <c r="F625" s="55"/>
      <c r="G625" s="55"/>
      <c r="H625" s="193"/>
    </row>
    <row r="626" ht="14.25" customHeight="1">
      <c r="B626" s="19"/>
      <c r="C626" s="195"/>
      <c r="D626" s="220"/>
      <c r="E626" s="220"/>
      <c r="F626" s="55"/>
      <c r="G626" s="55"/>
      <c r="H626" s="193"/>
    </row>
    <row r="627" ht="14.25" customHeight="1">
      <c r="B627" s="19"/>
      <c r="C627" s="195"/>
      <c r="D627" s="220"/>
      <c r="E627" s="220"/>
      <c r="F627" s="55"/>
      <c r="G627" s="55"/>
      <c r="H627" s="193"/>
    </row>
    <row r="628" ht="14.25" customHeight="1">
      <c r="B628" s="19"/>
      <c r="C628" s="195"/>
      <c r="D628" s="220"/>
      <c r="E628" s="220"/>
      <c r="F628" s="55"/>
      <c r="G628" s="55"/>
      <c r="H628" s="193"/>
    </row>
    <row r="629" ht="14.25" customHeight="1">
      <c r="B629" s="19"/>
      <c r="C629" s="195"/>
      <c r="D629" s="220"/>
      <c r="E629" s="220"/>
      <c r="F629" s="55"/>
      <c r="G629" s="55"/>
      <c r="H629" s="193"/>
    </row>
    <row r="630" ht="14.25" customHeight="1">
      <c r="B630" s="19"/>
      <c r="C630" s="195"/>
      <c r="D630" s="220"/>
      <c r="E630" s="220"/>
      <c r="F630" s="55"/>
      <c r="G630" s="55"/>
      <c r="H630" s="193"/>
    </row>
    <row r="631" ht="14.25" customHeight="1">
      <c r="B631" s="19"/>
      <c r="C631" s="195"/>
      <c r="D631" s="220"/>
      <c r="E631" s="220"/>
      <c r="F631" s="55"/>
      <c r="G631" s="55"/>
      <c r="H631" s="193"/>
    </row>
    <row r="632" ht="14.25" customHeight="1">
      <c r="B632" s="19"/>
      <c r="C632" s="195"/>
      <c r="D632" s="220"/>
      <c r="E632" s="220"/>
      <c r="F632" s="55"/>
      <c r="G632" s="55"/>
      <c r="H632" s="193"/>
    </row>
    <row r="633" ht="14.25" customHeight="1">
      <c r="B633" s="19"/>
      <c r="C633" s="195"/>
      <c r="D633" s="220"/>
      <c r="E633" s="220"/>
      <c r="F633" s="55"/>
      <c r="G633" s="55"/>
      <c r="H633" s="193"/>
    </row>
    <row r="634" ht="14.25" customHeight="1">
      <c r="B634" s="19"/>
      <c r="C634" s="195"/>
      <c r="D634" s="220"/>
      <c r="E634" s="220"/>
      <c r="F634" s="55"/>
      <c r="G634" s="55"/>
      <c r="H634" s="193"/>
    </row>
    <row r="635" ht="14.25" customHeight="1">
      <c r="B635" s="19"/>
      <c r="C635" s="195"/>
      <c r="D635" s="220"/>
      <c r="E635" s="220"/>
      <c r="F635" s="55"/>
      <c r="G635" s="55"/>
      <c r="H635" s="193"/>
    </row>
    <row r="636" ht="14.25" customHeight="1">
      <c r="B636" s="19"/>
      <c r="C636" s="195"/>
      <c r="D636" s="220"/>
      <c r="E636" s="220"/>
      <c r="F636" s="55"/>
      <c r="G636" s="55"/>
      <c r="H636" s="193"/>
    </row>
    <row r="637" ht="14.25" customHeight="1">
      <c r="B637" s="19"/>
      <c r="C637" s="195"/>
      <c r="D637" s="220"/>
      <c r="E637" s="220"/>
      <c r="F637" s="55"/>
      <c r="G637" s="55"/>
      <c r="H637" s="193"/>
    </row>
    <row r="638" ht="14.25" customHeight="1">
      <c r="B638" s="19"/>
      <c r="C638" s="195"/>
      <c r="D638" s="220"/>
      <c r="E638" s="220"/>
      <c r="F638" s="55"/>
      <c r="G638" s="55"/>
      <c r="H638" s="193"/>
    </row>
    <row r="639" ht="14.25" customHeight="1">
      <c r="B639" s="19"/>
      <c r="C639" s="195"/>
      <c r="D639" s="220"/>
      <c r="E639" s="220"/>
      <c r="F639" s="55"/>
      <c r="G639" s="55"/>
      <c r="H639" s="193"/>
    </row>
    <row r="640" ht="14.25" customHeight="1">
      <c r="B640" s="19"/>
      <c r="C640" s="195"/>
      <c r="D640" s="220"/>
      <c r="E640" s="220"/>
      <c r="F640" s="55"/>
      <c r="G640" s="55"/>
      <c r="H640" s="193"/>
    </row>
    <row r="641" ht="14.25" customHeight="1">
      <c r="B641" s="19"/>
      <c r="C641" s="195"/>
      <c r="D641" s="220"/>
      <c r="E641" s="220"/>
      <c r="F641" s="55"/>
      <c r="G641" s="55"/>
      <c r="H641" s="193"/>
    </row>
    <row r="642" ht="14.25" customHeight="1">
      <c r="B642" s="19"/>
      <c r="C642" s="195"/>
      <c r="D642" s="220"/>
      <c r="E642" s="220"/>
      <c r="F642" s="55"/>
      <c r="G642" s="55"/>
      <c r="H642" s="193"/>
    </row>
    <row r="643" ht="14.25" customHeight="1">
      <c r="B643" s="19"/>
      <c r="C643" s="195"/>
      <c r="D643" s="220"/>
      <c r="E643" s="220"/>
      <c r="F643" s="55"/>
      <c r="G643" s="55"/>
      <c r="H643" s="193"/>
    </row>
    <row r="644" ht="14.25" customHeight="1">
      <c r="B644" s="19"/>
      <c r="C644" s="195"/>
      <c r="D644" s="220"/>
      <c r="E644" s="220"/>
      <c r="F644" s="55"/>
      <c r="G644" s="55"/>
      <c r="H644" s="193"/>
    </row>
    <row r="645" ht="14.25" customHeight="1">
      <c r="B645" s="19"/>
      <c r="C645" s="195"/>
      <c r="D645" s="220"/>
      <c r="E645" s="220"/>
      <c r="F645" s="55"/>
      <c r="G645" s="55"/>
      <c r="H645" s="193"/>
    </row>
    <row r="646" ht="14.25" customHeight="1">
      <c r="B646" s="19"/>
      <c r="C646" s="195"/>
      <c r="D646" s="220"/>
      <c r="E646" s="220"/>
      <c r="F646" s="55"/>
      <c r="G646" s="55"/>
      <c r="H646" s="193"/>
    </row>
    <row r="647" ht="14.25" customHeight="1">
      <c r="B647" s="19"/>
      <c r="C647" s="195"/>
      <c r="D647" s="220"/>
      <c r="E647" s="220"/>
      <c r="F647" s="55"/>
      <c r="G647" s="55"/>
      <c r="H647" s="193"/>
    </row>
    <row r="648" ht="14.25" customHeight="1">
      <c r="B648" s="19"/>
      <c r="C648" s="195"/>
      <c r="D648" s="220"/>
      <c r="E648" s="220"/>
      <c r="F648" s="55"/>
      <c r="G648" s="55"/>
      <c r="H648" s="193"/>
    </row>
    <row r="649" ht="14.25" customHeight="1">
      <c r="B649" s="19"/>
      <c r="C649" s="195"/>
      <c r="D649" s="220"/>
      <c r="E649" s="220"/>
      <c r="F649" s="55"/>
      <c r="G649" s="55"/>
      <c r="H649" s="193"/>
    </row>
    <row r="650" ht="14.25" customHeight="1">
      <c r="B650" s="19"/>
      <c r="C650" s="195"/>
      <c r="D650" s="220"/>
      <c r="E650" s="220"/>
      <c r="F650" s="55"/>
      <c r="G650" s="55"/>
      <c r="H650" s="193"/>
    </row>
    <row r="651" ht="14.25" customHeight="1">
      <c r="B651" s="19"/>
      <c r="C651" s="195"/>
      <c r="D651" s="220"/>
      <c r="E651" s="220"/>
      <c r="F651" s="55"/>
      <c r="G651" s="55"/>
      <c r="H651" s="193"/>
    </row>
    <row r="652" ht="14.25" customHeight="1">
      <c r="B652" s="19"/>
      <c r="C652" s="195"/>
      <c r="D652" s="220"/>
      <c r="E652" s="220"/>
      <c r="F652" s="55"/>
      <c r="G652" s="55"/>
      <c r="H652" s="193"/>
    </row>
    <row r="653" ht="14.25" customHeight="1">
      <c r="B653" s="19"/>
      <c r="C653" s="195"/>
      <c r="D653" s="220"/>
      <c r="E653" s="220"/>
      <c r="F653" s="55"/>
      <c r="G653" s="55"/>
      <c r="H653" s="193"/>
    </row>
    <row r="654" ht="14.25" customHeight="1">
      <c r="B654" s="19"/>
      <c r="C654" s="195"/>
      <c r="D654" s="220"/>
      <c r="E654" s="220"/>
      <c r="F654" s="55"/>
      <c r="G654" s="55"/>
      <c r="H654" s="193"/>
    </row>
    <row r="655" ht="14.25" customHeight="1">
      <c r="B655" s="19"/>
      <c r="C655" s="195"/>
      <c r="D655" s="220"/>
      <c r="E655" s="220"/>
      <c r="F655" s="55"/>
      <c r="G655" s="55"/>
      <c r="H655" s="193"/>
    </row>
    <row r="656" ht="14.25" customHeight="1">
      <c r="B656" s="19"/>
      <c r="C656" s="195"/>
      <c r="D656" s="220"/>
      <c r="E656" s="220"/>
      <c r="F656" s="55"/>
      <c r="G656" s="55"/>
      <c r="H656" s="193"/>
    </row>
    <row r="657" ht="14.25" customHeight="1">
      <c r="B657" s="19"/>
      <c r="C657" s="195"/>
      <c r="D657" s="220"/>
      <c r="E657" s="220"/>
      <c r="F657" s="55"/>
      <c r="G657" s="55"/>
      <c r="H657" s="193"/>
    </row>
    <row r="658" ht="14.25" customHeight="1">
      <c r="B658" s="19"/>
      <c r="C658" s="195"/>
      <c r="D658" s="220"/>
      <c r="E658" s="220"/>
      <c r="F658" s="55"/>
      <c r="G658" s="55"/>
      <c r="H658" s="193"/>
    </row>
    <row r="659" ht="14.25" customHeight="1">
      <c r="B659" s="19"/>
      <c r="C659" s="195"/>
      <c r="D659" s="220"/>
      <c r="E659" s="220"/>
      <c r="F659" s="55"/>
      <c r="G659" s="55"/>
      <c r="H659" s="193"/>
    </row>
    <row r="660" ht="14.25" customHeight="1">
      <c r="B660" s="19"/>
      <c r="C660" s="195"/>
      <c r="D660" s="220"/>
      <c r="E660" s="220"/>
      <c r="F660" s="55"/>
      <c r="G660" s="55"/>
      <c r="H660" s="193"/>
    </row>
    <row r="661" ht="14.25" customHeight="1">
      <c r="B661" s="19"/>
      <c r="C661" s="195"/>
      <c r="D661" s="220"/>
      <c r="E661" s="220"/>
      <c r="F661" s="55"/>
      <c r="G661" s="55"/>
      <c r="H661" s="193"/>
    </row>
    <row r="662" ht="14.25" customHeight="1">
      <c r="B662" s="19"/>
      <c r="C662" s="195"/>
      <c r="D662" s="220"/>
      <c r="E662" s="220"/>
      <c r="F662" s="55"/>
      <c r="G662" s="55"/>
      <c r="H662" s="193"/>
    </row>
    <row r="663" ht="14.25" customHeight="1">
      <c r="B663" s="19"/>
      <c r="C663" s="195"/>
      <c r="D663" s="220"/>
      <c r="E663" s="220"/>
      <c r="F663" s="55"/>
      <c r="G663" s="55"/>
      <c r="H663" s="193"/>
    </row>
    <row r="664" ht="14.25" customHeight="1">
      <c r="B664" s="19"/>
      <c r="C664" s="195"/>
      <c r="D664" s="220"/>
      <c r="E664" s="220"/>
      <c r="F664" s="55"/>
      <c r="G664" s="55"/>
      <c r="H664" s="193"/>
    </row>
    <row r="665" ht="14.25" customHeight="1">
      <c r="B665" s="19"/>
      <c r="C665" s="195"/>
      <c r="D665" s="220"/>
      <c r="E665" s="220"/>
      <c r="F665" s="55"/>
      <c r="G665" s="55"/>
      <c r="H665" s="193"/>
    </row>
    <row r="666" ht="14.25" customHeight="1">
      <c r="B666" s="19"/>
      <c r="C666" s="195"/>
      <c r="D666" s="220"/>
      <c r="E666" s="220"/>
      <c r="F666" s="55"/>
      <c r="G666" s="55"/>
      <c r="H666" s="193"/>
    </row>
    <row r="667" ht="14.25" customHeight="1">
      <c r="B667" s="19"/>
      <c r="C667" s="195"/>
      <c r="D667" s="220"/>
      <c r="E667" s="220"/>
      <c r="F667" s="55"/>
      <c r="G667" s="55"/>
      <c r="H667" s="193"/>
    </row>
    <row r="668" ht="14.25" customHeight="1">
      <c r="B668" s="19"/>
      <c r="C668" s="195"/>
      <c r="D668" s="220"/>
      <c r="E668" s="220"/>
      <c r="F668" s="55"/>
      <c r="G668" s="55"/>
      <c r="H668" s="193"/>
    </row>
    <row r="669" ht="14.25" customHeight="1">
      <c r="B669" s="19"/>
      <c r="C669" s="195"/>
      <c r="D669" s="220"/>
      <c r="E669" s="220"/>
      <c r="F669" s="55"/>
      <c r="G669" s="55"/>
      <c r="H669" s="193"/>
    </row>
    <row r="670" ht="14.25" customHeight="1">
      <c r="B670" s="19"/>
      <c r="C670" s="195"/>
      <c r="D670" s="220"/>
      <c r="E670" s="220"/>
      <c r="F670" s="55"/>
      <c r="G670" s="55"/>
      <c r="H670" s="193"/>
    </row>
    <row r="671" ht="14.25" customHeight="1">
      <c r="B671" s="19"/>
      <c r="C671" s="195"/>
      <c r="D671" s="220"/>
      <c r="E671" s="220"/>
      <c r="F671" s="55"/>
      <c r="G671" s="55"/>
      <c r="H671" s="193"/>
    </row>
    <row r="672" ht="14.25" customHeight="1">
      <c r="B672" s="19"/>
      <c r="C672" s="195"/>
      <c r="D672" s="220"/>
      <c r="E672" s="220"/>
      <c r="F672" s="55"/>
      <c r="G672" s="55"/>
      <c r="H672" s="193"/>
    </row>
    <row r="673" ht="14.25" customHeight="1">
      <c r="B673" s="19"/>
      <c r="C673" s="195"/>
      <c r="D673" s="220"/>
      <c r="E673" s="220"/>
      <c r="F673" s="55"/>
      <c r="G673" s="55"/>
      <c r="H673" s="193"/>
    </row>
    <row r="674" ht="14.25" customHeight="1">
      <c r="B674" s="19"/>
      <c r="C674" s="195"/>
      <c r="D674" s="220"/>
      <c r="E674" s="220"/>
      <c r="F674" s="55"/>
      <c r="G674" s="55"/>
      <c r="H674" s="193"/>
    </row>
    <row r="675" ht="14.25" customHeight="1">
      <c r="B675" s="19"/>
      <c r="C675" s="195"/>
      <c r="D675" s="220"/>
      <c r="E675" s="220"/>
      <c r="F675" s="55"/>
      <c r="G675" s="55"/>
      <c r="H675" s="193"/>
    </row>
    <row r="676" ht="14.25" customHeight="1">
      <c r="B676" s="19"/>
      <c r="C676" s="195"/>
      <c r="D676" s="220"/>
      <c r="E676" s="220"/>
      <c r="F676" s="55"/>
      <c r="G676" s="55"/>
      <c r="H676" s="193"/>
    </row>
    <row r="677" ht="14.25" customHeight="1">
      <c r="B677" s="19"/>
      <c r="C677" s="195"/>
      <c r="D677" s="220"/>
      <c r="E677" s="220"/>
      <c r="F677" s="55"/>
      <c r="G677" s="55"/>
      <c r="H677" s="193"/>
    </row>
    <row r="678" ht="14.25" customHeight="1">
      <c r="B678" s="19"/>
      <c r="C678" s="195"/>
      <c r="D678" s="220"/>
      <c r="E678" s="220"/>
      <c r="F678" s="55"/>
      <c r="G678" s="55"/>
      <c r="H678" s="193"/>
    </row>
    <row r="679" ht="14.25" customHeight="1">
      <c r="B679" s="19"/>
      <c r="C679" s="195"/>
      <c r="D679" s="220"/>
      <c r="E679" s="220"/>
      <c r="F679" s="55"/>
      <c r="G679" s="55"/>
      <c r="H679" s="193"/>
    </row>
    <row r="680" ht="14.25" customHeight="1">
      <c r="B680" s="19"/>
      <c r="C680" s="195"/>
      <c r="D680" s="220"/>
      <c r="E680" s="220"/>
      <c r="F680" s="55"/>
      <c r="G680" s="55"/>
      <c r="H680" s="193"/>
    </row>
    <row r="681" ht="14.25" customHeight="1">
      <c r="B681" s="19"/>
      <c r="C681" s="195"/>
      <c r="D681" s="220"/>
      <c r="E681" s="220"/>
      <c r="F681" s="55"/>
      <c r="G681" s="55"/>
      <c r="H681" s="193"/>
    </row>
    <row r="682" ht="14.25" customHeight="1">
      <c r="B682" s="19"/>
      <c r="C682" s="195"/>
      <c r="D682" s="220"/>
      <c r="E682" s="220"/>
      <c r="F682" s="55"/>
      <c r="G682" s="55"/>
      <c r="H682" s="193"/>
    </row>
    <row r="683" ht="14.25" customHeight="1">
      <c r="B683" s="19"/>
      <c r="C683" s="195"/>
      <c r="D683" s="220"/>
      <c r="E683" s="220"/>
      <c r="F683" s="55"/>
      <c r="G683" s="55"/>
      <c r="H683" s="193"/>
    </row>
    <row r="684" ht="14.25" customHeight="1">
      <c r="B684" s="19"/>
      <c r="C684" s="195"/>
      <c r="D684" s="220"/>
      <c r="E684" s="220"/>
      <c r="F684" s="55"/>
      <c r="G684" s="55"/>
      <c r="H684" s="193"/>
    </row>
    <row r="685" ht="14.25" customHeight="1">
      <c r="B685" s="19"/>
      <c r="C685" s="195"/>
      <c r="D685" s="220"/>
      <c r="E685" s="220"/>
      <c r="F685" s="55"/>
      <c r="G685" s="55"/>
      <c r="H685" s="193"/>
    </row>
    <row r="686" ht="14.25" customHeight="1">
      <c r="B686" s="19"/>
      <c r="C686" s="195"/>
      <c r="D686" s="220"/>
      <c r="E686" s="220"/>
      <c r="F686" s="55"/>
      <c r="G686" s="55"/>
      <c r="H686" s="193"/>
    </row>
    <row r="687" ht="14.25" customHeight="1">
      <c r="B687" s="19"/>
      <c r="C687" s="195"/>
      <c r="D687" s="220"/>
      <c r="E687" s="220"/>
      <c r="F687" s="55"/>
      <c r="G687" s="55"/>
      <c r="H687" s="193"/>
    </row>
    <row r="688" ht="14.25" customHeight="1">
      <c r="B688" s="19"/>
      <c r="C688" s="195"/>
      <c r="D688" s="220"/>
      <c r="E688" s="220"/>
      <c r="F688" s="55"/>
      <c r="G688" s="55"/>
      <c r="H688" s="193"/>
    </row>
    <row r="689" ht="14.25" customHeight="1">
      <c r="B689" s="19"/>
      <c r="C689" s="195"/>
      <c r="D689" s="220"/>
      <c r="E689" s="220"/>
      <c r="F689" s="55"/>
      <c r="G689" s="55"/>
      <c r="H689" s="193"/>
    </row>
    <row r="690" ht="14.25" customHeight="1">
      <c r="B690" s="19"/>
      <c r="C690" s="195"/>
      <c r="D690" s="220"/>
      <c r="E690" s="220"/>
      <c r="F690" s="55"/>
      <c r="G690" s="55"/>
      <c r="H690" s="193"/>
    </row>
    <row r="691" ht="14.25" customHeight="1">
      <c r="B691" s="19"/>
      <c r="C691" s="195"/>
      <c r="D691" s="220"/>
      <c r="E691" s="220"/>
      <c r="F691" s="55"/>
      <c r="G691" s="55"/>
      <c r="H691" s="193"/>
    </row>
    <row r="692" ht="14.25" customHeight="1">
      <c r="B692" s="19"/>
      <c r="C692" s="195"/>
      <c r="D692" s="220"/>
      <c r="E692" s="220"/>
      <c r="F692" s="55"/>
      <c r="G692" s="55"/>
      <c r="H692" s="193"/>
    </row>
    <row r="693" ht="14.25" customHeight="1">
      <c r="B693" s="19"/>
      <c r="C693" s="195"/>
      <c r="D693" s="220"/>
      <c r="E693" s="220"/>
      <c r="F693" s="55"/>
      <c r="G693" s="55"/>
      <c r="H693" s="193"/>
    </row>
    <row r="694" ht="14.25" customHeight="1">
      <c r="B694" s="19"/>
      <c r="C694" s="195"/>
      <c r="D694" s="220"/>
      <c r="E694" s="220"/>
      <c r="F694" s="55"/>
      <c r="G694" s="55"/>
      <c r="H694" s="193"/>
    </row>
    <row r="695" ht="14.25" customHeight="1">
      <c r="B695" s="19"/>
      <c r="C695" s="195"/>
      <c r="D695" s="220"/>
      <c r="E695" s="220"/>
      <c r="F695" s="55"/>
      <c r="G695" s="55"/>
      <c r="H695" s="193"/>
    </row>
    <row r="696" ht="14.25" customHeight="1">
      <c r="B696" s="19"/>
      <c r="C696" s="195"/>
      <c r="D696" s="220"/>
      <c r="E696" s="220"/>
      <c r="F696" s="55"/>
      <c r="G696" s="55"/>
      <c r="H696" s="193"/>
    </row>
    <row r="697" ht="14.25" customHeight="1">
      <c r="B697" s="19"/>
      <c r="C697" s="195"/>
      <c r="D697" s="220"/>
      <c r="E697" s="220"/>
      <c r="F697" s="55"/>
      <c r="G697" s="55"/>
      <c r="H697" s="193"/>
    </row>
    <row r="698" ht="14.25" customHeight="1">
      <c r="B698" s="19"/>
      <c r="C698" s="195"/>
      <c r="D698" s="220"/>
      <c r="E698" s="220"/>
      <c r="F698" s="55"/>
      <c r="G698" s="55"/>
      <c r="H698" s="193"/>
    </row>
    <row r="699" ht="14.25" customHeight="1">
      <c r="B699" s="19"/>
      <c r="C699" s="195"/>
      <c r="D699" s="220"/>
      <c r="E699" s="220"/>
      <c r="F699" s="55"/>
      <c r="G699" s="55"/>
      <c r="H699" s="193"/>
    </row>
    <row r="700" ht="14.25" customHeight="1">
      <c r="B700" s="19"/>
      <c r="C700" s="195"/>
      <c r="D700" s="220"/>
      <c r="E700" s="220"/>
      <c r="F700" s="55"/>
      <c r="G700" s="55"/>
      <c r="H700" s="193"/>
    </row>
    <row r="701" ht="14.25" customHeight="1">
      <c r="B701" s="19"/>
      <c r="C701" s="195"/>
      <c r="D701" s="220"/>
      <c r="E701" s="220"/>
      <c r="F701" s="55"/>
      <c r="G701" s="55"/>
      <c r="H701" s="193"/>
    </row>
    <row r="702" ht="14.25" customHeight="1">
      <c r="B702" s="19"/>
      <c r="C702" s="195"/>
      <c r="D702" s="220"/>
      <c r="E702" s="220"/>
      <c r="F702" s="55"/>
      <c r="G702" s="55"/>
      <c r="H702" s="193"/>
    </row>
    <row r="703" ht="14.25" customHeight="1">
      <c r="B703" s="19"/>
      <c r="C703" s="195"/>
      <c r="D703" s="220"/>
      <c r="E703" s="220"/>
      <c r="F703" s="55"/>
      <c r="G703" s="55"/>
      <c r="H703" s="193"/>
    </row>
    <row r="704" ht="14.25" customHeight="1">
      <c r="B704" s="19"/>
      <c r="C704" s="195"/>
      <c r="D704" s="220"/>
      <c r="E704" s="220"/>
      <c r="F704" s="55"/>
      <c r="G704" s="55"/>
      <c r="H704" s="193"/>
    </row>
    <row r="705" ht="14.25" customHeight="1">
      <c r="B705" s="19"/>
      <c r="C705" s="195"/>
      <c r="D705" s="220"/>
      <c r="E705" s="220"/>
      <c r="F705" s="55"/>
      <c r="G705" s="55"/>
      <c r="H705" s="193"/>
    </row>
    <row r="706" ht="14.25" customHeight="1">
      <c r="B706" s="19"/>
      <c r="C706" s="195"/>
      <c r="D706" s="220"/>
      <c r="E706" s="220"/>
      <c r="F706" s="55"/>
      <c r="G706" s="55"/>
      <c r="H706" s="193"/>
    </row>
    <row r="707" ht="14.25" customHeight="1">
      <c r="B707" s="19"/>
      <c r="C707" s="195"/>
      <c r="D707" s="220"/>
      <c r="E707" s="220"/>
      <c r="F707" s="55"/>
      <c r="G707" s="55"/>
      <c r="H707" s="193"/>
    </row>
    <row r="708" ht="14.25" customHeight="1">
      <c r="B708" s="19"/>
      <c r="C708" s="195"/>
      <c r="D708" s="220"/>
      <c r="E708" s="220"/>
      <c r="F708" s="55"/>
      <c r="G708" s="55"/>
      <c r="H708" s="193"/>
    </row>
    <row r="709" ht="14.25" customHeight="1">
      <c r="B709" s="19"/>
      <c r="C709" s="195"/>
      <c r="D709" s="220"/>
      <c r="E709" s="220"/>
      <c r="F709" s="55"/>
      <c r="G709" s="55"/>
      <c r="H709" s="193"/>
    </row>
    <row r="710" ht="14.25" customHeight="1">
      <c r="B710" s="19"/>
      <c r="C710" s="195"/>
      <c r="D710" s="220"/>
      <c r="E710" s="220"/>
      <c r="F710" s="55"/>
      <c r="G710" s="55"/>
      <c r="H710" s="193"/>
    </row>
    <row r="711" ht="14.25" customHeight="1">
      <c r="B711" s="19"/>
      <c r="C711" s="195"/>
      <c r="D711" s="220"/>
      <c r="E711" s="220"/>
      <c r="F711" s="55"/>
      <c r="G711" s="55"/>
      <c r="H711" s="193"/>
    </row>
    <row r="712" ht="14.25" customHeight="1">
      <c r="B712" s="19"/>
      <c r="C712" s="195"/>
      <c r="D712" s="220"/>
      <c r="E712" s="220"/>
      <c r="F712" s="55"/>
      <c r="G712" s="55"/>
      <c r="H712" s="193"/>
    </row>
    <row r="713" ht="14.25" customHeight="1">
      <c r="B713" s="19"/>
      <c r="C713" s="195"/>
      <c r="D713" s="220"/>
      <c r="E713" s="220"/>
      <c r="F713" s="55"/>
      <c r="G713" s="55"/>
      <c r="H713" s="193"/>
    </row>
    <row r="714" ht="14.25" customHeight="1">
      <c r="B714" s="19"/>
      <c r="C714" s="195"/>
      <c r="D714" s="220"/>
      <c r="E714" s="220"/>
      <c r="F714" s="55"/>
      <c r="G714" s="55"/>
      <c r="H714" s="193"/>
    </row>
    <row r="715" ht="14.25" customHeight="1">
      <c r="B715" s="19"/>
      <c r="C715" s="195"/>
      <c r="D715" s="220"/>
      <c r="E715" s="220"/>
      <c r="F715" s="55"/>
      <c r="G715" s="55"/>
      <c r="H715" s="193"/>
    </row>
    <row r="716" ht="14.25" customHeight="1">
      <c r="B716" s="19"/>
      <c r="C716" s="195"/>
      <c r="D716" s="220"/>
      <c r="E716" s="220"/>
      <c r="F716" s="55"/>
      <c r="G716" s="55"/>
      <c r="H716" s="193"/>
    </row>
    <row r="717" ht="14.25" customHeight="1">
      <c r="B717" s="19"/>
      <c r="C717" s="195"/>
      <c r="D717" s="220"/>
      <c r="E717" s="220"/>
      <c r="F717" s="55"/>
      <c r="G717" s="55"/>
      <c r="H717" s="193"/>
    </row>
    <row r="718" ht="14.25" customHeight="1">
      <c r="B718" s="19"/>
      <c r="C718" s="195"/>
      <c r="D718" s="220"/>
      <c r="E718" s="220"/>
      <c r="F718" s="55"/>
      <c r="G718" s="55"/>
      <c r="H718" s="193"/>
    </row>
    <row r="719" ht="14.25" customHeight="1">
      <c r="B719" s="19"/>
      <c r="C719" s="195"/>
      <c r="D719" s="220"/>
      <c r="E719" s="220"/>
      <c r="F719" s="55"/>
      <c r="G719" s="55"/>
      <c r="H719" s="193"/>
    </row>
    <row r="720" ht="14.25" customHeight="1">
      <c r="B720" s="19"/>
      <c r="C720" s="195"/>
      <c r="D720" s="220"/>
      <c r="E720" s="220"/>
      <c r="F720" s="55"/>
      <c r="G720" s="55"/>
      <c r="H720" s="193"/>
    </row>
    <row r="721" ht="14.25" customHeight="1">
      <c r="B721" s="19"/>
      <c r="C721" s="195"/>
      <c r="D721" s="220"/>
      <c r="E721" s="220"/>
      <c r="F721" s="55"/>
      <c r="G721" s="55"/>
      <c r="H721" s="193"/>
    </row>
    <row r="722" ht="14.25" customHeight="1">
      <c r="B722" s="19"/>
      <c r="C722" s="195"/>
      <c r="D722" s="220"/>
      <c r="E722" s="220"/>
      <c r="F722" s="55"/>
      <c r="G722" s="55"/>
      <c r="H722" s="193"/>
    </row>
    <row r="723" ht="14.25" customHeight="1">
      <c r="B723" s="19"/>
      <c r="C723" s="195"/>
      <c r="D723" s="220"/>
      <c r="E723" s="220"/>
      <c r="F723" s="55"/>
      <c r="G723" s="55"/>
      <c r="H723" s="193"/>
    </row>
    <row r="724" ht="14.25" customHeight="1">
      <c r="B724" s="19"/>
      <c r="C724" s="195"/>
      <c r="D724" s="220"/>
      <c r="E724" s="220"/>
      <c r="F724" s="55"/>
      <c r="G724" s="55"/>
      <c r="H724" s="193"/>
    </row>
    <row r="725" ht="14.25" customHeight="1">
      <c r="B725" s="19"/>
      <c r="C725" s="195"/>
      <c r="D725" s="220"/>
      <c r="E725" s="220"/>
      <c r="F725" s="55"/>
      <c r="G725" s="55"/>
      <c r="H725" s="193"/>
    </row>
    <row r="726" ht="14.25" customHeight="1">
      <c r="B726" s="19"/>
      <c r="C726" s="195"/>
      <c r="D726" s="220"/>
      <c r="E726" s="220"/>
      <c r="F726" s="55"/>
      <c r="G726" s="55"/>
      <c r="H726" s="193"/>
    </row>
    <row r="727" ht="14.25" customHeight="1">
      <c r="B727" s="19"/>
      <c r="C727" s="195"/>
      <c r="D727" s="220"/>
      <c r="E727" s="220"/>
      <c r="F727" s="55"/>
      <c r="G727" s="55"/>
      <c r="H727" s="193"/>
    </row>
    <row r="728" ht="14.25" customHeight="1">
      <c r="B728" s="19"/>
      <c r="C728" s="195"/>
      <c r="D728" s="220"/>
      <c r="E728" s="220"/>
      <c r="F728" s="55"/>
      <c r="G728" s="55"/>
      <c r="H728" s="193"/>
    </row>
    <row r="729" ht="14.25" customHeight="1">
      <c r="B729" s="19"/>
      <c r="C729" s="195"/>
      <c r="D729" s="220"/>
      <c r="E729" s="220"/>
      <c r="F729" s="55"/>
      <c r="G729" s="55"/>
      <c r="H729" s="193"/>
    </row>
    <row r="730" ht="14.25" customHeight="1">
      <c r="B730" s="19"/>
      <c r="C730" s="195"/>
      <c r="D730" s="220"/>
      <c r="E730" s="220"/>
      <c r="F730" s="55"/>
      <c r="G730" s="55"/>
      <c r="H730" s="193"/>
    </row>
    <row r="731" ht="14.25" customHeight="1">
      <c r="B731" s="19"/>
      <c r="C731" s="195"/>
      <c r="D731" s="220"/>
      <c r="E731" s="220"/>
      <c r="F731" s="55"/>
      <c r="G731" s="55"/>
      <c r="H731" s="193"/>
    </row>
    <row r="732" ht="14.25" customHeight="1">
      <c r="B732" s="19"/>
      <c r="C732" s="195"/>
      <c r="D732" s="220"/>
      <c r="E732" s="220"/>
      <c r="F732" s="55"/>
      <c r="G732" s="55"/>
      <c r="H732" s="193"/>
    </row>
    <row r="733" ht="14.25" customHeight="1">
      <c r="B733" s="19"/>
      <c r="C733" s="195"/>
      <c r="D733" s="220"/>
      <c r="E733" s="220"/>
      <c r="F733" s="55"/>
      <c r="G733" s="55"/>
      <c r="H733" s="193"/>
    </row>
    <row r="734" ht="14.25" customHeight="1">
      <c r="B734" s="19"/>
      <c r="C734" s="195"/>
      <c r="D734" s="220"/>
      <c r="E734" s="220"/>
      <c r="F734" s="55"/>
      <c r="G734" s="55"/>
      <c r="H734" s="193"/>
    </row>
    <row r="735" ht="14.25" customHeight="1">
      <c r="B735" s="19"/>
      <c r="C735" s="195"/>
      <c r="D735" s="220"/>
      <c r="E735" s="220"/>
      <c r="F735" s="55"/>
      <c r="G735" s="55"/>
      <c r="H735" s="193"/>
    </row>
    <row r="736" ht="14.25" customHeight="1">
      <c r="B736" s="19"/>
      <c r="C736" s="195"/>
      <c r="D736" s="220"/>
      <c r="E736" s="220"/>
      <c r="F736" s="55"/>
      <c r="G736" s="55"/>
      <c r="H736" s="193"/>
    </row>
    <row r="737" ht="14.25" customHeight="1">
      <c r="B737" s="19"/>
      <c r="C737" s="195"/>
      <c r="D737" s="220"/>
      <c r="E737" s="220"/>
      <c r="F737" s="55"/>
      <c r="G737" s="55"/>
      <c r="H737" s="193"/>
    </row>
    <row r="738" ht="14.25" customHeight="1">
      <c r="B738" s="19"/>
      <c r="C738" s="195"/>
      <c r="D738" s="220"/>
      <c r="E738" s="220"/>
      <c r="F738" s="55"/>
      <c r="G738" s="55"/>
      <c r="H738" s="193"/>
    </row>
    <row r="739" ht="14.25" customHeight="1">
      <c r="B739" s="19"/>
      <c r="C739" s="195"/>
      <c r="D739" s="220"/>
      <c r="E739" s="220"/>
      <c r="F739" s="55"/>
      <c r="G739" s="55"/>
      <c r="H739" s="193"/>
    </row>
    <row r="740" ht="14.25" customHeight="1">
      <c r="B740" s="19"/>
      <c r="C740" s="195"/>
      <c r="D740" s="220"/>
      <c r="E740" s="220"/>
      <c r="F740" s="55"/>
      <c r="G740" s="55"/>
      <c r="H740" s="193"/>
    </row>
    <row r="741" ht="14.25" customHeight="1">
      <c r="B741" s="19"/>
      <c r="C741" s="195"/>
      <c r="D741" s="220"/>
      <c r="E741" s="220"/>
      <c r="F741" s="55"/>
      <c r="G741" s="55"/>
      <c r="H741" s="193"/>
    </row>
    <row r="742" ht="14.25" customHeight="1">
      <c r="B742" s="19"/>
      <c r="C742" s="195"/>
      <c r="D742" s="220"/>
      <c r="E742" s="220"/>
      <c r="F742" s="55"/>
      <c r="G742" s="55"/>
      <c r="H742" s="193"/>
    </row>
    <row r="743" ht="14.25" customHeight="1">
      <c r="B743" s="19"/>
      <c r="C743" s="195"/>
      <c r="D743" s="220"/>
      <c r="E743" s="220"/>
      <c r="F743" s="55"/>
      <c r="G743" s="55"/>
      <c r="H743" s="193"/>
    </row>
    <row r="744" ht="14.25" customHeight="1">
      <c r="B744" s="19"/>
      <c r="C744" s="195"/>
      <c r="D744" s="220"/>
      <c r="E744" s="220"/>
      <c r="F744" s="55"/>
      <c r="G744" s="55"/>
      <c r="H744" s="193"/>
    </row>
    <row r="745" ht="14.25" customHeight="1">
      <c r="B745" s="19"/>
      <c r="C745" s="195"/>
      <c r="D745" s="220"/>
      <c r="E745" s="220"/>
      <c r="F745" s="55"/>
      <c r="G745" s="55"/>
      <c r="H745" s="193"/>
    </row>
    <row r="746" ht="14.25" customHeight="1">
      <c r="B746" s="19"/>
      <c r="C746" s="195"/>
      <c r="D746" s="220"/>
      <c r="E746" s="220"/>
      <c r="F746" s="55"/>
      <c r="G746" s="55"/>
      <c r="H746" s="193"/>
    </row>
    <row r="747" ht="14.25" customHeight="1">
      <c r="B747" s="19"/>
      <c r="C747" s="195"/>
      <c r="D747" s="220"/>
      <c r="E747" s="220"/>
      <c r="F747" s="55"/>
      <c r="G747" s="55"/>
      <c r="H747" s="193"/>
    </row>
    <row r="748" ht="14.25" customHeight="1">
      <c r="B748" s="19"/>
      <c r="C748" s="195"/>
      <c r="D748" s="220"/>
      <c r="E748" s="220"/>
      <c r="F748" s="55"/>
      <c r="G748" s="55"/>
      <c r="H748" s="193"/>
    </row>
    <row r="749" ht="14.25" customHeight="1">
      <c r="B749" s="19"/>
      <c r="C749" s="195"/>
      <c r="D749" s="220"/>
      <c r="E749" s="220"/>
      <c r="F749" s="55"/>
      <c r="G749" s="55"/>
      <c r="H749" s="193"/>
    </row>
    <row r="750" ht="14.25" customHeight="1">
      <c r="B750" s="19"/>
      <c r="C750" s="195"/>
      <c r="D750" s="220"/>
      <c r="E750" s="220"/>
      <c r="F750" s="55"/>
      <c r="G750" s="55"/>
      <c r="H750" s="193"/>
    </row>
    <row r="751" ht="14.25" customHeight="1">
      <c r="B751" s="19"/>
      <c r="C751" s="195"/>
      <c r="D751" s="220"/>
      <c r="E751" s="220"/>
      <c r="F751" s="55"/>
      <c r="G751" s="55"/>
      <c r="H751" s="193"/>
    </row>
    <row r="752" ht="14.25" customHeight="1">
      <c r="B752" s="19"/>
      <c r="C752" s="195"/>
      <c r="D752" s="220"/>
      <c r="E752" s="220"/>
      <c r="F752" s="55"/>
      <c r="G752" s="55"/>
      <c r="H752" s="193"/>
    </row>
    <row r="753" ht="14.25" customHeight="1">
      <c r="B753" s="19"/>
      <c r="C753" s="195"/>
      <c r="D753" s="220"/>
      <c r="E753" s="220"/>
      <c r="F753" s="55"/>
      <c r="G753" s="55"/>
      <c r="H753" s="193"/>
    </row>
    <row r="754" ht="14.25" customHeight="1">
      <c r="B754" s="19"/>
      <c r="C754" s="195"/>
      <c r="D754" s="220"/>
      <c r="E754" s="220"/>
      <c r="F754" s="55"/>
      <c r="G754" s="55"/>
      <c r="H754" s="193"/>
    </row>
    <row r="755" ht="14.25" customHeight="1">
      <c r="B755" s="19"/>
      <c r="C755" s="195"/>
      <c r="D755" s="220"/>
      <c r="E755" s="220"/>
      <c r="F755" s="55"/>
      <c r="G755" s="55"/>
      <c r="H755" s="193"/>
    </row>
    <row r="756" ht="14.25" customHeight="1">
      <c r="B756" s="19"/>
      <c r="C756" s="195"/>
      <c r="D756" s="220"/>
      <c r="E756" s="220"/>
      <c r="F756" s="55"/>
      <c r="G756" s="55"/>
      <c r="H756" s="193"/>
    </row>
    <row r="757" ht="14.25" customHeight="1">
      <c r="B757" s="19"/>
      <c r="C757" s="195"/>
      <c r="D757" s="220"/>
      <c r="E757" s="220"/>
      <c r="F757" s="55"/>
      <c r="G757" s="55"/>
      <c r="H757" s="193"/>
    </row>
    <row r="758" ht="14.25" customHeight="1">
      <c r="B758" s="19"/>
      <c r="C758" s="195"/>
      <c r="D758" s="220"/>
      <c r="E758" s="220"/>
      <c r="F758" s="55"/>
      <c r="G758" s="55"/>
      <c r="H758" s="193"/>
    </row>
    <row r="759" ht="14.25" customHeight="1">
      <c r="B759" s="19"/>
      <c r="C759" s="195"/>
      <c r="D759" s="220"/>
      <c r="E759" s="220"/>
      <c r="F759" s="55"/>
      <c r="G759" s="55"/>
      <c r="H759" s="193"/>
    </row>
    <row r="760" ht="14.25" customHeight="1">
      <c r="B760" s="19"/>
      <c r="C760" s="195"/>
      <c r="D760" s="220"/>
      <c r="E760" s="220"/>
      <c r="F760" s="55"/>
      <c r="G760" s="55"/>
      <c r="H760" s="193"/>
    </row>
    <row r="761" ht="14.25" customHeight="1">
      <c r="B761" s="19"/>
      <c r="C761" s="195"/>
      <c r="D761" s="220"/>
      <c r="E761" s="220"/>
      <c r="F761" s="55"/>
      <c r="G761" s="55"/>
      <c r="H761" s="193"/>
    </row>
    <row r="762" ht="14.25" customHeight="1">
      <c r="B762" s="19"/>
      <c r="C762" s="195"/>
      <c r="D762" s="220"/>
      <c r="E762" s="220"/>
      <c r="F762" s="55"/>
      <c r="G762" s="55"/>
      <c r="H762" s="193"/>
    </row>
    <row r="763" ht="14.25" customHeight="1">
      <c r="B763" s="19"/>
      <c r="C763" s="195"/>
      <c r="D763" s="220"/>
      <c r="E763" s="220"/>
      <c r="F763" s="55"/>
      <c r="G763" s="55"/>
      <c r="H763" s="193"/>
    </row>
    <row r="764" ht="14.25" customHeight="1">
      <c r="B764" s="19"/>
      <c r="C764" s="195"/>
      <c r="D764" s="220"/>
      <c r="E764" s="220"/>
      <c r="F764" s="55"/>
      <c r="G764" s="55"/>
      <c r="H764" s="193"/>
    </row>
    <row r="765" ht="14.25" customHeight="1">
      <c r="B765" s="19"/>
      <c r="C765" s="195"/>
      <c r="D765" s="220"/>
      <c r="E765" s="220"/>
      <c r="F765" s="55"/>
      <c r="G765" s="55"/>
      <c r="H765" s="193"/>
    </row>
    <row r="766" ht="14.25" customHeight="1">
      <c r="B766" s="19"/>
      <c r="C766" s="195"/>
      <c r="D766" s="220"/>
      <c r="E766" s="220"/>
      <c r="F766" s="55"/>
      <c r="G766" s="55"/>
      <c r="H766" s="193"/>
    </row>
    <row r="767" ht="14.25" customHeight="1">
      <c r="B767" s="19"/>
      <c r="C767" s="195"/>
      <c r="D767" s="220"/>
      <c r="E767" s="220"/>
      <c r="F767" s="55"/>
      <c r="G767" s="55"/>
      <c r="H767" s="193"/>
    </row>
    <row r="768" ht="14.25" customHeight="1">
      <c r="B768" s="19"/>
      <c r="C768" s="195"/>
      <c r="D768" s="220"/>
      <c r="E768" s="220"/>
      <c r="F768" s="55"/>
      <c r="G768" s="55"/>
      <c r="H768" s="193"/>
    </row>
    <row r="769" ht="14.25" customHeight="1">
      <c r="B769" s="19"/>
      <c r="C769" s="195"/>
      <c r="D769" s="220"/>
      <c r="E769" s="220"/>
      <c r="F769" s="55"/>
      <c r="G769" s="55"/>
      <c r="H769" s="193"/>
    </row>
    <row r="770" ht="14.25" customHeight="1">
      <c r="B770" s="19"/>
      <c r="C770" s="195"/>
      <c r="D770" s="220"/>
      <c r="E770" s="220"/>
      <c r="F770" s="55"/>
      <c r="G770" s="55"/>
      <c r="H770" s="193"/>
    </row>
    <row r="771" ht="14.25" customHeight="1">
      <c r="B771" s="19"/>
      <c r="C771" s="195"/>
      <c r="D771" s="220"/>
      <c r="E771" s="220"/>
      <c r="F771" s="55"/>
      <c r="G771" s="55"/>
      <c r="H771" s="193"/>
    </row>
    <row r="772" ht="14.25" customHeight="1">
      <c r="B772" s="19"/>
      <c r="C772" s="195"/>
      <c r="D772" s="220"/>
      <c r="E772" s="220"/>
      <c r="F772" s="55"/>
      <c r="G772" s="55"/>
      <c r="H772" s="193"/>
    </row>
    <row r="773" ht="14.25" customHeight="1">
      <c r="B773" s="19"/>
      <c r="C773" s="195"/>
      <c r="D773" s="220"/>
      <c r="E773" s="220"/>
      <c r="F773" s="55"/>
      <c r="G773" s="55"/>
      <c r="H773" s="193"/>
    </row>
    <row r="774" ht="14.25" customHeight="1">
      <c r="B774" s="19"/>
      <c r="C774" s="195"/>
      <c r="D774" s="220"/>
      <c r="E774" s="220"/>
      <c r="F774" s="55"/>
      <c r="G774" s="55"/>
      <c r="H774" s="193"/>
    </row>
    <row r="775" ht="14.25" customHeight="1">
      <c r="B775" s="19"/>
      <c r="C775" s="195"/>
      <c r="D775" s="220"/>
      <c r="E775" s="220"/>
      <c r="F775" s="55"/>
      <c r="G775" s="55"/>
      <c r="H775" s="193"/>
    </row>
    <row r="776" ht="14.25" customHeight="1">
      <c r="B776" s="19"/>
      <c r="C776" s="195"/>
      <c r="D776" s="220"/>
      <c r="E776" s="220"/>
      <c r="F776" s="55"/>
      <c r="G776" s="55"/>
      <c r="H776" s="193"/>
    </row>
    <row r="777" ht="14.25" customHeight="1">
      <c r="B777" s="19"/>
      <c r="C777" s="195"/>
      <c r="D777" s="220"/>
      <c r="E777" s="220"/>
      <c r="F777" s="55"/>
      <c r="G777" s="55"/>
      <c r="H777" s="193"/>
    </row>
    <row r="778" ht="14.25" customHeight="1">
      <c r="B778" s="19"/>
      <c r="C778" s="195"/>
      <c r="D778" s="220"/>
      <c r="E778" s="220"/>
      <c r="F778" s="55"/>
      <c r="G778" s="55"/>
      <c r="H778" s="193"/>
    </row>
    <row r="779" ht="14.25" customHeight="1">
      <c r="B779" s="19"/>
      <c r="C779" s="195"/>
      <c r="D779" s="220"/>
      <c r="E779" s="220"/>
      <c r="F779" s="55"/>
      <c r="G779" s="55"/>
      <c r="H779" s="193"/>
    </row>
    <row r="780" ht="14.25" customHeight="1">
      <c r="B780" s="19"/>
      <c r="C780" s="195"/>
      <c r="D780" s="220"/>
      <c r="E780" s="220"/>
      <c r="F780" s="55"/>
      <c r="G780" s="55"/>
      <c r="H780" s="193"/>
    </row>
    <row r="781" ht="14.25" customHeight="1">
      <c r="B781" s="19"/>
      <c r="C781" s="195"/>
      <c r="D781" s="220"/>
      <c r="E781" s="220"/>
      <c r="F781" s="55"/>
      <c r="G781" s="55"/>
      <c r="H781" s="193"/>
    </row>
    <row r="782" ht="14.25" customHeight="1">
      <c r="B782" s="19"/>
      <c r="C782" s="195"/>
      <c r="D782" s="220"/>
      <c r="E782" s="220"/>
      <c r="F782" s="55"/>
      <c r="G782" s="55"/>
      <c r="H782" s="193"/>
    </row>
    <row r="783" ht="14.25" customHeight="1">
      <c r="B783" s="19"/>
      <c r="C783" s="195"/>
      <c r="D783" s="220"/>
      <c r="E783" s="220"/>
      <c r="F783" s="55"/>
      <c r="G783" s="55"/>
      <c r="H783" s="193"/>
    </row>
    <row r="784" ht="14.25" customHeight="1">
      <c r="B784" s="19"/>
      <c r="C784" s="195"/>
      <c r="D784" s="220"/>
      <c r="E784" s="220"/>
      <c r="F784" s="55"/>
      <c r="G784" s="55"/>
      <c r="H784" s="193"/>
    </row>
    <row r="785" ht="14.25" customHeight="1">
      <c r="B785" s="19"/>
      <c r="C785" s="195"/>
      <c r="D785" s="220"/>
      <c r="E785" s="220"/>
      <c r="F785" s="55"/>
      <c r="G785" s="55"/>
      <c r="H785" s="193"/>
    </row>
    <row r="786" ht="14.25" customHeight="1">
      <c r="B786" s="19"/>
      <c r="C786" s="195"/>
      <c r="D786" s="220"/>
      <c r="E786" s="220"/>
      <c r="F786" s="55"/>
      <c r="G786" s="55"/>
      <c r="H786" s="193"/>
    </row>
    <row r="787" ht="14.25" customHeight="1">
      <c r="B787" s="19"/>
      <c r="C787" s="195"/>
      <c r="D787" s="220"/>
      <c r="E787" s="220"/>
      <c r="F787" s="55"/>
      <c r="G787" s="55"/>
      <c r="H787" s="193"/>
    </row>
    <row r="788" ht="14.25" customHeight="1">
      <c r="B788" s="19"/>
      <c r="C788" s="195"/>
      <c r="D788" s="220"/>
      <c r="E788" s="220"/>
      <c r="F788" s="55"/>
      <c r="G788" s="55"/>
      <c r="H788" s="193"/>
    </row>
    <row r="789" ht="14.25" customHeight="1">
      <c r="B789" s="19"/>
      <c r="C789" s="195"/>
      <c r="D789" s="220"/>
      <c r="E789" s="220"/>
      <c r="F789" s="55"/>
      <c r="G789" s="55"/>
      <c r="H789" s="193"/>
    </row>
    <row r="790" ht="14.25" customHeight="1">
      <c r="B790" s="19"/>
      <c r="C790" s="195"/>
      <c r="D790" s="220"/>
      <c r="E790" s="220"/>
      <c r="F790" s="55"/>
      <c r="G790" s="55"/>
      <c r="H790" s="193"/>
    </row>
    <row r="791" ht="14.25" customHeight="1">
      <c r="B791" s="19"/>
      <c r="C791" s="195"/>
      <c r="D791" s="220"/>
      <c r="E791" s="220"/>
      <c r="F791" s="55"/>
      <c r="G791" s="55"/>
      <c r="H791" s="193"/>
    </row>
    <row r="792" ht="14.25" customHeight="1">
      <c r="B792" s="19"/>
      <c r="C792" s="195"/>
      <c r="D792" s="220"/>
      <c r="E792" s="220"/>
      <c r="F792" s="55"/>
      <c r="G792" s="55"/>
      <c r="H792" s="193"/>
    </row>
    <row r="793" ht="14.25" customHeight="1">
      <c r="B793" s="19"/>
      <c r="C793" s="195"/>
      <c r="D793" s="220"/>
      <c r="E793" s="220"/>
      <c r="F793" s="55"/>
      <c r="G793" s="55"/>
      <c r="H793" s="193"/>
    </row>
    <row r="794" ht="14.25" customHeight="1">
      <c r="B794" s="19"/>
      <c r="C794" s="195"/>
      <c r="D794" s="220"/>
      <c r="E794" s="220"/>
      <c r="F794" s="55"/>
      <c r="G794" s="55"/>
      <c r="H794" s="193"/>
    </row>
    <row r="795" ht="14.25" customHeight="1">
      <c r="B795" s="19"/>
      <c r="C795" s="195"/>
      <c r="D795" s="220"/>
      <c r="E795" s="220"/>
      <c r="F795" s="55"/>
      <c r="G795" s="55"/>
      <c r="H795" s="193"/>
    </row>
    <row r="796" ht="14.25" customHeight="1">
      <c r="B796" s="19"/>
      <c r="C796" s="195"/>
      <c r="D796" s="220"/>
      <c r="E796" s="220"/>
      <c r="F796" s="55"/>
      <c r="G796" s="55"/>
      <c r="H796" s="193"/>
    </row>
    <row r="797" ht="14.25" customHeight="1">
      <c r="B797" s="19"/>
      <c r="C797" s="195"/>
      <c r="D797" s="220"/>
      <c r="E797" s="220"/>
      <c r="F797" s="55"/>
      <c r="G797" s="55"/>
      <c r="H797" s="193"/>
    </row>
    <row r="798" ht="14.25" customHeight="1">
      <c r="B798" s="19"/>
      <c r="C798" s="195"/>
      <c r="D798" s="220"/>
      <c r="E798" s="220"/>
      <c r="F798" s="55"/>
      <c r="G798" s="55"/>
      <c r="H798" s="193"/>
    </row>
    <row r="799" ht="14.25" customHeight="1">
      <c r="B799" s="19"/>
      <c r="C799" s="195"/>
      <c r="D799" s="220"/>
      <c r="E799" s="220"/>
      <c r="F799" s="55"/>
      <c r="G799" s="55"/>
      <c r="H799" s="193"/>
    </row>
    <row r="800" ht="14.25" customHeight="1">
      <c r="B800" s="19"/>
      <c r="C800" s="195"/>
      <c r="D800" s="220"/>
      <c r="E800" s="220"/>
      <c r="F800" s="55"/>
      <c r="G800" s="55"/>
      <c r="H800" s="193"/>
    </row>
    <row r="801" ht="14.25" customHeight="1">
      <c r="B801" s="19"/>
      <c r="C801" s="195"/>
      <c r="D801" s="220"/>
      <c r="E801" s="220"/>
      <c r="F801" s="55"/>
      <c r="G801" s="55"/>
      <c r="H801" s="193"/>
    </row>
    <row r="802" ht="14.25" customHeight="1">
      <c r="B802" s="19"/>
      <c r="C802" s="195"/>
      <c r="D802" s="220"/>
      <c r="E802" s="220"/>
      <c r="F802" s="55"/>
      <c r="G802" s="55"/>
      <c r="H802" s="193"/>
    </row>
    <row r="803" ht="14.25" customHeight="1">
      <c r="B803" s="19"/>
      <c r="C803" s="195"/>
      <c r="D803" s="220"/>
      <c r="E803" s="220"/>
      <c r="F803" s="55"/>
      <c r="G803" s="55"/>
      <c r="H803" s="193"/>
    </row>
    <row r="804" ht="14.25" customHeight="1">
      <c r="B804" s="19"/>
      <c r="C804" s="195"/>
      <c r="D804" s="220"/>
      <c r="E804" s="220"/>
      <c r="F804" s="55"/>
      <c r="G804" s="55"/>
      <c r="H804" s="193"/>
    </row>
    <row r="805" ht="14.25" customHeight="1">
      <c r="B805" s="19"/>
      <c r="C805" s="195"/>
      <c r="D805" s="220"/>
      <c r="E805" s="220"/>
      <c r="F805" s="55"/>
      <c r="G805" s="55"/>
      <c r="H805" s="193"/>
    </row>
    <row r="806" ht="14.25" customHeight="1">
      <c r="B806" s="19"/>
      <c r="C806" s="195"/>
      <c r="D806" s="220"/>
      <c r="E806" s="220"/>
      <c r="F806" s="55"/>
      <c r="G806" s="55"/>
      <c r="H806" s="193"/>
    </row>
    <row r="807" ht="14.25" customHeight="1">
      <c r="B807" s="19"/>
      <c r="C807" s="195"/>
      <c r="D807" s="220"/>
      <c r="E807" s="220"/>
      <c r="F807" s="55"/>
      <c r="G807" s="55"/>
      <c r="H807" s="193"/>
    </row>
    <row r="808" ht="14.25" customHeight="1">
      <c r="B808" s="19"/>
      <c r="C808" s="195"/>
      <c r="D808" s="220"/>
      <c r="E808" s="220"/>
      <c r="F808" s="55"/>
      <c r="G808" s="55"/>
      <c r="H808" s="193"/>
    </row>
    <row r="809" ht="14.25" customHeight="1">
      <c r="B809" s="19"/>
      <c r="C809" s="195"/>
      <c r="D809" s="220"/>
      <c r="E809" s="220"/>
      <c r="F809" s="55"/>
      <c r="G809" s="55"/>
      <c r="H809" s="193"/>
    </row>
    <row r="810" ht="14.25" customHeight="1">
      <c r="B810" s="19"/>
      <c r="C810" s="195"/>
      <c r="D810" s="220"/>
      <c r="E810" s="220"/>
      <c r="F810" s="55"/>
      <c r="G810" s="55"/>
      <c r="H810" s="193"/>
    </row>
    <row r="811" ht="14.25" customHeight="1">
      <c r="B811" s="19"/>
      <c r="C811" s="195"/>
      <c r="D811" s="220"/>
      <c r="E811" s="220"/>
      <c r="F811" s="55"/>
      <c r="G811" s="55"/>
      <c r="H811" s="193"/>
    </row>
    <row r="812" ht="14.25" customHeight="1">
      <c r="B812" s="19"/>
      <c r="C812" s="195"/>
      <c r="D812" s="220"/>
      <c r="E812" s="220"/>
      <c r="F812" s="55"/>
      <c r="G812" s="55"/>
      <c r="H812" s="193"/>
    </row>
    <row r="813" ht="14.25" customHeight="1">
      <c r="B813" s="19"/>
      <c r="C813" s="195"/>
      <c r="D813" s="220"/>
      <c r="E813" s="220"/>
      <c r="F813" s="55"/>
      <c r="G813" s="55"/>
      <c r="H813" s="193"/>
    </row>
    <row r="814" ht="14.25" customHeight="1">
      <c r="B814" s="19"/>
      <c r="C814" s="195"/>
      <c r="D814" s="220"/>
      <c r="E814" s="220"/>
      <c r="F814" s="55"/>
      <c r="G814" s="55"/>
      <c r="H814" s="193"/>
    </row>
    <row r="815" ht="14.25" customHeight="1">
      <c r="B815" s="19"/>
      <c r="C815" s="195"/>
      <c r="D815" s="220"/>
      <c r="E815" s="220"/>
      <c r="F815" s="55"/>
      <c r="G815" s="55"/>
      <c r="H815" s="193"/>
    </row>
    <row r="816" ht="14.25" customHeight="1">
      <c r="B816" s="19"/>
      <c r="C816" s="195"/>
      <c r="D816" s="220"/>
      <c r="E816" s="220"/>
      <c r="F816" s="55"/>
      <c r="G816" s="55"/>
      <c r="H816" s="193"/>
    </row>
    <row r="817" ht="14.25" customHeight="1">
      <c r="B817" s="19"/>
      <c r="C817" s="195"/>
      <c r="D817" s="220"/>
      <c r="E817" s="220"/>
      <c r="F817" s="55"/>
      <c r="G817" s="55"/>
      <c r="H817" s="193"/>
    </row>
    <row r="818" ht="14.25" customHeight="1">
      <c r="B818" s="19"/>
      <c r="C818" s="195"/>
      <c r="D818" s="220"/>
      <c r="E818" s="220"/>
      <c r="F818" s="55"/>
      <c r="G818" s="55"/>
      <c r="H818" s="193"/>
    </row>
    <row r="819" ht="14.25" customHeight="1">
      <c r="B819" s="19"/>
      <c r="C819" s="195"/>
      <c r="D819" s="220"/>
      <c r="E819" s="220"/>
      <c r="F819" s="55"/>
      <c r="G819" s="55"/>
      <c r="H819" s="193"/>
    </row>
    <row r="820" ht="14.25" customHeight="1">
      <c r="B820" s="19"/>
      <c r="C820" s="195"/>
      <c r="D820" s="220"/>
      <c r="E820" s="220"/>
      <c r="F820" s="55"/>
      <c r="G820" s="55"/>
      <c r="H820" s="193"/>
    </row>
    <row r="821" ht="14.25" customHeight="1">
      <c r="B821" s="19"/>
      <c r="C821" s="195"/>
      <c r="D821" s="220"/>
      <c r="E821" s="220"/>
      <c r="F821" s="55"/>
      <c r="G821" s="55"/>
      <c r="H821" s="193"/>
    </row>
    <row r="822" ht="14.25" customHeight="1">
      <c r="B822" s="19"/>
      <c r="C822" s="195"/>
      <c r="D822" s="220"/>
      <c r="E822" s="220"/>
      <c r="F822" s="55"/>
      <c r="G822" s="55"/>
      <c r="H822" s="193"/>
    </row>
    <row r="823" ht="14.25" customHeight="1">
      <c r="B823" s="19"/>
      <c r="C823" s="195"/>
      <c r="D823" s="220"/>
      <c r="E823" s="220"/>
      <c r="F823" s="55"/>
      <c r="G823" s="55"/>
      <c r="H823" s="193"/>
    </row>
    <row r="824" ht="14.25" customHeight="1">
      <c r="B824" s="19"/>
      <c r="C824" s="195"/>
      <c r="D824" s="220"/>
      <c r="E824" s="220"/>
      <c r="F824" s="55"/>
      <c r="G824" s="55"/>
      <c r="H824" s="193"/>
    </row>
    <row r="825" ht="14.25" customHeight="1">
      <c r="B825" s="19"/>
      <c r="C825" s="195"/>
      <c r="D825" s="220"/>
      <c r="E825" s="220"/>
      <c r="F825" s="55"/>
      <c r="G825" s="55"/>
      <c r="H825" s="193"/>
    </row>
    <row r="826" ht="14.25" customHeight="1">
      <c r="B826" s="19"/>
      <c r="C826" s="195"/>
      <c r="D826" s="220"/>
      <c r="E826" s="220"/>
      <c r="F826" s="55"/>
      <c r="G826" s="55"/>
      <c r="H826" s="193"/>
    </row>
    <row r="827" ht="14.25" customHeight="1">
      <c r="B827" s="19"/>
      <c r="C827" s="195"/>
      <c r="D827" s="220"/>
      <c r="E827" s="220"/>
      <c r="F827" s="55"/>
      <c r="G827" s="55"/>
      <c r="H827" s="193"/>
    </row>
    <row r="828" ht="14.25" customHeight="1">
      <c r="B828" s="19"/>
      <c r="C828" s="195"/>
      <c r="D828" s="220"/>
      <c r="E828" s="220"/>
      <c r="F828" s="55"/>
      <c r="G828" s="55"/>
      <c r="H828" s="193"/>
    </row>
    <row r="829" ht="14.25" customHeight="1">
      <c r="B829" s="19"/>
      <c r="C829" s="195"/>
      <c r="D829" s="220"/>
      <c r="E829" s="220"/>
      <c r="F829" s="55"/>
      <c r="G829" s="55"/>
      <c r="H829" s="193"/>
    </row>
    <row r="830" ht="14.25" customHeight="1">
      <c r="B830" s="19"/>
      <c r="C830" s="195"/>
      <c r="D830" s="220"/>
      <c r="E830" s="220"/>
      <c r="F830" s="55"/>
      <c r="G830" s="55"/>
      <c r="H830" s="193"/>
    </row>
    <row r="831" ht="14.25" customHeight="1">
      <c r="B831" s="19"/>
      <c r="C831" s="195"/>
      <c r="D831" s="220"/>
      <c r="E831" s="220"/>
      <c r="F831" s="55"/>
      <c r="G831" s="55"/>
      <c r="H831" s="193"/>
    </row>
    <row r="832" ht="14.25" customHeight="1">
      <c r="B832" s="19"/>
      <c r="C832" s="195"/>
      <c r="D832" s="220"/>
      <c r="E832" s="220"/>
      <c r="F832" s="55"/>
      <c r="G832" s="55"/>
      <c r="H832" s="193"/>
    </row>
    <row r="833" ht="14.25" customHeight="1">
      <c r="B833" s="19"/>
      <c r="C833" s="195"/>
      <c r="D833" s="220"/>
      <c r="E833" s="220"/>
      <c r="F833" s="55"/>
      <c r="G833" s="55"/>
      <c r="H833" s="193"/>
    </row>
    <row r="834" ht="14.25" customHeight="1">
      <c r="B834" s="19"/>
      <c r="C834" s="195"/>
      <c r="D834" s="220"/>
      <c r="E834" s="220"/>
      <c r="F834" s="55"/>
      <c r="G834" s="55"/>
      <c r="H834" s="193"/>
    </row>
    <row r="835" ht="14.25" customHeight="1">
      <c r="B835" s="19"/>
      <c r="C835" s="195"/>
      <c r="D835" s="220"/>
      <c r="E835" s="220"/>
      <c r="F835" s="55"/>
      <c r="G835" s="55"/>
      <c r="H835" s="193"/>
    </row>
    <row r="836" ht="14.25" customHeight="1">
      <c r="B836" s="19"/>
      <c r="C836" s="195"/>
      <c r="D836" s="220"/>
      <c r="E836" s="220"/>
      <c r="F836" s="55"/>
      <c r="G836" s="55"/>
      <c r="H836" s="193"/>
    </row>
    <row r="837" ht="14.25" customHeight="1">
      <c r="B837" s="19"/>
      <c r="C837" s="195"/>
      <c r="D837" s="220"/>
      <c r="E837" s="220"/>
      <c r="F837" s="55"/>
      <c r="G837" s="55"/>
      <c r="H837" s="193"/>
    </row>
    <row r="838" ht="14.25" customHeight="1">
      <c r="B838" s="19"/>
      <c r="C838" s="195"/>
      <c r="D838" s="220"/>
      <c r="E838" s="220"/>
      <c r="F838" s="55"/>
      <c r="G838" s="55"/>
      <c r="H838" s="193"/>
    </row>
    <row r="839" ht="14.25" customHeight="1">
      <c r="B839" s="19"/>
      <c r="C839" s="195"/>
      <c r="D839" s="220"/>
      <c r="E839" s="220"/>
      <c r="F839" s="55"/>
      <c r="G839" s="55"/>
      <c r="H839" s="193"/>
    </row>
    <row r="840" ht="14.25" customHeight="1">
      <c r="B840" s="19"/>
      <c r="C840" s="195"/>
      <c r="D840" s="220"/>
      <c r="E840" s="220"/>
      <c r="F840" s="55"/>
      <c r="G840" s="55"/>
      <c r="H840" s="193"/>
    </row>
    <row r="841" ht="14.25" customHeight="1">
      <c r="B841" s="19"/>
      <c r="C841" s="195"/>
      <c r="D841" s="220"/>
      <c r="E841" s="220"/>
      <c r="F841" s="55"/>
      <c r="G841" s="55"/>
      <c r="H841" s="193"/>
    </row>
    <row r="842" ht="14.25" customHeight="1">
      <c r="B842" s="19"/>
      <c r="C842" s="195"/>
      <c r="D842" s="220"/>
      <c r="E842" s="220"/>
      <c r="F842" s="55"/>
      <c r="G842" s="55"/>
      <c r="H842" s="193"/>
    </row>
    <row r="843" ht="14.25" customHeight="1">
      <c r="B843" s="19"/>
      <c r="C843" s="195"/>
      <c r="D843" s="220"/>
      <c r="E843" s="220"/>
      <c r="F843" s="55"/>
      <c r="G843" s="55"/>
      <c r="H843" s="193"/>
    </row>
    <row r="844" ht="14.25" customHeight="1">
      <c r="B844" s="19"/>
      <c r="C844" s="195"/>
      <c r="D844" s="220"/>
      <c r="E844" s="220"/>
      <c r="F844" s="55"/>
      <c r="G844" s="55"/>
      <c r="H844" s="193"/>
    </row>
    <row r="845" ht="14.25" customHeight="1">
      <c r="B845" s="19"/>
      <c r="C845" s="195"/>
      <c r="D845" s="220"/>
      <c r="E845" s="220"/>
      <c r="F845" s="55"/>
      <c r="G845" s="55"/>
      <c r="H845" s="193"/>
    </row>
    <row r="846" ht="14.25" customHeight="1">
      <c r="B846" s="19"/>
      <c r="C846" s="195"/>
      <c r="D846" s="220"/>
      <c r="E846" s="220"/>
      <c r="F846" s="55"/>
      <c r="G846" s="55"/>
      <c r="H846" s="193"/>
    </row>
    <row r="847" ht="14.25" customHeight="1">
      <c r="B847" s="19"/>
      <c r="C847" s="195"/>
      <c r="D847" s="220"/>
      <c r="E847" s="220"/>
      <c r="F847" s="55"/>
      <c r="G847" s="55"/>
      <c r="H847" s="193"/>
    </row>
    <row r="848" ht="14.25" customHeight="1">
      <c r="B848" s="19"/>
      <c r="C848" s="195"/>
      <c r="D848" s="220"/>
      <c r="E848" s="220"/>
      <c r="F848" s="55"/>
      <c r="G848" s="55"/>
      <c r="H848" s="193"/>
    </row>
    <row r="849" ht="14.25" customHeight="1">
      <c r="B849" s="19"/>
      <c r="C849" s="195"/>
      <c r="D849" s="220"/>
      <c r="E849" s="220"/>
      <c r="F849" s="55"/>
      <c r="G849" s="55"/>
      <c r="H849" s="193"/>
    </row>
    <row r="850" ht="14.25" customHeight="1">
      <c r="B850" s="19"/>
      <c r="C850" s="195"/>
      <c r="D850" s="220"/>
      <c r="E850" s="220"/>
      <c r="F850" s="55"/>
      <c r="G850" s="55"/>
      <c r="H850" s="193"/>
    </row>
    <row r="851" ht="14.25" customHeight="1">
      <c r="B851" s="19"/>
      <c r="C851" s="195"/>
      <c r="D851" s="220"/>
      <c r="E851" s="220"/>
      <c r="F851" s="55"/>
      <c r="G851" s="55"/>
      <c r="H851" s="193"/>
    </row>
    <row r="852" ht="14.25" customHeight="1">
      <c r="B852" s="19"/>
      <c r="C852" s="195"/>
      <c r="D852" s="220"/>
      <c r="E852" s="220"/>
      <c r="F852" s="55"/>
      <c r="G852" s="55"/>
      <c r="H852" s="193"/>
    </row>
    <row r="853" ht="14.25" customHeight="1">
      <c r="B853" s="19"/>
      <c r="C853" s="195"/>
      <c r="D853" s="220"/>
      <c r="E853" s="220"/>
      <c r="F853" s="55"/>
      <c r="G853" s="55"/>
      <c r="H853" s="193"/>
    </row>
    <row r="854" ht="14.25" customHeight="1">
      <c r="B854" s="19"/>
      <c r="C854" s="195"/>
      <c r="D854" s="220"/>
      <c r="E854" s="220"/>
      <c r="F854" s="55"/>
      <c r="G854" s="55"/>
      <c r="H854" s="193"/>
    </row>
    <row r="855" ht="14.25" customHeight="1">
      <c r="B855" s="19"/>
      <c r="C855" s="195"/>
      <c r="D855" s="220"/>
      <c r="E855" s="220"/>
      <c r="F855" s="55"/>
      <c r="G855" s="55"/>
      <c r="H855" s="193"/>
    </row>
    <row r="856" ht="14.25" customHeight="1">
      <c r="B856" s="19"/>
      <c r="C856" s="195"/>
      <c r="D856" s="220"/>
      <c r="E856" s="220"/>
      <c r="F856" s="55"/>
      <c r="G856" s="55"/>
      <c r="H856" s="193"/>
    </row>
    <row r="857" ht="14.25" customHeight="1">
      <c r="B857" s="19"/>
      <c r="C857" s="195"/>
      <c r="D857" s="220"/>
      <c r="E857" s="220"/>
      <c r="F857" s="55"/>
      <c r="G857" s="55"/>
      <c r="H857" s="193"/>
    </row>
    <row r="858" ht="14.25" customHeight="1">
      <c r="B858" s="19"/>
      <c r="C858" s="195"/>
      <c r="D858" s="220"/>
      <c r="E858" s="220"/>
      <c r="F858" s="55"/>
      <c r="G858" s="55"/>
      <c r="H858" s="193"/>
    </row>
    <row r="859" ht="14.25" customHeight="1">
      <c r="B859" s="19"/>
      <c r="C859" s="195"/>
      <c r="D859" s="220"/>
      <c r="E859" s="220"/>
      <c r="F859" s="55"/>
      <c r="G859" s="55"/>
      <c r="H859" s="193"/>
    </row>
    <row r="860" ht="14.25" customHeight="1">
      <c r="B860" s="19"/>
      <c r="C860" s="195"/>
      <c r="D860" s="220"/>
      <c r="E860" s="220"/>
      <c r="F860" s="55"/>
      <c r="G860" s="55"/>
      <c r="H860" s="193"/>
    </row>
    <row r="861" ht="14.25" customHeight="1">
      <c r="B861" s="19"/>
      <c r="C861" s="195"/>
      <c r="D861" s="220"/>
      <c r="E861" s="220"/>
      <c r="F861" s="55"/>
      <c r="G861" s="55"/>
      <c r="H861" s="193"/>
    </row>
    <row r="862" ht="14.25" customHeight="1">
      <c r="B862" s="19"/>
      <c r="C862" s="195"/>
      <c r="D862" s="220"/>
      <c r="E862" s="220"/>
      <c r="F862" s="55"/>
      <c r="G862" s="55"/>
      <c r="H862" s="193"/>
    </row>
    <row r="863" ht="14.25" customHeight="1">
      <c r="B863" s="19"/>
      <c r="C863" s="195"/>
      <c r="D863" s="220"/>
      <c r="E863" s="220"/>
      <c r="F863" s="55"/>
      <c r="G863" s="55"/>
      <c r="H863" s="193"/>
    </row>
    <row r="864" ht="14.25" customHeight="1">
      <c r="B864" s="19"/>
      <c r="C864" s="195"/>
      <c r="D864" s="220"/>
      <c r="E864" s="220"/>
      <c r="F864" s="55"/>
      <c r="G864" s="55"/>
      <c r="H864" s="193"/>
    </row>
    <row r="865" ht="14.25" customHeight="1">
      <c r="B865" s="19"/>
      <c r="C865" s="195"/>
      <c r="D865" s="220"/>
      <c r="E865" s="220"/>
      <c r="F865" s="55"/>
      <c r="G865" s="55"/>
      <c r="H865" s="193"/>
    </row>
    <row r="866" ht="14.25" customHeight="1">
      <c r="B866" s="19"/>
      <c r="C866" s="195"/>
      <c r="D866" s="220"/>
      <c r="E866" s="220"/>
      <c r="F866" s="55"/>
      <c r="G866" s="55"/>
      <c r="H866" s="193"/>
    </row>
    <row r="867" ht="14.25" customHeight="1">
      <c r="B867" s="19"/>
      <c r="C867" s="195"/>
      <c r="D867" s="220"/>
      <c r="E867" s="220"/>
      <c r="F867" s="55"/>
      <c r="G867" s="55"/>
      <c r="H867" s="193"/>
    </row>
    <row r="868" ht="14.25" customHeight="1">
      <c r="B868" s="19"/>
      <c r="C868" s="195"/>
      <c r="D868" s="220"/>
      <c r="E868" s="220"/>
      <c r="F868" s="55"/>
      <c r="G868" s="55"/>
      <c r="H868" s="193"/>
    </row>
    <row r="869" ht="14.25" customHeight="1">
      <c r="B869" s="19"/>
      <c r="C869" s="195"/>
      <c r="D869" s="220"/>
      <c r="E869" s="220"/>
      <c r="F869" s="55"/>
      <c r="G869" s="55"/>
      <c r="H869" s="193"/>
    </row>
    <row r="870" ht="14.25" customHeight="1">
      <c r="B870" s="19"/>
      <c r="C870" s="195"/>
      <c r="D870" s="220"/>
      <c r="E870" s="220"/>
      <c r="F870" s="55"/>
      <c r="G870" s="55"/>
      <c r="H870" s="193"/>
    </row>
    <row r="871" ht="14.25" customHeight="1">
      <c r="B871" s="19"/>
      <c r="C871" s="195"/>
      <c r="D871" s="220"/>
      <c r="E871" s="220"/>
      <c r="F871" s="55"/>
      <c r="G871" s="55"/>
      <c r="H871" s="193"/>
    </row>
    <row r="872" ht="14.25" customHeight="1">
      <c r="B872" s="19"/>
      <c r="C872" s="195"/>
      <c r="D872" s="220"/>
      <c r="E872" s="220"/>
      <c r="F872" s="55"/>
      <c r="G872" s="55"/>
      <c r="H872" s="193"/>
    </row>
    <row r="873" ht="14.25" customHeight="1">
      <c r="B873" s="19"/>
      <c r="C873" s="195"/>
      <c r="D873" s="220"/>
      <c r="E873" s="220"/>
      <c r="F873" s="55"/>
      <c r="G873" s="55"/>
      <c r="H873" s="193"/>
    </row>
    <row r="874" ht="14.25" customHeight="1">
      <c r="B874" s="19"/>
      <c r="C874" s="195"/>
      <c r="D874" s="220"/>
      <c r="E874" s="220"/>
      <c r="F874" s="55"/>
      <c r="G874" s="55"/>
      <c r="H874" s="193"/>
    </row>
    <row r="875" ht="14.25" customHeight="1">
      <c r="B875" s="19"/>
      <c r="C875" s="195"/>
      <c r="D875" s="220"/>
      <c r="E875" s="220"/>
      <c r="F875" s="55"/>
      <c r="G875" s="55"/>
      <c r="H875" s="193"/>
    </row>
    <row r="876" ht="14.25" customHeight="1">
      <c r="B876" s="19"/>
      <c r="C876" s="195"/>
      <c r="D876" s="220"/>
      <c r="E876" s="220"/>
      <c r="F876" s="55"/>
      <c r="G876" s="55"/>
      <c r="H876" s="193"/>
    </row>
    <row r="877" ht="14.25" customHeight="1">
      <c r="B877" s="19"/>
      <c r="C877" s="195"/>
      <c r="D877" s="220"/>
      <c r="E877" s="220"/>
      <c r="F877" s="55"/>
      <c r="G877" s="55"/>
      <c r="H877" s="193"/>
    </row>
    <row r="878" ht="14.25" customHeight="1">
      <c r="B878" s="19"/>
      <c r="C878" s="195"/>
      <c r="D878" s="220"/>
      <c r="E878" s="220"/>
      <c r="F878" s="55"/>
      <c r="G878" s="55"/>
      <c r="H878" s="193"/>
    </row>
    <row r="879" ht="14.25" customHeight="1">
      <c r="B879" s="19"/>
      <c r="C879" s="195"/>
      <c r="D879" s="220"/>
      <c r="E879" s="220"/>
      <c r="F879" s="55"/>
      <c r="G879" s="55"/>
      <c r="H879" s="193"/>
    </row>
    <row r="880" ht="14.25" customHeight="1">
      <c r="B880" s="19"/>
      <c r="C880" s="195"/>
      <c r="D880" s="220"/>
      <c r="E880" s="220"/>
      <c r="F880" s="55"/>
      <c r="G880" s="55"/>
      <c r="H880" s="193"/>
    </row>
    <row r="881" ht="14.25" customHeight="1">
      <c r="B881" s="19"/>
      <c r="C881" s="195"/>
      <c r="D881" s="220"/>
      <c r="E881" s="220"/>
      <c r="F881" s="55"/>
      <c r="G881" s="55"/>
      <c r="H881" s="193"/>
    </row>
    <row r="882" ht="14.25" customHeight="1">
      <c r="B882" s="19"/>
      <c r="C882" s="195"/>
      <c r="D882" s="220"/>
      <c r="E882" s="220"/>
      <c r="F882" s="55"/>
      <c r="G882" s="55"/>
      <c r="H882" s="193"/>
    </row>
    <row r="883" ht="14.25" customHeight="1">
      <c r="B883" s="19"/>
      <c r="C883" s="195"/>
      <c r="D883" s="220"/>
      <c r="E883" s="220"/>
      <c r="F883" s="55"/>
      <c r="G883" s="55"/>
      <c r="H883" s="193"/>
    </row>
    <row r="884" ht="14.25" customHeight="1">
      <c r="B884" s="19"/>
      <c r="C884" s="195"/>
      <c r="D884" s="220"/>
      <c r="E884" s="220"/>
      <c r="F884" s="55"/>
      <c r="G884" s="55"/>
      <c r="H884" s="193"/>
    </row>
    <row r="885" ht="14.25" customHeight="1">
      <c r="B885" s="19"/>
      <c r="C885" s="195"/>
      <c r="D885" s="220"/>
      <c r="E885" s="220"/>
      <c r="F885" s="55"/>
      <c r="G885" s="55"/>
      <c r="H885" s="193"/>
    </row>
    <row r="886" ht="14.25" customHeight="1">
      <c r="B886" s="19"/>
      <c r="C886" s="195"/>
      <c r="D886" s="220"/>
      <c r="E886" s="220"/>
      <c r="F886" s="55"/>
      <c r="G886" s="55"/>
      <c r="H886" s="193"/>
    </row>
    <row r="887" ht="14.25" customHeight="1">
      <c r="B887" s="19"/>
      <c r="C887" s="195"/>
      <c r="D887" s="220"/>
      <c r="E887" s="220"/>
      <c r="F887" s="55"/>
      <c r="G887" s="55"/>
      <c r="H887" s="193"/>
    </row>
    <row r="888" ht="14.25" customHeight="1">
      <c r="B888" s="19"/>
      <c r="C888" s="195"/>
      <c r="D888" s="220"/>
      <c r="E888" s="220"/>
      <c r="F888" s="55"/>
      <c r="G888" s="55"/>
      <c r="H888" s="193"/>
    </row>
    <row r="889" ht="14.25" customHeight="1">
      <c r="B889" s="19"/>
      <c r="C889" s="195"/>
      <c r="D889" s="220"/>
      <c r="E889" s="220"/>
      <c r="F889" s="55"/>
      <c r="G889" s="55"/>
      <c r="H889" s="193"/>
    </row>
    <row r="890" ht="14.25" customHeight="1">
      <c r="B890" s="19"/>
      <c r="C890" s="195"/>
      <c r="D890" s="220"/>
      <c r="E890" s="220"/>
      <c r="F890" s="55"/>
      <c r="G890" s="55"/>
      <c r="H890" s="193"/>
    </row>
    <row r="891" ht="14.25" customHeight="1">
      <c r="B891" s="19"/>
      <c r="C891" s="195"/>
      <c r="D891" s="220"/>
      <c r="E891" s="220"/>
      <c r="F891" s="55"/>
      <c r="G891" s="55"/>
      <c r="H891" s="193"/>
    </row>
    <row r="892" ht="14.25" customHeight="1">
      <c r="B892" s="19"/>
      <c r="C892" s="195"/>
      <c r="D892" s="220"/>
      <c r="E892" s="220"/>
      <c r="F892" s="55"/>
      <c r="G892" s="55"/>
      <c r="H892" s="193"/>
    </row>
    <row r="893" ht="14.25" customHeight="1">
      <c r="B893" s="19"/>
      <c r="C893" s="195"/>
      <c r="D893" s="220"/>
      <c r="E893" s="220"/>
      <c r="F893" s="55"/>
      <c r="G893" s="55"/>
      <c r="H893" s="193"/>
    </row>
    <row r="894" ht="14.25" customHeight="1">
      <c r="B894" s="19"/>
      <c r="C894" s="195"/>
      <c r="D894" s="220"/>
      <c r="E894" s="220"/>
      <c r="F894" s="55"/>
      <c r="G894" s="55"/>
      <c r="H894" s="193"/>
    </row>
    <row r="895" ht="14.25" customHeight="1">
      <c r="B895" s="19"/>
      <c r="C895" s="195"/>
      <c r="D895" s="220"/>
      <c r="E895" s="220"/>
      <c r="F895" s="55"/>
      <c r="G895" s="55"/>
      <c r="H895" s="193"/>
    </row>
    <row r="896" ht="14.25" customHeight="1">
      <c r="B896" s="19"/>
      <c r="C896" s="195"/>
      <c r="D896" s="220"/>
      <c r="E896" s="220"/>
      <c r="F896" s="55"/>
      <c r="G896" s="55"/>
      <c r="H896" s="193"/>
    </row>
    <row r="897" ht="14.25" customHeight="1">
      <c r="B897" s="19"/>
      <c r="C897" s="195"/>
      <c r="D897" s="220"/>
      <c r="E897" s="220"/>
      <c r="F897" s="55"/>
      <c r="G897" s="55"/>
      <c r="H897" s="193"/>
    </row>
    <row r="898" ht="14.25" customHeight="1">
      <c r="B898" s="19"/>
      <c r="C898" s="195"/>
      <c r="D898" s="220"/>
      <c r="E898" s="220"/>
      <c r="F898" s="55"/>
      <c r="G898" s="55"/>
      <c r="H898" s="193"/>
    </row>
    <row r="899" ht="14.25" customHeight="1">
      <c r="B899" s="19"/>
      <c r="C899" s="195"/>
      <c r="D899" s="220"/>
      <c r="E899" s="220"/>
      <c r="F899" s="55"/>
      <c r="G899" s="55"/>
      <c r="H899" s="193"/>
    </row>
    <row r="900" ht="14.25" customHeight="1">
      <c r="B900" s="19"/>
      <c r="C900" s="195"/>
      <c r="D900" s="220"/>
      <c r="E900" s="220"/>
      <c r="F900" s="55"/>
      <c r="G900" s="55"/>
      <c r="H900" s="193"/>
    </row>
    <row r="901" ht="14.25" customHeight="1">
      <c r="B901" s="19"/>
      <c r="C901" s="195"/>
      <c r="D901" s="220"/>
      <c r="E901" s="220"/>
      <c r="F901" s="55"/>
      <c r="G901" s="55"/>
      <c r="H901" s="193"/>
    </row>
    <row r="902" ht="14.25" customHeight="1">
      <c r="B902" s="19"/>
      <c r="C902" s="195"/>
      <c r="D902" s="220"/>
      <c r="E902" s="220"/>
      <c r="F902" s="55"/>
      <c r="G902" s="55"/>
      <c r="H902" s="193"/>
    </row>
    <row r="903" ht="14.25" customHeight="1">
      <c r="B903" s="19"/>
      <c r="C903" s="195"/>
      <c r="D903" s="220"/>
      <c r="E903" s="220"/>
      <c r="F903" s="55"/>
      <c r="G903" s="55"/>
      <c r="H903" s="193"/>
    </row>
    <row r="904" ht="14.25" customHeight="1">
      <c r="B904" s="19"/>
      <c r="C904" s="195"/>
      <c r="D904" s="220"/>
      <c r="E904" s="220"/>
      <c r="F904" s="55"/>
      <c r="G904" s="55"/>
      <c r="H904" s="193"/>
    </row>
    <row r="905" ht="14.25" customHeight="1">
      <c r="B905" s="19"/>
      <c r="C905" s="195"/>
      <c r="D905" s="220"/>
      <c r="E905" s="220"/>
      <c r="F905" s="55"/>
      <c r="G905" s="55"/>
      <c r="H905" s="193"/>
    </row>
    <row r="906" ht="14.25" customHeight="1">
      <c r="B906" s="19"/>
      <c r="C906" s="195"/>
      <c r="D906" s="220"/>
      <c r="E906" s="220"/>
      <c r="F906" s="55"/>
      <c r="G906" s="55"/>
      <c r="H906" s="193"/>
    </row>
    <row r="907" ht="14.25" customHeight="1">
      <c r="B907" s="19"/>
      <c r="C907" s="195"/>
      <c r="D907" s="220"/>
      <c r="E907" s="220"/>
      <c r="F907" s="55"/>
      <c r="G907" s="55"/>
      <c r="H907" s="193"/>
    </row>
    <row r="908" ht="14.25" customHeight="1">
      <c r="B908" s="19"/>
      <c r="C908" s="195"/>
      <c r="D908" s="220"/>
      <c r="E908" s="220"/>
      <c r="F908" s="55"/>
      <c r="G908" s="55"/>
      <c r="H908" s="193"/>
    </row>
    <row r="909" ht="14.25" customHeight="1">
      <c r="B909" s="19"/>
      <c r="C909" s="195"/>
      <c r="D909" s="220"/>
      <c r="E909" s="220"/>
      <c r="F909" s="55"/>
      <c r="G909" s="55"/>
      <c r="H909" s="193"/>
    </row>
    <row r="910" ht="14.25" customHeight="1">
      <c r="B910" s="19"/>
      <c r="C910" s="195"/>
      <c r="D910" s="220"/>
      <c r="E910" s="220"/>
      <c r="F910" s="55"/>
      <c r="G910" s="55"/>
      <c r="H910" s="193"/>
    </row>
    <row r="911" ht="14.25" customHeight="1">
      <c r="B911" s="19"/>
      <c r="C911" s="195"/>
      <c r="D911" s="220"/>
      <c r="E911" s="220"/>
      <c r="F911" s="55"/>
      <c r="G911" s="55"/>
      <c r="H911" s="193"/>
    </row>
    <row r="912" ht="14.25" customHeight="1">
      <c r="B912" s="19"/>
      <c r="C912" s="195"/>
      <c r="D912" s="220"/>
      <c r="E912" s="220"/>
      <c r="F912" s="55"/>
      <c r="G912" s="55"/>
      <c r="H912" s="193"/>
    </row>
    <row r="913" ht="14.25" customHeight="1">
      <c r="B913" s="19"/>
      <c r="C913" s="195"/>
      <c r="D913" s="220"/>
      <c r="E913" s="220"/>
      <c r="F913" s="55"/>
      <c r="G913" s="55"/>
      <c r="H913" s="193"/>
    </row>
    <row r="914" ht="14.25" customHeight="1">
      <c r="B914" s="19"/>
      <c r="C914" s="195"/>
      <c r="D914" s="220"/>
      <c r="E914" s="220"/>
      <c r="F914" s="55"/>
      <c r="G914" s="55"/>
      <c r="H914" s="193"/>
    </row>
    <row r="915" ht="14.25" customHeight="1">
      <c r="B915" s="19"/>
      <c r="C915" s="195"/>
      <c r="D915" s="220"/>
      <c r="E915" s="220"/>
      <c r="F915" s="55"/>
      <c r="G915" s="55"/>
      <c r="H915" s="193"/>
    </row>
    <row r="916" ht="14.25" customHeight="1">
      <c r="B916" s="19"/>
      <c r="C916" s="195"/>
      <c r="D916" s="220"/>
      <c r="E916" s="220"/>
      <c r="F916" s="55"/>
      <c r="G916" s="55"/>
      <c r="H916" s="193"/>
    </row>
    <row r="917" ht="14.25" customHeight="1">
      <c r="B917" s="19"/>
      <c r="C917" s="195"/>
      <c r="D917" s="220"/>
      <c r="E917" s="220"/>
      <c r="F917" s="55"/>
      <c r="G917" s="55"/>
      <c r="H917" s="193"/>
    </row>
    <row r="918" ht="14.25" customHeight="1">
      <c r="B918" s="19"/>
      <c r="C918" s="195"/>
      <c r="D918" s="220"/>
      <c r="E918" s="220"/>
      <c r="F918" s="55"/>
      <c r="G918" s="55"/>
      <c r="H918" s="193"/>
    </row>
    <row r="919" ht="14.25" customHeight="1">
      <c r="B919" s="19"/>
      <c r="C919" s="195"/>
      <c r="D919" s="220"/>
      <c r="E919" s="220"/>
      <c r="F919" s="55"/>
      <c r="G919" s="55"/>
      <c r="H919" s="193"/>
    </row>
    <row r="920" ht="14.25" customHeight="1">
      <c r="B920" s="19"/>
      <c r="C920" s="195"/>
      <c r="D920" s="220"/>
      <c r="E920" s="220"/>
      <c r="F920" s="55"/>
      <c r="G920" s="55"/>
      <c r="H920" s="193"/>
    </row>
    <row r="921" ht="14.25" customHeight="1">
      <c r="B921" s="19"/>
      <c r="C921" s="195"/>
      <c r="D921" s="220"/>
      <c r="E921" s="220"/>
      <c r="F921" s="55"/>
      <c r="G921" s="55"/>
      <c r="H921" s="193"/>
    </row>
    <row r="922" ht="14.25" customHeight="1">
      <c r="B922" s="19"/>
      <c r="C922" s="195"/>
      <c r="D922" s="220"/>
      <c r="E922" s="220"/>
      <c r="F922" s="55"/>
      <c r="G922" s="55"/>
      <c r="H922" s="193"/>
    </row>
    <row r="923" ht="14.25" customHeight="1">
      <c r="B923" s="19"/>
      <c r="C923" s="195"/>
      <c r="D923" s="220"/>
      <c r="E923" s="220"/>
      <c r="F923" s="55"/>
      <c r="G923" s="55"/>
      <c r="H923" s="193"/>
    </row>
    <row r="924" ht="14.25" customHeight="1">
      <c r="B924" s="19"/>
      <c r="C924" s="195"/>
      <c r="D924" s="220"/>
      <c r="E924" s="220"/>
      <c r="F924" s="55"/>
      <c r="G924" s="55"/>
      <c r="H924" s="193"/>
    </row>
    <row r="925" ht="14.25" customHeight="1">
      <c r="B925" s="19"/>
      <c r="C925" s="195"/>
      <c r="D925" s="220"/>
      <c r="E925" s="220"/>
      <c r="F925" s="55"/>
      <c r="G925" s="55"/>
      <c r="H925" s="193"/>
    </row>
    <row r="926" ht="14.25" customHeight="1">
      <c r="B926" s="19"/>
      <c r="C926" s="195"/>
      <c r="D926" s="220"/>
      <c r="E926" s="220"/>
      <c r="F926" s="55"/>
      <c r="G926" s="55"/>
      <c r="H926" s="193"/>
    </row>
    <row r="927" ht="14.25" customHeight="1">
      <c r="B927" s="19"/>
      <c r="C927" s="195"/>
      <c r="D927" s="220"/>
      <c r="E927" s="220"/>
      <c r="F927" s="55"/>
      <c r="G927" s="55"/>
      <c r="H927" s="193"/>
    </row>
    <row r="928" ht="14.25" customHeight="1">
      <c r="B928" s="19"/>
      <c r="C928" s="195"/>
      <c r="D928" s="220"/>
      <c r="E928" s="220"/>
      <c r="F928" s="55"/>
      <c r="G928" s="55"/>
      <c r="H928" s="193"/>
    </row>
    <row r="929" ht="14.25" customHeight="1">
      <c r="B929" s="19"/>
      <c r="C929" s="195"/>
      <c r="D929" s="220"/>
      <c r="E929" s="220"/>
      <c r="F929" s="55"/>
      <c r="G929" s="55"/>
      <c r="H929" s="193"/>
    </row>
    <row r="930" ht="14.25" customHeight="1">
      <c r="B930" s="19"/>
      <c r="C930" s="195"/>
      <c r="D930" s="220"/>
      <c r="E930" s="220"/>
      <c r="F930" s="55"/>
      <c r="G930" s="55"/>
      <c r="H930" s="193"/>
    </row>
    <row r="931" ht="14.25" customHeight="1">
      <c r="B931" s="19"/>
      <c r="C931" s="195"/>
      <c r="D931" s="220"/>
      <c r="E931" s="220"/>
      <c r="F931" s="55"/>
      <c r="G931" s="55"/>
      <c r="H931" s="193"/>
    </row>
    <row r="932" ht="14.25" customHeight="1">
      <c r="B932" s="19"/>
      <c r="C932" s="195"/>
      <c r="D932" s="220"/>
      <c r="E932" s="220"/>
      <c r="F932" s="55"/>
      <c r="G932" s="55"/>
      <c r="H932" s="193"/>
    </row>
    <row r="933" ht="14.25" customHeight="1">
      <c r="B933" s="19"/>
      <c r="C933" s="195"/>
      <c r="D933" s="220"/>
      <c r="E933" s="220"/>
      <c r="F933" s="55"/>
      <c r="G933" s="55"/>
      <c r="H933" s="193"/>
    </row>
    <row r="934" ht="14.25" customHeight="1">
      <c r="B934" s="19"/>
      <c r="C934" s="195"/>
      <c r="D934" s="220"/>
      <c r="E934" s="220"/>
      <c r="F934" s="55"/>
      <c r="G934" s="55"/>
      <c r="H934" s="193"/>
    </row>
    <row r="935" ht="14.25" customHeight="1">
      <c r="B935" s="19"/>
      <c r="C935" s="195"/>
      <c r="D935" s="220"/>
      <c r="E935" s="220"/>
      <c r="F935" s="55"/>
      <c r="G935" s="55"/>
      <c r="H935" s="193"/>
    </row>
    <row r="936" ht="14.25" customHeight="1">
      <c r="B936" s="19"/>
      <c r="C936" s="195"/>
      <c r="D936" s="220"/>
      <c r="E936" s="220"/>
      <c r="F936" s="55"/>
      <c r="G936" s="55"/>
      <c r="H936" s="193"/>
    </row>
    <row r="937" ht="14.25" customHeight="1">
      <c r="B937" s="19"/>
      <c r="C937" s="195"/>
      <c r="D937" s="220"/>
      <c r="E937" s="220"/>
      <c r="F937" s="55"/>
      <c r="G937" s="55"/>
      <c r="H937" s="193"/>
    </row>
    <row r="938" ht="14.25" customHeight="1">
      <c r="B938" s="19"/>
      <c r="C938" s="195"/>
      <c r="D938" s="220"/>
      <c r="E938" s="220"/>
      <c r="F938" s="55"/>
      <c r="G938" s="55"/>
      <c r="H938" s="193"/>
    </row>
    <row r="939" ht="14.25" customHeight="1">
      <c r="B939" s="19"/>
      <c r="C939" s="195"/>
      <c r="D939" s="220"/>
      <c r="E939" s="220"/>
      <c r="F939" s="55"/>
      <c r="G939" s="55"/>
      <c r="H939" s="193"/>
    </row>
    <row r="940" ht="14.25" customHeight="1">
      <c r="B940" s="19"/>
      <c r="C940" s="195"/>
      <c r="D940" s="220"/>
      <c r="E940" s="220"/>
      <c r="F940" s="55"/>
      <c r="G940" s="55"/>
      <c r="H940" s="193"/>
    </row>
    <row r="941" ht="14.25" customHeight="1">
      <c r="B941" s="19"/>
      <c r="C941" s="195"/>
      <c r="D941" s="220"/>
      <c r="E941" s="220"/>
      <c r="F941" s="55"/>
      <c r="G941" s="55"/>
      <c r="H941" s="193"/>
    </row>
    <row r="942" ht="14.25" customHeight="1">
      <c r="B942" s="19"/>
      <c r="C942" s="195"/>
      <c r="D942" s="220"/>
      <c r="E942" s="220"/>
      <c r="F942" s="55"/>
      <c r="G942" s="55"/>
      <c r="H942" s="193"/>
    </row>
    <row r="943" ht="14.25" customHeight="1">
      <c r="B943" s="19"/>
      <c r="C943" s="195"/>
      <c r="D943" s="220"/>
      <c r="E943" s="220"/>
      <c r="F943" s="55"/>
      <c r="G943" s="55"/>
      <c r="H943" s="193"/>
    </row>
    <row r="944" ht="14.25" customHeight="1">
      <c r="B944" s="19"/>
      <c r="C944" s="195"/>
      <c r="D944" s="220"/>
      <c r="E944" s="220"/>
      <c r="F944" s="55"/>
      <c r="G944" s="55"/>
      <c r="H944" s="193"/>
    </row>
    <row r="945" ht="14.25" customHeight="1">
      <c r="B945" s="19"/>
      <c r="C945" s="195"/>
      <c r="D945" s="220"/>
      <c r="E945" s="220"/>
      <c r="F945" s="55"/>
      <c r="G945" s="55"/>
      <c r="H945" s="193"/>
    </row>
    <row r="946" ht="14.25" customHeight="1">
      <c r="B946" s="19"/>
      <c r="C946" s="195"/>
      <c r="D946" s="220"/>
      <c r="E946" s="220"/>
      <c r="F946" s="55"/>
      <c r="G946" s="55"/>
      <c r="H946" s="193"/>
    </row>
    <row r="947" ht="14.25" customHeight="1">
      <c r="B947" s="19"/>
      <c r="C947" s="195"/>
      <c r="D947" s="220"/>
      <c r="E947" s="220"/>
      <c r="F947" s="55"/>
      <c r="G947" s="55"/>
      <c r="H947" s="193"/>
    </row>
    <row r="948" ht="14.25" customHeight="1">
      <c r="B948" s="19"/>
      <c r="C948" s="195"/>
      <c r="D948" s="220"/>
      <c r="E948" s="220"/>
      <c r="F948" s="55"/>
      <c r="G948" s="55"/>
      <c r="H948" s="193"/>
    </row>
    <row r="949" ht="14.25" customHeight="1">
      <c r="B949" s="19"/>
      <c r="C949" s="195"/>
      <c r="D949" s="220"/>
      <c r="E949" s="220"/>
      <c r="F949" s="55"/>
      <c r="G949" s="55"/>
      <c r="H949" s="193"/>
    </row>
    <row r="950" ht="14.25" customHeight="1">
      <c r="B950" s="19"/>
      <c r="C950" s="195"/>
      <c r="D950" s="220"/>
      <c r="E950" s="220"/>
      <c r="F950" s="55"/>
      <c r="G950" s="55"/>
      <c r="H950" s="193"/>
    </row>
    <row r="951" ht="14.25" customHeight="1">
      <c r="B951" s="19"/>
      <c r="C951" s="195"/>
      <c r="D951" s="220"/>
      <c r="E951" s="220"/>
      <c r="F951" s="55"/>
      <c r="G951" s="55"/>
      <c r="H951" s="193"/>
    </row>
    <row r="952" ht="14.25" customHeight="1">
      <c r="B952" s="19"/>
      <c r="C952" s="195"/>
      <c r="D952" s="220"/>
      <c r="E952" s="220"/>
      <c r="F952" s="55"/>
      <c r="G952" s="55"/>
      <c r="H952" s="193"/>
    </row>
    <row r="953" ht="14.25" customHeight="1">
      <c r="B953" s="19"/>
      <c r="C953" s="195"/>
      <c r="D953" s="220"/>
      <c r="E953" s="220"/>
      <c r="F953" s="55"/>
      <c r="G953" s="55"/>
      <c r="H953" s="193"/>
    </row>
    <row r="954" ht="14.25" customHeight="1">
      <c r="B954" s="19"/>
      <c r="C954" s="195"/>
      <c r="D954" s="220"/>
      <c r="E954" s="220"/>
      <c r="F954" s="55"/>
      <c r="G954" s="55"/>
      <c r="H954" s="193"/>
    </row>
    <row r="955" ht="14.25" customHeight="1">
      <c r="B955" s="19"/>
      <c r="C955" s="195"/>
      <c r="D955" s="220"/>
      <c r="E955" s="220"/>
      <c r="F955" s="55"/>
      <c r="G955" s="55"/>
      <c r="H955" s="193"/>
    </row>
    <row r="956" ht="14.25" customHeight="1">
      <c r="B956" s="19"/>
      <c r="C956" s="195"/>
      <c r="D956" s="220"/>
      <c r="E956" s="220"/>
      <c r="F956" s="55"/>
      <c r="G956" s="55"/>
      <c r="H956" s="193"/>
    </row>
    <row r="957" ht="14.25" customHeight="1">
      <c r="B957" s="19"/>
      <c r="C957" s="195"/>
      <c r="D957" s="220"/>
      <c r="E957" s="220"/>
      <c r="F957" s="55"/>
      <c r="G957" s="55"/>
      <c r="H957" s="193"/>
    </row>
    <row r="958" ht="14.25" customHeight="1">
      <c r="B958" s="19"/>
      <c r="C958" s="195"/>
      <c r="D958" s="220"/>
      <c r="E958" s="220"/>
      <c r="F958" s="55"/>
      <c r="G958" s="55"/>
      <c r="H958" s="193"/>
    </row>
    <row r="959" ht="14.25" customHeight="1">
      <c r="B959" s="19"/>
      <c r="C959" s="195"/>
      <c r="D959" s="220"/>
      <c r="E959" s="220"/>
      <c r="F959" s="55"/>
      <c r="G959" s="55"/>
      <c r="H959" s="193"/>
    </row>
    <row r="960" ht="14.25" customHeight="1">
      <c r="B960" s="19"/>
      <c r="C960" s="195"/>
      <c r="D960" s="220"/>
      <c r="E960" s="220"/>
      <c r="F960" s="55"/>
      <c r="G960" s="55"/>
      <c r="H960" s="193"/>
    </row>
    <row r="961" ht="14.25" customHeight="1">
      <c r="B961" s="19"/>
      <c r="C961" s="195"/>
      <c r="D961" s="220"/>
      <c r="E961" s="220"/>
      <c r="F961" s="55"/>
      <c r="G961" s="55"/>
      <c r="H961" s="193"/>
    </row>
    <row r="962" ht="14.25" customHeight="1">
      <c r="B962" s="19"/>
      <c r="C962" s="195"/>
      <c r="D962" s="220"/>
      <c r="E962" s="220"/>
      <c r="F962" s="55"/>
      <c r="G962" s="55"/>
      <c r="H962" s="193"/>
    </row>
    <row r="963" ht="14.25" customHeight="1">
      <c r="B963" s="19"/>
      <c r="C963" s="195"/>
      <c r="D963" s="220"/>
      <c r="E963" s="220"/>
      <c r="F963" s="55"/>
      <c r="G963" s="55"/>
      <c r="H963" s="193"/>
    </row>
    <row r="964" ht="14.25" customHeight="1">
      <c r="B964" s="19"/>
      <c r="C964" s="195"/>
      <c r="D964" s="220"/>
      <c r="E964" s="220"/>
      <c r="F964" s="55"/>
      <c r="G964" s="55"/>
      <c r="H964" s="193"/>
    </row>
    <row r="965" ht="14.25" customHeight="1">
      <c r="B965" s="19"/>
      <c r="C965" s="195"/>
      <c r="D965" s="220"/>
      <c r="E965" s="220"/>
      <c r="F965" s="55"/>
      <c r="G965" s="55"/>
      <c r="H965" s="193"/>
    </row>
    <row r="966" ht="14.25" customHeight="1">
      <c r="B966" s="19"/>
      <c r="C966" s="195"/>
      <c r="D966" s="220"/>
      <c r="E966" s="220"/>
      <c r="F966" s="55"/>
      <c r="G966" s="55"/>
      <c r="H966" s="193"/>
    </row>
    <row r="967" ht="14.25" customHeight="1">
      <c r="B967" s="19"/>
      <c r="C967" s="195"/>
      <c r="D967" s="220"/>
      <c r="E967" s="220"/>
      <c r="F967" s="55"/>
      <c r="G967" s="55"/>
      <c r="H967" s="193"/>
    </row>
    <row r="968" ht="14.25" customHeight="1">
      <c r="B968" s="19"/>
      <c r="C968" s="195"/>
      <c r="D968" s="220"/>
      <c r="E968" s="220"/>
      <c r="F968" s="55"/>
      <c r="G968" s="55"/>
      <c r="H968" s="193"/>
    </row>
    <row r="969" ht="14.25" customHeight="1">
      <c r="B969" s="19"/>
      <c r="C969" s="195"/>
      <c r="D969" s="220"/>
      <c r="E969" s="220"/>
      <c r="F969" s="55"/>
      <c r="G969" s="55"/>
      <c r="H969" s="193"/>
    </row>
    <row r="970" ht="14.25" customHeight="1">
      <c r="B970" s="19"/>
      <c r="C970" s="195"/>
      <c r="D970" s="220"/>
      <c r="E970" s="220"/>
      <c r="F970" s="55"/>
      <c r="G970" s="55"/>
      <c r="H970" s="193"/>
    </row>
    <row r="971" ht="14.25" customHeight="1">
      <c r="B971" s="19"/>
      <c r="C971" s="195"/>
      <c r="D971" s="220"/>
      <c r="E971" s="220"/>
      <c r="F971" s="55"/>
      <c r="G971" s="55"/>
      <c r="H971" s="193"/>
    </row>
    <row r="972" ht="14.25" customHeight="1">
      <c r="B972" s="19"/>
      <c r="C972" s="195"/>
      <c r="D972" s="220"/>
      <c r="E972" s="220"/>
      <c r="F972" s="55"/>
      <c r="G972" s="55"/>
      <c r="H972" s="193"/>
    </row>
    <row r="973" ht="14.25" customHeight="1">
      <c r="B973" s="19"/>
      <c r="C973" s="195"/>
      <c r="D973" s="220"/>
      <c r="E973" s="220"/>
      <c r="F973" s="55"/>
      <c r="G973" s="55"/>
      <c r="H973" s="193"/>
    </row>
    <row r="974" ht="14.25" customHeight="1">
      <c r="B974" s="19"/>
      <c r="C974" s="195"/>
      <c r="D974" s="220"/>
      <c r="E974" s="220"/>
      <c r="F974" s="55"/>
      <c r="G974" s="55"/>
      <c r="H974" s="193"/>
    </row>
    <row r="975" ht="14.25" customHeight="1">
      <c r="B975" s="19"/>
      <c r="C975" s="195"/>
      <c r="D975" s="220"/>
      <c r="E975" s="220"/>
      <c r="F975" s="55"/>
      <c r="G975" s="55"/>
      <c r="H975" s="193"/>
    </row>
    <row r="976" ht="14.25" customHeight="1">
      <c r="B976" s="19"/>
      <c r="C976" s="195"/>
      <c r="D976" s="220"/>
      <c r="E976" s="220"/>
      <c r="F976" s="55"/>
      <c r="G976" s="55"/>
      <c r="H976" s="193"/>
    </row>
    <row r="977" ht="14.25" customHeight="1">
      <c r="B977" s="19"/>
      <c r="C977" s="195"/>
      <c r="D977" s="220"/>
      <c r="E977" s="220"/>
      <c r="F977" s="55"/>
      <c r="G977" s="55"/>
      <c r="H977" s="193"/>
    </row>
    <row r="978" ht="14.25" customHeight="1">
      <c r="B978" s="19"/>
      <c r="C978" s="195"/>
      <c r="D978" s="220"/>
      <c r="E978" s="220"/>
      <c r="F978" s="55"/>
      <c r="G978" s="55"/>
      <c r="H978" s="193"/>
    </row>
    <row r="979" ht="14.25" customHeight="1">
      <c r="B979" s="19"/>
      <c r="C979" s="195"/>
      <c r="D979" s="220"/>
      <c r="E979" s="220"/>
      <c r="F979" s="55"/>
      <c r="G979" s="55"/>
      <c r="H979" s="193"/>
    </row>
    <row r="980" ht="14.25" customHeight="1">
      <c r="B980" s="19"/>
      <c r="C980" s="195"/>
      <c r="D980" s="220"/>
      <c r="E980" s="220"/>
      <c r="F980" s="55"/>
      <c r="G980" s="55"/>
      <c r="H980" s="193"/>
    </row>
    <row r="981" ht="14.25" customHeight="1">
      <c r="B981" s="19"/>
      <c r="C981" s="195"/>
      <c r="D981" s="220"/>
      <c r="E981" s="220"/>
      <c r="F981" s="55"/>
      <c r="G981" s="55"/>
      <c r="H981" s="193"/>
    </row>
    <row r="982" ht="14.25" customHeight="1">
      <c r="B982" s="19"/>
      <c r="C982" s="195"/>
      <c r="D982" s="220"/>
      <c r="E982" s="220"/>
      <c r="F982" s="55"/>
      <c r="G982" s="55"/>
      <c r="H982" s="193"/>
    </row>
    <row r="983" ht="14.25" customHeight="1">
      <c r="B983" s="19"/>
      <c r="C983" s="195"/>
      <c r="D983" s="220"/>
      <c r="E983" s="220"/>
      <c r="F983" s="55"/>
      <c r="G983" s="55"/>
      <c r="H983" s="193"/>
    </row>
    <row r="984" ht="14.25" customHeight="1">
      <c r="B984" s="19"/>
      <c r="C984" s="195"/>
      <c r="D984" s="220"/>
      <c r="E984" s="220"/>
      <c r="F984" s="55"/>
      <c r="G984" s="55"/>
      <c r="H984" s="193"/>
    </row>
    <row r="985" ht="14.25" customHeight="1">
      <c r="B985" s="19"/>
      <c r="C985" s="195"/>
      <c r="D985" s="220"/>
      <c r="E985" s="220"/>
      <c r="F985" s="55"/>
      <c r="G985" s="55"/>
      <c r="H985" s="193"/>
    </row>
    <row r="986" ht="14.25" customHeight="1">
      <c r="B986" s="19"/>
      <c r="C986" s="195"/>
      <c r="D986" s="220"/>
      <c r="E986" s="220"/>
      <c r="F986" s="55"/>
      <c r="G986" s="55"/>
      <c r="H986" s="193"/>
    </row>
    <row r="987" ht="14.25" customHeight="1">
      <c r="B987" s="19"/>
      <c r="C987" s="195"/>
      <c r="D987" s="220"/>
      <c r="E987" s="220"/>
      <c r="F987" s="55"/>
      <c r="G987" s="55"/>
      <c r="H987" s="193"/>
    </row>
    <row r="988" ht="14.25" customHeight="1">
      <c r="B988" s="19"/>
      <c r="C988" s="195"/>
      <c r="D988" s="220"/>
      <c r="E988" s="220"/>
      <c r="F988" s="55"/>
      <c r="G988" s="55"/>
      <c r="H988" s="193"/>
    </row>
    <row r="989" ht="14.25" customHeight="1">
      <c r="B989" s="19"/>
      <c r="C989" s="195"/>
      <c r="D989" s="220"/>
      <c r="E989" s="220"/>
      <c r="F989" s="55"/>
      <c r="G989" s="55"/>
      <c r="H989" s="193"/>
    </row>
    <row r="990" ht="14.25" customHeight="1">
      <c r="B990" s="19"/>
      <c r="C990" s="195"/>
      <c r="D990" s="220"/>
      <c r="E990" s="220"/>
      <c r="F990" s="55"/>
      <c r="G990" s="55"/>
      <c r="H990" s="193"/>
    </row>
    <row r="991" ht="14.25" customHeight="1">
      <c r="B991" s="19"/>
      <c r="C991" s="195"/>
      <c r="D991" s="220"/>
      <c r="E991" s="220"/>
      <c r="F991" s="55"/>
      <c r="G991" s="55"/>
      <c r="H991" s="193"/>
    </row>
    <row r="992" ht="14.25" customHeight="1">
      <c r="B992" s="19"/>
      <c r="C992" s="195"/>
      <c r="D992" s="220"/>
      <c r="E992" s="220"/>
      <c r="F992" s="55"/>
      <c r="G992" s="55"/>
      <c r="H992" s="193"/>
    </row>
    <row r="993" ht="14.25" customHeight="1">
      <c r="B993" s="19"/>
      <c r="C993" s="195"/>
      <c r="D993" s="220"/>
      <c r="E993" s="220"/>
      <c r="F993" s="55"/>
      <c r="G993" s="55"/>
      <c r="H993" s="193"/>
    </row>
    <row r="994" ht="14.25" customHeight="1">
      <c r="B994" s="19"/>
      <c r="C994" s="195"/>
      <c r="D994" s="220"/>
      <c r="E994" s="220"/>
      <c r="F994" s="55"/>
      <c r="G994" s="55"/>
      <c r="H994" s="193"/>
    </row>
    <row r="995" ht="14.25" customHeight="1">
      <c r="B995" s="19"/>
      <c r="C995" s="195"/>
      <c r="D995" s="220"/>
      <c r="E995" s="220"/>
      <c r="F995" s="55"/>
      <c r="G995" s="55"/>
      <c r="H995" s="193"/>
    </row>
    <row r="996" ht="14.25" customHeight="1">
      <c r="B996" s="19"/>
      <c r="C996" s="195"/>
      <c r="D996" s="220"/>
      <c r="E996" s="220"/>
      <c r="F996" s="55"/>
      <c r="G996" s="55"/>
      <c r="H996" s="193"/>
    </row>
    <row r="997" ht="14.25" customHeight="1">
      <c r="B997" s="19"/>
      <c r="C997" s="195"/>
      <c r="D997" s="220"/>
      <c r="E997" s="220"/>
      <c r="F997" s="55"/>
      <c r="G997" s="55"/>
      <c r="H997" s="193"/>
    </row>
    <row r="998" ht="14.25" customHeight="1">
      <c r="B998" s="19"/>
      <c r="C998" s="195"/>
      <c r="D998" s="220"/>
      <c r="E998" s="220"/>
      <c r="F998" s="55"/>
      <c r="G998" s="55"/>
      <c r="H998" s="193"/>
    </row>
    <row r="999" ht="14.25" customHeight="1">
      <c r="B999" s="19"/>
      <c r="C999" s="195"/>
      <c r="D999" s="220"/>
      <c r="E999" s="220"/>
      <c r="F999" s="55"/>
      <c r="G999" s="55"/>
      <c r="H999" s="193"/>
    </row>
    <row r="1000" ht="14.25" customHeight="1">
      <c r="B1000" s="19"/>
      <c r="C1000" s="195"/>
      <c r="D1000" s="220"/>
      <c r="E1000" s="220"/>
      <c r="F1000" s="55"/>
      <c r="G1000" s="55"/>
      <c r="H1000" s="193"/>
    </row>
    <row r="1001" ht="14.25" customHeight="1">
      <c r="B1001" s="19"/>
      <c r="C1001" s="195"/>
      <c r="D1001" s="220"/>
      <c r="E1001" s="220"/>
      <c r="F1001" s="55"/>
      <c r="G1001" s="55"/>
      <c r="H1001" s="193"/>
    </row>
    <row r="1002" ht="14.25" customHeight="1">
      <c r="B1002" s="19"/>
      <c r="C1002" s="195"/>
      <c r="D1002" s="220"/>
      <c r="E1002" s="220"/>
      <c r="F1002" s="55"/>
      <c r="G1002" s="55"/>
      <c r="H1002" s="193"/>
    </row>
    <row r="1003" ht="14.25" customHeight="1">
      <c r="B1003" s="19"/>
      <c r="C1003" s="195"/>
      <c r="D1003" s="220"/>
      <c r="E1003" s="220"/>
      <c r="F1003" s="55"/>
      <c r="G1003" s="55"/>
      <c r="H1003" s="193"/>
    </row>
    <row r="1004" ht="14.25" customHeight="1">
      <c r="B1004" s="19"/>
      <c r="C1004" s="195"/>
      <c r="D1004" s="220"/>
      <c r="E1004" s="220"/>
      <c r="F1004" s="55"/>
      <c r="G1004" s="55"/>
      <c r="H1004" s="193"/>
    </row>
    <row r="1005" ht="14.25" customHeight="1">
      <c r="B1005" s="19"/>
      <c r="C1005" s="195"/>
      <c r="D1005" s="220"/>
      <c r="E1005" s="220"/>
      <c r="F1005" s="55"/>
      <c r="G1005" s="55"/>
      <c r="H1005" s="193"/>
    </row>
    <row r="1006" ht="14.25" customHeight="1">
      <c r="B1006" s="19"/>
      <c r="C1006" s="195"/>
      <c r="D1006" s="220"/>
      <c r="E1006" s="220"/>
      <c r="F1006" s="55"/>
      <c r="G1006" s="55"/>
      <c r="H1006" s="193"/>
    </row>
  </sheetData>
  <mergeCells count="11">
    <mergeCell ref="B5:D5"/>
    <mergeCell ref="B6:D6"/>
    <mergeCell ref="F6:G6"/>
    <mergeCell ref="F52:I52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14"/>
    <col customWidth="1" min="6" max="6" width="17.86"/>
    <col customWidth="1" min="7" max="7" width="24.0"/>
    <col customWidth="1" min="8" max="8" width="12.14"/>
    <col customWidth="1" min="9" max="28" width="8.71"/>
  </cols>
  <sheetData>
    <row r="1" ht="33.75" customHeight="1">
      <c r="A1" s="105" t="s">
        <v>42</v>
      </c>
      <c r="H1" s="170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 ht="24.0" customHeight="1">
      <c r="A2" s="171"/>
      <c r="B2" s="282"/>
      <c r="C2" s="13" t="s">
        <v>43</v>
      </c>
      <c r="F2" s="173"/>
      <c r="G2" s="173"/>
      <c r="H2" s="170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4.25" customHeight="1">
      <c r="A3" s="174" t="s">
        <v>44</v>
      </c>
      <c r="B3" s="283" t="s">
        <v>859</v>
      </c>
      <c r="E3" s="176" t="s">
        <v>46</v>
      </c>
      <c r="F3" s="283" t="s">
        <v>860</v>
      </c>
      <c r="H3" s="170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</row>
    <row r="4" ht="14.25" customHeight="1">
      <c r="A4" s="174" t="s">
        <v>48</v>
      </c>
      <c r="B4" s="283" t="s">
        <v>32</v>
      </c>
      <c r="E4" s="176" t="s">
        <v>105</v>
      </c>
      <c r="F4" s="283">
        <v>9.71230610019E12</v>
      </c>
      <c r="H4" s="170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</row>
    <row r="5" ht="14.25" customHeight="1">
      <c r="A5" s="174" t="s">
        <v>51</v>
      </c>
      <c r="B5" s="283" t="s">
        <v>231</v>
      </c>
      <c r="E5" s="176" t="s">
        <v>53</v>
      </c>
      <c r="F5" s="283" t="s">
        <v>32</v>
      </c>
      <c r="H5" s="170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</row>
    <row r="6" ht="14.25" customHeight="1">
      <c r="A6" s="174" t="s">
        <v>54</v>
      </c>
      <c r="B6" s="283"/>
      <c r="E6" s="176" t="s">
        <v>55</v>
      </c>
      <c r="F6" s="175" t="s">
        <v>861</v>
      </c>
      <c r="H6" s="170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</row>
    <row r="7" ht="14.25" customHeight="1">
      <c r="A7" s="171"/>
      <c r="B7" s="282"/>
      <c r="C7" s="282"/>
      <c r="D7" s="78"/>
      <c r="E7" s="78"/>
      <c r="F7" s="173"/>
      <c r="G7" s="173"/>
      <c r="H7" s="170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ht="14.25" customHeight="1">
      <c r="A8" s="171"/>
      <c r="B8" s="282"/>
      <c r="C8" s="282"/>
      <c r="D8" s="78"/>
      <c r="E8" s="78"/>
      <c r="F8" s="173"/>
      <c r="G8" s="173"/>
      <c r="H8" s="170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ht="14.25" customHeight="1">
      <c r="A9" s="107" t="s">
        <v>56</v>
      </c>
      <c r="B9" s="108" t="s">
        <v>107</v>
      </c>
      <c r="C9" s="109" t="s">
        <v>58</v>
      </c>
      <c r="D9" s="178" t="s">
        <v>59</v>
      </c>
      <c r="E9" s="178" t="s">
        <v>60</v>
      </c>
      <c r="F9" s="110" t="s">
        <v>61</v>
      </c>
      <c r="G9" s="110" t="s">
        <v>62</v>
      </c>
      <c r="H9" s="111" t="s">
        <v>63</v>
      </c>
      <c r="I9" s="107" t="s">
        <v>64</v>
      </c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ht="14.25" customHeight="1">
      <c r="A10" s="284" t="s">
        <v>862</v>
      </c>
      <c r="B10" s="112">
        <v>7.6635557E7</v>
      </c>
      <c r="C10" s="114" t="s">
        <v>156</v>
      </c>
      <c r="D10" s="180">
        <v>0.3541666666666667</v>
      </c>
      <c r="E10" s="180">
        <v>0.5208333333333334</v>
      </c>
      <c r="F10" s="285">
        <v>4.0</v>
      </c>
      <c r="G10" s="117">
        <v>4.0</v>
      </c>
      <c r="H10" s="181">
        <f t="shared" ref="H10:H41" si="1">200*G10</f>
        <v>800</v>
      </c>
      <c r="I10" s="119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>
      <c r="A11" s="131" t="s">
        <v>863</v>
      </c>
      <c r="B11" s="286">
        <v>7.6180376E7</v>
      </c>
      <c r="C11" s="287">
        <v>45149.0</v>
      </c>
      <c r="D11" s="263">
        <v>0.5208333333333334</v>
      </c>
      <c r="E11" s="263">
        <v>0.6041666666666666</v>
      </c>
      <c r="F11" s="288">
        <v>2.0</v>
      </c>
      <c r="G11" s="288">
        <v>2.0</v>
      </c>
      <c r="H11" s="181">
        <f t="shared" si="1"/>
        <v>400</v>
      </c>
      <c r="I11" s="139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ht="14.25" customHeight="1">
      <c r="A12" s="135" t="s">
        <v>864</v>
      </c>
      <c r="B12" s="112">
        <v>7.676062E7</v>
      </c>
      <c r="C12" s="127">
        <v>45057.0</v>
      </c>
      <c r="D12" s="180">
        <v>0.5138888888888888</v>
      </c>
      <c r="E12" s="180" t="s">
        <v>865</v>
      </c>
      <c r="F12" s="289">
        <v>1.0</v>
      </c>
      <c r="G12" s="117">
        <v>1.0</v>
      </c>
      <c r="H12" s="181">
        <f t="shared" si="1"/>
        <v>200</v>
      </c>
      <c r="I12" s="119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ht="14.25" customHeight="1">
      <c r="A13" s="290" t="s">
        <v>866</v>
      </c>
      <c r="B13" s="137">
        <v>7.6304811E7</v>
      </c>
      <c r="C13" s="250"/>
      <c r="D13" s="180" t="s">
        <v>867</v>
      </c>
      <c r="E13" s="180" t="s">
        <v>868</v>
      </c>
      <c r="F13" s="285">
        <v>2.0</v>
      </c>
      <c r="G13" s="117">
        <v>2.0</v>
      </c>
      <c r="H13" s="181">
        <f t="shared" si="1"/>
        <v>400</v>
      </c>
      <c r="I13" s="119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ht="14.25" customHeight="1">
      <c r="A14" s="185" t="s">
        <v>869</v>
      </c>
      <c r="B14" s="135">
        <v>7.6640345E7</v>
      </c>
      <c r="C14" s="250"/>
      <c r="D14" s="180" t="s">
        <v>870</v>
      </c>
      <c r="E14" s="180" t="s">
        <v>871</v>
      </c>
      <c r="F14" s="291">
        <v>1.0</v>
      </c>
      <c r="G14" s="117">
        <v>1.0</v>
      </c>
      <c r="H14" s="181">
        <f t="shared" si="1"/>
        <v>200</v>
      </c>
      <c r="I14" s="119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</row>
    <row r="15" ht="14.25" customHeight="1">
      <c r="A15" s="185" t="s">
        <v>872</v>
      </c>
      <c r="B15" s="135">
        <v>7.6227796E7</v>
      </c>
      <c r="C15" s="250" t="s">
        <v>156</v>
      </c>
      <c r="D15" s="180">
        <v>0.5416666666666666</v>
      </c>
      <c r="E15" s="180">
        <v>0.625</v>
      </c>
      <c r="F15" s="291">
        <v>2.0</v>
      </c>
      <c r="G15" s="117">
        <v>2.0</v>
      </c>
      <c r="H15" s="181">
        <f t="shared" si="1"/>
        <v>400</v>
      </c>
      <c r="I15" s="119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</row>
    <row r="16" ht="14.25" customHeight="1">
      <c r="A16" s="290" t="s">
        <v>873</v>
      </c>
      <c r="B16" s="137">
        <v>7.6459332E7</v>
      </c>
      <c r="C16" s="133">
        <v>45057.0</v>
      </c>
      <c r="D16" s="180">
        <v>0.3541666666666667</v>
      </c>
      <c r="E16" s="180">
        <v>0.4423611111111111</v>
      </c>
      <c r="F16" s="292">
        <v>2.0</v>
      </c>
      <c r="G16" s="117">
        <v>2.0</v>
      </c>
      <c r="H16" s="181">
        <f t="shared" si="1"/>
        <v>400</v>
      </c>
      <c r="I16" s="119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ht="14.25" customHeight="1">
      <c r="A17" s="290" t="s">
        <v>874</v>
      </c>
      <c r="B17" s="137">
        <v>7.6380967E7</v>
      </c>
      <c r="C17" s="250"/>
      <c r="D17" s="180" t="s">
        <v>875</v>
      </c>
      <c r="E17" s="180" t="s">
        <v>876</v>
      </c>
      <c r="F17" s="291">
        <v>4.0</v>
      </c>
      <c r="G17" s="117">
        <v>4.0</v>
      </c>
      <c r="H17" s="181">
        <f t="shared" si="1"/>
        <v>800</v>
      </c>
      <c r="I17" s="119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ht="14.25" customHeight="1">
      <c r="A18" s="185" t="s">
        <v>877</v>
      </c>
      <c r="B18" s="135">
        <v>7.6374705E7</v>
      </c>
      <c r="C18" s="250" t="s">
        <v>72</v>
      </c>
      <c r="D18" s="180">
        <v>0.375</v>
      </c>
      <c r="E18" s="180">
        <v>0.4166666666666667</v>
      </c>
      <c r="F18" s="121">
        <v>1.0</v>
      </c>
      <c r="G18" s="117">
        <v>1.0</v>
      </c>
      <c r="H18" s="181">
        <f t="shared" si="1"/>
        <v>200</v>
      </c>
      <c r="I18" s="119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</row>
    <row r="19" ht="14.25" customHeight="1">
      <c r="A19" s="185" t="s">
        <v>878</v>
      </c>
      <c r="B19" s="293"/>
      <c r="C19" s="133">
        <v>45057.0</v>
      </c>
      <c r="D19" s="180" t="s">
        <v>879</v>
      </c>
      <c r="E19" s="180" t="s">
        <v>880</v>
      </c>
      <c r="F19" s="121">
        <v>1.0</v>
      </c>
      <c r="G19" s="117">
        <v>1.0</v>
      </c>
      <c r="H19" s="181">
        <f t="shared" si="1"/>
        <v>200</v>
      </c>
      <c r="I19" s="119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</row>
    <row r="20" ht="14.25" customHeight="1">
      <c r="A20" s="185" t="s">
        <v>881</v>
      </c>
      <c r="B20" s="135">
        <v>7.8168307E7</v>
      </c>
      <c r="C20" s="250" t="s">
        <v>156</v>
      </c>
      <c r="D20" s="180">
        <v>0.6875</v>
      </c>
      <c r="E20" s="180">
        <v>0.7291666666666666</v>
      </c>
      <c r="F20" s="291">
        <v>1.0</v>
      </c>
      <c r="G20" s="117">
        <v>1.0</v>
      </c>
      <c r="H20" s="181">
        <f t="shared" si="1"/>
        <v>200</v>
      </c>
      <c r="I20" s="119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</row>
    <row r="21" ht="14.25" customHeight="1">
      <c r="A21" s="185" t="s">
        <v>882</v>
      </c>
      <c r="B21" s="135">
        <v>7.8363419E7</v>
      </c>
      <c r="C21" s="133">
        <v>45057.0</v>
      </c>
      <c r="D21" s="180">
        <v>0.4583333333333333</v>
      </c>
      <c r="E21" s="180">
        <v>0.5</v>
      </c>
      <c r="F21" s="291">
        <v>1.0</v>
      </c>
      <c r="G21" s="117">
        <v>1.0</v>
      </c>
      <c r="H21" s="181">
        <f t="shared" si="1"/>
        <v>200</v>
      </c>
      <c r="I21" s="119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</row>
    <row r="22" ht="14.25" customHeight="1">
      <c r="A22" s="185" t="s">
        <v>883</v>
      </c>
      <c r="B22" s="135">
        <v>7.6225519E7</v>
      </c>
      <c r="C22" s="250" t="s">
        <v>156</v>
      </c>
      <c r="D22" s="180">
        <v>0.6458333333333334</v>
      </c>
      <c r="E22" s="180">
        <v>0.6875</v>
      </c>
      <c r="F22" s="121">
        <v>1.0</v>
      </c>
      <c r="G22" s="117">
        <v>1.0</v>
      </c>
      <c r="H22" s="181">
        <f t="shared" si="1"/>
        <v>200</v>
      </c>
      <c r="I22" s="119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</row>
    <row r="23" ht="14.25" customHeight="1">
      <c r="A23" s="185" t="s">
        <v>884</v>
      </c>
      <c r="B23" s="136">
        <v>7.8156136E7</v>
      </c>
      <c r="C23" s="250" t="s">
        <v>72</v>
      </c>
      <c r="D23" s="180">
        <v>0.5479166666666667</v>
      </c>
      <c r="E23" s="180">
        <v>0.7166666666666667</v>
      </c>
      <c r="F23" s="291">
        <v>4.0</v>
      </c>
      <c r="G23" s="117">
        <v>4.0</v>
      </c>
      <c r="H23" s="181">
        <f t="shared" si="1"/>
        <v>800</v>
      </c>
      <c r="I23" s="119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</row>
    <row r="24" ht="14.25" customHeight="1">
      <c r="A24" s="185" t="s">
        <v>885</v>
      </c>
      <c r="B24" s="185"/>
      <c r="C24" s="134"/>
      <c r="D24" s="188"/>
      <c r="E24" s="188"/>
      <c r="F24" s="291">
        <v>3.0</v>
      </c>
      <c r="G24" s="117">
        <v>3.0</v>
      </c>
      <c r="H24" s="181">
        <f t="shared" si="1"/>
        <v>600</v>
      </c>
      <c r="I24" s="119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</row>
    <row r="25" ht="14.25" customHeight="1">
      <c r="A25" s="137" t="s">
        <v>886</v>
      </c>
      <c r="B25" s="137">
        <v>7.6120767E7</v>
      </c>
      <c r="C25" s="250" t="s">
        <v>165</v>
      </c>
      <c r="D25" s="180">
        <v>0.3541666666666667</v>
      </c>
      <c r="E25" s="180">
        <v>0.3993055555555556</v>
      </c>
      <c r="F25" s="116">
        <v>1.0</v>
      </c>
      <c r="G25" s="117">
        <v>1.0</v>
      </c>
      <c r="H25" s="181">
        <f t="shared" si="1"/>
        <v>200</v>
      </c>
      <c r="I25" s="119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</row>
    <row r="26" ht="14.25" customHeight="1">
      <c r="A26" s="137" t="s">
        <v>887</v>
      </c>
      <c r="B26" s="137">
        <v>7.6225519E7</v>
      </c>
      <c r="C26" s="250" t="s">
        <v>165</v>
      </c>
      <c r="D26" s="180" t="s">
        <v>683</v>
      </c>
      <c r="E26" s="180" t="s">
        <v>677</v>
      </c>
      <c r="F26" s="116">
        <v>1.0</v>
      </c>
      <c r="G26" s="117">
        <v>1.0</v>
      </c>
      <c r="H26" s="181">
        <f t="shared" si="1"/>
        <v>200</v>
      </c>
      <c r="I26" s="119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</row>
    <row r="27" ht="14.25" customHeight="1">
      <c r="A27" s="135" t="s">
        <v>888</v>
      </c>
      <c r="B27" s="135">
        <v>7.6542728E7</v>
      </c>
      <c r="C27" s="250" t="s">
        <v>165</v>
      </c>
      <c r="D27" s="180" t="s">
        <v>889</v>
      </c>
      <c r="E27" s="180" t="s">
        <v>890</v>
      </c>
      <c r="F27" s="116">
        <v>1.0</v>
      </c>
      <c r="G27" s="117">
        <v>1.0</v>
      </c>
      <c r="H27" s="181">
        <f t="shared" si="1"/>
        <v>200</v>
      </c>
      <c r="I27" s="119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</row>
    <row r="28" ht="14.25" customHeight="1">
      <c r="A28" s="137" t="s">
        <v>891</v>
      </c>
      <c r="B28" s="137">
        <v>7.6176732E7</v>
      </c>
      <c r="C28" s="250" t="s">
        <v>72</v>
      </c>
      <c r="D28" s="180">
        <v>0.4375</v>
      </c>
      <c r="E28" s="180">
        <v>0.48333333333333334</v>
      </c>
      <c r="F28" s="116">
        <v>2.0</v>
      </c>
      <c r="G28" s="117">
        <v>2.0</v>
      </c>
      <c r="H28" s="181">
        <f t="shared" si="1"/>
        <v>400</v>
      </c>
      <c r="I28" s="119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</row>
    <row r="29" ht="14.25" customHeight="1">
      <c r="A29" s="135" t="s">
        <v>892</v>
      </c>
      <c r="B29" s="135">
        <v>7.8168307E7</v>
      </c>
      <c r="C29" s="250" t="s">
        <v>72</v>
      </c>
      <c r="D29" s="180">
        <v>0.3125</v>
      </c>
      <c r="E29" s="180">
        <v>0.3541666666666667</v>
      </c>
      <c r="F29" s="116">
        <v>1.0</v>
      </c>
      <c r="G29" s="117">
        <v>1.0</v>
      </c>
      <c r="H29" s="181">
        <f t="shared" si="1"/>
        <v>200</v>
      </c>
      <c r="I29" s="119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</row>
    <row r="30" ht="14.25" customHeight="1">
      <c r="A30" s="135" t="s">
        <v>859</v>
      </c>
      <c r="B30" s="136">
        <v>7.6615237E7</v>
      </c>
      <c r="C30" s="294">
        <v>45149.0</v>
      </c>
      <c r="D30" s="180">
        <v>0.3541666666666667</v>
      </c>
      <c r="E30" s="180">
        <v>0.39861111111111114</v>
      </c>
      <c r="F30" s="121">
        <v>1.0</v>
      </c>
      <c r="G30" s="117">
        <v>1.0</v>
      </c>
      <c r="H30" s="181">
        <f t="shared" si="1"/>
        <v>200</v>
      </c>
      <c r="I30" s="119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</row>
    <row r="31" ht="14.25" customHeight="1">
      <c r="A31" s="135" t="s">
        <v>893</v>
      </c>
      <c r="B31" s="136">
        <v>7.6635557E7</v>
      </c>
      <c r="C31" s="294">
        <v>45149.0</v>
      </c>
      <c r="D31" s="180">
        <v>0.4583333333333333</v>
      </c>
      <c r="E31" s="180">
        <v>0.5</v>
      </c>
      <c r="F31" s="121">
        <v>1.0</v>
      </c>
      <c r="G31" s="117">
        <v>1.0</v>
      </c>
      <c r="H31" s="181">
        <f t="shared" si="1"/>
        <v>200</v>
      </c>
      <c r="I31" s="119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</row>
    <row r="32">
      <c r="A32" s="295" t="s">
        <v>894</v>
      </c>
      <c r="B32" s="296">
        <v>7.6260113E7</v>
      </c>
      <c r="C32" s="297">
        <v>45271.0</v>
      </c>
      <c r="D32" s="263">
        <v>0.29375</v>
      </c>
      <c r="E32" s="263">
        <v>0.3368055555555556</v>
      </c>
      <c r="F32" s="298">
        <v>1.0</v>
      </c>
      <c r="G32" s="288">
        <v>1.0</v>
      </c>
      <c r="H32" s="181">
        <f t="shared" si="1"/>
        <v>200</v>
      </c>
      <c r="I32" s="139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</row>
    <row r="33">
      <c r="A33" s="295" t="s">
        <v>895</v>
      </c>
      <c r="B33" s="296">
        <v>7.6292529E7</v>
      </c>
      <c r="C33" s="297">
        <v>45271.0</v>
      </c>
      <c r="D33" s="263">
        <v>0.3541666666666667</v>
      </c>
      <c r="E33" s="263">
        <v>0.4395833333333333</v>
      </c>
      <c r="F33" s="298">
        <v>2.0</v>
      </c>
      <c r="G33" s="288">
        <v>2.0</v>
      </c>
      <c r="H33" s="181">
        <f t="shared" si="1"/>
        <v>400</v>
      </c>
      <c r="I33" s="139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</row>
    <row r="34">
      <c r="A34" s="295" t="s">
        <v>863</v>
      </c>
      <c r="B34" s="296">
        <v>7.6180376E7</v>
      </c>
      <c r="C34" s="297">
        <v>45271.0</v>
      </c>
      <c r="D34" s="263">
        <v>0.4513888888888889</v>
      </c>
      <c r="E34" s="263">
        <v>0.4951388888888889</v>
      </c>
      <c r="F34" s="298">
        <v>1.0</v>
      </c>
      <c r="G34" s="288">
        <v>1.0</v>
      </c>
      <c r="H34" s="181">
        <f t="shared" si="1"/>
        <v>200</v>
      </c>
      <c r="I34" s="139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</row>
    <row r="35">
      <c r="A35" s="295" t="s">
        <v>896</v>
      </c>
      <c r="B35" s="296">
        <v>7.6380967E7</v>
      </c>
      <c r="C35" s="297">
        <v>45271.0</v>
      </c>
      <c r="D35" s="263">
        <v>0.5104166666666666</v>
      </c>
      <c r="E35" s="263">
        <v>0.5555555555555556</v>
      </c>
      <c r="F35" s="298">
        <v>1.0</v>
      </c>
      <c r="G35" s="288">
        <v>1.0</v>
      </c>
      <c r="H35" s="181">
        <f t="shared" si="1"/>
        <v>200</v>
      </c>
      <c r="I35" s="139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</row>
    <row r="36">
      <c r="A36" s="295" t="s">
        <v>897</v>
      </c>
      <c r="B36" s="296">
        <v>7.842909E7</v>
      </c>
      <c r="C36" s="297">
        <v>45271.0</v>
      </c>
      <c r="D36" s="263">
        <v>0.5868055555555556</v>
      </c>
      <c r="E36" s="263">
        <v>0.6298611111111111</v>
      </c>
      <c r="F36" s="298">
        <v>1.0</v>
      </c>
      <c r="G36" s="288">
        <v>1.0</v>
      </c>
      <c r="H36" s="181">
        <f t="shared" si="1"/>
        <v>200</v>
      </c>
      <c r="I36" s="139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</row>
    <row r="37">
      <c r="A37" s="295" t="s">
        <v>898</v>
      </c>
      <c r="B37" s="296">
        <v>7.6331272E7</v>
      </c>
      <c r="C37" s="296" t="s">
        <v>137</v>
      </c>
      <c r="D37" s="263">
        <v>0.2916666666666667</v>
      </c>
      <c r="E37" s="263">
        <v>0.33611111111111114</v>
      </c>
      <c r="F37" s="298">
        <v>1.0</v>
      </c>
      <c r="G37" s="288">
        <v>1.0</v>
      </c>
      <c r="H37" s="181">
        <f t="shared" si="1"/>
        <v>200</v>
      </c>
      <c r="I37" s="139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</row>
    <row r="38">
      <c r="A38" s="295" t="s">
        <v>899</v>
      </c>
      <c r="B38" s="296">
        <v>7.8513886E7</v>
      </c>
      <c r="C38" s="296" t="s">
        <v>137</v>
      </c>
      <c r="D38" s="263">
        <v>0.375</v>
      </c>
      <c r="E38" s="263">
        <v>0.42430555555555555</v>
      </c>
      <c r="F38" s="298">
        <v>1.0</v>
      </c>
      <c r="G38" s="288">
        <v>1.0</v>
      </c>
      <c r="H38" s="181">
        <f t="shared" si="1"/>
        <v>200</v>
      </c>
      <c r="I38" s="139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</row>
    <row r="39">
      <c r="A39" s="295" t="s">
        <v>900</v>
      </c>
      <c r="B39" s="296">
        <v>7.6256388E7</v>
      </c>
      <c r="C39" s="296" t="s">
        <v>137</v>
      </c>
      <c r="D39" s="263">
        <v>0.43333333333333335</v>
      </c>
      <c r="E39" s="263">
        <v>0.5208333333333334</v>
      </c>
      <c r="F39" s="298">
        <v>2.0</v>
      </c>
      <c r="G39" s="288">
        <v>2.0</v>
      </c>
      <c r="H39" s="181">
        <f t="shared" si="1"/>
        <v>400</v>
      </c>
      <c r="I39" s="139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</row>
    <row r="40">
      <c r="A40" s="295" t="s">
        <v>901</v>
      </c>
      <c r="B40" s="296">
        <v>7.829319E7</v>
      </c>
      <c r="C40" s="296" t="s">
        <v>137</v>
      </c>
      <c r="D40" s="263">
        <v>0.5416666666666666</v>
      </c>
      <c r="E40" s="263">
        <v>0.5875</v>
      </c>
      <c r="F40" s="298">
        <v>1.0</v>
      </c>
      <c r="G40" s="288">
        <v>1.0</v>
      </c>
      <c r="H40" s="181">
        <f t="shared" si="1"/>
        <v>200</v>
      </c>
      <c r="I40" s="139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</row>
    <row r="41" ht="15.0" customHeight="1">
      <c r="A41" s="131" t="s">
        <v>859</v>
      </c>
      <c r="B41" s="286">
        <v>7.6615237E7</v>
      </c>
      <c r="C41" s="286" t="s">
        <v>137</v>
      </c>
      <c r="D41" s="286" t="s">
        <v>902</v>
      </c>
      <c r="E41" s="286" t="s">
        <v>903</v>
      </c>
      <c r="F41" s="288">
        <v>1.0</v>
      </c>
      <c r="G41" s="288">
        <v>1.0</v>
      </c>
      <c r="H41" s="181">
        <f t="shared" si="1"/>
        <v>200</v>
      </c>
      <c r="I41" s="139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</row>
    <row r="42" ht="18.0" customHeight="1">
      <c r="A42" s="185"/>
      <c r="B42" s="277"/>
      <c r="C42" s="138"/>
      <c r="D42" s="188"/>
      <c r="E42" s="189" t="s">
        <v>41</v>
      </c>
      <c r="F42" s="142">
        <f t="shared" ref="F42:G42" si="2">SUM(F10:F41)</f>
        <v>50</v>
      </c>
      <c r="G42" s="142">
        <f t="shared" si="2"/>
        <v>50</v>
      </c>
      <c r="H42" s="190">
        <f>SUM(H9:H41)</f>
        <v>10000</v>
      </c>
      <c r="I42" s="19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</row>
    <row r="43" ht="18.75" customHeight="1">
      <c r="A43" s="141"/>
      <c r="B43" s="140"/>
      <c r="C43" s="140"/>
      <c r="D43" s="189"/>
      <c r="E43" s="192" t="s">
        <v>100</v>
      </c>
      <c r="F43" s="147">
        <f>COUNT(G10:G41)</f>
        <v>32</v>
      </c>
      <c r="G43" s="47"/>
      <c r="H43" s="47"/>
      <c r="I43" s="48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</row>
    <row r="44" ht="14.25" customHeight="1">
      <c r="A44" s="171"/>
      <c r="B44" s="282"/>
      <c r="C44" s="282"/>
      <c r="D44" s="78"/>
      <c r="E44" s="78"/>
      <c r="F44" s="173"/>
      <c r="G44" s="173"/>
      <c r="H44" s="170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</row>
    <row r="45" ht="14.25" customHeight="1">
      <c r="A45" s="171"/>
      <c r="B45" s="282"/>
      <c r="C45" s="282"/>
      <c r="D45" s="49" t="s">
        <v>101</v>
      </c>
      <c r="E45" s="50"/>
      <c r="F45" s="173"/>
      <c r="G45" s="173"/>
      <c r="H45" s="170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</row>
    <row r="46" ht="14.25" customHeight="1">
      <c r="A46" s="171"/>
      <c r="B46" s="282"/>
      <c r="C46" s="282"/>
      <c r="D46" s="51" t="s">
        <v>102</v>
      </c>
      <c r="E46" s="50"/>
      <c r="F46" s="173"/>
      <c r="G46" s="173"/>
      <c r="H46" s="170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</row>
    <row r="47" ht="14.25" customHeight="1">
      <c r="A47" s="171"/>
      <c r="B47" s="282"/>
      <c r="C47" s="282"/>
      <c r="D47" s="52" t="s">
        <v>58</v>
      </c>
      <c r="E47" s="53"/>
      <c r="F47" s="173"/>
      <c r="G47" s="173"/>
      <c r="H47" s="170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</row>
    <row r="48" ht="14.25" customHeight="1">
      <c r="A48" s="171"/>
      <c r="B48" s="282"/>
      <c r="C48" s="282"/>
      <c r="D48" s="78"/>
      <c r="E48" s="78"/>
      <c r="F48" s="173"/>
      <c r="G48" s="173"/>
      <c r="H48" s="170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</row>
    <row r="49" ht="14.25" customHeight="1">
      <c r="A49" s="171"/>
      <c r="B49" s="282"/>
      <c r="C49" s="282"/>
      <c r="D49" s="78"/>
      <c r="E49" s="78"/>
      <c r="F49" s="173"/>
      <c r="G49" s="173"/>
      <c r="H49" s="170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</row>
    <row r="50" ht="14.25" customHeight="1">
      <c r="A50" s="171"/>
      <c r="B50" s="282"/>
      <c r="C50" s="282"/>
      <c r="D50" s="78"/>
      <c r="E50" s="78"/>
      <c r="F50" s="173"/>
      <c r="G50" s="173"/>
      <c r="H50" s="170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</row>
    <row r="51" ht="14.25" customHeight="1">
      <c r="A51" s="171"/>
      <c r="B51" s="282"/>
      <c r="C51" s="282"/>
      <c r="D51" s="78"/>
      <c r="E51" s="78"/>
      <c r="F51" s="173"/>
      <c r="G51" s="173"/>
      <c r="H51" s="170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</row>
    <row r="52" ht="14.25" customHeight="1">
      <c r="A52" s="171"/>
      <c r="B52" s="282"/>
      <c r="C52" s="282"/>
      <c r="D52" s="78"/>
      <c r="E52" s="78"/>
      <c r="F52" s="173"/>
      <c r="G52" s="173"/>
      <c r="H52" s="170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</row>
    <row r="53" ht="14.25" customHeight="1">
      <c r="A53" s="171"/>
      <c r="B53" s="282"/>
      <c r="C53" s="282"/>
      <c r="D53" s="78"/>
      <c r="E53" s="78"/>
      <c r="F53" s="173"/>
      <c r="G53" s="173"/>
      <c r="H53" s="170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</row>
    <row r="54" ht="14.25" customHeight="1">
      <c r="A54" s="171"/>
      <c r="B54" s="282"/>
      <c r="C54" s="282"/>
      <c r="D54" s="78"/>
      <c r="E54" s="78"/>
      <c r="F54" s="173"/>
      <c r="G54" s="173"/>
      <c r="H54" s="170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</row>
    <row r="55" ht="14.25" customHeight="1">
      <c r="A55" s="171"/>
      <c r="B55" s="282"/>
      <c r="C55" s="282"/>
      <c r="D55" s="78"/>
      <c r="E55" s="78"/>
      <c r="F55" s="173"/>
      <c r="G55" s="173"/>
      <c r="H55" s="170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</row>
    <row r="56" ht="14.25" customHeight="1">
      <c r="A56" s="171"/>
      <c r="B56" s="282"/>
      <c r="C56" s="282"/>
      <c r="D56" s="78"/>
      <c r="E56" s="78"/>
      <c r="F56" s="173"/>
      <c r="G56" s="173"/>
      <c r="H56" s="170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</row>
    <row r="57" ht="14.25" customHeight="1">
      <c r="A57" s="171"/>
      <c r="B57" s="282"/>
      <c r="C57" s="282"/>
      <c r="D57" s="78"/>
      <c r="E57" s="78"/>
      <c r="F57" s="173"/>
      <c r="G57" s="173"/>
      <c r="H57" s="170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</row>
    <row r="58" ht="14.25" customHeight="1">
      <c r="A58" s="171"/>
      <c r="B58" s="282"/>
      <c r="C58" s="282"/>
      <c r="D58" s="78"/>
      <c r="E58" s="78"/>
      <c r="F58" s="173"/>
      <c r="G58" s="173"/>
      <c r="H58" s="170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 ht="14.25" customHeight="1">
      <c r="A59" s="171"/>
      <c r="B59" s="282"/>
      <c r="C59" s="282"/>
      <c r="D59" s="78"/>
      <c r="E59" s="78"/>
      <c r="F59" s="173"/>
      <c r="G59" s="173"/>
      <c r="H59" s="170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</row>
    <row r="60" ht="14.25" customHeight="1">
      <c r="A60" s="171"/>
      <c r="B60" s="282"/>
      <c r="C60" s="282"/>
      <c r="D60" s="78"/>
      <c r="E60" s="78"/>
      <c r="F60" s="173"/>
      <c r="G60" s="173"/>
      <c r="H60" s="170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</row>
    <row r="61" ht="14.25" customHeight="1">
      <c r="A61" s="171"/>
      <c r="B61" s="282"/>
      <c r="C61" s="282"/>
      <c r="D61" s="78"/>
      <c r="E61" s="78"/>
      <c r="F61" s="173"/>
      <c r="G61" s="173"/>
      <c r="H61" s="170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</row>
    <row r="62" ht="14.25" customHeight="1">
      <c r="A62" s="171"/>
      <c r="B62" s="282"/>
      <c r="C62" s="282"/>
      <c r="D62" s="78"/>
      <c r="E62" s="78"/>
      <c r="F62" s="173"/>
      <c r="G62" s="173"/>
      <c r="H62" s="170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</row>
    <row r="63" ht="14.25" customHeight="1">
      <c r="A63" s="171"/>
      <c r="B63" s="282"/>
      <c r="C63" s="282"/>
      <c r="D63" s="78"/>
      <c r="E63" s="78"/>
      <c r="F63" s="173"/>
      <c r="G63" s="173"/>
      <c r="H63" s="17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</row>
    <row r="64" ht="14.25" customHeight="1">
      <c r="A64" s="171"/>
      <c r="B64" s="282"/>
      <c r="C64" s="282"/>
      <c r="D64" s="78"/>
      <c r="E64" s="78"/>
      <c r="F64" s="173"/>
      <c r="G64" s="173"/>
      <c r="H64" s="170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</row>
    <row r="65" ht="14.25" customHeight="1">
      <c r="A65" s="171"/>
      <c r="B65" s="282"/>
      <c r="C65" s="282"/>
      <c r="D65" s="78"/>
      <c r="E65" s="78"/>
      <c r="F65" s="173"/>
      <c r="G65" s="173"/>
      <c r="H65" s="170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</row>
    <row r="66" ht="14.25" customHeight="1">
      <c r="A66" s="171"/>
      <c r="B66" s="282"/>
      <c r="C66" s="282"/>
      <c r="D66" s="78"/>
      <c r="E66" s="78"/>
      <c r="F66" s="173"/>
      <c r="G66" s="173"/>
      <c r="H66" s="170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</row>
    <row r="67" ht="14.25" customHeight="1">
      <c r="A67" s="171"/>
      <c r="B67" s="282"/>
      <c r="C67" s="282"/>
      <c r="D67" s="78"/>
      <c r="E67" s="78"/>
      <c r="F67" s="173"/>
      <c r="G67" s="173"/>
      <c r="H67" s="170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</row>
    <row r="68" ht="14.25" customHeight="1">
      <c r="A68" s="171"/>
      <c r="B68" s="282"/>
      <c r="C68" s="282"/>
      <c r="D68" s="78"/>
      <c r="E68" s="78"/>
      <c r="F68" s="173"/>
      <c r="G68" s="173"/>
      <c r="H68" s="170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</row>
    <row r="69" ht="14.25" customHeight="1">
      <c r="A69" s="171"/>
      <c r="B69" s="282"/>
      <c r="C69" s="282"/>
      <c r="D69" s="78"/>
      <c r="E69" s="78"/>
      <c r="F69" s="173"/>
      <c r="G69" s="173"/>
      <c r="H69" s="170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</row>
    <row r="70" ht="14.25" customHeight="1">
      <c r="A70" s="171"/>
      <c r="B70" s="282"/>
      <c r="C70" s="282"/>
      <c r="D70" s="78"/>
      <c r="E70" s="78"/>
      <c r="F70" s="173"/>
      <c r="G70" s="173"/>
      <c r="H70" s="170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</row>
    <row r="71" ht="14.25" customHeight="1">
      <c r="A71" s="171"/>
      <c r="B71" s="282"/>
      <c r="C71" s="282"/>
      <c r="D71" s="78"/>
      <c r="E71" s="78"/>
      <c r="F71" s="173"/>
      <c r="G71" s="173"/>
      <c r="H71" s="170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</row>
    <row r="72" ht="14.25" customHeight="1">
      <c r="A72" s="171"/>
      <c r="B72" s="282"/>
      <c r="C72" s="282"/>
      <c r="D72" s="78"/>
      <c r="E72" s="78"/>
      <c r="F72" s="173"/>
      <c r="G72" s="173"/>
      <c r="H72" s="170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</row>
    <row r="73" ht="14.25" customHeight="1">
      <c r="A73" s="171"/>
      <c r="B73" s="282"/>
      <c r="C73" s="282"/>
      <c r="D73" s="78"/>
      <c r="E73" s="78"/>
      <c r="F73" s="173"/>
      <c r="G73" s="173"/>
      <c r="H73" s="170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</row>
    <row r="74" ht="14.25" customHeight="1">
      <c r="A74" s="171"/>
      <c r="B74" s="282"/>
      <c r="C74" s="282"/>
      <c r="D74" s="78"/>
      <c r="E74" s="78"/>
      <c r="F74" s="173"/>
      <c r="G74" s="173"/>
      <c r="H74" s="170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</row>
    <row r="75" ht="14.25" customHeight="1">
      <c r="A75" s="171"/>
      <c r="B75" s="282"/>
      <c r="C75" s="282"/>
      <c r="D75" s="78"/>
      <c r="E75" s="78"/>
      <c r="F75" s="173"/>
      <c r="G75" s="173"/>
      <c r="H75" s="170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</row>
    <row r="76" ht="14.25" customHeight="1">
      <c r="A76" s="171"/>
      <c r="B76" s="282"/>
      <c r="C76" s="282"/>
      <c r="D76" s="78"/>
      <c r="E76" s="78"/>
      <c r="F76" s="173"/>
      <c r="G76" s="173"/>
      <c r="H76" s="170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</row>
    <row r="77" ht="14.25" customHeight="1">
      <c r="A77" s="171"/>
      <c r="B77" s="282"/>
      <c r="C77" s="282"/>
      <c r="D77" s="78"/>
      <c r="E77" s="78"/>
      <c r="F77" s="173"/>
      <c r="G77" s="173"/>
      <c r="H77" s="170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</row>
    <row r="78" ht="14.25" customHeight="1">
      <c r="A78" s="171"/>
      <c r="B78" s="282"/>
      <c r="C78" s="282"/>
      <c r="D78" s="78"/>
      <c r="E78" s="78"/>
      <c r="F78" s="173"/>
      <c r="G78" s="173"/>
      <c r="H78" s="170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</row>
    <row r="79" ht="14.25" customHeight="1">
      <c r="A79" s="171"/>
      <c r="B79" s="282"/>
      <c r="C79" s="282"/>
      <c r="D79" s="78"/>
      <c r="E79" s="78"/>
      <c r="F79" s="173"/>
      <c r="G79" s="173"/>
      <c r="H79" s="170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</row>
    <row r="80" ht="14.25" customHeight="1">
      <c r="A80" s="171"/>
      <c r="B80" s="282"/>
      <c r="C80" s="282"/>
      <c r="D80" s="78"/>
      <c r="E80" s="78"/>
      <c r="F80" s="173"/>
      <c r="G80" s="173"/>
      <c r="H80" s="170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</row>
    <row r="81" ht="14.25" customHeight="1">
      <c r="A81" s="171"/>
      <c r="B81" s="282"/>
      <c r="C81" s="282"/>
      <c r="D81" s="78"/>
      <c r="E81" s="78"/>
      <c r="F81" s="173"/>
      <c r="G81" s="173"/>
      <c r="H81" s="170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</row>
    <row r="82" ht="14.25" customHeight="1">
      <c r="A82" s="171"/>
      <c r="B82" s="282"/>
      <c r="C82" s="282"/>
      <c r="D82" s="78"/>
      <c r="E82" s="78"/>
      <c r="F82" s="173"/>
      <c r="G82" s="173"/>
      <c r="H82" s="170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</row>
    <row r="83" ht="14.25" customHeight="1">
      <c r="A83" s="171"/>
      <c r="B83" s="282"/>
      <c r="C83" s="282"/>
      <c r="D83" s="78"/>
      <c r="E83" s="78"/>
      <c r="F83" s="173"/>
      <c r="G83" s="173"/>
      <c r="H83" s="170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</row>
    <row r="84" ht="14.25" customHeight="1">
      <c r="A84" s="171"/>
      <c r="B84" s="282"/>
      <c r="C84" s="282"/>
      <c r="D84" s="78"/>
      <c r="E84" s="78"/>
      <c r="F84" s="173"/>
      <c r="G84" s="173"/>
      <c r="H84" s="170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</row>
    <row r="85" ht="14.25" customHeight="1">
      <c r="A85" s="171"/>
      <c r="B85" s="282"/>
      <c r="C85" s="282"/>
      <c r="D85" s="78"/>
      <c r="E85" s="78"/>
      <c r="F85" s="173"/>
      <c r="G85" s="173"/>
      <c r="H85" s="170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</row>
    <row r="86" ht="14.25" customHeight="1">
      <c r="A86" s="171"/>
      <c r="B86" s="282"/>
      <c r="C86" s="282"/>
      <c r="D86" s="78"/>
      <c r="E86" s="78"/>
      <c r="F86" s="173"/>
      <c r="G86" s="173"/>
      <c r="H86" s="170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</row>
    <row r="87" ht="14.25" customHeight="1">
      <c r="A87" s="171"/>
      <c r="B87" s="282"/>
      <c r="C87" s="282"/>
      <c r="D87" s="78"/>
      <c r="E87" s="78"/>
      <c r="F87" s="173"/>
      <c r="G87" s="173"/>
      <c r="H87" s="170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</row>
    <row r="88" ht="14.25" customHeight="1">
      <c r="A88" s="171"/>
      <c r="B88" s="282"/>
      <c r="C88" s="282"/>
      <c r="D88" s="78"/>
      <c r="E88" s="78"/>
      <c r="F88" s="173"/>
      <c r="G88" s="173"/>
      <c r="H88" s="170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</row>
    <row r="89" ht="14.25" customHeight="1">
      <c r="A89" s="171"/>
      <c r="B89" s="282"/>
      <c r="C89" s="282"/>
      <c r="D89" s="78"/>
      <c r="E89" s="78"/>
      <c r="F89" s="173"/>
      <c r="G89" s="173"/>
      <c r="H89" s="170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</row>
    <row r="90" ht="14.25" customHeight="1">
      <c r="A90" s="171"/>
      <c r="B90" s="282"/>
      <c r="C90" s="282"/>
      <c r="D90" s="78"/>
      <c r="E90" s="78"/>
      <c r="F90" s="173"/>
      <c r="G90" s="173"/>
      <c r="H90" s="170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</row>
    <row r="91" ht="14.25" customHeight="1">
      <c r="A91" s="171"/>
      <c r="B91" s="282"/>
      <c r="C91" s="282"/>
      <c r="D91" s="78"/>
      <c r="E91" s="78"/>
      <c r="F91" s="173"/>
      <c r="G91" s="173"/>
      <c r="H91" s="170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</row>
    <row r="92" ht="14.25" customHeight="1">
      <c r="A92" s="171"/>
      <c r="B92" s="282"/>
      <c r="C92" s="282"/>
      <c r="D92" s="78"/>
      <c r="E92" s="78"/>
      <c r="F92" s="173"/>
      <c r="G92" s="173"/>
      <c r="H92" s="170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</row>
    <row r="93" ht="14.25" customHeight="1">
      <c r="A93" s="171"/>
      <c r="B93" s="282"/>
      <c r="C93" s="282"/>
      <c r="D93" s="78"/>
      <c r="E93" s="78"/>
      <c r="F93" s="173"/>
      <c r="G93" s="173"/>
      <c r="H93" s="170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</row>
    <row r="94" ht="14.25" customHeight="1">
      <c r="A94" s="171"/>
      <c r="B94" s="282"/>
      <c r="C94" s="282"/>
      <c r="D94" s="78"/>
      <c r="E94" s="78"/>
      <c r="F94" s="173"/>
      <c r="G94" s="173"/>
      <c r="H94" s="170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</row>
    <row r="95" ht="14.25" customHeight="1">
      <c r="A95" s="171"/>
      <c r="B95" s="282"/>
      <c r="C95" s="282"/>
      <c r="D95" s="78"/>
      <c r="E95" s="78"/>
      <c r="F95" s="173"/>
      <c r="G95" s="173"/>
      <c r="H95" s="170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</row>
    <row r="96" ht="14.25" customHeight="1">
      <c r="A96" s="171"/>
      <c r="B96" s="282"/>
      <c r="C96" s="282"/>
      <c r="D96" s="78"/>
      <c r="E96" s="78"/>
      <c r="F96" s="173"/>
      <c r="G96" s="173"/>
      <c r="H96" s="170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</row>
    <row r="97" ht="14.25" customHeight="1">
      <c r="A97" s="171"/>
      <c r="B97" s="282"/>
      <c r="C97" s="282"/>
      <c r="D97" s="78"/>
      <c r="E97" s="78"/>
      <c r="F97" s="173"/>
      <c r="G97" s="173"/>
      <c r="H97" s="170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</row>
    <row r="98" ht="14.25" customHeight="1">
      <c r="A98" s="171"/>
      <c r="B98" s="282"/>
      <c r="C98" s="282"/>
      <c r="D98" s="78"/>
      <c r="E98" s="78"/>
      <c r="F98" s="173"/>
      <c r="G98" s="173"/>
      <c r="H98" s="170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</row>
    <row r="99" ht="14.25" customHeight="1">
      <c r="A99" s="171"/>
      <c r="B99" s="282"/>
      <c r="C99" s="282"/>
      <c r="D99" s="78"/>
      <c r="E99" s="78"/>
      <c r="F99" s="173"/>
      <c r="G99" s="173"/>
      <c r="H99" s="170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</row>
    <row r="100" ht="14.25" customHeight="1">
      <c r="A100" s="171"/>
      <c r="B100" s="282"/>
      <c r="C100" s="282"/>
      <c r="D100" s="78"/>
      <c r="E100" s="78"/>
      <c r="F100" s="173"/>
      <c r="G100" s="173"/>
      <c r="H100" s="170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</row>
    <row r="101" ht="14.25" customHeight="1">
      <c r="A101" s="171"/>
      <c r="B101" s="282"/>
      <c r="C101" s="282"/>
      <c r="D101" s="78"/>
      <c r="E101" s="78"/>
      <c r="F101" s="173"/>
      <c r="G101" s="173"/>
      <c r="H101" s="170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</row>
    <row r="102" ht="14.25" customHeight="1">
      <c r="A102" s="171"/>
      <c r="B102" s="282"/>
      <c r="C102" s="282"/>
      <c r="D102" s="78"/>
      <c r="E102" s="78"/>
      <c r="F102" s="173"/>
      <c r="G102" s="173"/>
      <c r="H102" s="170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</row>
    <row r="103" ht="14.25" customHeight="1">
      <c r="A103" s="171"/>
      <c r="B103" s="282"/>
      <c r="C103" s="282"/>
      <c r="D103" s="78"/>
      <c r="E103" s="78"/>
      <c r="F103" s="173"/>
      <c r="G103" s="173"/>
      <c r="H103" s="170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</row>
    <row r="104" ht="14.25" customHeight="1">
      <c r="A104" s="171"/>
      <c r="B104" s="282"/>
      <c r="C104" s="282"/>
      <c r="D104" s="78"/>
      <c r="E104" s="78"/>
      <c r="F104" s="173"/>
      <c r="G104" s="173"/>
      <c r="H104" s="170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</row>
    <row r="105" ht="14.25" customHeight="1">
      <c r="A105" s="171"/>
      <c r="B105" s="282"/>
      <c r="C105" s="282"/>
      <c r="D105" s="78"/>
      <c r="E105" s="78"/>
      <c r="F105" s="173"/>
      <c r="G105" s="173"/>
      <c r="H105" s="170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</row>
    <row r="106" ht="14.25" customHeight="1">
      <c r="A106" s="171"/>
      <c r="B106" s="282"/>
      <c r="C106" s="282"/>
      <c r="D106" s="78"/>
      <c r="E106" s="78"/>
      <c r="F106" s="173"/>
      <c r="G106" s="173"/>
      <c r="H106" s="170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</row>
    <row r="107" ht="14.25" customHeight="1">
      <c r="A107" s="171"/>
      <c r="B107" s="282"/>
      <c r="C107" s="282"/>
      <c r="D107" s="78"/>
      <c r="E107" s="78"/>
      <c r="F107" s="173"/>
      <c r="G107" s="173"/>
      <c r="H107" s="170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</row>
    <row r="108" ht="14.25" customHeight="1">
      <c r="A108" s="171"/>
      <c r="B108" s="282"/>
      <c r="C108" s="282"/>
      <c r="D108" s="78"/>
      <c r="E108" s="78"/>
      <c r="F108" s="173"/>
      <c r="G108" s="173"/>
      <c r="H108" s="170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</row>
    <row r="109" ht="14.25" customHeight="1">
      <c r="A109" s="171"/>
      <c r="B109" s="282"/>
      <c r="C109" s="282"/>
      <c r="D109" s="78"/>
      <c r="E109" s="78"/>
      <c r="F109" s="173"/>
      <c r="G109" s="173"/>
      <c r="H109" s="170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</row>
    <row r="110" ht="14.25" customHeight="1">
      <c r="A110" s="171"/>
      <c r="B110" s="282"/>
      <c r="C110" s="282"/>
      <c r="D110" s="78"/>
      <c r="E110" s="78"/>
      <c r="F110" s="173"/>
      <c r="G110" s="173"/>
      <c r="H110" s="170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</row>
    <row r="111" ht="14.25" customHeight="1">
      <c r="A111" s="171"/>
      <c r="B111" s="282"/>
      <c r="C111" s="282"/>
      <c r="D111" s="78"/>
      <c r="E111" s="78"/>
      <c r="F111" s="173"/>
      <c r="G111" s="173"/>
      <c r="H111" s="170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</row>
    <row r="112" ht="14.25" customHeight="1">
      <c r="A112" s="171"/>
      <c r="B112" s="282"/>
      <c r="C112" s="282"/>
      <c r="D112" s="78"/>
      <c r="E112" s="78"/>
      <c r="F112" s="173"/>
      <c r="G112" s="173"/>
      <c r="H112" s="170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</row>
    <row r="113" ht="14.25" customHeight="1">
      <c r="A113" s="171"/>
      <c r="B113" s="282"/>
      <c r="C113" s="282"/>
      <c r="D113" s="78"/>
      <c r="E113" s="78"/>
      <c r="F113" s="173"/>
      <c r="G113" s="173"/>
      <c r="H113" s="170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</row>
    <row r="114" ht="14.25" customHeight="1">
      <c r="A114" s="171"/>
      <c r="B114" s="282"/>
      <c r="C114" s="282"/>
      <c r="D114" s="78"/>
      <c r="E114" s="78"/>
      <c r="F114" s="173"/>
      <c r="G114" s="173"/>
      <c r="H114" s="170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</row>
    <row r="115" ht="14.25" customHeight="1">
      <c r="A115" s="171"/>
      <c r="B115" s="282"/>
      <c r="C115" s="282"/>
      <c r="D115" s="78"/>
      <c r="E115" s="78"/>
      <c r="F115" s="173"/>
      <c r="G115" s="173"/>
      <c r="H115" s="170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</row>
    <row r="116" ht="14.25" customHeight="1">
      <c r="A116" s="171"/>
      <c r="B116" s="282"/>
      <c r="C116" s="282"/>
      <c r="D116" s="78"/>
      <c r="E116" s="78"/>
      <c r="F116" s="173"/>
      <c r="G116" s="173"/>
      <c r="H116" s="170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</row>
    <row r="117" ht="14.25" customHeight="1">
      <c r="A117" s="171"/>
      <c r="B117" s="282"/>
      <c r="C117" s="282"/>
      <c r="D117" s="78"/>
      <c r="E117" s="78"/>
      <c r="F117" s="173"/>
      <c r="G117" s="173"/>
      <c r="H117" s="170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</row>
    <row r="118" ht="14.25" customHeight="1">
      <c r="A118" s="171"/>
      <c r="B118" s="282"/>
      <c r="C118" s="282"/>
      <c r="D118" s="78"/>
      <c r="E118" s="78"/>
      <c r="F118" s="173"/>
      <c r="G118" s="173"/>
      <c r="H118" s="170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</row>
    <row r="119" ht="14.25" customHeight="1">
      <c r="A119" s="171"/>
      <c r="B119" s="282"/>
      <c r="C119" s="282"/>
      <c r="D119" s="78"/>
      <c r="E119" s="78"/>
      <c r="F119" s="173"/>
      <c r="G119" s="173"/>
      <c r="H119" s="170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</row>
    <row r="120" ht="14.25" customHeight="1">
      <c r="A120" s="171"/>
      <c r="B120" s="282"/>
      <c r="C120" s="282"/>
      <c r="D120" s="78"/>
      <c r="E120" s="78"/>
      <c r="F120" s="173"/>
      <c r="G120" s="173"/>
      <c r="H120" s="170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</row>
    <row r="121" ht="14.25" customHeight="1">
      <c r="A121" s="171"/>
      <c r="B121" s="282"/>
      <c r="C121" s="282"/>
      <c r="D121" s="78"/>
      <c r="E121" s="78"/>
      <c r="F121" s="173"/>
      <c r="G121" s="173"/>
      <c r="H121" s="170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</row>
    <row r="122" ht="14.25" customHeight="1">
      <c r="A122" s="171"/>
      <c r="B122" s="282"/>
      <c r="C122" s="282"/>
      <c r="D122" s="78"/>
      <c r="E122" s="78"/>
      <c r="F122" s="173"/>
      <c r="G122" s="173"/>
      <c r="H122" s="170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</row>
    <row r="123" ht="14.25" customHeight="1">
      <c r="A123" s="171"/>
      <c r="B123" s="282"/>
      <c r="C123" s="282"/>
      <c r="D123" s="78"/>
      <c r="E123" s="78"/>
      <c r="F123" s="173"/>
      <c r="G123" s="173"/>
      <c r="H123" s="170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</row>
    <row r="124" ht="14.25" customHeight="1">
      <c r="A124" s="171"/>
      <c r="B124" s="282"/>
      <c r="C124" s="282"/>
      <c r="D124" s="78"/>
      <c r="E124" s="78"/>
      <c r="F124" s="173"/>
      <c r="G124" s="173"/>
      <c r="H124" s="170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</row>
    <row r="125" ht="14.25" customHeight="1">
      <c r="A125" s="171"/>
      <c r="B125" s="282"/>
      <c r="C125" s="282"/>
      <c r="D125" s="78"/>
      <c r="E125" s="78"/>
      <c r="F125" s="173"/>
      <c r="G125" s="173"/>
      <c r="H125" s="170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</row>
    <row r="126" ht="14.25" customHeight="1">
      <c r="A126" s="171"/>
      <c r="B126" s="282"/>
      <c r="C126" s="282"/>
      <c r="D126" s="78"/>
      <c r="E126" s="78"/>
      <c r="F126" s="173"/>
      <c r="G126" s="173"/>
      <c r="H126" s="170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</row>
    <row r="127" ht="14.25" customHeight="1">
      <c r="A127" s="171"/>
      <c r="B127" s="282"/>
      <c r="C127" s="282"/>
      <c r="D127" s="78"/>
      <c r="E127" s="78"/>
      <c r="F127" s="173"/>
      <c r="G127" s="173"/>
      <c r="H127" s="170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</row>
    <row r="128" ht="14.25" customHeight="1">
      <c r="A128" s="171"/>
      <c r="B128" s="282"/>
      <c r="C128" s="282"/>
      <c r="D128" s="78"/>
      <c r="E128" s="78"/>
      <c r="F128" s="173"/>
      <c r="G128" s="173"/>
      <c r="H128" s="170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</row>
    <row r="129" ht="14.25" customHeight="1">
      <c r="A129" s="171"/>
      <c r="B129" s="282"/>
      <c r="C129" s="282"/>
      <c r="D129" s="78"/>
      <c r="E129" s="78"/>
      <c r="F129" s="173"/>
      <c r="G129" s="173"/>
      <c r="H129" s="170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</row>
    <row r="130" ht="14.25" customHeight="1">
      <c r="A130" s="171"/>
      <c r="B130" s="282"/>
      <c r="C130" s="282"/>
      <c r="D130" s="78"/>
      <c r="E130" s="78"/>
      <c r="F130" s="173"/>
      <c r="G130" s="173"/>
      <c r="H130" s="170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</row>
    <row r="131" ht="14.25" customHeight="1">
      <c r="A131" s="171"/>
      <c r="B131" s="282"/>
      <c r="C131" s="282"/>
      <c r="D131" s="78"/>
      <c r="E131" s="78"/>
      <c r="F131" s="173"/>
      <c r="G131" s="173"/>
      <c r="H131" s="170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</row>
    <row r="132" ht="14.25" customHeight="1">
      <c r="A132" s="171"/>
      <c r="B132" s="282"/>
      <c r="C132" s="282"/>
      <c r="D132" s="78"/>
      <c r="E132" s="78"/>
      <c r="F132" s="173"/>
      <c r="G132" s="173"/>
      <c r="H132" s="170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</row>
    <row r="133" ht="14.25" customHeight="1">
      <c r="A133" s="171"/>
      <c r="B133" s="282"/>
      <c r="C133" s="282"/>
      <c r="D133" s="78"/>
      <c r="E133" s="78"/>
      <c r="F133" s="173"/>
      <c r="G133" s="173"/>
      <c r="H133" s="170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</row>
    <row r="134" ht="14.25" customHeight="1">
      <c r="A134" s="171"/>
      <c r="B134" s="282"/>
      <c r="C134" s="282"/>
      <c r="D134" s="78"/>
      <c r="E134" s="78"/>
      <c r="F134" s="173"/>
      <c r="G134" s="173"/>
      <c r="H134" s="170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</row>
    <row r="135" ht="14.25" customHeight="1">
      <c r="A135" s="171"/>
      <c r="B135" s="282"/>
      <c r="C135" s="282"/>
      <c r="D135" s="78"/>
      <c r="E135" s="78"/>
      <c r="F135" s="173"/>
      <c r="G135" s="173"/>
      <c r="H135" s="170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</row>
    <row r="136" ht="14.25" customHeight="1">
      <c r="A136" s="171"/>
      <c r="B136" s="282"/>
      <c r="C136" s="282"/>
      <c r="D136" s="78"/>
      <c r="E136" s="78"/>
      <c r="F136" s="173"/>
      <c r="G136" s="173"/>
      <c r="H136" s="170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</row>
    <row r="137" ht="14.25" customHeight="1">
      <c r="A137" s="171"/>
      <c r="B137" s="282"/>
      <c r="C137" s="282"/>
      <c r="D137" s="78"/>
      <c r="E137" s="78"/>
      <c r="F137" s="173"/>
      <c r="G137" s="173"/>
      <c r="H137" s="170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</row>
    <row r="138" ht="14.25" customHeight="1">
      <c r="A138" s="171"/>
      <c r="B138" s="282"/>
      <c r="C138" s="282"/>
      <c r="D138" s="78"/>
      <c r="E138" s="78"/>
      <c r="F138" s="173"/>
      <c r="G138" s="173"/>
      <c r="H138" s="170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</row>
    <row r="139" ht="14.25" customHeight="1">
      <c r="A139" s="171"/>
      <c r="B139" s="282"/>
      <c r="C139" s="282"/>
      <c r="D139" s="78"/>
      <c r="E139" s="78"/>
      <c r="F139" s="173"/>
      <c r="G139" s="173"/>
      <c r="H139" s="170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</row>
    <row r="140" ht="14.25" customHeight="1">
      <c r="A140" s="171"/>
      <c r="B140" s="282"/>
      <c r="C140" s="282"/>
      <c r="D140" s="78"/>
      <c r="E140" s="78"/>
      <c r="F140" s="173"/>
      <c r="G140" s="173"/>
      <c r="H140" s="170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</row>
    <row r="141" ht="14.25" customHeight="1">
      <c r="A141" s="171"/>
      <c r="B141" s="282"/>
      <c r="C141" s="282"/>
      <c r="D141" s="78"/>
      <c r="E141" s="78"/>
      <c r="F141" s="173"/>
      <c r="G141" s="173"/>
      <c r="H141" s="170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</row>
    <row r="142" ht="14.25" customHeight="1">
      <c r="A142" s="171"/>
      <c r="B142" s="282"/>
      <c r="C142" s="282"/>
      <c r="D142" s="78"/>
      <c r="E142" s="78"/>
      <c r="F142" s="173"/>
      <c r="G142" s="173"/>
      <c r="H142" s="170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</row>
    <row r="143" ht="14.25" customHeight="1">
      <c r="A143" s="171"/>
      <c r="B143" s="282"/>
      <c r="C143" s="282"/>
      <c r="D143" s="78"/>
      <c r="E143" s="78"/>
      <c r="F143" s="173"/>
      <c r="G143" s="173"/>
      <c r="H143" s="170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</row>
    <row r="144" ht="14.25" customHeight="1">
      <c r="A144" s="171"/>
      <c r="B144" s="282"/>
      <c r="C144" s="282"/>
      <c r="D144" s="78"/>
      <c r="E144" s="78"/>
      <c r="F144" s="173"/>
      <c r="G144" s="173"/>
      <c r="H144" s="170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</row>
    <row r="145" ht="14.25" customHeight="1">
      <c r="A145" s="171"/>
      <c r="B145" s="282"/>
      <c r="C145" s="282"/>
      <c r="D145" s="78"/>
      <c r="E145" s="78"/>
      <c r="F145" s="173"/>
      <c r="G145" s="173"/>
      <c r="H145" s="170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</row>
    <row r="146" ht="14.25" customHeight="1">
      <c r="A146" s="171"/>
      <c r="B146" s="282"/>
      <c r="C146" s="282"/>
      <c r="D146" s="78"/>
      <c r="E146" s="78"/>
      <c r="F146" s="173"/>
      <c r="G146" s="173"/>
      <c r="H146" s="170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</row>
    <row r="147" ht="14.25" customHeight="1">
      <c r="A147" s="171"/>
      <c r="B147" s="282"/>
      <c r="C147" s="282"/>
      <c r="D147" s="78"/>
      <c r="E147" s="78"/>
      <c r="F147" s="173"/>
      <c r="G147" s="173"/>
      <c r="H147" s="170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</row>
    <row r="148" ht="14.25" customHeight="1">
      <c r="A148" s="171"/>
      <c r="B148" s="282"/>
      <c r="C148" s="282"/>
      <c r="D148" s="78"/>
      <c r="E148" s="78"/>
      <c r="F148" s="173"/>
      <c r="G148" s="173"/>
      <c r="H148" s="170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</row>
    <row r="149" ht="14.25" customHeight="1">
      <c r="A149" s="171"/>
      <c r="B149" s="282"/>
      <c r="C149" s="282"/>
      <c r="D149" s="78"/>
      <c r="E149" s="78"/>
      <c r="F149" s="173"/>
      <c r="G149" s="173"/>
      <c r="H149" s="170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</row>
    <row r="150" ht="14.25" customHeight="1">
      <c r="A150" s="171"/>
      <c r="B150" s="282"/>
      <c r="C150" s="282"/>
      <c r="D150" s="78"/>
      <c r="E150" s="78"/>
      <c r="F150" s="173"/>
      <c r="G150" s="173"/>
      <c r="H150" s="170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</row>
    <row r="151" ht="14.25" customHeight="1">
      <c r="A151" s="171"/>
      <c r="B151" s="282"/>
      <c r="C151" s="282"/>
      <c r="D151" s="78"/>
      <c r="E151" s="78"/>
      <c r="F151" s="173"/>
      <c r="G151" s="173"/>
      <c r="H151" s="170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</row>
    <row r="152" ht="14.25" customHeight="1">
      <c r="A152" s="171"/>
      <c r="B152" s="282"/>
      <c r="C152" s="282"/>
      <c r="D152" s="78"/>
      <c r="E152" s="78"/>
      <c r="F152" s="173"/>
      <c r="G152" s="173"/>
      <c r="H152" s="170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</row>
    <row r="153" ht="14.25" customHeight="1">
      <c r="A153" s="171"/>
      <c r="B153" s="282"/>
      <c r="C153" s="282"/>
      <c r="D153" s="78"/>
      <c r="E153" s="78"/>
      <c r="F153" s="173"/>
      <c r="G153" s="173"/>
      <c r="H153" s="170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</row>
    <row r="154" ht="14.25" customHeight="1">
      <c r="A154" s="171"/>
      <c r="B154" s="282"/>
      <c r="C154" s="282"/>
      <c r="D154" s="78"/>
      <c r="E154" s="78"/>
      <c r="F154" s="173"/>
      <c r="G154" s="173"/>
      <c r="H154" s="170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</row>
    <row r="155" ht="14.25" customHeight="1">
      <c r="A155" s="171"/>
      <c r="B155" s="282"/>
      <c r="C155" s="282"/>
      <c r="D155" s="78"/>
      <c r="E155" s="78"/>
      <c r="F155" s="173"/>
      <c r="G155" s="173"/>
      <c r="H155" s="170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</row>
    <row r="156" ht="14.25" customHeight="1">
      <c r="A156" s="171"/>
      <c r="B156" s="282"/>
      <c r="C156" s="282"/>
      <c r="D156" s="78"/>
      <c r="E156" s="78"/>
      <c r="F156" s="173"/>
      <c r="G156" s="173"/>
      <c r="H156" s="170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</row>
    <row r="157" ht="14.25" customHeight="1">
      <c r="A157" s="171"/>
      <c r="B157" s="282"/>
      <c r="C157" s="282"/>
      <c r="D157" s="78"/>
      <c r="E157" s="78"/>
      <c r="F157" s="173"/>
      <c r="G157" s="173"/>
      <c r="H157" s="170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</row>
    <row r="158" ht="14.25" customHeight="1">
      <c r="A158" s="171"/>
      <c r="B158" s="282"/>
      <c r="C158" s="282"/>
      <c r="D158" s="78"/>
      <c r="E158" s="78"/>
      <c r="F158" s="173"/>
      <c r="G158" s="173"/>
      <c r="H158" s="170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</row>
    <row r="159" ht="14.25" customHeight="1">
      <c r="A159" s="171"/>
      <c r="B159" s="282"/>
      <c r="C159" s="282"/>
      <c r="D159" s="78"/>
      <c r="E159" s="78"/>
      <c r="F159" s="173"/>
      <c r="G159" s="173"/>
      <c r="H159" s="170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</row>
    <row r="160" ht="14.25" customHeight="1">
      <c r="A160" s="171"/>
      <c r="B160" s="282"/>
      <c r="C160" s="282"/>
      <c r="D160" s="78"/>
      <c r="E160" s="78"/>
      <c r="F160" s="173"/>
      <c r="G160" s="173"/>
      <c r="H160" s="170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</row>
    <row r="161" ht="14.25" customHeight="1">
      <c r="A161" s="171"/>
      <c r="B161" s="282"/>
      <c r="C161" s="282"/>
      <c r="D161" s="78"/>
      <c r="E161" s="78"/>
      <c r="F161" s="173"/>
      <c r="G161" s="173"/>
      <c r="H161" s="170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</row>
    <row r="162" ht="14.25" customHeight="1">
      <c r="A162" s="171"/>
      <c r="B162" s="282"/>
      <c r="C162" s="282"/>
      <c r="D162" s="78"/>
      <c r="E162" s="78"/>
      <c r="F162" s="173"/>
      <c r="G162" s="173"/>
      <c r="H162" s="170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</row>
    <row r="163" ht="14.25" customHeight="1">
      <c r="A163" s="171"/>
      <c r="B163" s="282"/>
      <c r="C163" s="282"/>
      <c r="D163" s="78"/>
      <c r="E163" s="78"/>
      <c r="F163" s="173"/>
      <c r="G163" s="173"/>
      <c r="H163" s="170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</row>
    <row r="164" ht="14.25" customHeight="1">
      <c r="A164" s="171"/>
      <c r="B164" s="282"/>
      <c r="C164" s="282"/>
      <c r="D164" s="78"/>
      <c r="E164" s="78"/>
      <c r="F164" s="173"/>
      <c r="G164" s="173"/>
      <c r="H164" s="170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</row>
    <row r="165" ht="14.25" customHeight="1">
      <c r="A165" s="171"/>
      <c r="B165" s="282"/>
      <c r="C165" s="282"/>
      <c r="D165" s="78"/>
      <c r="E165" s="78"/>
      <c r="F165" s="173"/>
      <c r="G165" s="173"/>
      <c r="H165" s="170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</row>
    <row r="166" ht="14.25" customHeight="1">
      <c r="A166" s="171"/>
      <c r="B166" s="282"/>
      <c r="C166" s="282"/>
      <c r="D166" s="78"/>
      <c r="E166" s="78"/>
      <c r="F166" s="173"/>
      <c r="G166" s="173"/>
      <c r="H166" s="170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</row>
    <row r="167" ht="14.25" customHeight="1">
      <c r="A167" s="171"/>
      <c r="B167" s="282"/>
      <c r="C167" s="282"/>
      <c r="D167" s="78"/>
      <c r="E167" s="78"/>
      <c r="F167" s="173"/>
      <c r="G167" s="173"/>
      <c r="H167" s="170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</row>
    <row r="168" ht="14.25" customHeight="1">
      <c r="A168" s="171"/>
      <c r="B168" s="282"/>
      <c r="C168" s="282"/>
      <c r="D168" s="78"/>
      <c r="E168" s="78"/>
      <c r="F168" s="173"/>
      <c r="G168" s="173"/>
      <c r="H168" s="170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</row>
    <row r="169" ht="14.25" customHeight="1">
      <c r="A169" s="171"/>
      <c r="B169" s="282"/>
      <c r="C169" s="282"/>
      <c r="D169" s="78"/>
      <c r="E169" s="78"/>
      <c r="F169" s="173"/>
      <c r="G169" s="173"/>
      <c r="H169" s="170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</row>
    <row r="170" ht="14.25" customHeight="1">
      <c r="A170" s="171"/>
      <c r="B170" s="282"/>
      <c r="C170" s="282"/>
      <c r="D170" s="78"/>
      <c r="E170" s="78"/>
      <c r="F170" s="173"/>
      <c r="G170" s="173"/>
      <c r="H170" s="170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</row>
    <row r="171" ht="14.25" customHeight="1">
      <c r="A171" s="171"/>
      <c r="B171" s="282"/>
      <c r="C171" s="282"/>
      <c r="D171" s="78"/>
      <c r="E171" s="78"/>
      <c r="F171" s="173"/>
      <c r="G171" s="173"/>
      <c r="H171" s="170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</row>
    <row r="172" ht="14.25" customHeight="1">
      <c r="A172" s="171"/>
      <c r="B172" s="282"/>
      <c r="C172" s="282"/>
      <c r="D172" s="78"/>
      <c r="E172" s="78"/>
      <c r="F172" s="173"/>
      <c r="G172" s="173"/>
      <c r="H172" s="170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</row>
    <row r="173" ht="14.25" customHeight="1">
      <c r="A173" s="171"/>
      <c r="B173" s="282"/>
      <c r="C173" s="282"/>
      <c r="D173" s="78"/>
      <c r="E173" s="78"/>
      <c r="F173" s="173"/>
      <c r="G173" s="173"/>
      <c r="H173" s="170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</row>
    <row r="174" ht="14.25" customHeight="1">
      <c r="A174" s="171"/>
      <c r="B174" s="282"/>
      <c r="C174" s="282"/>
      <c r="D174" s="78"/>
      <c r="E174" s="78"/>
      <c r="F174" s="173"/>
      <c r="G174" s="173"/>
      <c r="H174" s="170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</row>
    <row r="175" ht="14.25" customHeight="1">
      <c r="A175" s="171"/>
      <c r="B175" s="282"/>
      <c r="C175" s="282"/>
      <c r="D175" s="78"/>
      <c r="E175" s="78"/>
      <c r="F175" s="173"/>
      <c r="G175" s="173"/>
      <c r="H175" s="170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</row>
    <row r="176" ht="14.25" customHeight="1">
      <c r="A176" s="171"/>
      <c r="B176" s="282"/>
      <c r="C176" s="282"/>
      <c r="D176" s="78"/>
      <c r="E176" s="78"/>
      <c r="F176" s="173"/>
      <c r="G176" s="173"/>
      <c r="H176" s="170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</row>
    <row r="177" ht="14.25" customHeight="1">
      <c r="A177" s="171"/>
      <c r="B177" s="282"/>
      <c r="C177" s="282"/>
      <c r="D177" s="78"/>
      <c r="E177" s="78"/>
      <c r="F177" s="173"/>
      <c r="G177" s="173"/>
      <c r="H177" s="170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</row>
    <row r="178" ht="14.25" customHeight="1">
      <c r="A178" s="171"/>
      <c r="B178" s="282"/>
      <c r="C178" s="282"/>
      <c r="D178" s="78"/>
      <c r="E178" s="78"/>
      <c r="F178" s="173"/>
      <c r="G178" s="173"/>
      <c r="H178" s="170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</row>
    <row r="179" ht="14.25" customHeight="1">
      <c r="A179" s="171"/>
      <c r="B179" s="282"/>
      <c r="C179" s="282"/>
      <c r="D179" s="78"/>
      <c r="E179" s="78"/>
      <c r="F179" s="173"/>
      <c r="G179" s="173"/>
      <c r="H179" s="170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</row>
    <row r="180" ht="14.25" customHeight="1">
      <c r="A180" s="171"/>
      <c r="B180" s="282"/>
      <c r="C180" s="282"/>
      <c r="D180" s="78"/>
      <c r="E180" s="78"/>
      <c r="F180" s="173"/>
      <c r="G180" s="173"/>
      <c r="H180" s="170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</row>
    <row r="181" ht="14.25" customHeight="1">
      <c r="A181" s="171"/>
      <c r="B181" s="282"/>
      <c r="C181" s="282"/>
      <c r="D181" s="78"/>
      <c r="E181" s="78"/>
      <c r="F181" s="173"/>
      <c r="G181" s="173"/>
      <c r="H181" s="170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</row>
    <row r="182" ht="14.25" customHeight="1">
      <c r="A182" s="171"/>
      <c r="B182" s="282"/>
      <c r="C182" s="282"/>
      <c r="D182" s="78"/>
      <c r="E182" s="78"/>
      <c r="F182" s="173"/>
      <c r="G182" s="173"/>
      <c r="H182" s="170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</row>
    <row r="183" ht="14.25" customHeight="1">
      <c r="A183" s="171"/>
      <c r="B183" s="282"/>
      <c r="C183" s="282"/>
      <c r="D183" s="78"/>
      <c r="E183" s="78"/>
      <c r="F183" s="173"/>
      <c r="G183" s="173"/>
      <c r="H183" s="170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</row>
    <row r="184" ht="14.25" customHeight="1">
      <c r="A184" s="171"/>
      <c r="B184" s="282"/>
      <c r="C184" s="282"/>
      <c r="D184" s="78"/>
      <c r="E184" s="78"/>
      <c r="F184" s="173"/>
      <c r="G184" s="173"/>
      <c r="H184" s="170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</row>
    <row r="185" ht="14.25" customHeight="1">
      <c r="A185" s="171"/>
      <c r="B185" s="282"/>
      <c r="C185" s="282"/>
      <c r="D185" s="78"/>
      <c r="E185" s="78"/>
      <c r="F185" s="173"/>
      <c r="G185" s="173"/>
      <c r="H185" s="170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</row>
    <row r="186" ht="14.25" customHeight="1">
      <c r="A186" s="171"/>
      <c r="B186" s="282"/>
      <c r="C186" s="282"/>
      <c r="D186" s="78"/>
      <c r="E186" s="78"/>
      <c r="F186" s="173"/>
      <c r="G186" s="173"/>
      <c r="H186" s="170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</row>
    <row r="187" ht="14.25" customHeight="1">
      <c r="A187" s="171"/>
      <c r="B187" s="282"/>
      <c r="C187" s="282"/>
      <c r="D187" s="78"/>
      <c r="E187" s="78"/>
      <c r="F187" s="173"/>
      <c r="G187" s="173"/>
      <c r="H187" s="170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</row>
    <row r="188" ht="14.25" customHeight="1">
      <c r="A188" s="171"/>
      <c r="B188" s="282"/>
      <c r="C188" s="282"/>
      <c r="D188" s="78"/>
      <c r="E188" s="78"/>
      <c r="F188" s="173"/>
      <c r="G188" s="173"/>
      <c r="H188" s="170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</row>
    <row r="189" ht="14.25" customHeight="1">
      <c r="A189" s="171"/>
      <c r="B189" s="282"/>
      <c r="C189" s="282"/>
      <c r="D189" s="78"/>
      <c r="E189" s="78"/>
      <c r="F189" s="173"/>
      <c r="G189" s="173"/>
      <c r="H189" s="170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</row>
    <row r="190" ht="14.25" customHeight="1">
      <c r="A190" s="171"/>
      <c r="B190" s="282"/>
      <c r="C190" s="282"/>
      <c r="D190" s="78"/>
      <c r="E190" s="78"/>
      <c r="F190" s="173"/>
      <c r="G190" s="173"/>
      <c r="H190" s="170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</row>
    <row r="191" ht="14.25" customHeight="1">
      <c r="A191" s="171"/>
      <c r="B191" s="282"/>
      <c r="C191" s="282"/>
      <c r="D191" s="78"/>
      <c r="E191" s="78"/>
      <c r="F191" s="173"/>
      <c r="G191" s="173"/>
      <c r="H191" s="170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</row>
    <row r="192" ht="14.25" customHeight="1">
      <c r="A192" s="171"/>
      <c r="B192" s="282"/>
      <c r="C192" s="282"/>
      <c r="D192" s="78"/>
      <c r="E192" s="78"/>
      <c r="F192" s="173"/>
      <c r="G192" s="173"/>
      <c r="H192" s="170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</row>
    <row r="193" ht="14.25" customHeight="1">
      <c r="A193" s="171"/>
      <c r="B193" s="282"/>
      <c r="C193" s="282"/>
      <c r="D193" s="78"/>
      <c r="E193" s="78"/>
      <c r="F193" s="173"/>
      <c r="G193" s="173"/>
      <c r="H193" s="170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</row>
    <row r="194" ht="14.25" customHeight="1">
      <c r="A194" s="171"/>
      <c r="B194" s="282"/>
      <c r="C194" s="282"/>
      <c r="D194" s="78"/>
      <c r="E194" s="78"/>
      <c r="F194" s="173"/>
      <c r="G194" s="173"/>
      <c r="H194" s="170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</row>
    <row r="195" ht="14.25" customHeight="1">
      <c r="A195" s="171"/>
      <c r="B195" s="282"/>
      <c r="C195" s="282"/>
      <c r="D195" s="78"/>
      <c r="E195" s="78"/>
      <c r="F195" s="173"/>
      <c r="G195" s="173"/>
      <c r="H195" s="170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</row>
    <row r="196" ht="14.25" customHeight="1">
      <c r="A196" s="171"/>
      <c r="B196" s="282"/>
      <c r="C196" s="282"/>
      <c r="D196" s="78"/>
      <c r="E196" s="78"/>
      <c r="F196" s="173"/>
      <c r="G196" s="173"/>
      <c r="H196" s="170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</row>
    <row r="197" ht="14.25" customHeight="1">
      <c r="A197" s="171"/>
      <c r="B197" s="282"/>
      <c r="C197" s="282"/>
      <c r="D197" s="78"/>
      <c r="E197" s="78"/>
      <c r="F197" s="173"/>
      <c r="G197" s="173"/>
      <c r="H197" s="170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</row>
    <row r="198" ht="14.25" customHeight="1">
      <c r="A198" s="171"/>
      <c r="B198" s="282"/>
      <c r="C198" s="282"/>
      <c r="D198" s="78"/>
      <c r="E198" s="78"/>
      <c r="F198" s="173"/>
      <c r="G198" s="173"/>
      <c r="H198" s="170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</row>
    <row r="199" ht="14.25" customHeight="1">
      <c r="A199" s="171"/>
      <c r="B199" s="282"/>
      <c r="C199" s="282"/>
      <c r="D199" s="78"/>
      <c r="E199" s="78"/>
      <c r="F199" s="173"/>
      <c r="G199" s="173"/>
      <c r="H199" s="170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</row>
    <row r="200" ht="14.25" customHeight="1">
      <c r="A200" s="171"/>
      <c r="B200" s="282"/>
      <c r="C200" s="282"/>
      <c r="D200" s="78"/>
      <c r="E200" s="78"/>
      <c r="F200" s="173"/>
      <c r="G200" s="173"/>
      <c r="H200" s="170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</row>
    <row r="201" ht="14.25" customHeight="1">
      <c r="A201" s="171"/>
      <c r="B201" s="282"/>
      <c r="C201" s="282"/>
      <c r="D201" s="78"/>
      <c r="E201" s="78"/>
      <c r="F201" s="173"/>
      <c r="G201" s="173"/>
      <c r="H201" s="170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</row>
    <row r="202" ht="14.25" customHeight="1">
      <c r="A202" s="171"/>
      <c r="B202" s="282"/>
      <c r="C202" s="282"/>
      <c r="D202" s="78"/>
      <c r="E202" s="78"/>
      <c r="F202" s="173"/>
      <c r="G202" s="173"/>
      <c r="H202" s="170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</row>
    <row r="203" ht="14.25" customHeight="1">
      <c r="A203" s="171"/>
      <c r="B203" s="282"/>
      <c r="C203" s="282"/>
      <c r="D203" s="78"/>
      <c r="E203" s="78"/>
      <c r="F203" s="173"/>
      <c r="G203" s="173"/>
      <c r="H203" s="170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</row>
    <row r="204" ht="14.25" customHeight="1">
      <c r="A204" s="171"/>
      <c r="B204" s="282"/>
      <c r="C204" s="282"/>
      <c r="D204" s="78"/>
      <c r="E204" s="78"/>
      <c r="F204" s="173"/>
      <c r="G204" s="173"/>
      <c r="H204" s="170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</row>
    <row r="205" ht="14.25" customHeight="1">
      <c r="A205" s="171"/>
      <c r="B205" s="282"/>
      <c r="C205" s="282"/>
      <c r="D205" s="78"/>
      <c r="E205" s="78"/>
      <c r="F205" s="173"/>
      <c r="G205" s="173"/>
      <c r="H205" s="170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</row>
    <row r="206" ht="14.25" customHeight="1">
      <c r="A206" s="171"/>
      <c r="B206" s="282"/>
      <c r="C206" s="282"/>
      <c r="D206" s="78"/>
      <c r="E206" s="78"/>
      <c r="F206" s="173"/>
      <c r="G206" s="173"/>
      <c r="H206" s="170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</row>
    <row r="207" ht="14.25" customHeight="1">
      <c r="A207" s="171"/>
      <c r="B207" s="282"/>
      <c r="C207" s="282"/>
      <c r="D207" s="78"/>
      <c r="E207" s="78"/>
      <c r="F207" s="173"/>
      <c r="G207" s="173"/>
      <c r="H207" s="170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</row>
    <row r="208" ht="14.25" customHeight="1">
      <c r="A208" s="171"/>
      <c r="B208" s="282"/>
      <c r="C208" s="282"/>
      <c r="D208" s="78"/>
      <c r="E208" s="78"/>
      <c r="F208" s="173"/>
      <c r="G208" s="173"/>
      <c r="H208" s="170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</row>
    <row r="209" ht="14.25" customHeight="1">
      <c r="A209" s="171"/>
      <c r="B209" s="282"/>
      <c r="C209" s="282"/>
      <c r="D209" s="78"/>
      <c r="E209" s="78"/>
      <c r="F209" s="173"/>
      <c r="G209" s="173"/>
      <c r="H209" s="170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</row>
    <row r="210" ht="14.25" customHeight="1">
      <c r="A210" s="171"/>
      <c r="B210" s="282"/>
      <c r="C210" s="282"/>
      <c r="D210" s="78"/>
      <c r="E210" s="78"/>
      <c r="F210" s="173"/>
      <c r="G210" s="173"/>
      <c r="H210" s="170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</row>
    <row r="211" ht="14.25" customHeight="1">
      <c r="A211" s="171"/>
      <c r="B211" s="282"/>
      <c r="C211" s="282"/>
      <c r="D211" s="78"/>
      <c r="E211" s="78"/>
      <c r="F211" s="173"/>
      <c r="G211" s="173"/>
      <c r="H211" s="170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</row>
    <row r="212" ht="14.25" customHeight="1">
      <c r="A212" s="171"/>
      <c r="B212" s="282"/>
      <c r="C212" s="282"/>
      <c r="D212" s="78"/>
      <c r="E212" s="78"/>
      <c r="F212" s="173"/>
      <c r="G212" s="173"/>
      <c r="H212" s="170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</row>
    <row r="213" ht="14.25" customHeight="1">
      <c r="A213" s="171"/>
      <c r="B213" s="282"/>
      <c r="C213" s="282"/>
      <c r="D213" s="78"/>
      <c r="E213" s="78"/>
      <c r="F213" s="173"/>
      <c r="G213" s="173"/>
      <c r="H213" s="170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</row>
    <row r="214" ht="14.25" customHeight="1">
      <c r="A214" s="171"/>
      <c r="B214" s="282"/>
      <c r="C214" s="282"/>
      <c r="D214" s="78"/>
      <c r="E214" s="78"/>
      <c r="F214" s="173"/>
      <c r="G214" s="173"/>
      <c r="H214" s="170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</row>
    <row r="215" ht="14.25" customHeight="1">
      <c r="A215" s="171"/>
      <c r="B215" s="282"/>
      <c r="C215" s="282"/>
      <c r="D215" s="78"/>
      <c r="E215" s="78"/>
      <c r="F215" s="173"/>
      <c r="G215" s="173"/>
      <c r="H215" s="170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</row>
    <row r="216" ht="14.25" customHeight="1">
      <c r="A216" s="171"/>
      <c r="B216" s="282"/>
      <c r="C216" s="282"/>
      <c r="D216" s="78"/>
      <c r="E216" s="78"/>
      <c r="F216" s="173"/>
      <c r="G216" s="173"/>
      <c r="H216" s="170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</row>
    <row r="217" ht="14.25" customHeight="1">
      <c r="A217" s="171"/>
      <c r="B217" s="282"/>
      <c r="C217" s="282"/>
      <c r="D217" s="78"/>
      <c r="E217" s="78"/>
      <c r="F217" s="173"/>
      <c r="G217" s="173"/>
      <c r="H217" s="170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</row>
    <row r="218" ht="14.25" customHeight="1">
      <c r="A218" s="171"/>
      <c r="B218" s="282"/>
      <c r="C218" s="282"/>
      <c r="D218" s="78"/>
      <c r="E218" s="78"/>
      <c r="F218" s="173"/>
      <c r="G218" s="173"/>
      <c r="H218" s="170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</row>
    <row r="219" ht="14.25" customHeight="1">
      <c r="A219" s="171"/>
      <c r="B219" s="282"/>
      <c r="C219" s="282"/>
      <c r="D219" s="78"/>
      <c r="E219" s="78"/>
      <c r="F219" s="173"/>
      <c r="G219" s="173"/>
      <c r="H219" s="170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</row>
    <row r="220" ht="14.25" customHeight="1">
      <c r="A220" s="171"/>
      <c r="B220" s="282"/>
      <c r="C220" s="282"/>
      <c r="D220" s="78"/>
      <c r="E220" s="78"/>
      <c r="F220" s="173"/>
      <c r="G220" s="173"/>
      <c r="H220" s="170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</row>
    <row r="221" ht="14.25" customHeight="1">
      <c r="A221" s="171"/>
      <c r="B221" s="282"/>
      <c r="C221" s="282"/>
      <c r="D221" s="78"/>
      <c r="E221" s="78"/>
      <c r="F221" s="173"/>
      <c r="G221" s="173"/>
      <c r="H221" s="170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</row>
    <row r="222" ht="14.25" customHeight="1">
      <c r="A222" s="171"/>
      <c r="B222" s="282"/>
      <c r="C222" s="282"/>
      <c r="D222" s="78"/>
      <c r="E222" s="78"/>
      <c r="F222" s="173"/>
      <c r="G222" s="173"/>
      <c r="H222" s="170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</row>
    <row r="223" ht="14.25" customHeight="1">
      <c r="A223" s="171"/>
      <c r="B223" s="282"/>
      <c r="C223" s="282"/>
      <c r="D223" s="78"/>
      <c r="E223" s="78"/>
      <c r="F223" s="173"/>
      <c r="G223" s="173"/>
      <c r="H223" s="170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</row>
    <row r="224" ht="14.25" customHeight="1">
      <c r="A224" s="171"/>
      <c r="B224" s="282"/>
      <c r="C224" s="282"/>
      <c r="D224" s="78"/>
      <c r="E224" s="78"/>
      <c r="F224" s="173"/>
      <c r="G224" s="173"/>
      <c r="H224" s="170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</row>
    <row r="225" ht="14.25" customHeight="1">
      <c r="A225" s="171"/>
      <c r="B225" s="282"/>
      <c r="C225" s="282"/>
      <c r="D225" s="78"/>
      <c r="E225" s="78"/>
      <c r="F225" s="173"/>
      <c r="G225" s="173"/>
      <c r="H225" s="170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</row>
    <row r="226" ht="14.25" customHeight="1">
      <c r="A226" s="171"/>
      <c r="B226" s="282"/>
      <c r="C226" s="282"/>
      <c r="D226" s="78"/>
      <c r="E226" s="78"/>
      <c r="F226" s="173"/>
      <c r="G226" s="173"/>
      <c r="H226" s="170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</row>
    <row r="227" ht="14.25" customHeight="1">
      <c r="A227" s="171"/>
      <c r="B227" s="282"/>
      <c r="C227" s="282"/>
      <c r="D227" s="78"/>
      <c r="E227" s="78"/>
      <c r="F227" s="173"/>
      <c r="G227" s="173"/>
      <c r="H227" s="170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</row>
    <row r="228" ht="14.25" customHeight="1">
      <c r="A228" s="171"/>
      <c r="B228" s="282"/>
      <c r="C228" s="282"/>
      <c r="D228" s="78"/>
      <c r="E228" s="78"/>
      <c r="F228" s="173"/>
      <c r="G228" s="173"/>
      <c r="H228" s="170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</row>
    <row r="229" ht="14.25" customHeight="1">
      <c r="A229" s="171"/>
      <c r="B229" s="282"/>
      <c r="C229" s="282"/>
      <c r="D229" s="78"/>
      <c r="E229" s="78"/>
      <c r="F229" s="173"/>
      <c r="G229" s="173"/>
      <c r="H229" s="170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</row>
    <row r="230" ht="14.25" customHeight="1">
      <c r="A230" s="171"/>
      <c r="B230" s="282"/>
      <c r="C230" s="282"/>
      <c r="D230" s="78"/>
      <c r="E230" s="78"/>
      <c r="F230" s="173"/>
      <c r="G230" s="173"/>
      <c r="H230" s="170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</row>
    <row r="231" ht="14.25" customHeight="1">
      <c r="A231" s="171"/>
      <c r="B231" s="282"/>
      <c r="C231" s="282"/>
      <c r="D231" s="78"/>
      <c r="E231" s="78"/>
      <c r="F231" s="173"/>
      <c r="G231" s="173"/>
      <c r="H231" s="170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</row>
    <row r="232" ht="14.25" customHeight="1">
      <c r="A232" s="171"/>
      <c r="B232" s="282"/>
      <c r="C232" s="282"/>
      <c r="D232" s="78"/>
      <c r="E232" s="78"/>
      <c r="F232" s="173"/>
      <c r="G232" s="173"/>
      <c r="H232" s="170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</row>
    <row r="233" ht="14.25" customHeight="1">
      <c r="A233" s="171"/>
      <c r="B233" s="282"/>
      <c r="C233" s="282"/>
      <c r="D233" s="78"/>
      <c r="E233" s="78"/>
      <c r="F233" s="173"/>
      <c r="G233" s="173"/>
      <c r="H233" s="170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</row>
    <row r="234" ht="14.25" customHeight="1">
      <c r="A234" s="171"/>
      <c r="B234" s="282"/>
      <c r="C234" s="282"/>
      <c r="D234" s="78"/>
      <c r="E234" s="78"/>
      <c r="F234" s="173"/>
      <c r="G234" s="173"/>
      <c r="H234" s="170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</row>
    <row r="235" ht="14.25" customHeight="1">
      <c r="A235" s="171"/>
      <c r="B235" s="282"/>
      <c r="C235" s="282"/>
      <c r="D235" s="78"/>
      <c r="E235" s="78"/>
      <c r="F235" s="173"/>
      <c r="G235" s="173"/>
      <c r="H235" s="170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</row>
    <row r="236" ht="14.25" customHeight="1">
      <c r="A236" s="171"/>
      <c r="B236" s="282"/>
      <c r="C236" s="282"/>
      <c r="D236" s="78"/>
      <c r="E236" s="78"/>
      <c r="F236" s="173"/>
      <c r="G236" s="173"/>
      <c r="H236" s="170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</row>
    <row r="237" ht="14.25" customHeight="1">
      <c r="A237" s="171"/>
      <c r="B237" s="282"/>
      <c r="C237" s="282"/>
      <c r="D237" s="78"/>
      <c r="E237" s="78"/>
      <c r="F237" s="173"/>
      <c r="G237" s="173"/>
      <c r="H237" s="170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</row>
    <row r="238" ht="14.25" customHeight="1">
      <c r="A238" s="171"/>
      <c r="B238" s="282"/>
      <c r="C238" s="282"/>
      <c r="D238" s="78"/>
      <c r="E238" s="78"/>
      <c r="F238" s="173"/>
      <c r="G238" s="173"/>
      <c r="H238" s="170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</row>
    <row r="239" ht="14.25" customHeight="1">
      <c r="A239" s="171"/>
      <c r="B239" s="282"/>
      <c r="C239" s="282"/>
      <c r="D239" s="78"/>
      <c r="E239" s="78"/>
      <c r="F239" s="173"/>
      <c r="G239" s="173"/>
      <c r="H239" s="170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</row>
    <row r="240" ht="14.25" customHeight="1">
      <c r="A240" s="171"/>
      <c r="B240" s="282"/>
      <c r="C240" s="282"/>
      <c r="D240" s="78"/>
      <c r="E240" s="78"/>
      <c r="F240" s="173"/>
      <c r="G240" s="173"/>
      <c r="H240" s="170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</row>
    <row r="241" ht="14.25" customHeight="1">
      <c r="A241" s="171"/>
      <c r="B241" s="282"/>
      <c r="C241" s="282"/>
      <c r="D241" s="78"/>
      <c r="E241" s="78"/>
      <c r="F241" s="173"/>
      <c r="G241" s="173"/>
      <c r="H241" s="170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</row>
    <row r="242" ht="14.25" customHeight="1">
      <c r="A242" s="171"/>
      <c r="B242" s="282"/>
      <c r="C242" s="282"/>
      <c r="D242" s="78"/>
      <c r="E242" s="78"/>
      <c r="F242" s="173"/>
      <c r="G242" s="173"/>
      <c r="H242" s="170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</row>
    <row r="243" ht="14.25" customHeight="1">
      <c r="A243" s="171"/>
      <c r="B243" s="282"/>
      <c r="C243" s="282"/>
      <c r="D243" s="78"/>
      <c r="E243" s="78"/>
      <c r="F243" s="173"/>
      <c r="G243" s="173"/>
      <c r="H243" s="170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</row>
    <row r="244" ht="14.25" customHeight="1">
      <c r="A244" s="171"/>
      <c r="B244" s="282"/>
      <c r="C244" s="282"/>
      <c r="D244" s="78"/>
      <c r="E244" s="78"/>
      <c r="F244" s="173"/>
      <c r="G244" s="173"/>
      <c r="H244" s="170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</row>
    <row r="245" ht="14.25" customHeight="1">
      <c r="A245" s="171"/>
      <c r="B245" s="282"/>
      <c r="C245" s="282"/>
      <c r="D245" s="78"/>
      <c r="E245" s="78"/>
      <c r="F245" s="173"/>
      <c r="G245" s="173"/>
      <c r="H245" s="170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</row>
    <row r="246" ht="14.25" customHeight="1">
      <c r="A246" s="171"/>
      <c r="B246" s="282"/>
      <c r="C246" s="282"/>
      <c r="D246" s="78"/>
      <c r="E246" s="78"/>
      <c r="F246" s="173"/>
      <c r="G246" s="173"/>
      <c r="H246" s="170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</row>
    <row r="247" ht="14.25" customHeight="1">
      <c r="A247" s="171"/>
      <c r="B247" s="282"/>
      <c r="C247" s="282"/>
      <c r="D247" s="78"/>
      <c r="E247" s="78"/>
      <c r="F247" s="173"/>
      <c r="G247" s="173"/>
      <c r="H247" s="170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</row>
    <row r="248" ht="14.25" customHeight="1">
      <c r="A248" s="171"/>
      <c r="B248" s="282"/>
      <c r="C248" s="282"/>
      <c r="D248" s="78"/>
      <c r="E248" s="78"/>
      <c r="F248" s="173"/>
      <c r="G248" s="173"/>
      <c r="H248" s="170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</row>
    <row r="249" ht="14.25" customHeight="1">
      <c r="A249" s="171"/>
      <c r="B249" s="282"/>
      <c r="C249" s="282"/>
      <c r="D249" s="78"/>
      <c r="E249" s="78"/>
      <c r="F249" s="173"/>
      <c r="G249" s="173"/>
      <c r="H249" s="170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</row>
    <row r="250" ht="14.25" customHeight="1">
      <c r="A250" s="171"/>
      <c r="B250" s="282"/>
      <c r="C250" s="282"/>
      <c r="D250" s="78"/>
      <c r="E250" s="78"/>
      <c r="F250" s="173"/>
      <c r="G250" s="173"/>
      <c r="H250" s="170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</row>
    <row r="251" ht="14.25" customHeight="1">
      <c r="A251" s="171"/>
      <c r="B251" s="282"/>
      <c r="C251" s="282"/>
      <c r="D251" s="78"/>
      <c r="E251" s="78"/>
      <c r="F251" s="173"/>
      <c r="G251" s="173"/>
      <c r="H251" s="170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</row>
    <row r="252" ht="14.25" customHeight="1">
      <c r="A252" s="171"/>
      <c r="B252" s="282"/>
      <c r="C252" s="282"/>
      <c r="D252" s="78"/>
      <c r="E252" s="78"/>
      <c r="F252" s="173"/>
      <c r="G252" s="173"/>
      <c r="H252" s="170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</row>
    <row r="253" ht="14.25" customHeight="1">
      <c r="A253" s="171"/>
      <c r="B253" s="282"/>
      <c r="C253" s="282"/>
      <c r="D253" s="78"/>
      <c r="E253" s="78"/>
      <c r="F253" s="173"/>
      <c r="G253" s="173"/>
      <c r="H253" s="170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</row>
    <row r="254" ht="14.25" customHeight="1">
      <c r="A254" s="171"/>
      <c r="B254" s="282"/>
      <c r="C254" s="282"/>
      <c r="D254" s="78"/>
      <c r="E254" s="78"/>
      <c r="F254" s="173"/>
      <c r="G254" s="173"/>
      <c r="H254" s="170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</row>
    <row r="255" ht="14.25" customHeight="1">
      <c r="A255" s="171"/>
      <c r="B255" s="282"/>
      <c r="C255" s="282"/>
      <c r="D255" s="78"/>
      <c r="E255" s="78"/>
      <c r="F255" s="173"/>
      <c r="G255" s="173"/>
      <c r="H255" s="170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</row>
    <row r="256" ht="14.25" customHeight="1">
      <c r="A256" s="171"/>
      <c r="B256" s="282"/>
      <c r="C256" s="282"/>
      <c r="D256" s="78"/>
      <c r="E256" s="78"/>
      <c r="F256" s="173"/>
      <c r="G256" s="173"/>
      <c r="H256" s="170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</row>
    <row r="257" ht="14.25" customHeight="1">
      <c r="A257" s="171"/>
      <c r="B257" s="282"/>
      <c r="C257" s="282"/>
      <c r="D257" s="78"/>
      <c r="E257" s="78"/>
      <c r="F257" s="173"/>
      <c r="G257" s="173"/>
      <c r="H257" s="170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</row>
    <row r="258" ht="14.25" customHeight="1">
      <c r="A258" s="171"/>
      <c r="B258" s="282"/>
      <c r="C258" s="282"/>
      <c r="D258" s="78"/>
      <c r="E258" s="78"/>
      <c r="F258" s="173"/>
      <c r="G258" s="173"/>
      <c r="H258" s="170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</row>
    <row r="259" ht="14.25" customHeight="1">
      <c r="A259" s="171"/>
      <c r="B259" s="282"/>
      <c r="C259" s="282"/>
      <c r="D259" s="78"/>
      <c r="E259" s="78"/>
      <c r="F259" s="173"/>
      <c r="G259" s="173"/>
      <c r="H259" s="170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</row>
    <row r="260" ht="14.25" customHeight="1">
      <c r="A260" s="171"/>
      <c r="B260" s="282"/>
      <c r="C260" s="282"/>
      <c r="D260" s="78"/>
      <c r="E260" s="78"/>
      <c r="F260" s="173"/>
      <c r="G260" s="173"/>
      <c r="H260" s="170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</row>
    <row r="261" ht="14.25" customHeight="1">
      <c r="A261" s="171"/>
      <c r="B261" s="282"/>
      <c r="C261" s="282"/>
      <c r="D261" s="78"/>
      <c r="E261" s="78"/>
      <c r="F261" s="173"/>
      <c r="G261" s="173"/>
      <c r="H261" s="170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</row>
    <row r="262" ht="14.25" customHeight="1">
      <c r="A262" s="171"/>
      <c r="B262" s="282"/>
      <c r="C262" s="282"/>
      <c r="D262" s="78"/>
      <c r="E262" s="78"/>
      <c r="F262" s="173"/>
      <c r="G262" s="173"/>
      <c r="H262" s="170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</row>
    <row r="263" ht="14.25" customHeight="1">
      <c r="A263" s="171"/>
      <c r="B263" s="282"/>
      <c r="C263" s="282"/>
      <c r="D263" s="78"/>
      <c r="E263" s="78"/>
      <c r="F263" s="173"/>
      <c r="G263" s="173"/>
      <c r="H263" s="170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</row>
    <row r="264" ht="14.25" customHeight="1">
      <c r="A264" s="171"/>
      <c r="B264" s="282"/>
      <c r="C264" s="282"/>
      <c r="D264" s="78"/>
      <c r="E264" s="78"/>
      <c r="F264" s="173"/>
      <c r="G264" s="173"/>
      <c r="H264" s="170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</row>
    <row r="265" ht="14.25" customHeight="1">
      <c r="A265" s="171"/>
      <c r="B265" s="282"/>
      <c r="C265" s="282"/>
      <c r="D265" s="78"/>
      <c r="E265" s="78"/>
      <c r="F265" s="173"/>
      <c r="G265" s="173"/>
      <c r="H265" s="170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</row>
    <row r="266" ht="14.25" customHeight="1">
      <c r="A266" s="171"/>
      <c r="B266" s="282"/>
      <c r="C266" s="282"/>
      <c r="D266" s="78"/>
      <c r="E266" s="78"/>
      <c r="F266" s="173"/>
      <c r="G266" s="173"/>
      <c r="H266" s="170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</row>
    <row r="267" ht="14.25" customHeight="1">
      <c r="A267" s="171"/>
      <c r="B267" s="282"/>
      <c r="C267" s="282"/>
      <c r="D267" s="78"/>
      <c r="E267" s="78"/>
      <c r="F267" s="173"/>
      <c r="G267" s="173"/>
      <c r="H267" s="170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</row>
    <row r="268" ht="14.25" customHeight="1">
      <c r="A268" s="171"/>
      <c r="B268" s="282"/>
      <c r="C268" s="282"/>
      <c r="D268" s="78"/>
      <c r="E268" s="78"/>
      <c r="F268" s="173"/>
      <c r="G268" s="173"/>
      <c r="H268" s="170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</row>
    <row r="269" ht="14.25" customHeight="1">
      <c r="A269" s="171"/>
      <c r="B269" s="282"/>
      <c r="C269" s="282"/>
      <c r="D269" s="78"/>
      <c r="E269" s="78"/>
      <c r="F269" s="173"/>
      <c r="G269" s="173"/>
      <c r="H269" s="170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</row>
    <row r="270" ht="14.25" customHeight="1">
      <c r="A270" s="171"/>
      <c r="B270" s="282"/>
      <c r="C270" s="282"/>
      <c r="D270" s="78"/>
      <c r="E270" s="78"/>
      <c r="F270" s="173"/>
      <c r="G270" s="173"/>
      <c r="H270" s="170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</row>
    <row r="271" ht="14.25" customHeight="1">
      <c r="A271" s="171"/>
      <c r="B271" s="282"/>
      <c r="C271" s="282"/>
      <c r="D271" s="78"/>
      <c r="E271" s="78"/>
      <c r="F271" s="173"/>
      <c r="G271" s="173"/>
      <c r="H271" s="170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</row>
    <row r="272" ht="14.25" customHeight="1">
      <c r="A272" s="171"/>
      <c r="B272" s="282"/>
      <c r="C272" s="282"/>
      <c r="D272" s="78"/>
      <c r="E272" s="78"/>
      <c r="F272" s="173"/>
      <c r="G272" s="173"/>
      <c r="H272" s="170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</row>
    <row r="273" ht="14.25" customHeight="1">
      <c r="A273" s="171"/>
      <c r="B273" s="282"/>
      <c r="C273" s="282"/>
      <c r="D273" s="78"/>
      <c r="E273" s="78"/>
      <c r="F273" s="173"/>
      <c r="G273" s="173"/>
      <c r="H273" s="170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</row>
    <row r="274" ht="14.25" customHeight="1">
      <c r="A274" s="171"/>
      <c r="B274" s="282"/>
      <c r="C274" s="282"/>
      <c r="D274" s="78"/>
      <c r="E274" s="78"/>
      <c r="F274" s="173"/>
      <c r="G274" s="173"/>
      <c r="H274" s="170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</row>
    <row r="275" ht="14.25" customHeight="1">
      <c r="A275" s="171"/>
      <c r="B275" s="282"/>
      <c r="C275" s="282"/>
      <c r="D275" s="78"/>
      <c r="E275" s="78"/>
      <c r="F275" s="173"/>
      <c r="G275" s="173"/>
      <c r="H275" s="170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</row>
    <row r="276" ht="14.25" customHeight="1">
      <c r="A276" s="171"/>
      <c r="B276" s="282"/>
      <c r="C276" s="282"/>
      <c r="D276" s="78"/>
      <c r="E276" s="78"/>
      <c r="F276" s="173"/>
      <c r="G276" s="173"/>
      <c r="H276" s="170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</row>
    <row r="277" ht="14.25" customHeight="1">
      <c r="A277" s="171"/>
      <c r="B277" s="282"/>
      <c r="C277" s="282"/>
      <c r="D277" s="78"/>
      <c r="E277" s="78"/>
      <c r="F277" s="173"/>
      <c r="G277" s="173"/>
      <c r="H277" s="170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</row>
    <row r="278" ht="14.25" customHeight="1">
      <c r="A278" s="171"/>
      <c r="B278" s="282"/>
      <c r="C278" s="282"/>
      <c r="D278" s="78"/>
      <c r="E278" s="78"/>
      <c r="F278" s="173"/>
      <c r="G278" s="173"/>
      <c r="H278" s="170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</row>
    <row r="279" ht="14.25" customHeight="1">
      <c r="A279" s="171"/>
      <c r="B279" s="282"/>
      <c r="C279" s="282"/>
      <c r="D279" s="78"/>
      <c r="E279" s="78"/>
      <c r="F279" s="173"/>
      <c r="G279" s="173"/>
      <c r="H279" s="170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</row>
    <row r="280" ht="14.25" customHeight="1">
      <c r="A280" s="171"/>
      <c r="B280" s="282"/>
      <c r="C280" s="282"/>
      <c r="D280" s="78"/>
      <c r="E280" s="78"/>
      <c r="F280" s="173"/>
      <c r="G280" s="173"/>
      <c r="H280" s="170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</row>
    <row r="281" ht="14.25" customHeight="1">
      <c r="A281" s="171"/>
      <c r="B281" s="282"/>
      <c r="C281" s="282"/>
      <c r="D281" s="78"/>
      <c r="E281" s="78"/>
      <c r="F281" s="173"/>
      <c r="G281" s="173"/>
      <c r="H281" s="170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</row>
    <row r="282" ht="14.25" customHeight="1">
      <c r="A282" s="171"/>
      <c r="B282" s="282"/>
      <c r="C282" s="282"/>
      <c r="D282" s="78"/>
      <c r="E282" s="78"/>
      <c r="F282" s="173"/>
      <c r="G282" s="173"/>
      <c r="H282" s="170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</row>
    <row r="283" ht="14.25" customHeight="1">
      <c r="A283" s="171"/>
      <c r="B283" s="282"/>
      <c r="C283" s="282"/>
      <c r="D283" s="78"/>
      <c r="E283" s="78"/>
      <c r="F283" s="173"/>
      <c r="G283" s="173"/>
      <c r="H283" s="170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</row>
    <row r="284" ht="14.25" customHeight="1">
      <c r="A284" s="171"/>
      <c r="B284" s="282"/>
      <c r="C284" s="282"/>
      <c r="D284" s="78"/>
      <c r="E284" s="78"/>
      <c r="F284" s="173"/>
      <c r="G284" s="173"/>
      <c r="H284" s="170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</row>
    <row r="285" ht="14.25" customHeight="1">
      <c r="A285" s="171"/>
      <c r="B285" s="282"/>
      <c r="C285" s="282"/>
      <c r="D285" s="78"/>
      <c r="E285" s="78"/>
      <c r="F285" s="173"/>
      <c r="G285" s="173"/>
      <c r="H285" s="170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</row>
    <row r="286" ht="14.25" customHeight="1">
      <c r="A286" s="171"/>
      <c r="B286" s="282"/>
      <c r="C286" s="282"/>
      <c r="D286" s="78"/>
      <c r="E286" s="78"/>
      <c r="F286" s="173"/>
      <c r="G286" s="173"/>
      <c r="H286" s="170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</row>
    <row r="287" ht="14.25" customHeight="1">
      <c r="A287" s="171"/>
      <c r="B287" s="282"/>
      <c r="C287" s="282"/>
      <c r="D287" s="78"/>
      <c r="E287" s="78"/>
      <c r="F287" s="173"/>
      <c r="G287" s="173"/>
      <c r="H287" s="170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</row>
    <row r="288" ht="14.25" customHeight="1">
      <c r="A288" s="171"/>
      <c r="B288" s="282"/>
      <c r="C288" s="282"/>
      <c r="D288" s="78"/>
      <c r="E288" s="78"/>
      <c r="F288" s="173"/>
      <c r="G288" s="173"/>
      <c r="H288" s="170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</row>
    <row r="289" ht="14.25" customHeight="1">
      <c r="A289" s="171"/>
      <c r="B289" s="282"/>
      <c r="C289" s="282"/>
      <c r="D289" s="78"/>
      <c r="E289" s="78"/>
      <c r="F289" s="173"/>
      <c r="G289" s="173"/>
      <c r="H289" s="170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</row>
    <row r="290" ht="14.25" customHeight="1">
      <c r="A290" s="171"/>
      <c r="B290" s="282"/>
      <c r="C290" s="282"/>
      <c r="D290" s="78"/>
      <c r="E290" s="78"/>
      <c r="F290" s="173"/>
      <c r="G290" s="173"/>
      <c r="H290" s="170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</row>
    <row r="291" ht="14.25" customHeight="1">
      <c r="A291" s="171"/>
      <c r="B291" s="282"/>
      <c r="C291" s="282"/>
      <c r="D291" s="78"/>
      <c r="E291" s="78"/>
      <c r="F291" s="173"/>
      <c r="G291" s="173"/>
      <c r="H291" s="170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</row>
    <row r="292" ht="14.25" customHeight="1">
      <c r="A292" s="171"/>
      <c r="B292" s="282"/>
      <c r="C292" s="282"/>
      <c r="D292" s="78"/>
      <c r="E292" s="78"/>
      <c r="F292" s="173"/>
      <c r="G292" s="173"/>
      <c r="H292" s="170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</row>
    <row r="293" ht="14.25" customHeight="1">
      <c r="A293" s="171"/>
      <c r="B293" s="282"/>
      <c r="C293" s="282"/>
      <c r="D293" s="78"/>
      <c r="E293" s="78"/>
      <c r="F293" s="173"/>
      <c r="G293" s="173"/>
      <c r="H293" s="170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</row>
    <row r="294" ht="14.25" customHeight="1">
      <c r="A294" s="171"/>
      <c r="B294" s="282"/>
      <c r="C294" s="282"/>
      <c r="D294" s="78"/>
      <c r="E294" s="78"/>
      <c r="F294" s="173"/>
      <c r="G294" s="173"/>
      <c r="H294" s="170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</row>
    <row r="295" ht="14.25" customHeight="1">
      <c r="A295" s="171"/>
      <c r="B295" s="282"/>
      <c r="C295" s="282"/>
      <c r="D295" s="78"/>
      <c r="E295" s="78"/>
      <c r="F295" s="173"/>
      <c r="G295" s="173"/>
      <c r="H295" s="170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</row>
    <row r="296" ht="14.25" customHeight="1">
      <c r="A296" s="171"/>
      <c r="B296" s="282"/>
      <c r="C296" s="282"/>
      <c r="D296" s="78"/>
      <c r="E296" s="78"/>
      <c r="F296" s="173"/>
      <c r="G296" s="173"/>
      <c r="H296" s="170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</row>
    <row r="297" ht="14.25" customHeight="1">
      <c r="A297" s="171"/>
      <c r="B297" s="282"/>
      <c r="C297" s="282"/>
      <c r="D297" s="78"/>
      <c r="E297" s="78"/>
      <c r="F297" s="173"/>
      <c r="G297" s="173"/>
      <c r="H297" s="170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</row>
    <row r="298" ht="14.25" customHeight="1">
      <c r="A298" s="171"/>
      <c r="B298" s="282"/>
      <c r="C298" s="282"/>
      <c r="D298" s="78"/>
      <c r="E298" s="78"/>
      <c r="F298" s="173"/>
      <c r="G298" s="173"/>
      <c r="H298" s="170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</row>
    <row r="299" ht="14.25" customHeight="1">
      <c r="A299" s="171"/>
      <c r="B299" s="282"/>
      <c r="C299" s="282"/>
      <c r="D299" s="78"/>
      <c r="E299" s="78"/>
      <c r="F299" s="173"/>
      <c r="G299" s="173"/>
      <c r="H299" s="170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</row>
    <row r="300" ht="14.25" customHeight="1">
      <c r="A300" s="171"/>
      <c r="B300" s="282"/>
      <c r="C300" s="282"/>
      <c r="D300" s="78"/>
      <c r="E300" s="78"/>
      <c r="F300" s="173"/>
      <c r="G300" s="173"/>
      <c r="H300" s="170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</row>
    <row r="301" ht="14.25" customHeight="1">
      <c r="A301" s="171"/>
      <c r="B301" s="282"/>
      <c r="C301" s="282"/>
      <c r="D301" s="78"/>
      <c r="E301" s="78"/>
      <c r="F301" s="173"/>
      <c r="G301" s="173"/>
      <c r="H301" s="170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</row>
    <row r="302" ht="14.25" customHeight="1">
      <c r="A302" s="171"/>
      <c r="B302" s="282"/>
      <c r="C302" s="282"/>
      <c r="D302" s="78"/>
      <c r="E302" s="78"/>
      <c r="F302" s="173"/>
      <c r="G302" s="173"/>
      <c r="H302" s="170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</row>
    <row r="303" ht="14.25" customHeight="1">
      <c r="A303" s="171"/>
      <c r="B303" s="282"/>
      <c r="C303" s="282"/>
      <c r="D303" s="78"/>
      <c r="E303" s="78"/>
      <c r="F303" s="173"/>
      <c r="G303" s="173"/>
      <c r="H303" s="170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</row>
    <row r="304" ht="14.25" customHeight="1">
      <c r="A304" s="171"/>
      <c r="B304" s="282"/>
      <c r="C304" s="282"/>
      <c r="D304" s="78"/>
      <c r="E304" s="78"/>
      <c r="F304" s="173"/>
      <c r="G304" s="173"/>
      <c r="H304" s="170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</row>
    <row r="305" ht="14.25" customHeight="1">
      <c r="A305" s="171"/>
      <c r="B305" s="282"/>
      <c r="C305" s="282"/>
      <c r="D305" s="78"/>
      <c r="E305" s="78"/>
      <c r="F305" s="173"/>
      <c r="G305" s="173"/>
      <c r="H305" s="170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</row>
    <row r="306" ht="14.25" customHeight="1">
      <c r="A306" s="171"/>
      <c r="B306" s="282"/>
      <c r="C306" s="282"/>
      <c r="D306" s="78"/>
      <c r="E306" s="78"/>
      <c r="F306" s="173"/>
      <c r="G306" s="173"/>
      <c r="H306" s="170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</row>
    <row r="307" ht="14.25" customHeight="1">
      <c r="A307" s="171"/>
      <c r="B307" s="282"/>
      <c r="C307" s="282"/>
      <c r="D307" s="78"/>
      <c r="E307" s="78"/>
      <c r="F307" s="173"/>
      <c r="G307" s="173"/>
      <c r="H307" s="170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</row>
    <row r="308" ht="14.25" customHeight="1">
      <c r="A308" s="171"/>
      <c r="B308" s="282"/>
      <c r="C308" s="282"/>
      <c r="D308" s="78"/>
      <c r="E308" s="78"/>
      <c r="F308" s="173"/>
      <c r="G308" s="173"/>
      <c r="H308" s="170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</row>
    <row r="309" ht="14.25" customHeight="1">
      <c r="A309" s="171"/>
      <c r="B309" s="282"/>
      <c r="C309" s="282"/>
      <c r="D309" s="78"/>
      <c r="E309" s="78"/>
      <c r="F309" s="173"/>
      <c r="G309" s="173"/>
      <c r="H309" s="170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</row>
    <row r="310" ht="14.25" customHeight="1">
      <c r="A310" s="171"/>
      <c r="B310" s="282"/>
      <c r="C310" s="282"/>
      <c r="D310" s="78"/>
      <c r="E310" s="78"/>
      <c r="F310" s="173"/>
      <c r="G310" s="173"/>
      <c r="H310" s="170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</row>
    <row r="311" ht="14.25" customHeight="1">
      <c r="A311" s="171"/>
      <c r="B311" s="282"/>
      <c r="C311" s="282"/>
      <c r="D311" s="78"/>
      <c r="E311" s="78"/>
      <c r="F311" s="173"/>
      <c r="G311" s="173"/>
      <c r="H311" s="170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</row>
    <row r="312" ht="14.25" customHeight="1">
      <c r="A312" s="171"/>
      <c r="B312" s="282"/>
      <c r="C312" s="282"/>
      <c r="D312" s="78"/>
      <c r="E312" s="78"/>
      <c r="F312" s="173"/>
      <c r="G312" s="173"/>
      <c r="H312" s="170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</row>
    <row r="313" ht="14.25" customHeight="1">
      <c r="A313" s="171"/>
      <c r="B313" s="282"/>
      <c r="C313" s="282"/>
      <c r="D313" s="78"/>
      <c r="E313" s="78"/>
      <c r="F313" s="173"/>
      <c r="G313" s="173"/>
      <c r="H313" s="170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</row>
    <row r="314" ht="14.25" customHeight="1">
      <c r="A314" s="171"/>
      <c r="B314" s="282"/>
      <c r="C314" s="282"/>
      <c r="D314" s="78"/>
      <c r="E314" s="78"/>
      <c r="F314" s="173"/>
      <c r="G314" s="173"/>
      <c r="H314" s="170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</row>
    <row r="315" ht="14.25" customHeight="1">
      <c r="A315" s="171"/>
      <c r="B315" s="282"/>
      <c r="C315" s="282"/>
      <c r="D315" s="78"/>
      <c r="E315" s="78"/>
      <c r="F315" s="173"/>
      <c r="G315" s="173"/>
      <c r="H315" s="170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</row>
    <row r="316" ht="14.25" customHeight="1">
      <c r="A316" s="171"/>
      <c r="B316" s="282"/>
      <c r="C316" s="282"/>
      <c r="D316" s="78"/>
      <c r="E316" s="78"/>
      <c r="F316" s="173"/>
      <c r="G316" s="173"/>
      <c r="H316" s="170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</row>
    <row r="317" ht="14.25" customHeight="1">
      <c r="A317" s="171"/>
      <c r="B317" s="282"/>
      <c r="C317" s="282"/>
      <c r="D317" s="78"/>
      <c r="E317" s="78"/>
      <c r="F317" s="173"/>
      <c r="G317" s="173"/>
      <c r="H317" s="170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</row>
    <row r="318" ht="14.25" customHeight="1">
      <c r="A318" s="171"/>
      <c r="B318" s="282"/>
      <c r="C318" s="282"/>
      <c r="D318" s="78"/>
      <c r="E318" s="78"/>
      <c r="F318" s="173"/>
      <c r="G318" s="173"/>
      <c r="H318" s="170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</row>
    <row r="319" ht="14.25" customHeight="1">
      <c r="A319" s="171"/>
      <c r="B319" s="282"/>
      <c r="C319" s="282"/>
      <c r="D319" s="78"/>
      <c r="E319" s="78"/>
      <c r="F319" s="173"/>
      <c r="G319" s="173"/>
      <c r="H319" s="170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</row>
    <row r="320" ht="14.25" customHeight="1">
      <c r="A320" s="171"/>
      <c r="B320" s="282"/>
      <c r="C320" s="282"/>
      <c r="D320" s="78"/>
      <c r="E320" s="78"/>
      <c r="F320" s="173"/>
      <c r="G320" s="173"/>
      <c r="H320" s="170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</row>
    <row r="321" ht="14.25" customHeight="1">
      <c r="A321" s="171"/>
      <c r="B321" s="282"/>
      <c r="C321" s="282"/>
      <c r="D321" s="78"/>
      <c r="E321" s="78"/>
      <c r="F321" s="173"/>
      <c r="G321" s="173"/>
      <c r="H321" s="170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</row>
    <row r="322" ht="14.25" customHeight="1">
      <c r="A322" s="171"/>
      <c r="B322" s="282"/>
      <c r="C322" s="282"/>
      <c r="D322" s="78"/>
      <c r="E322" s="78"/>
      <c r="F322" s="173"/>
      <c r="G322" s="173"/>
      <c r="H322" s="170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</row>
    <row r="323" ht="14.25" customHeight="1">
      <c r="A323" s="171"/>
      <c r="B323" s="282"/>
      <c r="C323" s="282"/>
      <c r="D323" s="78"/>
      <c r="E323" s="78"/>
      <c r="F323" s="173"/>
      <c r="G323" s="173"/>
      <c r="H323" s="170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</row>
    <row r="324" ht="14.25" customHeight="1">
      <c r="A324" s="171"/>
      <c r="B324" s="282"/>
      <c r="C324" s="282"/>
      <c r="D324" s="78"/>
      <c r="E324" s="78"/>
      <c r="F324" s="173"/>
      <c r="G324" s="173"/>
      <c r="H324" s="170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</row>
    <row r="325" ht="14.25" customHeight="1">
      <c r="A325" s="171"/>
      <c r="B325" s="282"/>
      <c r="C325" s="282"/>
      <c r="D325" s="78"/>
      <c r="E325" s="78"/>
      <c r="F325" s="173"/>
      <c r="G325" s="173"/>
      <c r="H325" s="170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</row>
    <row r="326" ht="14.25" customHeight="1">
      <c r="A326" s="171"/>
      <c r="B326" s="282"/>
      <c r="C326" s="282"/>
      <c r="D326" s="78"/>
      <c r="E326" s="78"/>
      <c r="F326" s="173"/>
      <c r="G326" s="173"/>
      <c r="H326" s="170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</row>
    <row r="327" ht="14.25" customHeight="1">
      <c r="A327" s="171"/>
      <c r="B327" s="282"/>
      <c r="C327" s="282"/>
      <c r="D327" s="78"/>
      <c r="E327" s="78"/>
      <c r="F327" s="173"/>
      <c r="G327" s="173"/>
      <c r="H327" s="170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</row>
    <row r="328" ht="14.25" customHeight="1">
      <c r="A328" s="171"/>
      <c r="B328" s="282"/>
      <c r="C328" s="282"/>
      <c r="D328" s="78"/>
      <c r="E328" s="78"/>
      <c r="F328" s="173"/>
      <c r="G328" s="173"/>
      <c r="H328" s="170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</row>
    <row r="329" ht="14.25" customHeight="1">
      <c r="A329" s="171"/>
      <c r="B329" s="282"/>
      <c r="C329" s="282"/>
      <c r="D329" s="78"/>
      <c r="E329" s="78"/>
      <c r="F329" s="173"/>
      <c r="G329" s="173"/>
      <c r="H329" s="170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</row>
    <row r="330" ht="14.25" customHeight="1">
      <c r="A330" s="171"/>
      <c r="B330" s="282"/>
      <c r="C330" s="282"/>
      <c r="D330" s="78"/>
      <c r="E330" s="78"/>
      <c r="F330" s="173"/>
      <c r="G330" s="173"/>
      <c r="H330" s="170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</row>
    <row r="331" ht="14.25" customHeight="1">
      <c r="A331" s="171"/>
      <c r="B331" s="282"/>
      <c r="C331" s="282"/>
      <c r="D331" s="78"/>
      <c r="E331" s="78"/>
      <c r="F331" s="173"/>
      <c r="G331" s="173"/>
      <c r="H331" s="170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</row>
    <row r="332" ht="14.25" customHeight="1">
      <c r="A332" s="171"/>
      <c r="B332" s="282"/>
      <c r="C332" s="282"/>
      <c r="D332" s="78"/>
      <c r="E332" s="78"/>
      <c r="F332" s="173"/>
      <c r="G332" s="173"/>
      <c r="H332" s="170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</row>
    <row r="333" ht="14.25" customHeight="1">
      <c r="A333" s="171"/>
      <c r="B333" s="282"/>
      <c r="C333" s="282"/>
      <c r="D333" s="78"/>
      <c r="E333" s="78"/>
      <c r="F333" s="173"/>
      <c r="G333" s="173"/>
      <c r="H333" s="170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</row>
    <row r="334" ht="14.25" customHeight="1">
      <c r="A334" s="171"/>
      <c r="B334" s="282"/>
      <c r="C334" s="282"/>
      <c r="D334" s="78"/>
      <c r="E334" s="78"/>
      <c r="F334" s="173"/>
      <c r="G334" s="173"/>
      <c r="H334" s="170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</row>
    <row r="335" ht="14.25" customHeight="1">
      <c r="A335" s="171"/>
      <c r="B335" s="282"/>
      <c r="C335" s="282"/>
      <c r="D335" s="78"/>
      <c r="E335" s="78"/>
      <c r="F335" s="173"/>
      <c r="G335" s="173"/>
      <c r="H335" s="170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</row>
    <row r="336" ht="14.25" customHeight="1">
      <c r="A336" s="171"/>
      <c r="B336" s="282"/>
      <c r="C336" s="282"/>
      <c r="D336" s="78"/>
      <c r="E336" s="78"/>
      <c r="F336" s="173"/>
      <c r="G336" s="173"/>
      <c r="H336" s="170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</row>
    <row r="337" ht="14.25" customHeight="1">
      <c r="A337" s="171"/>
      <c r="B337" s="282"/>
      <c r="C337" s="282"/>
      <c r="D337" s="78"/>
      <c r="E337" s="78"/>
      <c r="F337" s="173"/>
      <c r="G337" s="173"/>
      <c r="H337" s="170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</row>
    <row r="338" ht="14.25" customHeight="1">
      <c r="A338" s="171"/>
      <c r="B338" s="282"/>
      <c r="C338" s="282"/>
      <c r="D338" s="78"/>
      <c r="E338" s="78"/>
      <c r="F338" s="173"/>
      <c r="G338" s="173"/>
      <c r="H338" s="170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</row>
    <row r="339" ht="14.25" customHeight="1">
      <c r="A339" s="171"/>
      <c r="B339" s="282"/>
      <c r="C339" s="282"/>
      <c r="D339" s="78"/>
      <c r="E339" s="78"/>
      <c r="F339" s="173"/>
      <c r="G339" s="173"/>
      <c r="H339" s="170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</row>
    <row r="340" ht="14.25" customHeight="1">
      <c r="A340" s="171"/>
      <c r="B340" s="282"/>
      <c r="C340" s="282"/>
      <c r="D340" s="78"/>
      <c r="E340" s="78"/>
      <c r="F340" s="173"/>
      <c r="G340" s="173"/>
      <c r="H340" s="170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</row>
    <row r="341" ht="14.25" customHeight="1">
      <c r="A341" s="171"/>
      <c r="B341" s="282"/>
      <c r="C341" s="282"/>
      <c r="D341" s="78"/>
      <c r="E341" s="78"/>
      <c r="F341" s="173"/>
      <c r="G341" s="173"/>
      <c r="H341" s="170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</row>
    <row r="342" ht="14.25" customHeight="1">
      <c r="A342" s="171"/>
      <c r="B342" s="282"/>
      <c r="C342" s="282"/>
      <c r="D342" s="78"/>
      <c r="E342" s="78"/>
      <c r="F342" s="173"/>
      <c r="G342" s="173"/>
      <c r="H342" s="170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</row>
    <row r="343" ht="14.25" customHeight="1">
      <c r="A343" s="171"/>
      <c r="B343" s="282"/>
      <c r="C343" s="282"/>
      <c r="D343" s="78"/>
      <c r="E343" s="78"/>
      <c r="F343" s="173"/>
      <c r="G343" s="173"/>
      <c r="H343" s="170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</row>
    <row r="344" ht="14.25" customHeight="1">
      <c r="A344" s="171"/>
      <c r="B344" s="282"/>
      <c r="C344" s="282"/>
      <c r="D344" s="78"/>
      <c r="E344" s="78"/>
      <c r="F344" s="173"/>
      <c r="G344" s="173"/>
      <c r="H344" s="170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</row>
    <row r="345" ht="14.25" customHeight="1">
      <c r="A345" s="171"/>
      <c r="B345" s="282"/>
      <c r="C345" s="282"/>
      <c r="D345" s="78"/>
      <c r="E345" s="78"/>
      <c r="F345" s="173"/>
      <c r="G345" s="173"/>
      <c r="H345" s="170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</row>
    <row r="346" ht="14.25" customHeight="1">
      <c r="A346" s="171"/>
      <c r="B346" s="282"/>
      <c r="C346" s="282"/>
      <c r="D346" s="78"/>
      <c r="E346" s="78"/>
      <c r="F346" s="173"/>
      <c r="G346" s="173"/>
      <c r="H346" s="170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</row>
    <row r="347" ht="14.25" customHeight="1">
      <c r="A347" s="171"/>
      <c r="B347" s="282"/>
      <c r="C347" s="282"/>
      <c r="D347" s="78"/>
      <c r="E347" s="78"/>
      <c r="F347" s="173"/>
      <c r="G347" s="173"/>
      <c r="H347" s="170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</row>
    <row r="348" ht="14.25" customHeight="1">
      <c r="A348" s="171"/>
      <c r="B348" s="282"/>
      <c r="C348" s="282"/>
      <c r="D348" s="78"/>
      <c r="E348" s="78"/>
      <c r="F348" s="173"/>
      <c r="G348" s="173"/>
      <c r="H348" s="170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</row>
    <row r="349" ht="14.25" customHeight="1">
      <c r="A349" s="171"/>
      <c r="B349" s="282"/>
      <c r="C349" s="282"/>
      <c r="D349" s="78"/>
      <c r="E349" s="78"/>
      <c r="F349" s="173"/>
      <c r="G349" s="173"/>
      <c r="H349" s="170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</row>
    <row r="350" ht="14.25" customHeight="1">
      <c r="A350" s="171"/>
      <c r="B350" s="282"/>
      <c r="C350" s="282"/>
      <c r="D350" s="78"/>
      <c r="E350" s="78"/>
      <c r="F350" s="173"/>
      <c r="G350" s="173"/>
      <c r="H350" s="170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</row>
    <row r="351" ht="14.25" customHeight="1">
      <c r="A351" s="171"/>
      <c r="B351" s="282"/>
      <c r="C351" s="282"/>
      <c r="D351" s="78"/>
      <c r="E351" s="78"/>
      <c r="F351" s="173"/>
      <c r="G351" s="173"/>
      <c r="H351" s="170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</row>
    <row r="352" ht="14.25" customHeight="1">
      <c r="A352" s="171"/>
      <c r="B352" s="282"/>
      <c r="C352" s="282"/>
      <c r="D352" s="78"/>
      <c r="E352" s="78"/>
      <c r="F352" s="173"/>
      <c r="G352" s="173"/>
      <c r="H352" s="170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</row>
    <row r="353" ht="14.25" customHeight="1">
      <c r="A353" s="171"/>
      <c r="B353" s="282"/>
      <c r="C353" s="282"/>
      <c r="D353" s="78"/>
      <c r="E353" s="78"/>
      <c r="F353" s="173"/>
      <c r="G353" s="173"/>
      <c r="H353" s="170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</row>
    <row r="354" ht="14.25" customHeight="1">
      <c r="A354" s="171"/>
      <c r="B354" s="282"/>
      <c r="C354" s="282"/>
      <c r="D354" s="78"/>
      <c r="E354" s="78"/>
      <c r="F354" s="173"/>
      <c r="G354" s="173"/>
      <c r="H354" s="170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</row>
    <row r="355" ht="14.25" customHeight="1">
      <c r="A355" s="171"/>
      <c r="B355" s="282"/>
      <c r="C355" s="282"/>
      <c r="D355" s="78"/>
      <c r="E355" s="78"/>
      <c r="F355" s="173"/>
      <c r="G355" s="173"/>
      <c r="H355" s="170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</row>
    <row r="356" ht="14.25" customHeight="1">
      <c r="A356" s="171"/>
      <c r="B356" s="282"/>
      <c r="C356" s="282"/>
      <c r="D356" s="78"/>
      <c r="E356" s="78"/>
      <c r="F356" s="173"/>
      <c r="G356" s="173"/>
      <c r="H356" s="170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</row>
    <row r="357" ht="14.25" customHeight="1">
      <c r="A357" s="171"/>
      <c r="B357" s="282"/>
      <c r="C357" s="282"/>
      <c r="D357" s="78"/>
      <c r="E357" s="78"/>
      <c r="F357" s="173"/>
      <c r="G357" s="173"/>
      <c r="H357" s="170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</row>
    <row r="358" ht="14.25" customHeight="1">
      <c r="A358" s="171"/>
      <c r="B358" s="282"/>
      <c r="C358" s="282"/>
      <c r="D358" s="78"/>
      <c r="E358" s="78"/>
      <c r="F358" s="173"/>
      <c r="G358" s="173"/>
      <c r="H358" s="170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</row>
    <row r="359" ht="14.25" customHeight="1">
      <c r="A359" s="171"/>
      <c r="B359" s="282"/>
      <c r="C359" s="282"/>
      <c r="D359" s="78"/>
      <c r="E359" s="78"/>
      <c r="F359" s="173"/>
      <c r="G359" s="173"/>
      <c r="H359" s="170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</row>
    <row r="360" ht="14.25" customHeight="1">
      <c r="A360" s="171"/>
      <c r="B360" s="282"/>
      <c r="C360" s="282"/>
      <c r="D360" s="78"/>
      <c r="E360" s="78"/>
      <c r="F360" s="173"/>
      <c r="G360" s="173"/>
      <c r="H360" s="170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</row>
    <row r="361" ht="14.25" customHeight="1">
      <c r="A361" s="171"/>
      <c r="B361" s="282"/>
      <c r="C361" s="282"/>
      <c r="D361" s="78"/>
      <c r="E361" s="78"/>
      <c r="F361" s="173"/>
      <c r="G361" s="173"/>
      <c r="H361" s="170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</row>
    <row r="362" ht="14.25" customHeight="1">
      <c r="A362" s="171"/>
      <c r="B362" s="282"/>
      <c r="C362" s="282"/>
      <c r="D362" s="78"/>
      <c r="E362" s="78"/>
      <c r="F362" s="173"/>
      <c r="G362" s="173"/>
      <c r="H362" s="170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</row>
    <row r="363" ht="14.25" customHeight="1">
      <c r="A363" s="171"/>
      <c r="B363" s="282"/>
      <c r="C363" s="282"/>
      <c r="D363" s="78"/>
      <c r="E363" s="78"/>
      <c r="F363" s="173"/>
      <c r="G363" s="173"/>
      <c r="H363" s="170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</row>
    <row r="364" ht="14.25" customHeight="1">
      <c r="A364" s="171"/>
      <c r="B364" s="282"/>
      <c r="C364" s="282"/>
      <c r="D364" s="78"/>
      <c r="E364" s="78"/>
      <c r="F364" s="173"/>
      <c r="G364" s="173"/>
      <c r="H364" s="170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</row>
    <row r="365" ht="14.25" customHeight="1">
      <c r="A365" s="171"/>
      <c r="B365" s="282"/>
      <c r="C365" s="282"/>
      <c r="D365" s="78"/>
      <c r="E365" s="78"/>
      <c r="F365" s="173"/>
      <c r="G365" s="173"/>
      <c r="H365" s="170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</row>
    <row r="366" ht="14.25" customHeight="1">
      <c r="A366" s="171"/>
      <c r="B366" s="282"/>
      <c r="C366" s="282"/>
      <c r="D366" s="78"/>
      <c r="E366" s="78"/>
      <c r="F366" s="173"/>
      <c r="G366" s="173"/>
      <c r="H366" s="170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</row>
    <row r="367" ht="14.25" customHeight="1">
      <c r="A367" s="171"/>
      <c r="B367" s="282"/>
      <c r="C367" s="282"/>
      <c r="D367" s="78"/>
      <c r="E367" s="78"/>
      <c r="F367" s="173"/>
      <c r="G367" s="173"/>
      <c r="H367" s="170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</row>
    <row r="368" ht="14.25" customHeight="1">
      <c r="A368" s="171"/>
      <c r="B368" s="282"/>
      <c r="C368" s="282"/>
      <c r="D368" s="78"/>
      <c r="E368" s="78"/>
      <c r="F368" s="173"/>
      <c r="G368" s="173"/>
      <c r="H368" s="170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</row>
    <row r="369" ht="14.25" customHeight="1">
      <c r="A369" s="171"/>
      <c r="B369" s="282"/>
      <c r="C369" s="282"/>
      <c r="D369" s="78"/>
      <c r="E369" s="78"/>
      <c r="F369" s="173"/>
      <c r="G369" s="173"/>
      <c r="H369" s="170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</row>
    <row r="370" ht="14.25" customHeight="1">
      <c r="A370" s="171"/>
      <c r="B370" s="282"/>
      <c r="C370" s="282"/>
      <c r="D370" s="78"/>
      <c r="E370" s="78"/>
      <c r="F370" s="173"/>
      <c r="G370" s="173"/>
      <c r="H370" s="170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</row>
    <row r="371" ht="14.25" customHeight="1">
      <c r="A371" s="171"/>
      <c r="B371" s="282"/>
      <c r="C371" s="282"/>
      <c r="D371" s="78"/>
      <c r="E371" s="78"/>
      <c r="F371" s="173"/>
      <c r="G371" s="173"/>
      <c r="H371" s="170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</row>
    <row r="372" ht="14.25" customHeight="1">
      <c r="A372" s="171"/>
      <c r="B372" s="282"/>
      <c r="C372" s="282"/>
      <c r="D372" s="78"/>
      <c r="E372" s="78"/>
      <c r="F372" s="173"/>
      <c r="G372" s="173"/>
      <c r="H372" s="170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</row>
    <row r="373" ht="14.25" customHeight="1">
      <c r="A373" s="171"/>
      <c r="B373" s="282"/>
      <c r="C373" s="282"/>
      <c r="D373" s="78"/>
      <c r="E373" s="78"/>
      <c r="F373" s="173"/>
      <c r="G373" s="173"/>
      <c r="H373" s="170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</row>
    <row r="374" ht="14.25" customHeight="1">
      <c r="A374" s="171"/>
      <c r="B374" s="282"/>
      <c r="C374" s="282"/>
      <c r="D374" s="78"/>
      <c r="E374" s="78"/>
      <c r="F374" s="173"/>
      <c r="G374" s="173"/>
      <c r="H374" s="170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</row>
    <row r="375" ht="14.25" customHeight="1">
      <c r="A375" s="171"/>
      <c r="B375" s="282"/>
      <c r="C375" s="282"/>
      <c r="D375" s="78"/>
      <c r="E375" s="78"/>
      <c r="F375" s="173"/>
      <c r="G375" s="173"/>
      <c r="H375" s="170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</row>
    <row r="376" ht="14.25" customHeight="1">
      <c r="A376" s="171"/>
      <c r="B376" s="282"/>
      <c r="C376" s="282"/>
      <c r="D376" s="78"/>
      <c r="E376" s="78"/>
      <c r="F376" s="173"/>
      <c r="G376" s="173"/>
      <c r="H376" s="170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</row>
    <row r="377" ht="14.25" customHeight="1">
      <c r="A377" s="171"/>
      <c r="B377" s="282"/>
      <c r="C377" s="282"/>
      <c r="D377" s="78"/>
      <c r="E377" s="78"/>
      <c r="F377" s="173"/>
      <c r="G377" s="173"/>
      <c r="H377" s="170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</row>
    <row r="378" ht="14.25" customHeight="1">
      <c r="A378" s="171"/>
      <c r="B378" s="282"/>
      <c r="C378" s="282"/>
      <c r="D378" s="78"/>
      <c r="E378" s="78"/>
      <c r="F378" s="173"/>
      <c r="G378" s="173"/>
      <c r="H378" s="170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</row>
    <row r="379" ht="14.25" customHeight="1">
      <c r="A379" s="171"/>
      <c r="B379" s="282"/>
      <c r="C379" s="282"/>
      <c r="D379" s="78"/>
      <c r="E379" s="78"/>
      <c r="F379" s="173"/>
      <c r="G379" s="173"/>
      <c r="H379" s="170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</row>
    <row r="380" ht="14.25" customHeight="1">
      <c r="A380" s="171"/>
      <c r="B380" s="282"/>
      <c r="C380" s="282"/>
      <c r="D380" s="78"/>
      <c r="E380" s="78"/>
      <c r="F380" s="173"/>
      <c r="G380" s="173"/>
      <c r="H380" s="170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</row>
    <row r="381" ht="14.25" customHeight="1">
      <c r="A381" s="171"/>
      <c r="B381" s="282"/>
      <c r="C381" s="282"/>
      <c r="D381" s="78"/>
      <c r="E381" s="78"/>
      <c r="F381" s="173"/>
      <c r="G381" s="173"/>
      <c r="H381" s="170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</row>
    <row r="382" ht="14.25" customHeight="1">
      <c r="A382" s="171"/>
      <c r="B382" s="282"/>
      <c r="C382" s="282"/>
      <c r="D382" s="78"/>
      <c r="E382" s="78"/>
      <c r="F382" s="173"/>
      <c r="G382" s="173"/>
      <c r="H382" s="170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</row>
    <row r="383" ht="14.25" customHeight="1">
      <c r="A383" s="171"/>
      <c r="B383" s="282"/>
      <c r="C383" s="282"/>
      <c r="D383" s="78"/>
      <c r="E383" s="78"/>
      <c r="F383" s="173"/>
      <c r="G383" s="173"/>
      <c r="H383" s="170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</row>
    <row r="384" ht="14.25" customHeight="1">
      <c r="A384" s="171"/>
      <c r="B384" s="282"/>
      <c r="C384" s="282"/>
      <c r="D384" s="78"/>
      <c r="E384" s="78"/>
      <c r="F384" s="173"/>
      <c r="G384" s="173"/>
      <c r="H384" s="170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</row>
    <row r="385" ht="14.25" customHeight="1">
      <c r="A385" s="171"/>
      <c r="B385" s="282"/>
      <c r="C385" s="282"/>
      <c r="D385" s="78"/>
      <c r="E385" s="78"/>
      <c r="F385" s="173"/>
      <c r="G385" s="173"/>
      <c r="H385" s="170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</row>
    <row r="386" ht="14.25" customHeight="1">
      <c r="A386" s="171"/>
      <c r="B386" s="282"/>
      <c r="C386" s="282"/>
      <c r="D386" s="78"/>
      <c r="E386" s="78"/>
      <c r="F386" s="173"/>
      <c r="G386" s="173"/>
      <c r="H386" s="170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</row>
    <row r="387" ht="14.25" customHeight="1">
      <c r="A387" s="171"/>
      <c r="B387" s="282"/>
      <c r="C387" s="282"/>
      <c r="D387" s="78"/>
      <c r="E387" s="78"/>
      <c r="F387" s="173"/>
      <c r="G387" s="173"/>
      <c r="H387" s="170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</row>
    <row r="388" ht="14.25" customHeight="1">
      <c r="A388" s="171"/>
      <c r="B388" s="282"/>
      <c r="C388" s="282"/>
      <c r="D388" s="78"/>
      <c r="E388" s="78"/>
      <c r="F388" s="173"/>
      <c r="G388" s="173"/>
      <c r="H388" s="170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</row>
    <row r="389" ht="14.25" customHeight="1">
      <c r="A389" s="171"/>
      <c r="B389" s="282"/>
      <c r="C389" s="282"/>
      <c r="D389" s="78"/>
      <c r="E389" s="78"/>
      <c r="F389" s="173"/>
      <c r="G389" s="173"/>
      <c r="H389" s="170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</row>
    <row r="390" ht="14.25" customHeight="1">
      <c r="A390" s="171"/>
      <c r="B390" s="282"/>
      <c r="C390" s="282"/>
      <c r="D390" s="78"/>
      <c r="E390" s="78"/>
      <c r="F390" s="173"/>
      <c r="G390" s="173"/>
      <c r="H390" s="170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</row>
    <row r="391" ht="14.25" customHeight="1">
      <c r="A391" s="171"/>
      <c r="B391" s="282"/>
      <c r="C391" s="282"/>
      <c r="D391" s="78"/>
      <c r="E391" s="78"/>
      <c r="F391" s="173"/>
      <c r="G391" s="173"/>
      <c r="H391" s="170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</row>
    <row r="392" ht="14.25" customHeight="1">
      <c r="A392" s="171"/>
      <c r="B392" s="282"/>
      <c r="C392" s="282"/>
      <c r="D392" s="78"/>
      <c r="E392" s="78"/>
      <c r="F392" s="173"/>
      <c r="G392" s="173"/>
      <c r="H392" s="170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</row>
    <row r="393" ht="14.25" customHeight="1">
      <c r="A393" s="171"/>
      <c r="B393" s="282"/>
      <c r="C393" s="282"/>
      <c r="D393" s="78"/>
      <c r="E393" s="78"/>
      <c r="F393" s="173"/>
      <c r="G393" s="173"/>
      <c r="H393" s="170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</row>
    <row r="394" ht="14.25" customHeight="1">
      <c r="A394" s="171"/>
      <c r="B394" s="282"/>
      <c r="C394" s="282"/>
      <c r="D394" s="78"/>
      <c r="E394" s="78"/>
      <c r="F394" s="173"/>
      <c r="G394" s="173"/>
      <c r="H394" s="170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</row>
    <row r="395" ht="14.25" customHeight="1">
      <c r="A395" s="171"/>
      <c r="B395" s="282"/>
      <c r="C395" s="282"/>
      <c r="D395" s="78"/>
      <c r="E395" s="78"/>
      <c r="F395" s="173"/>
      <c r="G395" s="173"/>
      <c r="H395" s="170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</row>
    <row r="396" ht="14.25" customHeight="1">
      <c r="A396" s="171"/>
      <c r="B396" s="282"/>
      <c r="C396" s="282"/>
      <c r="D396" s="78"/>
      <c r="E396" s="78"/>
      <c r="F396" s="173"/>
      <c r="G396" s="173"/>
      <c r="H396" s="170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</row>
    <row r="397" ht="14.25" customHeight="1">
      <c r="A397" s="171"/>
      <c r="B397" s="282"/>
      <c r="C397" s="282"/>
      <c r="D397" s="78"/>
      <c r="E397" s="78"/>
      <c r="F397" s="173"/>
      <c r="G397" s="173"/>
      <c r="H397" s="170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</row>
    <row r="398" ht="14.25" customHeight="1">
      <c r="A398" s="171"/>
      <c r="B398" s="282"/>
      <c r="C398" s="282"/>
      <c r="D398" s="78"/>
      <c r="E398" s="78"/>
      <c r="F398" s="173"/>
      <c r="G398" s="173"/>
      <c r="H398" s="170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</row>
    <row r="399" ht="14.25" customHeight="1">
      <c r="A399" s="171"/>
      <c r="B399" s="282"/>
      <c r="C399" s="282"/>
      <c r="D399" s="78"/>
      <c r="E399" s="78"/>
      <c r="F399" s="173"/>
      <c r="G399" s="173"/>
      <c r="H399" s="170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</row>
    <row r="400" ht="14.25" customHeight="1">
      <c r="A400" s="171"/>
      <c r="B400" s="282"/>
      <c r="C400" s="282"/>
      <c r="D400" s="78"/>
      <c r="E400" s="78"/>
      <c r="F400" s="173"/>
      <c r="G400" s="173"/>
      <c r="H400" s="170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</row>
    <row r="401" ht="14.25" customHeight="1">
      <c r="A401" s="171"/>
      <c r="B401" s="282"/>
      <c r="C401" s="282"/>
      <c r="D401" s="78"/>
      <c r="E401" s="78"/>
      <c r="F401" s="173"/>
      <c r="G401" s="173"/>
      <c r="H401" s="170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</row>
    <row r="402" ht="14.25" customHeight="1">
      <c r="A402" s="171"/>
      <c r="B402" s="282"/>
      <c r="C402" s="282"/>
      <c r="D402" s="78"/>
      <c r="E402" s="78"/>
      <c r="F402" s="173"/>
      <c r="G402" s="173"/>
      <c r="H402" s="170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</row>
    <row r="403" ht="14.25" customHeight="1">
      <c r="A403" s="171"/>
      <c r="B403" s="282"/>
      <c r="C403" s="282"/>
      <c r="D403" s="78"/>
      <c r="E403" s="78"/>
      <c r="F403" s="173"/>
      <c r="G403" s="173"/>
      <c r="H403" s="170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</row>
    <row r="404" ht="14.25" customHeight="1">
      <c r="A404" s="171"/>
      <c r="B404" s="282"/>
      <c r="C404" s="282"/>
      <c r="D404" s="78"/>
      <c r="E404" s="78"/>
      <c r="F404" s="173"/>
      <c r="G404" s="173"/>
      <c r="H404" s="170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</row>
    <row r="405" ht="14.25" customHeight="1">
      <c r="A405" s="171"/>
      <c r="B405" s="282"/>
      <c r="C405" s="282"/>
      <c r="D405" s="78"/>
      <c r="E405" s="78"/>
      <c r="F405" s="173"/>
      <c r="G405" s="173"/>
      <c r="H405" s="170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</row>
    <row r="406" ht="14.25" customHeight="1">
      <c r="A406" s="171"/>
      <c r="B406" s="282"/>
      <c r="C406" s="282"/>
      <c r="D406" s="78"/>
      <c r="E406" s="78"/>
      <c r="F406" s="173"/>
      <c r="G406" s="173"/>
      <c r="H406" s="170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</row>
    <row r="407" ht="14.25" customHeight="1">
      <c r="A407" s="171"/>
      <c r="B407" s="282"/>
      <c r="C407" s="282"/>
      <c r="D407" s="78"/>
      <c r="E407" s="78"/>
      <c r="F407" s="173"/>
      <c r="G407" s="173"/>
      <c r="H407" s="170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</row>
    <row r="408" ht="14.25" customHeight="1">
      <c r="A408" s="171"/>
      <c r="B408" s="282"/>
      <c r="C408" s="282"/>
      <c r="D408" s="78"/>
      <c r="E408" s="78"/>
      <c r="F408" s="173"/>
      <c r="G408" s="173"/>
      <c r="H408" s="170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</row>
    <row r="409" ht="14.25" customHeight="1">
      <c r="A409" s="171"/>
      <c r="B409" s="282"/>
      <c r="C409" s="282"/>
      <c r="D409" s="78"/>
      <c r="E409" s="78"/>
      <c r="F409" s="173"/>
      <c r="G409" s="173"/>
      <c r="H409" s="170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</row>
    <row r="410" ht="14.25" customHeight="1">
      <c r="A410" s="171"/>
      <c r="B410" s="282"/>
      <c r="C410" s="282"/>
      <c r="D410" s="78"/>
      <c r="E410" s="78"/>
      <c r="F410" s="173"/>
      <c r="G410" s="173"/>
      <c r="H410" s="170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</row>
    <row r="411" ht="14.25" customHeight="1">
      <c r="A411" s="171"/>
      <c r="B411" s="282"/>
      <c r="C411" s="282"/>
      <c r="D411" s="78"/>
      <c r="E411" s="78"/>
      <c r="F411" s="173"/>
      <c r="G411" s="173"/>
      <c r="H411" s="170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</row>
    <row r="412" ht="14.25" customHeight="1">
      <c r="A412" s="171"/>
      <c r="B412" s="282"/>
      <c r="C412" s="282"/>
      <c r="D412" s="78"/>
      <c r="E412" s="78"/>
      <c r="F412" s="173"/>
      <c r="G412" s="173"/>
      <c r="H412" s="170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</row>
    <row r="413" ht="14.25" customHeight="1">
      <c r="A413" s="171"/>
      <c r="B413" s="282"/>
      <c r="C413" s="282"/>
      <c r="D413" s="78"/>
      <c r="E413" s="78"/>
      <c r="F413" s="173"/>
      <c r="G413" s="173"/>
      <c r="H413" s="170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</row>
    <row r="414" ht="14.25" customHeight="1">
      <c r="A414" s="171"/>
      <c r="B414" s="282"/>
      <c r="C414" s="282"/>
      <c r="D414" s="78"/>
      <c r="E414" s="78"/>
      <c r="F414" s="173"/>
      <c r="G414" s="173"/>
      <c r="H414" s="170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</row>
    <row r="415" ht="14.25" customHeight="1">
      <c r="A415" s="171"/>
      <c r="B415" s="282"/>
      <c r="C415" s="282"/>
      <c r="D415" s="78"/>
      <c r="E415" s="78"/>
      <c r="F415" s="173"/>
      <c r="G415" s="173"/>
      <c r="H415" s="170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</row>
    <row r="416" ht="14.25" customHeight="1">
      <c r="A416" s="171"/>
      <c r="B416" s="282"/>
      <c r="C416" s="282"/>
      <c r="D416" s="78"/>
      <c r="E416" s="78"/>
      <c r="F416" s="173"/>
      <c r="G416" s="173"/>
      <c r="H416" s="170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</row>
    <row r="417" ht="14.25" customHeight="1">
      <c r="A417" s="171"/>
      <c r="B417" s="282"/>
      <c r="C417" s="282"/>
      <c r="D417" s="78"/>
      <c r="E417" s="78"/>
      <c r="F417" s="173"/>
      <c r="G417" s="173"/>
      <c r="H417" s="170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</row>
    <row r="418" ht="14.25" customHeight="1">
      <c r="A418" s="171"/>
      <c r="B418" s="282"/>
      <c r="C418" s="282"/>
      <c r="D418" s="78"/>
      <c r="E418" s="78"/>
      <c r="F418" s="173"/>
      <c r="G418" s="173"/>
      <c r="H418" s="170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</row>
    <row r="419" ht="14.25" customHeight="1">
      <c r="A419" s="171"/>
      <c r="B419" s="282"/>
      <c r="C419" s="282"/>
      <c r="D419" s="78"/>
      <c r="E419" s="78"/>
      <c r="F419" s="173"/>
      <c r="G419" s="173"/>
      <c r="H419" s="170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</row>
    <row r="420" ht="14.25" customHeight="1">
      <c r="A420" s="171"/>
      <c r="B420" s="282"/>
      <c r="C420" s="282"/>
      <c r="D420" s="78"/>
      <c r="E420" s="78"/>
      <c r="F420" s="173"/>
      <c r="G420" s="173"/>
      <c r="H420" s="170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</row>
    <row r="421" ht="14.25" customHeight="1">
      <c r="A421" s="171"/>
      <c r="B421" s="282"/>
      <c r="C421" s="282"/>
      <c r="D421" s="78"/>
      <c r="E421" s="78"/>
      <c r="F421" s="173"/>
      <c r="G421" s="173"/>
      <c r="H421" s="170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</row>
    <row r="422" ht="14.25" customHeight="1">
      <c r="A422" s="171"/>
      <c r="B422" s="282"/>
      <c r="C422" s="282"/>
      <c r="D422" s="78"/>
      <c r="E422" s="78"/>
      <c r="F422" s="173"/>
      <c r="G422" s="173"/>
      <c r="H422" s="170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</row>
    <row r="423" ht="14.25" customHeight="1">
      <c r="A423" s="171"/>
      <c r="B423" s="282"/>
      <c r="C423" s="282"/>
      <c r="D423" s="78"/>
      <c r="E423" s="78"/>
      <c r="F423" s="173"/>
      <c r="G423" s="173"/>
      <c r="H423" s="170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</row>
    <row r="424" ht="14.25" customHeight="1">
      <c r="A424" s="171"/>
      <c r="B424" s="282"/>
      <c r="C424" s="282"/>
      <c r="D424" s="78"/>
      <c r="E424" s="78"/>
      <c r="F424" s="173"/>
      <c r="G424" s="173"/>
      <c r="H424" s="170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</row>
    <row r="425" ht="14.25" customHeight="1">
      <c r="A425" s="171"/>
      <c r="B425" s="282"/>
      <c r="C425" s="282"/>
      <c r="D425" s="78"/>
      <c r="E425" s="78"/>
      <c r="F425" s="173"/>
      <c r="G425" s="173"/>
      <c r="H425" s="170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</row>
    <row r="426" ht="14.25" customHeight="1">
      <c r="A426" s="171"/>
      <c r="B426" s="282"/>
      <c r="C426" s="282"/>
      <c r="D426" s="78"/>
      <c r="E426" s="78"/>
      <c r="F426" s="173"/>
      <c r="G426" s="173"/>
      <c r="H426" s="170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</row>
    <row r="427" ht="14.25" customHeight="1">
      <c r="A427" s="171"/>
      <c r="B427" s="282"/>
      <c r="C427" s="282"/>
      <c r="D427" s="78"/>
      <c r="E427" s="78"/>
      <c r="F427" s="173"/>
      <c r="G427" s="173"/>
      <c r="H427" s="170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</row>
    <row r="428" ht="14.25" customHeight="1">
      <c r="A428" s="171"/>
      <c r="B428" s="282"/>
      <c r="C428" s="282"/>
      <c r="D428" s="78"/>
      <c r="E428" s="78"/>
      <c r="F428" s="173"/>
      <c r="G428" s="173"/>
      <c r="H428" s="170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</row>
    <row r="429" ht="14.25" customHeight="1">
      <c r="A429" s="171"/>
      <c r="B429" s="282"/>
      <c r="C429" s="282"/>
      <c r="D429" s="78"/>
      <c r="E429" s="78"/>
      <c r="F429" s="173"/>
      <c r="G429" s="173"/>
      <c r="H429" s="170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</row>
    <row r="430" ht="14.25" customHeight="1">
      <c r="A430" s="171"/>
      <c r="B430" s="282"/>
      <c r="C430" s="282"/>
      <c r="D430" s="78"/>
      <c r="E430" s="78"/>
      <c r="F430" s="173"/>
      <c r="G430" s="173"/>
      <c r="H430" s="170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</row>
    <row r="431" ht="14.25" customHeight="1">
      <c r="A431" s="171"/>
      <c r="B431" s="282"/>
      <c r="C431" s="282"/>
      <c r="D431" s="78"/>
      <c r="E431" s="78"/>
      <c r="F431" s="173"/>
      <c r="G431" s="173"/>
      <c r="H431" s="170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</row>
    <row r="432" ht="14.25" customHeight="1">
      <c r="A432" s="171"/>
      <c r="B432" s="282"/>
      <c r="C432" s="282"/>
      <c r="D432" s="78"/>
      <c r="E432" s="78"/>
      <c r="F432" s="173"/>
      <c r="G432" s="173"/>
      <c r="H432" s="170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</row>
    <row r="433" ht="14.25" customHeight="1">
      <c r="A433" s="171"/>
      <c r="B433" s="282"/>
      <c r="C433" s="282"/>
      <c r="D433" s="78"/>
      <c r="E433" s="78"/>
      <c r="F433" s="173"/>
      <c r="G433" s="173"/>
      <c r="H433" s="170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</row>
    <row r="434" ht="14.25" customHeight="1">
      <c r="A434" s="171"/>
      <c r="B434" s="282"/>
      <c r="C434" s="282"/>
      <c r="D434" s="78"/>
      <c r="E434" s="78"/>
      <c r="F434" s="173"/>
      <c r="G434" s="173"/>
      <c r="H434" s="170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</row>
    <row r="435" ht="14.25" customHeight="1">
      <c r="A435" s="171"/>
      <c r="B435" s="282"/>
      <c r="C435" s="282"/>
      <c r="D435" s="78"/>
      <c r="E435" s="78"/>
      <c r="F435" s="173"/>
      <c r="G435" s="173"/>
      <c r="H435" s="170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</row>
    <row r="436" ht="14.25" customHeight="1">
      <c r="A436" s="171"/>
      <c r="B436" s="282"/>
      <c r="C436" s="282"/>
      <c r="D436" s="78"/>
      <c r="E436" s="78"/>
      <c r="F436" s="173"/>
      <c r="G436" s="173"/>
      <c r="H436" s="170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</row>
    <row r="437" ht="14.25" customHeight="1">
      <c r="A437" s="171"/>
      <c r="B437" s="282"/>
      <c r="C437" s="282"/>
      <c r="D437" s="78"/>
      <c r="E437" s="78"/>
      <c r="F437" s="173"/>
      <c r="G437" s="173"/>
      <c r="H437" s="170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</row>
    <row r="438" ht="14.25" customHeight="1">
      <c r="A438" s="171"/>
      <c r="B438" s="282"/>
      <c r="C438" s="282"/>
      <c r="D438" s="78"/>
      <c r="E438" s="78"/>
      <c r="F438" s="173"/>
      <c r="G438" s="173"/>
      <c r="H438" s="170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</row>
    <row r="439" ht="14.25" customHeight="1">
      <c r="A439" s="171"/>
      <c r="B439" s="282"/>
      <c r="C439" s="282"/>
      <c r="D439" s="78"/>
      <c r="E439" s="78"/>
      <c r="F439" s="173"/>
      <c r="G439" s="173"/>
      <c r="H439" s="170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</row>
    <row r="440" ht="14.25" customHeight="1">
      <c r="A440" s="171"/>
      <c r="B440" s="282"/>
      <c r="C440" s="282"/>
      <c r="D440" s="78"/>
      <c r="E440" s="78"/>
      <c r="F440" s="173"/>
      <c r="G440" s="173"/>
      <c r="H440" s="170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</row>
    <row r="441" ht="14.25" customHeight="1">
      <c r="A441" s="171"/>
      <c r="B441" s="282"/>
      <c r="C441" s="282"/>
      <c r="D441" s="78"/>
      <c r="E441" s="78"/>
      <c r="F441" s="173"/>
      <c r="G441" s="173"/>
      <c r="H441" s="170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</row>
    <row r="442" ht="14.25" customHeight="1">
      <c r="A442" s="171"/>
      <c r="B442" s="282"/>
      <c r="C442" s="282"/>
      <c r="D442" s="78"/>
      <c r="E442" s="78"/>
      <c r="F442" s="173"/>
      <c r="G442" s="173"/>
      <c r="H442" s="170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</row>
    <row r="443" ht="14.25" customHeight="1">
      <c r="A443" s="171"/>
      <c r="B443" s="282"/>
      <c r="C443" s="282"/>
      <c r="D443" s="78"/>
      <c r="E443" s="78"/>
      <c r="F443" s="173"/>
      <c r="G443" s="173"/>
      <c r="H443" s="170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</row>
    <row r="444" ht="14.25" customHeight="1">
      <c r="A444" s="171"/>
      <c r="B444" s="282"/>
      <c r="C444" s="282"/>
      <c r="D444" s="78"/>
      <c r="E444" s="78"/>
      <c r="F444" s="173"/>
      <c r="G444" s="173"/>
      <c r="H444" s="170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</row>
    <row r="445" ht="14.25" customHeight="1">
      <c r="A445" s="171"/>
      <c r="B445" s="282"/>
      <c r="C445" s="282"/>
      <c r="D445" s="78"/>
      <c r="E445" s="78"/>
      <c r="F445" s="173"/>
      <c r="G445" s="173"/>
      <c r="H445" s="170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</row>
    <row r="446" ht="14.25" customHeight="1">
      <c r="A446" s="171"/>
      <c r="B446" s="282"/>
      <c r="C446" s="282"/>
      <c r="D446" s="78"/>
      <c r="E446" s="78"/>
      <c r="F446" s="173"/>
      <c r="G446" s="173"/>
      <c r="H446" s="170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</row>
    <row r="447" ht="14.25" customHeight="1">
      <c r="A447" s="171"/>
      <c r="B447" s="282"/>
      <c r="C447" s="282"/>
      <c r="D447" s="78"/>
      <c r="E447" s="78"/>
      <c r="F447" s="173"/>
      <c r="G447" s="173"/>
      <c r="H447" s="170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</row>
    <row r="448" ht="14.25" customHeight="1">
      <c r="A448" s="171"/>
      <c r="B448" s="282"/>
      <c r="C448" s="282"/>
      <c r="D448" s="78"/>
      <c r="E448" s="78"/>
      <c r="F448" s="173"/>
      <c r="G448" s="173"/>
      <c r="H448" s="170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</row>
    <row r="449" ht="14.25" customHeight="1">
      <c r="A449" s="171"/>
      <c r="B449" s="282"/>
      <c r="C449" s="282"/>
      <c r="D449" s="78"/>
      <c r="E449" s="78"/>
      <c r="F449" s="173"/>
      <c r="G449" s="173"/>
      <c r="H449" s="170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</row>
    <row r="450" ht="14.25" customHeight="1">
      <c r="A450" s="171"/>
      <c r="B450" s="282"/>
      <c r="C450" s="282"/>
      <c r="D450" s="78"/>
      <c r="E450" s="78"/>
      <c r="F450" s="173"/>
      <c r="G450" s="173"/>
      <c r="H450" s="170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</row>
    <row r="451" ht="14.25" customHeight="1">
      <c r="A451" s="171"/>
      <c r="B451" s="282"/>
      <c r="C451" s="282"/>
      <c r="D451" s="78"/>
      <c r="E451" s="78"/>
      <c r="F451" s="173"/>
      <c r="G451" s="173"/>
      <c r="H451" s="170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</row>
    <row r="452" ht="14.25" customHeight="1">
      <c r="A452" s="171"/>
      <c r="B452" s="282"/>
      <c r="C452" s="282"/>
      <c r="D452" s="78"/>
      <c r="E452" s="78"/>
      <c r="F452" s="173"/>
      <c r="G452" s="173"/>
      <c r="H452" s="170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</row>
    <row r="453" ht="14.25" customHeight="1">
      <c r="A453" s="171"/>
      <c r="B453" s="282"/>
      <c r="C453" s="282"/>
      <c r="D453" s="78"/>
      <c r="E453" s="78"/>
      <c r="F453" s="173"/>
      <c r="G453" s="173"/>
      <c r="H453" s="170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</row>
    <row r="454" ht="14.25" customHeight="1">
      <c r="A454" s="171"/>
      <c r="B454" s="282"/>
      <c r="C454" s="282"/>
      <c r="D454" s="78"/>
      <c r="E454" s="78"/>
      <c r="F454" s="173"/>
      <c r="G454" s="173"/>
      <c r="H454" s="170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</row>
    <row r="455" ht="14.25" customHeight="1">
      <c r="A455" s="171"/>
      <c r="B455" s="282"/>
      <c r="C455" s="282"/>
      <c r="D455" s="78"/>
      <c r="E455" s="78"/>
      <c r="F455" s="173"/>
      <c r="G455" s="173"/>
      <c r="H455" s="170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</row>
    <row r="456" ht="14.25" customHeight="1">
      <c r="A456" s="171"/>
      <c r="B456" s="282"/>
      <c r="C456" s="282"/>
      <c r="D456" s="78"/>
      <c r="E456" s="78"/>
      <c r="F456" s="173"/>
      <c r="G456" s="173"/>
      <c r="H456" s="170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</row>
    <row r="457" ht="14.25" customHeight="1">
      <c r="A457" s="171"/>
      <c r="B457" s="282"/>
      <c r="C457" s="282"/>
      <c r="D457" s="78"/>
      <c r="E457" s="78"/>
      <c r="F457" s="173"/>
      <c r="G457" s="173"/>
      <c r="H457" s="170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</row>
    <row r="458" ht="14.25" customHeight="1">
      <c r="A458" s="171"/>
      <c r="B458" s="282"/>
      <c r="C458" s="282"/>
      <c r="D458" s="78"/>
      <c r="E458" s="78"/>
      <c r="F458" s="173"/>
      <c r="G458" s="173"/>
      <c r="H458" s="170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</row>
    <row r="459" ht="14.25" customHeight="1">
      <c r="A459" s="171"/>
      <c r="B459" s="282"/>
      <c r="C459" s="282"/>
      <c r="D459" s="78"/>
      <c r="E459" s="78"/>
      <c r="F459" s="173"/>
      <c r="G459" s="173"/>
      <c r="H459" s="170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</row>
    <row r="460" ht="14.25" customHeight="1">
      <c r="A460" s="171"/>
      <c r="B460" s="282"/>
      <c r="C460" s="282"/>
      <c r="D460" s="78"/>
      <c r="E460" s="78"/>
      <c r="F460" s="173"/>
      <c r="G460" s="173"/>
      <c r="H460" s="170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</row>
    <row r="461" ht="14.25" customHeight="1">
      <c r="A461" s="171"/>
      <c r="B461" s="282"/>
      <c r="C461" s="282"/>
      <c r="D461" s="78"/>
      <c r="E461" s="78"/>
      <c r="F461" s="173"/>
      <c r="G461" s="173"/>
      <c r="H461" s="170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</row>
    <row r="462" ht="14.25" customHeight="1">
      <c r="A462" s="171"/>
      <c r="B462" s="282"/>
      <c r="C462" s="282"/>
      <c r="D462" s="78"/>
      <c r="E462" s="78"/>
      <c r="F462" s="173"/>
      <c r="G462" s="173"/>
      <c r="H462" s="170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</row>
    <row r="463" ht="14.25" customHeight="1">
      <c r="A463" s="171"/>
      <c r="B463" s="282"/>
      <c r="C463" s="282"/>
      <c r="D463" s="78"/>
      <c r="E463" s="78"/>
      <c r="F463" s="173"/>
      <c r="G463" s="173"/>
      <c r="H463" s="170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</row>
    <row r="464" ht="14.25" customHeight="1">
      <c r="A464" s="171"/>
      <c r="B464" s="282"/>
      <c r="C464" s="282"/>
      <c r="D464" s="78"/>
      <c r="E464" s="78"/>
      <c r="F464" s="173"/>
      <c r="G464" s="173"/>
      <c r="H464" s="170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</row>
    <row r="465" ht="14.25" customHeight="1">
      <c r="A465" s="171"/>
      <c r="B465" s="282"/>
      <c r="C465" s="282"/>
      <c r="D465" s="78"/>
      <c r="E465" s="78"/>
      <c r="F465" s="173"/>
      <c r="G465" s="173"/>
      <c r="H465" s="170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</row>
    <row r="466" ht="14.25" customHeight="1">
      <c r="A466" s="171"/>
      <c r="B466" s="282"/>
      <c r="C466" s="282"/>
      <c r="D466" s="78"/>
      <c r="E466" s="78"/>
      <c r="F466" s="173"/>
      <c r="G466" s="173"/>
      <c r="H466" s="170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</row>
    <row r="467" ht="14.25" customHeight="1">
      <c r="A467" s="171"/>
      <c r="B467" s="282"/>
      <c r="C467" s="282"/>
      <c r="D467" s="78"/>
      <c r="E467" s="78"/>
      <c r="F467" s="173"/>
      <c r="G467" s="173"/>
      <c r="H467" s="170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</row>
    <row r="468" ht="14.25" customHeight="1">
      <c r="A468" s="171"/>
      <c r="B468" s="282"/>
      <c r="C468" s="282"/>
      <c r="D468" s="78"/>
      <c r="E468" s="78"/>
      <c r="F468" s="173"/>
      <c r="G468" s="173"/>
      <c r="H468" s="170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</row>
    <row r="469" ht="14.25" customHeight="1">
      <c r="A469" s="171"/>
      <c r="B469" s="282"/>
      <c r="C469" s="282"/>
      <c r="D469" s="78"/>
      <c r="E469" s="78"/>
      <c r="F469" s="173"/>
      <c r="G469" s="173"/>
      <c r="H469" s="170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</row>
    <row r="470" ht="14.25" customHeight="1">
      <c r="A470" s="171"/>
      <c r="B470" s="282"/>
      <c r="C470" s="282"/>
      <c r="D470" s="78"/>
      <c r="E470" s="78"/>
      <c r="F470" s="173"/>
      <c r="G470" s="173"/>
      <c r="H470" s="170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</row>
    <row r="471" ht="14.25" customHeight="1">
      <c r="A471" s="171"/>
      <c r="B471" s="282"/>
      <c r="C471" s="282"/>
      <c r="D471" s="78"/>
      <c r="E471" s="78"/>
      <c r="F471" s="173"/>
      <c r="G471" s="173"/>
      <c r="H471" s="170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</row>
    <row r="472" ht="14.25" customHeight="1">
      <c r="A472" s="171"/>
      <c r="B472" s="282"/>
      <c r="C472" s="282"/>
      <c r="D472" s="78"/>
      <c r="E472" s="78"/>
      <c r="F472" s="173"/>
      <c r="G472" s="173"/>
      <c r="H472" s="170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</row>
    <row r="473" ht="14.25" customHeight="1">
      <c r="A473" s="171"/>
      <c r="B473" s="282"/>
      <c r="C473" s="282"/>
      <c r="D473" s="78"/>
      <c r="E473" s="78"/>
      <c r="F473" s="173"/>
      <c r="G473" s="173"/>
      <c r="H473" s="170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</row>
    <row r="474" ht="14.25" customHeight="1">
      <c r="A474" s="171"/>
      <c r="B474" s="282"/>
      <c r="C474" s="282"/>
      <c r="D474" s="78"/>
      <c r="E474" s="78"/>
      <c r="F474" s="173"/>
      <c r="G474" s="173"/>
      <c r="H474" s="170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</row>
    <row r="475" ht="14.25" customHeight="1">
      <c r="A475" s="171"/>
      <c r="B475" s="282"/>
      <c r="C475" s="282"/>
      <c r="D475" s="78"/>
      <c r="E475" s="78"/>
      <c r="F475" s="173"/>
      <c r="G475" s="173"/>
      <c r="H475" s="170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</row>
    <row r="476" ht="14.25" customHeight="1">
      <c r="A476" s="171"/>
      <c r="B476" s="282"/>
      <c r="C476" s="282"/>
      <c r="D476" s="78"/>
      <c r="E476" s="78"/>
      <c r="F476" s="173"/>
      <c r="G476" s="173"/>
      <c r="H476" s="170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</row>
    <row r="477" ht="14.25" customHeight="1">
      <c r="A477" s="171"/>
      <c r="B477" s="282"/>
      <c r="C477" s="282"/>
      <c r="D477" s="78"/>
      <c r="E477" s="78"/>
      <c r="F477" s="173"/>
      <c r="G477" s="173"/>
      <c r="H477" s="170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</row>
    <row r="478" ht="14.25" customHeight="1">
      <c r="A478" s="171"/>
      <c r="B478" s="282"/>
      <c r="C478" s="282"/>
      <c r="D478" s="78"/>
      <c r="E478" s="78"/>
      <c r="F478" s="173"/>
      <c r="G478" s="173"/>
      <c r="H478" s="170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</row>
    <row r="479" ht="14.25" customHeight="1">
      <c r="A479" s="171"/>
      <c r="B479" s="282"/>
      <c r="C479" s="282"/>
      <c r="D479" s="78"/>
      <c r="E479" s="78"/>
      <c r="F479" s="173"/>
      <c r="G479" s="173"/>
      <c r="H479" s="170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</row>
    <row r="480" ht="14.25" customHeight="1">
      <c r="A480" s="171"/>
      <c r="B480" s="282"/>
      <c r="C480" s="282"/>
      <c r="D480" s="78"/>
      <c r="E480" s="78"/>
      <c r="F480" s="173"/>
      <c r="G480" s="173"/>
      <c r="H480" s="170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</row>
    <row r="481" ht="14.25" customHeight="1">
      <c r="A481" s="171"/>
      <c r="B481" s="282"/>
      <c r="C481" s="282"/>
      <c r="D481" s="78"/>
      <c r="E481" s="78"/>
      <c r="F481" s="173"/>
      <c r="G481" s="173"/>
      <c r="H481" s="170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</row>
    <row r="482" ht="14.25" customHeight="1">
      <c r="A482" s="171"/>
      <c r="B482" s="282"/>
      <c r="C482" s="282"/>
      <c r="D482" s="78"/>
      <c r="E482" s="78"/>
      <c r="F482" s="173"/>
      <c r="G482" s="173"/>
      <c r="H482" s="170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</row>
    <row r="483" ht="14.25" customHeight="1">
      <c r="A483" s="171"/>
      <c r="B483" s="282"/>
      <c r="C483" s="282"/>
      <c r="D483" s="78"/>
      <c r="E483" s="78"/>
      <c r="F483" s="173"/>
      <c r="G483" s="173"/>
      <c r="H483" s="170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</row>
    <row r="484" ht="14.25" customHeight="1">
      <c r="A484" s="171"/>
      <c r="B484" s="282"/>
      <c r="C484" s="282"/>
      <c r="D484" s="78"/>
      <c r="E484" s="78"/>
      <c r="F484" s="173"/>
      <c r="G484" s="173"/>
      <c r="H484" s="170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</row>
    <row r="485" ht="14.25" customHeight="1">
      <c r="A485" s="171"/>
      <c r="B485" s="282"/>
      <c r="C485" s="282"/>
      <c r="D485" s="78"/>
      <c r="E485" s="78"/>
      <c r="F485" s="173"/>
      <c r="G485" s="173"/>
      <c r="H485" s="170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</row>
    <row r="486" ht="14.25" customHeight="1">
      <c r="A486" s="171"/>
      <c r="B486" s="282"/>
      <c r="C486" s="282"/>
      <c r="D486" s="78"/>
      <c r="E486" s="78"/>
      <c r="F486" s="173"/>
      <c r="G486" s="173"/>
      <c r="H486" s="170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</row>
    <row r="487" ht="14.25" customHeight="1">
      <c r="A487" s="171"/>
      <c r="B487" s="282"/>
      <c r="C487" s="282"/>
      <c r="D487" s="78"/>
      <c r="E487" s="78"/>
      <c r="F487" s="173"/>
      <c r="G487" s="173"/>
      <c r="H487" s="170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</row>
    <row r="488" ht="14.25" customHeight="1">
      <c r="A488" s="171"/>
      <c r="B488" s="282"/>
      <c r="C488" s="282"/>
      <c r="D488" s="78"/>
      <c r="E488" s="78"/>
      <c r="F488" s="173"/>
      <c r="G488" s="173"/>
      <c r="H488" s="170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</row>
    <row r="489" ht="14.25" customHeight="1">
      <c r="A489" s="171"/>
      <c r="B489" s="282"/>
      <c r="C489" s="282"/>
      <c r="D489" s="78"/>
      <c r="E489" s="78"/>
      <c r="F489" s="173"/>
      <c r="G489" s="173"/>
      <c r="H489" s="170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</row>
    <row r="490" ht="14.25" customHeight="1">
      <c r="A490" s="171"/>
      <c r="B490" s="282"/>
      <c r="C490" s="282"/>
      <c r="D490" s="78"/>
      <c r="E490" s="78"/>
      <c r="F490" s="173"/>
      <c r="G490" s="173"/>
      <c r="H490" s="170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</row>
    <row r="491" ht="14.25" customHeight="1">
      <c r="A491" s="171"/>
      <c r="B491" s="282"/>
      <c r="C491" s="282"/>
      <c r="D491" s="78"/>
      <c r="E491" s="78"/>
      <c r="F491" s="173"/>
      <c r="G491" s="173"/>
      <c r="H491" s="170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</row>
    <row r="492" ht="14.25" customHeight="1">
      <c r="A492" s="171"/>
      <c r="B492" s="282"/>
      <c r="C492" s="282"/>
      <c r="D492" s="78"/>
      <c r="E492" s="78"/>
      <c r="F492" s="173"/>
      <c r="G492" s="173"/>
      <c r="H492" s="170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</row>
    <row r="493" ht="14.25" customHeight="1">
      <c r="A493" s="171"/>
      <c r="B493" s="282"/>
      <c r="C493" s="282"/>
      <c r="D493" s="78"/>
      <c r="E493" s="78"/>
      <c r="F493" s="173"/>
      <c r="G493" s="173"/>
      <c r="H493" s="170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</row>
    <row r="494" ht="14.25" customHeight="1">
      <c r="A494" s="171"/>
      <c r="B494" s="282"/>
      <c r="C494" s="282"/>
      <c r="D494" s="78"/>
      <c r="E494" s="78"/>
      <c r="F494" s="173"/>
      <c r="G494" s="173"/>
      <c r="H494" s="170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</row>
    <row r="495" ht="14.25" customHeight="1">
      <c r="A495" s="171"/>
      <c r="B495" s="282"/>
      <c r="C495" s="282"/>
      <c r="D495" s="78"/>
      <c r="E495" s="78"/>
      <c r="F495" s="173"/>
      <c r="G495" s="173"/>
      <c r="H495" s="170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</row>
    <row r="496" ht="14.25" customHeight="1">
      <c r="A496" s="171"/>
      <c r="B496" s="282"/>
      <c r="C496" s="282"/>
      <c r="D496" s="78"/>
      <c r="E496" s="78"/>
      <c r="F496" s="173"/>
      <c r="G496" s="173"/>
      <c r="H496" s="170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</row>
    <row r="497" ht="14.25" customHeight="1">
      <c r="A497" s="171"/>
      <c r="B497" s="282"/>
      <c r="C497" s="282"/>
      <c r="D497" s="78"/>
      <c r="E497" s="78"/>
      <c r="F497" s="173"/>
      <c r="G497" s="173"/>
      <c r="H497" s="170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</row>
    <row r="498" ht="14.25" customHeight="1">
      <c r="A498" s="171"/>
      <c r="B498" s="282"/>
      <c r="C498" s="282"/>
      <c r="D498" s="78"/>
      <c r="E498" s="78"/>
      <c r="F498" s="173"/>
      <c r="G498" s="173"/>
      <c r="H498" s="170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</row>
    <row r="499" ht="14.25" customHeight="1">
      <c r="A499" s="171"/>
      <c r="B499" s="282"/>
      <c r="C499" s="282"/>
      <c r="D499" s="78"/>
      <c r="E499" s="78"/>
      <c r="F499" s="173"/>
      <c r="G499" s="173"/>
      <c r="H499" s="170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</row>
    <row r="500" ht="14.25" customHeight="1">
      <c r="A500" s="171"/>
      <c r="B500" s="282"/>
      <c r="C500" s="282"/>
      <c r="D500" s="78"/>
      <c r="E500" s="78"/>
      <c r="F500" s="173"/>
      <c r="G500" s="173"/>
      <c r="H500" s="170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</row>
    <row r="501" ht="14.25" customHeight="1">
      <c r="A501" s="171"/>
      <c r="B501" s="282"/>
      <c r="C501" s="282"/>
      <c r="D501" s="78"/>
      <c r="E501" s="78"/>
      <c r="F501" s="173"/>
      <c r="G501" s="173"/>
      <c r="H501" s="170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</row>
    <row r="502" ht="14.25" customHeight="1">
      <c r="A502" s="171"/>
      <c r="B502" s="282"/>
      <c r="C502" s="282"/>
      <c r="D502" s="78"/>
      <c r="E502" s="78"/>
      <c r="F502" s="173"/>
      <c r="G502" s="173"/>
      <c r="H502" s="170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</row>
    <row r="503" ht="14.25" customHeight="1">
      <c r="A503" s="171"/>
      <c r="B503" s="282"/>
      <c r="C503" s="282"/>
      <c r="D503" s="78"/>
      <c r="E503" s="78"/>
      <c r="F503" s="173"/>
      <c r="G503" s="173"/>
      <c r="H503" s="170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</row>
    <row r="504" ht="14.25" customHeight="1">
      <c r="A504" s="171"/>
      <c r="B504" s="282"/>
      <c r="C504" s="282"/>
      <c r="D504" s="78"/>
      <c r="E504" s="78"/>
      <c r="F504" s="173"/>
      <c r="G504" s="173"/>
      <c r="H504" s="170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</row>
    <row r="505" ht="14.25" customHeight="1">
      <c r="A505" s="171"/>
      <c r="B505" s="282"/>
      <c r="C505" s="282"/>
      <c r="D505" s="78"/>
      <c r="E505" s="78"/>
      <c r="F505" s="173"/>
      <c r="G505" s="173"/>
      <c r="H505" s="170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</row>
    <row r="506" ht="14.25" customHeight="1">
      <c r="A506" s="171"/>
      <c r="B506" s="282"/>
      <c r="C506" s="282"/>
      <c r="D506" s="78"/>
      <c r="E506" s="78"/>
      <c r="F506" s="173"/>
      <c r="G506" s="173"/>
      <c r="H506" s="170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</row>
    <row r="507" ht="14.25" customHeight="1">
      <c r="A507" s="171"/>
      <c r="B507" s="282"/>
      <c r="C507" s="282"/>
      <c r="D507" s="78"/>
      <c r="E507" s="78"/>
      <c r="F507" s="173"/>
      <c r="G507" s="173"/>
      <c r="H507" s="170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</row>
    <row r="508" ht="14.25" customHeight="1">
      <c r="A508" s="171"/>
      <c r="B508" s="282"/>
      <c r="C508" s="282"/>
      <c r="D508" s="78"/>
      <c r="E508" s="78"/>
      <c r="F508" s="173"/>
      <c r="G508" s="173"/>
      <c r="H508" s="170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</row>
    <row r="509" ht="14.25" customHeight="1">
      <c r="A509" s="171"/>
      <c r="B509" s="282"/>
      <c r="C509" s="282"/>
      <c r="D509" s="78"/>
      <c r="E509" s="78"/>
      <c r="F509" s="173"/>
      <c r="G509" s="173"/>
      <c r="H509" s="170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</row>
    <row r="510" ht="14.25" customHeight="1">
      <c r="A510" s="171"/>
      <c r="B510" s="282"/>
      <c r="C510" s="282"/>
      <c r="D510" s="78"/>
      <c r="E510" s="78"/>
      <c r="F510" s="173"/>
      <c r="G510" s="173"/>
      <c r="H510" s="170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</row>
    <row r="511" ht="14.25" customHeight="1">
      <c r="A511" s="171"/>
      <c r="B511" s="282"/>
      <c r="C511" s="282"/>
      <c r="D511" s="78"/>
      <c r="E511" s="78"/>
      <c r="F511" s="173"/>
      <c r="G511" s="173"/>
      <c r="H511" s="170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</row>
    <row r="512" ht="14.25" customHeight="1">
      <c r="A512" s="171"/>
      <c r="B512" s="282"/>
      <c r="C512" s="282"/>
      <c r="D512" s="78"/>
      <c r="E512" s="78"/>
      <c r="F512" s="173"/>
      <c r="G512" s="173"/>
      <c r="H512" s="170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</row>
    <row r="513" ht="14.25" customHeight="1">
      <c r="A513" s="171"/>
      <c r="B513" s="282"/>
      <c r="C513" s="282"/>
      <c r="D513" s="78"/>
      <c r="E513" s="78"/>
      <c r="F513" s="173"/>
      <c r="G513" s="173"/>
      <c r="H513" s="170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</row>
    <row r="514" ht="14.25" customHeight="1">
      <c r="A514" s="171"/>
      <c r="B514" s="282"/>
      <c r="C514" s="282"/>
      <c r="D514" s="78"/>
      <c r="E514" s="78"/>
      <c r="F514" s="173"/>
      <c r="G514" s="173"/>
      <c r="H514" s="170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</row>
    <row r="515" ht="14.25" customHeight="1">
      <c r="A515" s="171"/>
      <c r="B515" s="282"/>
      <c r="C515" s="282"/>
      <c r="D515" s="78"/>
      <c r="E515" s="78"/>
      <c r="F515" s="173"/>
      <c r="G515" s="173"/>
      <c r="H515" s="170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</row>
    <row r="516" ht="14.25" customHeight="1">
      <c r="A516" s="171"/>
      <c r="B516" s="282"/>
      <c r="C516" s="282"/>
      <c r="D516" s="78"/>
      <c r="E516" s="78"/>
      <c r="F516" s="173"/>
      <c r="G516" s="173"/>
      <c r="H516" s="170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</row>
    <row r="517" ht="14.25" customHeight="1">
      <c r="A517" s="171"/>
      <c r="B517" s="282"/>
      <c r="C517" s="282"/>
      <c r="D517" s="78"/>
      <c r="E517" s="78"/>
      <c r="F517" s="173"/>
      <c r="G517" s="173"/>
      <c r="H517" s="170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</row>
    <row r="518" ht="14.25" customHeight="1">
      <c r="A518" s="171"/>
      <c r="B518" s="282"/>
      <c r="C518" s="282"/>
      <c r="D518" s="78"/>
      <c r="E518" s="78"/>
      <c r="F518" s="173"/>
      <c r="G518" s="173"/>
      <c r="H518" s="170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</row>
    <row r="519" ht="14.25" customHeight="1">
      <c r="A519" s="171"/>
      <c r="B519" s="282"/>
      <c r="C519" s="282"/>
      <c r="D519" s="78"/>
      <c r="E519" s="78"/>
      <c r="F519" s="173"/>
      <c r="G519" s="173"/>
      <c r="H519" s="170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</row>
    <row r="520" ht="14.25" customHeight="1">
      <c r="A520" s="171"/>
      <c r="B520" s="282"/>
      <c r="C520" s="282"/>
      <c r="D520" s="78"/>
      <c r="E520" s="78"/>
      <c r="F520" s="173"/>
      <c r="G520" s="173"/>
      <c r="H520" s="170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</row>
    <row r="521" ht="14.25" customHeight="1">
      <c r="A521" s="171"/>
      <c r="B521" s="282"/>
      <c r="C521" s="282"/>
      <c r="D521" s="78"/>
      <c r="E521" s="78"/>
      <c r="F521" s="173"/>
      <c r="G521" s="173"/>
      <c r="H521" s="170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</row>
    <row r="522" ht="14.25" customHeight="1">
      <c r="A522" s="171"/>
      <c r="B522" s="282"/>
      <c r="C522" s="282"/>
      <c r="D522" s="78"/>
      <c r="E522" s="78"/>
      <c r="F522" s="173"/>
      <c r="G522" s="173"/>
      <c r="H522" s="170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</row>
    <row r="523" ht="14.25" customHeight="1">
      <c r="A523" s="171"/>
      <c r="B523" s="282"/>
      <c r="C523" s="282"/>
      <c r="D523" s="78"/>
      <c r="E523" s="78"/>
      <c r="F523" s="173"/>
      <c r="G523" s="173"/>
      <c r="H523" s="170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</row>
    <row r="524" ht="14.25" customHeight="1">
      <c r="A524" s="171"/>
      <c r="B524" s="282"/>
      <c r="C524" s="282"/>
      <c r="D524" s="78"/>
      <c r="E524" s="78"/>
      <c r="F524" s="173"/>
      <c r="G524" s="173"/>
      <c r="H524" s="170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</row>
    <row r="525" ht="14.25" customHeight="1">
      <c r="A525" s="171"/>
      <c r="B525" s="282"/>
      <c r="C525" s="282"/>
      <c r="D525" s="78"/>
      <c r="E525" s="78"/>
      <c r="F525" s="173"/>
      <c r="G525" s="173"/>
      <c r="H525" s="170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</row>
    <row r="526" ht="14.25" customHeight="1">
      <c r="A526" s="171"/>
      <c r="B526" s="282"/>
      <c r="C526" s="282"/>
      <c r="D526" s="78"/>
      <c r="E526" s="78"/>
      <c r="F526" s="173"/>
      <c r="G526" s="173"/>
      <c r="H526" s="170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</row>
    <row r="527" ht="14.25" customHeight="1">
      <c r="A527" s="171"/>
      <c r="B527" s="282"/>
      <c r="C527" s="282"/>
      <c r="D527" s="78"/>
      <c r="E527" s="78"/>
      <c r="F527" s="173"/>
      <c r="G527" s="173"/>
      <c r="H527" s="170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</row>
    <row r="528" ht="14.25" customHeight="1">
      <c r="A528" s="171"/>
      <c r="B528" s="282"/>
      <c r="C528" s="282"/>
      <c r="D528" s="78"/>
      <c r="E528" s="78"/>
      <c r="F528" s="173"/>
      <c r="G528" s="173"/>
      <c r="H528" s="170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</row>
    <row r="529" ht="14.25" customHeight="1">
      <c r="A529" s="171"/>
      <c r="B529" s="282"/>
      <c r="C529" s="282"/>
      <c r="D529" s="78"/>
      <c r="E529" s="78"/>
      <c r="F529" s="173"/>
      <c r="G529" s="173"/>
      <c r="H529" s="170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</row>
    <row r="530" ht="14.25" customHeight="1">
      <c r="A530" s="171"/>
      <c r="B530" s="282"/>
      <c r="C530" s="282"/>
      <c r="D530" s="78"/>
      <c r="E530" s="78"/>
      <c r="F530" s="173"/>
      <c r="G530" s="173"/>
      <c r="H530" s="170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</row>
    <row r="531" ht="14.25" customHeight="1">
      <c r="A531" s="171"/>
      <c r="B531" s="282"/>
      <c r="C531" s="282"/>
      <c r="D531" s="78"/>
      <c r="E531" s="78"/>
      <c r="F531" s="173"/>
      <c r="G531" s="173"/>
      <c r="H531" s="170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</row>
    <row r="532" ht="14.25" customHeight="1">
      <c r="A532" s="171"/>
      <c r="B532" s="282"/>
      <c r="C532" s="282"/>
      <c r="D532" s="78"/>
      <c r="E532" s="78"/>
      <c r="F532" s="173"/>
      <c r="G532" s="173"/>
      <c r="H532" s="170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</row>
    <row r="533" ht="14.25" customHeight="1">
      <c r="A533" s="171"/>
      <c r="B533" s="282"/>
      <c r="C533" s="282"/>
      <c r="D533" s="78"/>
      <c r="E533" s="78"/>
      <c r="F533" s="173"/>
      <c r="G533" s="173"/>
      <c r="H533" s="170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</row>
    <row r="534" ht="14.25" customHeight="1">
      <c r="A534" s="171"/>
      <c r="B534" s="282"/>
      <c r="C534" s="282"/>
      <c r="D534" s="78"/>
      <c r="E534" s="78"/>
      <c r="F534" s="173"/>
      <c r="G534" s="173"/>
      <c r="H534" s="170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</row>
    <row r="535" ht="14.25" customHeight="1">
      <c r="A535" s="171"/>
      <c r="B535" s="282"/>
      <c r="C535" s="282"/>
      <c r="D535" s="78"/>
      <c r="E535" s="78"/>
      <c r="F535" s="173"/>
      <c r="G535" s="173"/>
      <c r="H535" s="170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</row>
    <row r="536" ht="14.25" customHeight="1">
      <c r="A536" s="171"/>
      <c r="B536" s="282"/>
      <c r="C536" s="282"/>
      <c r="D536" s="78"/>
      <c r="E536" s="78"/>
      <c r="F536" s="173"/>
      <c r="G536" s="173"/>
      <c r="H536" s="170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</row>
    <row r="537" ht="14.25" customHeight="1">
      <c r="A537" s="171"/>
      <c r="B537" s="282"/>
      <c r="C537" s="282"/>
      <c r="D537" s="78"/>
      <c r="E537" s="78"/>
      <c r="F537" s="173"/>
      <c r="G537" s="173"/>
      <c r="H537" s="170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</row>
    <row r="538" ht="14.25" customHeight="1">
      <c r="A538" s="171"/>
      <c r="B538" s="282"/>
      <c r="C538" s="282"/>
      <c r="D538" s="78"/>
      <c r="E538" s="78"/>
      <c r="F538" s="173"/>
      <c r="G538" s="173"/>
      <c r="H538" s="170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</row>
    <row r="539" ht="14.25" customHeight="1">
      <c r="A539" s="171"/>
      <c r="B539" s="282"/>
      <c r="C539" s="282"/>
      <c r="D539" s="78"/>
      <c r="E539" s="78"/>
      <c r="F539" s="173"/>
      <c r="G539" s="173"/>
      <c r="H539" s="170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</row>
    <row r="540" ht="14.25" customHeight="1">
      <c r="A540" s="171"/>
      <c r="B540" s="282"/>
      <c r="C540" s="282"/>
      <c r="D540" s="78"/>
      <c r="E540" s="78"/>
      <c r="F540" s="173"/>
      <c r="G540" s="173"/>
      <c r="H540" s="170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</row>
    <row r="541" ht="14.25" customHeight="1">
      <c r="A541" s="171"/>
      <c r="B541" s="282"/>
      <c r="C541" s="282"/>
      <c r="D541" s="78"/>
      <c r="E541" s="78"/>
      <c r="F541" s="173"/>
      <c r="G541" s="173"/>
      <c r="H541" s="170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</row>
    <row r="542" ht="14.25" customHeight="1">
      <c r="A542" s="171"/>
      <c r="B542" s="282"/>
      <c r="C542" s="282"/>
      <c r="D542" s="78"/>
      <c r="E542" s="78"/>
      <c r="F542" s="173"/>
      <c r="G542" s="173"/>
      <c r="H542" s="170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</row>
    <row r="543" ht="14.25" customHeight="1">
      <c r="A543" s="171"/>
      <c r="B543" s="282"/>
      <c r="C543" s="282"/>
      <c r="D543" s="78"/>
      <c r="E543" s="78"/>
      <c r="F543" s="173"/>
      <c r="G543" s="173"/>
      <c r="H543" s="170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</row>
    <row r="544" ht="14.25" customHeight="1">
      <c r="A544" s="171"/>
      <c r="B544" s="282"/>
      <c r="C544" s="282"/>
      <c r="D544" s="78"/>
      <c r="E544" s="78"/>
      <c r="F544" s="173"/>
      <c r="G544" s="173"/>
      <c r="H544" s="170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</row>
    <row r="545" ht="14.25" customHeight="1">
      <c r="A545" s="171"/>
      <c r="B545" s="282"/>
      <c r="C545" s="282"/>
      <c r="D545" s="78"/>
      <c r="E545" s="78"/>
      <c r="F545" s="173"/>
      <c r="G545" s="173"/>
      <c r="H545" s="170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</row>
    <row r="546" ht="14.25" customHeight="1">
      <c r="A546" s="171"/>
      <c r="B546" s="282"/>
      <c r="C546" s="282"/>
      <c r="D546" s="78"/>
      <c r="E546" s="78"/>
      <c r="F546" s="173"/>
      <c r="G546" s="173"/>
      <c r="H546" s="170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</row>
    <row r="547" ht="14.25" customHeight="1">
      <c r="A547" s="171"/>
      <c r="B547" s="282"/>
      <c r="C547" s="282"/>
      <c r="D547" s="78"/>
      <c r="E547" s="78"/>
      <c r="F547" s="173"/>
      <c r="G547" s="173"/>
      <c r="H547" s="170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</row>
    <row r="548" ht="14.25" customHeight="1">
      <c r="A548" s="171"/>
      <c r="B548" s="282"/>
      <c r="C548" s="282"/>
      <c r="D548" s="78"/>
      <c r="E548" s="78"/>
      <c r="F548" s="173"/>
      <c r="G548" s="173"/>
      <c r="H548" s="170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</row>
    <row r="549" ht="14.25" customHeight="1">
      <c r="A549" s="171"/>
      <c r="B549" s="282"/>
      <c r="C549" s="282"/>
      <c r="D549" s="78"/>
      <c r="E549" s="78"/>
      <c r="F549" s="173"/>
      <c r="G549" s="173"/>
      <c r="H549" s="170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</row>
    <row r="550" ht="14.25" customHeight="1">
      <c r="A550" s="171"/>
      <c r="B550" s="282"/>
      <c r="C550" s="282"/>
      <c r="D550" s="78"/>
      <c r="E550" s="78"/>
      <c r="F550" s="173"/>
      <c r="G550" s="173"/>
      <c r="H550" s="170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</row>
    <row r="551" ht="14.25" customHeight="1">
      <c r="A551" s="171"/>
      <c r="B551" s="282"/>
      <c r="C551" s="282"/>
      <c r="D551" s="78"/>
      <c r="E551" s="78"/>
      <c r="F551" s="173"/>
      <c r="G551" s="173"/>
      <c r="H551" s="170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</row>
    <row r="552" ht="14.25" customHeight="1">
      <c r="A552" s="171"/>
      <c r="B552" s="282"/>
      <c r="C552" s="282"/>
      <c r="D552" s="78"/>
      <c r="E552" s="78"/>
      <c r="F552" s="173"/>
      <c r="G552" s="173"/>
      <c r="H552" s="170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</row>
    <row r="553" ht="14.25" customHeight="1">
      <c r="A553" s="171"/>
      <c r="B553" s="282"/>
      <c r="C553" s="282"/>
      <c r="D553" s="78"/>
      <c r="E553" s="78"/>
      <c r="F553" s="173"/>
      <c r="G553" s="173"/>
      <c r="H553" s="170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</row>
    <row r="554" ht="14.25" customHeight="1">
      <c r="A554" s="171"/>
      <c r="B554" s="282"/>
      <c r="C554" s="282"/>
      <c r="D554" s="78"/>
      <c r="E554" s="78"/>
      <c r="F554" s="173"/>
      <c r="G554" s="173"/>
      <c r="H554" s="170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</row>
    <row r="555" ht="14.25" customHeight="1">
      <c r="A555" s="171"/>
      <c r="B555" s="282"/>
      <c r="C555" s="282"/>
      <c r="D555" s="78"/>
      <c r="E555" s="78"/>
      <c r="F555" s="173"/>
      <c r="G555" s="173"/>
      <c r="H555" s="170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</row>
    <row r="556" ht="14.25" customHeight="1">
      <c r="A556" s="171"/>
      <c r="B556" s="282"/>
      <c r="C556" s="282"/>
      <c r="D556" s="78"/>
      <c r="E556" s="78"/>
      <c r="F556" s="173"/>
      <c r="G556" s="173"/>
      <c r="H556" s="170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</row>
    <row r="557" ht="14.25" customHeight="1">
      <c r="A557" s="171"/>
      <c r="B557" s="282"/>
      <c r="C557" s="282"/>
      <c r="D557" s="78"/>
      <c r="E557" s="78"/>
      <c r="F557" s="173"/>
      <c r="G557" s="173"/>
      <c r="H557" s="170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</row>
    <row r="558" ht="14.25" customHeight="1">
      <c r="A558" s="171"/>
      <c r="B558" s="282"/>
      <c r="C558" s="282"/>
      <c r="D558" s="78"/>
      <c r="E558" s="78"/>
      <c r="F558" s="173"/>
      <c r="G558" s="173"/>
      <c r="H558" s="170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</row>
    <row r="559" ht="14.25" customHeight="1">
      <c r="A559" s="171"/>
      <c r="B559" s="282"/>
      <c r="C559" s="282"/>
      <c r="D559" s="78"/>
      <c r="E559" s="78"/>
      <c r="F559" s="173"/>
      <c r="G559" s="173"/>
      <c r="H559" s="170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</row>
    <row r="560" ht="14.25" customHeight="1">
      <c r="A560" s="171"/>
      <c r="B560" s="282"/>
      <c r="C560" s="282"/>
      <c r="D560" s="78"/>
      <c r="E560" s="78"/>
      <c r="F560" s="173"/>
      <c r="G560" s="173"/>
      <c r="H560" s="170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</row>
    <row r="561" ht="14.25" customHeight="1">
      <c r="A561" s="171"/>
      <c r="B561" s="282"/>
      <c r="C561" s="282"/>
      <c r="D561" s="78"/>
      <c r="E561" s="78"/>
      <c r="F561" s="173"/>
      <c r="G561" s="173"/>
      <c r="H561" s="170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</row>
    <row r="562" ht="14.25" customHeight="1">
      <c r="A562" s="171"/>
      <c r="B562" s="282"/>
      <c r="C562" s="282"/>
      <c r="D562" s="78"/>
      <c r="E562" s="78"/>
      <c r="F562" s="173"/>
      <c r="G562" s="173"/>
      <c r="H562" s="170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</row>
    <row r="563" ht="14.25" customHeight="1">
      <c r="A563" s="171"/>
      <c r="B563" s="282"/>
      <c r="C563" s="282"/>
      <c r="D563" s="78"/>
      <c r="E563" s="78"/>
      <c r="F563" s="173"/>
      <c r="G563" s="173"/>
      <c r="H563" s="170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</row>
    <row r="564" ht="14.25" customHeight="1">
      <c r="A564" s="171"/>
      <c r="B564" s="282"/>
      <c r="C564" s="282"/>
      <c r="D564" s="78"/>
      <c r="E564" s="78"/>
      <c r="F564" s="173"/>
      <c r="G564" s="173"/>
      <c r="H564" s="170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</row>
    <row r="565" ht="14.25" customHeight="1">
      <c r="A565" s="171"/>
      <c r="B565" s="282"/>
      <c r="C565" s="282"/>
      <c r="D565" s="78"/>
      <c r="E565" s="78"/>
      <c r="F565" s="173"/>
      <c r="G565" s="173"/>
      <c r="H565" s="170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</row>
    <row r="566" ht="14.25" customHeight="1">
      <c r="A566" s="171"/>
      <c r="B566" s="282"/>
      <c r="C566" s="282"/>
      <c r="D566" s="78"/>
      <c r="E566" s="78"/>
      <c r="F566" s="173"/>
      <c r="G566" s="173"/>
      <c r="H566" s="170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</row>
    <row r="567" ht="14.25" customHeight="1">
      <c r="A567" s="171"/>
      <c r="B567" s="282"/>
      <c r="C567" s="282"/>
      <c r="D567" s="78"/>
      <c r="E567" s="78"/>
      <c r="F567" s="173"/>
      <c r="G567" s="173"/>
      <c r="H567" s="170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</row>
    <row r="568" ht="14.25" customHeight="1">
      <c r="A568" s="171"/>
      <c r="B568" s="282"/>
      <c r="C568" s="282"/>
      <c r="D568" s="78"/>
      <c r="E568" s="78"/>
      <c r="F568" s="173"/>
      <c r="G568" s="173"/>
      <c r="H568" s="170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</row>
    <row r="569" ht="14.25" customHeight="1">
      <c r="A569" s="171"/>
      <c r="B569" s="282"/>
      <c r="C569" s="282"/>
      <c r="D569" s="78"/>
      <c r="E569" s="78"/>
      <c r="F569" s="173"/>
      <c r="G569" s="173"/>
      <c r="H569" s="170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</row>
    <row r="570" ht="14.25" customHeight="1">
      <c r="A570" s="171"/>
      <c r="B570" s="282"/>
      <c r="C570" s="282"/>
      <c r="D570" s="78"/>
      <c r="E570" s="78"/>
      <c r="F570" s="173"/>
      <c r="G570" s="173"/>
      <c r="H570" s="170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</row>
    <row r="571" ht="14.25" customHeight="1">
      <c r="A571" s="171"/>
      <c r="B571" s="282"/>
      <c r="C571" s="282"/>
      <c r="D571" s="78"/>
      <c r="E571" s="78"/>
      <c r="F571" s="173"/>
      <c r="G571" s="173"/>
      <c r="H571" s="170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</row>
    <row r="572" ht="14.25" customHeight="1">
      <c r="A572" s="171"/>
      <c r="B572" s="282"/>
      <c r="C572" s="282"/>
      <c r="D572" s="78"/>
      <c r="E572" s="78"/>
      <c r="F572" s="173"/>
      <c r="G572" s="173"/>
      <c r="H572" s="170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</row>
    <row r="573" ht="14.25" customHeight="1">
      <c r="A573" s="171"/>
      <c r="B573" s="282"/>
      <c r="C573" s="282"/>
      <c r="D573" s="78"/>
      <c r="E573" s="78"/>
      <c r="F573" s="173"/>
      <c r="G573" s="173"/>
      <c r="H573" s="170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</row>
    <row r="574" ht="14.25" customHeight="1">
      <c r="A574" s="171"/>
      <c r="B574" s="282"/>
      <c r="C574" s="282"/>
      <c r="D574" s="78"/>
      <c r="E574" s="78"/>
      <c r="F574" s="173"/>
      <c r="G574" s="173"/>
      <c r="H574" s="170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</row>
    <row r="575" ht="14.25" customHeight="1">
      <c r="A575" s="171"/>
      <c r="B575" s="282"/>
      <c r="C575" s="282"/>
      <c r="D575" s="78"/>
      <c r="E575" s="78"/>
      <c r="F575" s="173"/>
      <c r="G575" s="173"/>
      <c r="H575" s="170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</row>
    <row r="576" ht="14.25" customHeight="1">
      <c r="A576" s="171"/>
      <c r="B576" s="282"/>
      <c r="C576" s="282"/>
      <c r="D576" s="78"/>
      <c r="E576" s="78"/>
      <c r="F576" s="173"/>
      <c r="G576" s="173"/>
      <c r="H576" s="170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</row>
    <row r="577" ht="14.25" customHeight="1">
      <c r="A577" s="171"/>
      <c r="B577" s="282"/>
      <c r="C577" s="282"/>
      <c r="D577" s="78"/>
      <c r="E577" s="78"/>
      <c r="F577" s="173"/>
      <c r="G577" s="173"/>
      <c r="H577" s="170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</row>
    <row r="578" ht="14.25" customHeight="1">
      <c r="A578" s="171"/>
      <c r="B578" s="282"/>
      <c r="C578" s="282"/>
      <c r="D578" s="78"/>
      <c r="E578" s="78"/>
      <c r="F578" s="173"/>
      <c r="G578" s="173"/>
      <c r="H578" s="170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</row>
    <row r="579" ht="14.25" customHeight="1">
      <c r="A579" s="171"/>
      <c r="B579" s="282"/>
      <c r="C579" s="282"/>
      <c r="D579" s="78"/>
      <c r="E579" s="78"/>
      <c r="F579" s="173"/>
      <c r="G579" s="173"/>
      <c r="H579" s="170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</row>
    <row r="580" ht="14.25" customHeight="1">
      <c r="A580" s="171"/>
      <c r="B580" s="282"/>
      <c r="C580" s="282"/>
      <c r="D580" s="78"/>
      <c r="E580" s="78"/>
      <c r="F580" s="173"/>
      <c r="G580" s="173"/>
      <c r="H580" s="170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</row>
    <row r="581" ht="14.25" customHeight="1">
      <c r="A581" s="171"/>
      <c r="B581" s="282"/>
      <c r="C581" s="282"/>
      <c r="D581" s="78"/>
      <c r="E581" s="78"/>
      <c r="F581" s="173"/>
      <c r="G581" s="173"/>
      <c r="H581" s="170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</row>
    <row r="582" ht="14.25" customHeight="1">
      <c r="A582" s="171"/>
      <c r="B582" s="282"/>
      <c r="C582" s="282"/>
      <c r="D582" s="78"/>
      <c r="E582" s="78"/>
      <c r="F582" s="173"/>
      <c r="G582" s="173"/>
      <c r="H582" s="170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</row>
    <row r="583" ht="14.25" customHeight="1">
      <c r="A583" s="171"/>
      <c r="B583" s="282"/>
      <c r="C583" s="282"/>
      <c r="D583" s="78"/>
      <c r="E583" s="78"/>
      <c r="F583" s="173"/>
      <c r="G583" s="173"/>
      <c r="H583" s="170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</row>
    <row r="584" ht="14.25" customHeight="1">
      <c r="A584" s="171"/>
      <c r="B584" s="282"/>
      <c r="C584" s="282"/>
      <c r="D584" s="78"/>
      <c r="E584" s="78"/>
      <c r="F584" s="173"/>
      <c r="G584" s="173"/>
      <c r="H584" s="170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</row>
    <row r="585" ht="14.25" customHeight="1">
      <c r="A585" s="171"/>
      <c r="B585" s="282"/>
      <c r="C585" s="282"/>
      <c r="D585" s="78"/>
      <c r="E585" s="78"/>
      <c r="F585" s="173"/>
      <c r="G585" s="173"/>
      <c r="H585" s="170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</row>
    <row r="586" ht="14.25" customHeight="1">
      <c r="A586" s="171"/>
      <c r="B586" s="282"/>
      <c r="C586" s="282"/>
      <c r="D586" s="78"/>
      <c r="E586" s="78"/>
      <c r="F586" s="173"/>
      <c r="G586" s="173"/>
      <c r="H586" s="170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</row>
    <row r="587" ht="14.25" customHeight="1">
      <c r="A587" s="171"/>
      <c r="B587" s="282"/>
      <c r="C587" s="282"/>
      <c r="D587" s="78"/>
      <c r="E587" s="78"/>
      <c r="F587" s="173"/>
      <c r="G587" s="173"/>
      <c r="H587" s="170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</row>
    <row r="588" ht="14.25" customHeight="1">
      <c r="A588" s="171"/>
      <c r="B588" s="282"/>
      <c r="C588" s="282"/>
      <c r="D588" s="78"/>
      <c r="E588" s="78"/>
      <c r="F588" s="173"/>
      <c r="G588" s="173"/>
      <c r="H588" s="170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</row>
    <row r="589" ht="14.25" customHeight="1">
      <c r="A589" s="171"/>
      <c r="B589" s="282"/>
      <c r="C589" s="282"/>
      <c r="D589" s="78"/>
      <c r="E589" s="78"/>
      <c r="F589" s="173"/>
      <c r="G589" s="173"/>
      <c r="H589" s="170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</row>
    <row r="590" ht="14.25" customHeight="1">
      <c r="A590" s="171"/>
      <c r="B590" s="282"/>
      <c r="C590" s="282"/>
      <c r="D590" s="78"/>
      <c r="E590" s="78"/>
      <c r="F590" s="173"/>
      <c r="G590" s="173"/>
      <c r="H590" s="170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</row>
    <row r="591" ht="14.25" customHeight="1">
      <c r="A591" s="171"/>
      <c r="B591" s="282"/>
      <c r="C591" s="282"/>
      <c r="D591" s="78"/>
      <c r="E591" s="78"/>
      <c r="F591" s="173"/>
      <c r="G591" s="173"/>
      <c r="H591" s="170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</row>
    <row r="592" ht="14.25" customHeight="1">
      <c r="A592" s="171"/>
      <c r="B592" s="282"/>
      <c r="C592" s="282"/>
      <c r="D592" s="78"/>
      <c r="E592" s="78"/>
      <c r="F592" s="173"/>
      <c r="G592" s="173"/>
      <c r="H592" s="170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</row>
    <row r="593" ht="14.25" customHeight="1">
      <c r="A593" s="171"/>
      <c r="B593" s="282"/>
      <c r="C593" s="282"/>
      <c r="D593" s="78"/>
      <c r="E593" s="78"/>
      <c r="F593" s="173"/>
      <c r="G593" s="173"/>
      <c r="H593" s="170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</row>
    <row r="594" ht="14.25" customHeight="1">
      <c r="A594" s="171"/>
      <c r="B594" s="282"/>
      <c r="C594" s="282"/>
      <c r="D594" s="78"/>
      <c r="E594" s="78"/>
      <c r="F594" s="173"/>
      <c r="G594" s="173"/>
      <c r="H594" s="170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</row>
    <row r="595" ht="14.25" customHeight="1">
      <c r="A595" s="171"/>
      <c r="B595" s="282"/>
      <c r="C595" s="282"/>
      <c r="D595" s="78"/>
      <c r="E595" s="78"/>
      <c r="F595" s="173"/>
      <c r="G595" s="173"/>
      <c r="H595" s="170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</row>
    <row r="596" ht="14.25" customHeight="1">
      <c r="A596" s="171"/>
      <c r="B596" s="282"/>
      <c r="C596" s="282"/>
      <c r="D596" s="78"/>
      <c r="E596" s="78"/>
      <c r="F596" s="173"/>
      <c r="G596" s="173"/>
      <c r="H596" s="170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</row>
    <row r="597" ht="14.25" customHeight="1">
      <c r="A597" s="171"/>
      <c r="B597" s="282"/>
      <c r="C597" s="282"/>
      <c r="D597" s="78"/>
      <c r="E597" s="78"/>
      <c r="F597" s="173"/>
      <c r="G597" s="173"/>
      <c r="H597" s="170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</row>
    <row r="598" ht="14.25" customHeight="1">
      <c r="A598" s="171"/>
      <c r="B598" s="282"/>
      <c r="C598" s="282"/>
      <c r="D598" s="78"/>
      <c r="E598" s="78"/>
      <c r="F598" s="173"/>
      <c r="G598" s="173"/>
      <c r="H598" s="170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</row>
    <row r="599" ht="14.25" customHeight="1">
      <c r="A599" s="171"/>
      <c r="B599" s="282"/>
      <c r="C599" s="282"/>
      <c r="D599" s="78"/>
      <c r="E599" s="78"/>
      <c r="F599" s="173"/>
      <c r="G599" s="173"/>
      <c r="H599" s="170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</row>
    <row r="600" ht="14.25" customHeight="1">
      <c r="A600" s="171"/>
      <c r="B600" s="282"/>
      <c r="C600" s="282"/>
      <c r="D600" s="78"/>
      <c r="E600" s="78"/>
      <c r="F600" s="173"/>
      <c r="G600" s="173"/>
      <c r="H600" s="170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</row>
    <row r="601" ht="14.25" customHeight="1">
      <c r="A601" s="171"/>
      <c r="B601" s="282"/>
      <c r="C601" s="282"/>
      <c r="D601" s="78"/>
      <c r="E601" s="78"/>
      <c r="F601" s="173"/>
      <c r="G601" s="173"/>
      <c r="H601" s="170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</row>
    <row r="602" ht="14.25" customHeight="1">
      <c r="A602" s="171"/>
      <c r="B602" s="282"/>
      <c r="C602" s="282"/>
      <c r="D602" s="78"/>
      <c r="E602" s="78"/>
      <c r="F602" s="173"/>
      <c r="G602" s="173"/>
      <c r="H602" s="170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</row>
    <row r="603" ht="14.25" customHeight="1">
      <c r="A603" s="171"/>
      <c r="B603" s="282"/>
      <c r="C603" s="282"/>
      <c r="D603" s="78"/>
      <c r="E603" s="78"/>
      <c r="F603" s="173"/>
      <c r="G603" s="173"/>
      <c r="H603" s="170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</row>
    <row r="604" ht="14.25" customHeight="1">
      <c r="A604" s="171"/>
      <c r="B604" s="282"/>
      <c r="C604" s="282"/>
      <c r="D604" s="78"/>
      <c r="E604" s="78"/>
      <c r="F604" s="173"/>
      <c r="G604" s="173"/>
      <c r="H604" s="170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</row>
    <row r="605" ht="14.25" customHeight="1">
      <c r="A605" s="171"/>
      <c r="B605" s="282"/>
      <c r="C605" s="282"/>
      <c r="D605" s="78"/>
      <c r="E605" s="78"/>
      <c r="F605" s="173"/>
      <c r="G605" s="173"/>
      <c r="H605" s="170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</row>
    <row r="606" ht="14.25" customHeight="1">
      <c r="A606" s="171"/>
      <c r="B606" s="282"/>
      <c r="C606" s="282"/>
      <c r="D606" s="78"/>
      <c r="E606" s="78"/>
      <c r="F606" s="173"/>
      <c r="G606" s="173"/>
      <c r="H606" s="170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</row>
    <row r="607" ht="14.25" customHeight="1">
      <c r="A607" s="171"/>
      <c r="B607" s="282"/>
      <c r="C607" s="282"/>
      <c r="D607" s="78"/>
      <c r="E607" s="78"/>
      <c r="F607" s="173"/>
      <c r="G607" s="173"/>
      <c r="H607" s="170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</row>
    <row r="608" ht="14.25" customHeight="1">
      <c r="A608" s="171"/>
      <c r="B608" s="282"/>
      <c r="C608" s="282"/>
      <c r="D608" s="78"/>
      <c r="E608" s="78"/>
      <c r="F608" s="173"/>
      <c r="G608" s="173"/>
      <c r="H608" s="170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</row>
    <row r="609" ht="14.25" customHeight="1">
      <c r="A609" s="171"/>
      <c r="B609" s="282"/>
      <c r="C609" s="282"/>
      <c r="D609" s="78"/>
      <c r="E609" s="78"/>
      <c r="F609" s="173"/>
      <c r="G609" s="173"/>
      <c r="H609" s="170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</row>
    <row r="610" ht="14.25" customHeight="1">
      <c r="A610" s="171"/>
      <c r="B610" s="282"/>
      <c r="C610" s="282"/>
      <c r="D610" s="78"/>
      <c r="E610" s="78"/>
      <c r="F610" s="173"/>
      <c r="G610" s="173"/>
      <c r="H610" s="170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</row>
    <row r="611" ht="14.25" customHeight="1">
      <c r="A611" s="171"/>
      <c r="B611" s="282"/>
      <c r="C611" s="282"/>
      <c r="D611" s="78"/>
      <c r="E611" s="78"/>
      <c r="F611" s="173"/>
      <c r="G611" s="173"/>
      <c r="H611" s="170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</row>
    <row r="612" ht="14.25" customHeight="1">
      <c r="A612" s="171"/>
      <c r="B612" s="282"/>
      <c r="C612" s="282"/>
      <c r="D612" s="78"/>
      <c r="E612" s="78"/>
      <c r="F612" s="173"/>
      <c r="G612" s="173"/>
      <c r="H612" s="170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</row>
    <row r="613" ht="14.25" customHeight="1">
      <c r="A613" s="171"/>
      <c r="B613" s="282"/>
      <c r="C613" s="282"/>
      <c r="D613" s="78"/>
      <c r="E613" s="78"/>
      <c r="F613" s="173"/>
      <c r="G613" s="173"/>
      <c r="H613" s="170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</row>
    <row r="614" ht="14.25" customHeight="1">
      <c r="A614" s="171"/>
      <c r="B614" s="282"/>
      <c r="C614" s="282"/>
      <c r="D614" s="78"/>
      <c r="E614" s="78"/>
      <c r="F614" s="173"/>
      <c r="G614" s="173"/>
      <c r="H614" s="170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</row>
    <row r="615" ht="14.25" customHeight="1">
      <c r="A615" s="171"/>
      <c r="B615" s="282"/>
      <c r="C615" s="282"/>
      <c r="D615" s="78"/>
      <c r="E615" s="78"/>
      <c r="F615" s="173"/>
      <c r="G615" s="173"/>
      <c r="H615" s="170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</row>
    <row r="616" ht="14.25" customHeight="1">
      <c r="A616" s="171"/>
      <c r="B616" s="282"/>
      <c r="C616" s="282"/>
      <c r="D616" s="78"/>
      <c r="E616" s="78"/>
      <c r="F616" s="173"/>
      <c r="G616" s="173"/>
      <c r="H616" s="170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</row>
    <row r="617" ht="14.25" customHeight="1">
      <c r="A617" s="171"/>
      <c r="B617" s="282"/>
      <c r="C617" s="282"/>
      <c r="D617" s="78"/>
      <c r="E617" s="78"/>
      <c r="F617" s="173"/>
      <c r="G617" s="173"/>
      <c r="H617" s="170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</row>
    <row r="618" ht="14.25" customHeight="1">
      <c r="A618" s="171"/>
      <c r="B618" s="282"/>
      <c r="C618" s="282"/>
      <c r="D618" s="78"/>
      <c r="E618" s="78"/>
      <c r="F618" s="173"/>
      <c r="G618" s="173"/>
      <c r="H618" s="170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</row>
    <row r="619" ht="14.25" customHeight="1">
      <c r="A619" s="171"/>
      <c r="B619" s="282"/>
      <c r="C619" s="282"/>
      <c r="D619" s="78"/>
      <c r="E619" s="78"/>
      <c r="F619" s="173"/>
      <c r="G619" s="173"/>
      <c r="H619" s="170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</row>
    <row r="620" ht="14.25" customHeight="1">
      <c r="A620" s="171"/>
      <c r="B620" s="282"/>
      <c r="C620" s="282"/>
      <c r="D620" s="78"/>
      <c r="E620" s="78"/>
      <c r="F620" s="173"/>
      <c r="G620" s="173"/>
      <c r="H620" s="170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</row>
    <row r="621" ht="14.25" customHeight="1">
      <c r="A621" s="171"/>
      <c r="B621" s="282"/>
      <c r="C621" s="282"/>
      <c r="D621" s="78"/>
      <c r="E621" s="78"/>
      <c r="F621" s="173"/>
      <c r="G621" s="173"/>
      <c r="H621" s="170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</row>
    <row r="622" ht="14.25" customHeight="1">
      <c r="A622" s="171"/>
      <c r="B622" s="282"/>
      <c r="C622" s="282"/>
      <c r="D622" s="78"/>
      <c r="E622" s="78"/>
      <c r="F622" s="173"/>
      <c r="G622" s="173"/>
      <c r="H622" s="170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</row>
    <row r="623" ht="14.25" customHeight="1">
      <c r="A623" s="171"/>
      <c r="B623" s="282"/>
      <c r="C623" s="282"/>
      <c r="D623" s="78"/>
      <c r="E623" s="78"/>
      <c r="F623" s="173"/>
      <c r="G623" s="173"/>
      <c r="H623" s="170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</row>
    <row r="624" ht="14.25" customHeight="1">
      <c r="A624" s="171"/>
      <c r="B624" s="282"/>
      <c r="C624" s="282"/>
      <c r="D624" s="78"/>
      <c r="E624" s="78"/>
      <c r="F624" s="173"/>
      <c r="G624" s="173"/>
      <c r="H624" s="170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</row>
    <row r="625" ht="14.25" customHeight="1">
      <c r="A625" s="171"/>
      <c r="B625" s="282"/>
      <c r="C625" s="282"/>
      <c r="D625" s="78"/>
      <c r="E625" s="78"/>
      <c r="F625" s="173"/>
      <c r="G625" s="173"/>
      <c r="H625" s="170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</row>
    <row r="626" ht="14.25" customHeight="1">
      <c r="A626" s="171"/>
      <c r="B626" s="282"/>
      <c r="C626" s="282"/>
      <c r="D626" s="78"/>
      <c r="E626" s="78"/>
      <c r="F626" s="173"/>
      <c r="G626" s="173"/>
      <c r="H626" s="170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</row>
    <row r="627" ht="14.25" customHeight="1">
      <c r="A627" s="171"/>
      <c r="B627" s="282"/>
      <c r="C627" s="282"/>
      <c r="D627" s="78"/>
      <c r="E627" s="78"/>
      <c r="F627" s="173"/>
      <c r="G627" s="173"/>
      <c r="H627" s="170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</row>
    <row r="628" ht="14.25" customHeight="1">
      <c r="A628" s="171"/>
      <c r="B628" s="282"/>
      <c r="C628" s="282"/>
      <c r="D628" s="78"/>
      <c r="E628" s="78"/>
      <c r="F628" s="173"/>
      <c r="G628" s="173"/>
      <c r="H628" s="170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</row>
    <row r="629" ht="14.25" customHeight="1">
      <c r="A629" s="171"/>
      <c r="B629" s="282"/>
      <c r="C629" s="282"/>
      <c r="D629" s="78"/>
      <c r="E629" s="78"/>
      <c r="F629" s="173"/>
      <c r="G629" s="173"/>
      <c r="H629" s="170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</row>
    <row r="630" ht="14.25" customHeight="1">
      <c r="A630" s="171"/>
      <c r="B630" s="282"/>
      <c r="C630" s="282"/>
      <c r="D630" s="78"/>
      <c r="E630" s="78"/>
      <c r="F630" s="173"/>
      <c r="G630" s="173"/>
      <c r="H630" s="170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</row>
    <row r="631" ht="14.25" customHeight="1">
      <c r="A631" s="171"/>
      <c r="B631" s="282"/>
      <c r="C631" s="282"/>
      <c r="D631" s="78"/>
      <c r="E631" s="78"/>
      <c r="F631" s="173"/>
      <c r="G631" s="173"/>
      <c r="H631" s="170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</row>
    <row r="632" ht="14.25" customHeight="1">
      <c r="A632" s="171"/>
      <c r="B632" s="282"/>
      <c r="C632" s="282"/>
      <c r="D632" s="78"/>
      <c r="E632" s="78"/>
      <c r="F632" s="173"/>
      <c r="G632" s="173"/>
      <c r="H632" s="170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</row>
    <row r="633" ht="14.25" customHeight="1">
      <c r="A633" s="171"/>
      <c r="B633" s="282"/>
      <c r="C633" s="282"/>
      <c r="D633" s="78"/>
      <c r="E633" s="78"/>
      <c r="F633" s="173"/>
      <c r="G633" s="173"/>
      <c r="H633" s="170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</row>
    <row r="634" ht="14.25" customHeight="1">
      <c r="A634" s="171"/>
      <c r="B634" s="282"/>
      <c r="C634" s="282"/>
      <c r="D634" s="78"/>
      <c r="E634" s="78"/>
      <c r="F634" s="173"/>
      <c r="G634" s="173"/>
      <c r="H634" s="170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</row>
    <row r="635" ht="14.25" customHeight="1">
      <c r="A635" s="171"/>
      <c r="B635" s="282"/>
      <c r="C635" s="282"/>
      <c r="D635" s="78"/>
      <c r="E635" s="78"/>
      <c r="F635" s="173"/>
      <c r="G635" s="173"/>
      <c r="H635" s="170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</row>
    <row r="636" ht="14.25" customHeight="1">
      <c r="A636" s="171"/>
      <c r="B636" s="282"/>
      <c r="C636" s="282"/>
      <c r="D636" s="78"/>
      <c r="E636" s="78"/>
      <c r="F636" s="173"/>
      <c r="G636" s="173"/>
      <c r="H636" s="170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</row>
    <row r="637" ht="14.25" customHeight="1">
      <c r="A637" s="171"/>
      <c r="B637" s="282"/>
      <c r="C637" s="282"/>
      <c r="D637" s="78"/>
      <c r="E637" s="78"/>
      <c r="F637" s="173"/>
      <c r="G637" s="173"/>
      <c r="H637" s="170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</row>
    <row r="638" ht="14.25" customHeight="1">
      <c r="A638" s="171"/>
      <c r="B638" s="282"/>
      <c r="C638" s="282"/>
      <c r="D638" s="78"/>
      <c r="E638" s="78"/>
      <c r="F638" s="173"/>
      <c r="G638" s="173"/>
      <c r="H638" s="170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</row>
    <row r="639" ht="14.25" customHeight="1">
      <c r="A639" s="171"/>
      <c r="B639" s="282"/>
      <c r="C639" s="282"/>
      <c r="D639" s="78"/>
      <c r="E639" s="78"/>
      <c r="F639" s="173"/>
      <c r="G639" s="173"/>
      <c r="H639" s="170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</row>
    <row r="640" ht="14.25" customHeight="1">
      <c r="A640" s="171"/>
      <c r="B640" s="282"/>
      <c r="C640" s="282"/>
      <c r="D640" s="78"/>
      <c r="E640" s="78"/>
      <c r="F640" s="173"/>
      <c r="G640" s="173"/>
      <c r="H640" s="170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</row>
    <row r="641" ht="14.25" customHeight="1">
      <c r="A641" s="171"/>
      <c r="B641" s="282"/>
      <c r="C641" s="282"/>
      <c r="D641" s="78"/>
      <c r="E641" s="78"/>
      <c r="F641" s="173"/>
      <c r="G641" s="173"/>
      <c r="H641" s="170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</row>
    <row r="642" ht="14.25" customHeight="1">
      <c r="A642" s="171"/>
      <c r="B642" s="282"/>
      <c r="C642" s="282"/>
      <c r="D642" s="78"/>
      <c r="E642" s="78"/>
      <c r="F642" s="173"/>
      <c r="G642" s="173"/>
      <c r="H642" s="170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</row>
    <row r="643" ht="14.25" customHeight="1">
      <c r="A643" s="171"/>
      <c r="B643" s="282"/>
      <c r="C643" s="282"/>
      <c r="D643" s="78"/>
      <c r="E643" s="78"/>
      <c r="F643" s="173"/>
      <c r="G643" s="173"/>
      <c r="H643" s="170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</row>
    <row r="644" ht="14.25" customHeight="1">
      <c r="A644" s="171"/>
      <c r="B644" s="282"/>
      <c r="C644" s="282"/>
      <c r="D644" s="78"/>
      <c r="E644" s="78"/>
      <c r="F644" s="173"/>
      <c r="G644" s="173"/>
      <c r="H644" s="170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</row>
    <row r="645" ht="14.25" customHeight="1">
      <c r="A645" s="171"/>
      <c r="B645" s="282"/>
      <c r="C645" s="282"/>
      <c r="D645" s="78"/>
      <c r="E645" s="78"/>
      <c r="F645" s="173"/>
      <c r="G645" s="173"/>
      <c r="H645" s="170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</row>
    <row r="646" ht="14.25" customHeight="1">
      <c r="A646" s="171"/>
      <c r="B646" s="282"/>
      <c r="C646" s="282"/>
      <c r="D646" s="78"/>
      <c r="E646" s="78"/>
      <c r="F646" s="173"/>
      <c r="G646" s="173"/>
      <c r="H646" s="170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</row>
    <row r="647" ht="14.25" customHeight="1">
      <c r="A647" s="171"/>
      <c r="B647" s="282"/>
      <c r="C647" s="282"/>
      <c r="D647" s="78"/>
      <c r="E647" s="78"/>
      <c r="F647" s="173"/>
      <c r="G647" s="173"/>
      <c r="H647" s="170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</row>
    <row r="648" ht="14.25" customHeight="1">
      <c r="A648" s="171"/>
      <c r="B648" s="282"/>
      <c r="C648" s="282"/>
      <c r="D648" s="78"/>
      <c r="E648" s="78"/>
      <c r="F648" s="173"/>
      <c r="G648" s="173"/>
      <c r="H648" s="170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</row>
    <row r="649" ht="14.25" customHeight="1">
      <c r="A649" s="171"/>
      <c r="B649" s="282"/>
      <c r="C649" s="282"/>
      <c r="D649" s="78"/>
      <c r="E649" s="78"/>
      <c r="F649" s="173"/>
      <c r="G649" s="173"/>
      <c r="H649" s="170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</row>
    <row r="650" ht="14.25" customHeight="1">
      <c r="A650" s="171"/>
      <c r="B650" s="282"/>
      <c r="C650" s="282"/>
      <c r="D650" s="78"/>
      <c r="E650" s="78"/>
      <c r="F650" s="173"/>
      <c r="G650" s="173"/>
      <c r="H650" s="170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</row>
    <row r="651" ht="14.25" customHeight="1">
      <c r="A651" s="171"/>
      <c r="B651" s="282"/>
      <c r="C651" s="282"/>
      <c r="D651" s="78"/>
      <c r="E651" s="78"/>
      <c r="F651" s="173"/>
      <c r="G651" s="173"/>
      <c r="H651" s="170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</row>
    <row r="652" ht="14.25" customHeight="1">
      <c r="A652" s="171"/>
      <c r="B652" s="282"/>
      <c r="C652" s="282"/>
      <c r="D652" s="78"/>
      <c r="E652" s="78"/>
      <c r="F652" s="173"/>
      <c r="G652" s="173"/>
      <c r="H652" s="170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</row>
    <row r="653" ht="14.25" customHeight="1">
      <c r="A653" s="171"/>
      <c r="B653" s="282"/>
      <c r="C653" s="282"/>
      <c r="D653" s="78"/>
      <c r="E653" s="78"/>
      <c r="F653" s="173"/>
      <c r="G653" s="173"/>
      <c r="H653" s="170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</row>
    <row r="654" ht="14.25" customHeight="1">
      <c r="A654" s="171"/>
      <c r="B654" s="282"/>
      <c r="C654" s="282"/>
      <c r="D654" s="78"/>
      <c r="E654" s="78"/>
      <c r="F654" s="173"/>
      <c r="G654" s="173"/>
      <c r="H654" s="170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</row>
    <row r="655" ht="14.25" customHeight="1">
      <c r="A655" s="171"/>
      <c r="B655" s="282"/>
      <c r="C655" s="282"/>
      <c r="D655" s="78"/>
      <c r="E655" s="78"/>
      <c r="F655" s="173"/>
      <c r="G655" s="173"/>
      <c r="H655" s="170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</row>
    <row r="656" ht="14.25" customHeight="1">
      <c r="A656" s="171"/>
      <c r="B656" s="282"/>
      <c r="C656" s="282"/>
      <c r="D656" s="78"/>
      <c r="E656" s="78"/>
      <c r="F656" s="173"/>
      <c r="G656" s="173"/>
      <c r="H656" s="170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</row>
    <row r="657" ht="14.25" customHeight="1">
      <c r="A657" s="171"/>
      <c r="B657" s="282"/>
      <c r="C657" s="282"/>
      <c r="D657" s="78"/>
      <c r="E657" s="78"/>
      <c r="F657" s="173"/>
      <c r="G657" s="173"/>
      <c r="H657" s="170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</row>
    <row r="658" ht="14.25" customHeight="1">
      <c r="A658" s="171"/>
      <c r="B658" s="282"/>
      <c r="C658" s="282"/>
      <c r="D658" s="78"/>
      <c r="E658" s="78"/>
      <c r="F658" s="173"/>
      <c r="G658" s="173"/>
      <c r="H658" s="170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</row>
    <row r="659" ht="14.25" customHeight="1">
      <c r="A659" s="171"/>
      <c r="B659" s="282"/>
      <c r="C659" s="282"/>
      <c r="D659" s="78"/>
      <c r="E659" s="78"/>
      <c r="F659" s="173"/>
      <c r="G659" s="173"/>
      <c r="H659" s="170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</row>
    <row r="660" ht="14.25" customHeight="1">
      <c r="A660" s="171"/>
      <c r="B660" s="282"/>
      <c r="C660" s="282"/>
      <c r="D660" s="78"/>
      <c r="E660" s="78"/>
      <c r="F660" s="173"/>
      <c r="G660" s="173"/>
      <c r="H660" s="170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</row>
    <row r="661" ht="14.25" customHeight="1">
      <c r="A661" s="171"/>
      <c r="B661" s="282"/>
      <c r="C661" s="282"/>
      <c r="D661" s="78"/>
      <c r="E661" s="78"/>
      <c r="F661" s="173"/>
      <c r="G661" s="173"/>
      <c r="H661" s="170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</row>
    <row r="662" ht="14.25" customHeight="1">
      <c r="A662" s="171"/>
      <c r="B662" s="282"/>
      <c r="C662" s="282"/>
      <c r="D662" s="78"/>
      <c r="E662" s="78"/>
      <c r="F662" s="173"/>
      <c r="G662" s="173"/>
      <c r="H662" s="170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</row>
    <row r="663" ht="14.25" customHeight="1">
      <c r="A663" s="171"/>
      <c r="B663" s="282"/>
      <c r="C663" s="282"/>
      <c r="D663" s="78"/>
      <c r="E663" s="78"/>
      <c r="F663" s="173"/>
      <c r="G663" s="173"/>
      <c r="H663" s="170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</row>
    <row r="664" ht="14.25" customHeight="1">
      <c r="A664" s="171"/>
      <c r="B664" s="282"/>
      <c r="C664" s="282"/>
      <c r="D664" s="78"/>
      <c r="E664" s="78"/>
      <c r="F664" s="173"/>
      <c r="G664" s="173"/>
      <c r="H664" s="170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</row>
    <row r="665" ht="14.25" customHeight="1">
      <c r="A665" s="171"/>
      <c r="B665" s="282"/>
      <c r="C665" s="282"/>
      <c r="D665" s="78"/>
      <c r="E665" s="78"/>
      <c r="F665" s="173"/>
      <c r="G665" s="173"/>
      <c r="H665" s="170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</row>
    <row r="666" ht="14.25" customHeight="1">
      <c r="A666" s="171"/>
      <c r="B666" s="282"/>
      <c r="C666" s="282"/>
      <c r="D666" s="78"/>
      <c r="E666" s="78"/>
      <c r="F666" s="173"/>
      <c r="G666" s="173"/>
      <c r="H666" s="170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</row>
    <row r="667" ht="14.25" customHeight="1">
      <c r="A667" s="171"/>
      <c r="B667" s="282"/>
      <c r="C667" s="282"/>
      <c r="D667" s="78"/>
      <c r="E667" s="78"/>
      <c r="F667" s="173"/>
      <c r="G667" s="173"/>
      <c r="H667" s="170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</row>
    <row r="668" ht="14.25" customHeight="1">
      <c r="A668" s="171"/>
      <c r="B668" s="282"/>
      <c r="C668" s="282"/>
      <c r="D668" s="78"/>
      <c r="E668" s="78"/>
      <c r="F668" s="173"/>
      <c r="G668" s="173"/>
      <c r="H668" s="170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</row>
    <row r="669" ht="14.25" customHeight="1">
      <c r="A669" s="171"/>
      <c r="B669" s="282"/>
      <c r="C669" s="282"/>
      <c r="D669" s="78"/>
      <c r="E669" s="78"/>
      <c r="F669" s="173"/>
      <c r="G669" s="173"/>
      <c r="H669" s="170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</row>
    <row r="670" ht="14.25" customHeight="1">
      <c r="A670" s="171"/>
      <c r="B670" s="282"/>
      <c r="C670" s="282"/>
      <c r="D670" s="78"/>
      <c r="E670" s="78"/>
      <c r="F670" s="173"/>
      <c r="G670" s="173"/>
      <c r="H670" s="170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</row>
    <row r="671" ht="14.25" customHeight="1">
      <c r="A671" s="171"/>
      <c r="B671" s="282"/>
      <c r="C671" s="282"/>
      <c r="D671" s="78"/>
      <c r="E671" s="78"/>
      <c r="F671" s="173"/>
      <c r="G671" s="173"/>
      <c r="H671" s="170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</row>
    <row r="672" ht="14.25" customHeight="1">
      <c r="A672" s="171"/>
      <c r="B672" s="282"/>
      <c r="C672" s="282"/>
      <c r="D672" s="78"/>
      <c r="E672" s="78"/>
      <c r="F672" s="173"/>
      <c r="G672" s="173"/>
      <c r="H672" s="170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</row>
    <row r="673" ht="14.25" customHeight="1">
      <c r="A673" s="171"/>
      <c r="B673" s="282"/>
      <c r="C673" s="282"/>
      <c r="D673" s="78"/>
      <c r="E673" s="78"/>
      <c r="F673" s="173"/>
      <c r="G673" s="173"/>
      <c r="H673" s="170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</row>
    <row r="674" ht="14.25" customHeight="1">
      <c r="A674" s="171"/>
      <c r="B674" s="282"/>
      <c r="C674" s="282"/>
      <c r="D674" s="78"/>
      <c r="E674" s="78"/>
      <c r="F674" s="173"/>
      <c r="G674" s="173"/>
      <c r="H674" s="170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</row>
    <row r="675" ht="14.25" customHeight="1">
      <c r="A675" s="171"/>
      <c r="B675" s="282"/>
      <c r="C675" s="282"/>
      <c r="D675" s="78"/>
      <c r="E675" s="78"/>
      <c r="F675" s="173"/>
      <c r="G675" s="173"/>
      <c r="H675" s="170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</row>
    <row r="676" ht="14.25" customHeight="1">
      <c r="A676" s="171"/>
      <c r="B676" s="282"/>
      <c r="C676" s="282"/>
      <c r="D676" s="78"/>
      <c r="E676" s="78"/>
      <c r="F676" s="173"/>
      <c r="G676" s="173"/>
      <c r="H676" s="170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</row>
    <row r="677" ht="14.25" customHeight="1">
      <c r="A677" s="171"/>
      <c r="B677" s="282"/>
      <c r="C677" s="282"/>
      <c r="D677" s="78"/>
      <c r="E677" s="78"/>
      <c r="F677" s="173"/>
      <c r="G677" s="173"/>
      <c r="H677" s="170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</row>
    <row r="678" ht="14.25" customHeight="1">
      <c r="A678" s="171"/>
      <c r="B678" s="282"/>
      <c r="C678" s="282"/>
      <c r="D678" s="78"/>
      <c r="E678" s="78"/>
      <c r="F678" s="173"/>
      <c r="G678" s="173"/>
      <c r="H678" s="170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</row>
    <row r="679" ht="14.25" customHeight="1">
      <c r="A679" s="171"/>
      <c r="B679" s="282"/>
      <c r="C679" s="282"/>
      <c r="D679" s="78"/>
      <c r="E679" s="78"/>
      <c r="F679" s="173"/>
      <c r="G679" s="173"/>
      <c r="H679" s="170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</row>
    <row r="680" ht="14.25" customHeight="1">
      <c r="A680" s="171"/>
      <c r="B680" s="282"/>
      <c r="C680" s="282"/>
      <c r="D680" s="78"/>
      <c r="E680" s="78"/>
      <c r="F680" s="173"/>
      <c r="G680" s="173"/>
      <c r="H680" s="170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</row>
    <row r="681" ht="14.25" customHeight="1">
      <c r="A681" s="171"/>
      <c r="B681" s="282"/>
      <c r="C681" s="282"/>
      <c r="D681" s="78"/>
      <c r="E681" s="78"/>
      <c r="F681" s="173"/>
      <c r="G681" s="173"/>
      <c r="H681" s="170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</row>
    <row r="682" ht="14.25" customHeight="1">
      <c r="A682" s="171"/>
      <c r="B682" s="282"/>
      <c r="C682" s="282"/>
      <c r="D682" s="78"/>
      <c r="E682" s="78"/>
      <c r="F682" s="173"/>
      <c r="G682" s="173"/>
      <c r="H682" s="170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</row>
    <row r="683" ht="14.25" customHeight="1">
      <c r="A683" s="171"/>
      <c r="B683" s="282"/>
      <c r="C683" s="282"/>
      <c r="D683" s="78"/>
      <c r="E683" s="78"/>
      <c r="F683" s="173"/>
      <c r="G683" s="173"/>
      <c r="H683" s="170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</row>
    <row r="684" ht="14.25" customHeight="1">
      <c r="A684" s="171"/>
      <c r="B684" s="282"/>
      <c r="C684" s="282"/>
      <c r="D684" s="78"/>
      <c r="E684" s="78"/>
      <c r="F684" s="173"/>
      <c r="G684" s="173"/>
      <c r="H684" s="170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</row>
    <row r="685" ht="14.25" customHeight="1">
      <c r="A685" s="171"/>
      <c r="B685" s="282"/>
      <c r="C685" s="282"/>
      <c r="D685" s="78"/>
      <c r="E685" s="78"/>
      <c r="F685" s="173"/>
      <c r="G685" s="173"/>
      <c r="H685" s="170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</row>
    <row r="686" ht="14.25" customHeight="1">
      <c r="A686" s="171"/>
      <c r="B686" s="282"/>
      <c r="C686" s="282"/>
      <c r="D686" s="78"/>
      <c r="E686" s="78"/>
      <c r="F686" s="173"/>
      <c r="G686" s="173"/>
      <c r="H686" s="170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</row>
    <row r="687" ht="14.25" customHeight="1">
      <c r="A687" s="171"/>
      <c r="B687" s="282"/>
      <c r="C687" s="282"/>
      <c r="D687" s="78"/>
      <c r="E687" s="78"/>
      <c r="F687" s="173"/>
      <c r="G687" s="173"/>
      <c r="H687" s="170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</row>
    <row r="688" ht="14.25" customHeight="1">
      <c r="A688" s="171"/>
      <c r="B688" s="282"/>
      <c r="C688" s="282"/>
      <c r="D688" s="78"/>
      <c r="E688" s="78"/>
      <c r="F688" s="173"/>
      <c r="G688" s="173"/>
      <c r="H688" s="170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</row>
    <row r="689" ht="14.25" customHeight="1">
      <c r="A689" s="171"/>
      <c r="B689" s="282"/>
      <c r="C689" s="282"/>
      <c r="D689" s="78"/>
      <c r="E689" s="78"/>
      <c r="F689" s="173"/>
      <c r="G689" s="173"/>
      <c r="H689" s="170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</row>
    <row r="690" ht="14.25" customHeight="1">
      <c r="A690" s="171"/>
      <c r="B690" s="282"/>
      <c r="C690" s="282"/>
      <c r="D690" s="78"/>
      <c r="E690" s="78"/>
      <c r="F690" s="173"/>
      <c r="G690" s="173"/>
      <c r="H690" s="170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</row>
    <row r="691" ht="14.25" customHeight="1">
      <c r="A691" s="171"/>
      <c r="B691" s="282"/>
      <c r="C691" s="282"/>
      <c r="D691" s="78"/>
      <c r="E691" s="78"/>
      <c r="F691" s="173"/>
      <c r="G691" s="173"/>
      <c r="H691" s="170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</row>
    <row r="692" ht="14.25" customHeight="1">
      <c r="A692" s="171"/>
      <c r="B692" s="282"/>
      <c r="C692" s="282"/>
      <c r="D692" s="78"/>
      <c r="E692" s="78"/>
      <c r="F692" s="173"/>
      <c r="G692" s="173"/>
      <c r="H692" s="170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</row>
    <row r="693" ht="14.25" customHeight="1">
      <c r="A693" s="171"/>
      <c r="B693" s="282"/>
      <c r="C693" s="282"/>
      <c r="D693" s="78"/>
      <c r="E693" s="78"/>
      <c r="F693" s="173"/>
      <c r="G693" s="173"/>
      <c r="H693" s="170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</row>
    <row r="694" ht="14.25" customHeight="1">
      <c r="A694" s="171"/>
      <c r="B694" s="282"/>
      <c r="C694" s="282"/>
      <c r="D694" s="78"/>
      <c r="E694" s="78"/>
      <c r="F694" s="173"/>
      <c r="G694" s="173"/>
      <c r="H694" s="170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</row>
    <row r="695" ht="14.25" customHeight="1">
      <c r="A695" s="171"/>
      <c r="B695" s="282"/>
      <c r="C695" s="282"/>
      <c r="D695" s="78"/>
      <c r="E695" s="78"/>
      <c r="F695" s="173"/>
      <c r="G695" s="173"/>
      <c r="H695" s="170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</row>
    <row r="696" ht="14.25" customHeight="1">
      <c r="A696" s="171"/>
      <c r="B696" s="282"/>
      <c r="C696" s="282"/>
      <c r="D696" s="78"/>
      <c r="E696" s="78"/>
      <c r="F696" s="173"/>
      <c r="G696" s="173"/>
      <c r="H696" s="170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</row>
    <row r="697" ht="14.25" customHeight="1">
      <c r="A697" s="171"/>
      <c r="B697" s="282"/>
      <c r="C697" s="282"/>
      <c r="D697" s="78"/>
      <c r="E697" s="78"/>
      <c r="F697" s="173"/>
      <c r="G697" s="173"/>
      <c r="H697" s="170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</row>
    <row r="698" ht="14.25" customHeight="1">
      <c r="A698" s="171"/>
      <c r="B698" s="282"/>
      <c r="C698" s="282"/>
      <c r="D698" s="78"/>
      <c r="E698" s="78"/>
      <c r="F698" s="173"/>
      <c r="G698" s="173"/>
      <c r="H698" s="170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</row>
    <row r="699" ht="14.25" customHeight="1">
      <c r="A699" s="171"/>
      <c r="B699" s="282"/>
      <c r="C699" s="282"/>
      <c r="D699" s="78"/>
      <c r="E699" s="78"/>
      <c r="F699" s="173"/>
      <c r="G699" s="173"/>
      <c r="H699" s="170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</row>
    <row r="700" ht="14.25" customHeight="1">
      <c r="A700" s="171"/>
      <c r="B700" s="282"/>
      <c r="C700" s="282"/>
      <c r="D700" s="78"/>
      <c r="E700" s="78"/>
      <c r="F700" s="173"/>
      <c r="G700" s="173"/>
      <c r="H700" s="170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</row>
    <row r="701" ht="14.25" customHeight="1">
      <c r="A701" s="171"/>
      <c r="B701" s="282"/>
      <c r="C701" s="282"/>
      <c r="D701" s="78"/>
      <c r="E701" s="78"/>
      <c r="F701" s="173"/>
      <c r="G701" s="173"/>
      <c r="H701" s="170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</row>
    <row r="702" ht="14.25" customHeight="1">
      <c r="A702" s="171"/>
      <c r="B702" s="282"/>
      <c r="C702" s="282"/>
      <c r="D702" s="78"/>
      <c r="E702" s="78"/>
      <c r="F702" s="173"/>
      <c r="G702" s="173"/>
      <c r="H702" s="170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</row>
    <row r="703" ht="14.25" customHeight="1">
      <c r="A703" s="171"/>
      <c r="B703" s="282"/>
      <c r="C703" s="282"/>
      <c r="D703" s="78"/>
      <c r="E703" s="78"/>
      <c r="F703" s="173"/>
      <c r="G703" s="173"/>
      <c r="H703" s="170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</row>
    <row r="704" ht="14.25" customHeight="1">
      <c r="A704" s="171"/>
      <c r="B704" s="282"/>
      <c r="C704" s="282"/>
      <c r="D704" s="78"/>
      <c r="E704" s="78"/>
      <c r="F704" s="173"/>
      <c r="G704" s="173"/>
      <c r="H704" s="170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</row>
    <row r="705" ht="14.25" customHeight="1">
      <c r="A705" s="171"/>
      <c r="B705" s="282"/>
      <c r="C705" s="282"/>
      <c r="D705" s="78"/>
      <c r="E705" s="78"/>
      <c r="F705" s="173"/>
      <c r="G705" s="173"/>
      <c r="H705" s="170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</row>
    <row r="706" ht="14.25" customHeight="1">
      <c r="A706" s="171"/>
      <c r="B706" s="282"/>
      <c r="C706" s="282"/>
      <c r="D706" s="78"/>
      <c r="E706" s="78"/>
      <c r="F706" s="173"/>
      <c r="G706" s="173"/>
      <c r="H706" s="170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</row>
    <row r="707" ht="14.25" customHeight="1">
      <c r="A707" s="171"/>
      <c r="B707" s="282"/>
      <c r="C707" s="282"/>
      <c r="D707" s="78"/>
      <c r="E707" s="78"/>
      <c r="F707" s="173"/>
      <c r="G707" s="173"/>
      <c r="H707" s="170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</row>
    <row r="708" ht="14.25" customHeight="1">
      <c r="A708" s="171"/>
      <c r="B708" s="282"/>
      <c r="C708" s="282"/>
      <c r="D708" s="78"/>
      <c r="E708" s="78"/>
      <c r="F708" s="173"/>
      <c r="G708" s="173"/>
      <c r="H708" s="170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</row>
    <row r="709" ht="14.25" customHeight="1">
      <c r="A709" s="171"/>
      <c r="B709" s="282"/>
      <c r="C709" s="282"/>
      <c r="D709" s="78"/>
      <c r="E709" s="78"/>
      <c r="F709" s="173"/>
      <c r="G709" s="173"/>
      <c r="H709" s="170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</row>
    <row r="710" ht="14.25" customHeight="1">
      <c r="A710" s="171"/>
      <c r="B710" s="282"/>
      <c r="C710" s="282"/>
      <c r="D710" s="78"/>
      <c r="E710" s="78"/>
      <c r="F710" s="173"/>
      <c r="G710" s="173"/>
      <c r="H710" s="170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</row>
    <row r="711" ht="14.25" customHeight="1">
      <c r="A711" s="171"/>
      <c r="B711" s="282"/>
      <c r="C711" s="282"/>
      <c r="D711" s="78"/>
      <c r="E711" s="78"/>
      <c r="F711" s="173"/>
      <c r="G711" s="173"/>
      <c r="H711" s="170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</row>
    <row r="712" ht="14.25" customHeight="1">
      <c r="A712" s="171"/>
      <c r="B712" s="282"/>
      <c r="C712" s="282"/>
      <c r="D712" s="78"/>
      <c r="E712" s="78"/>
      <c r="F712" s="173"/>
      <c r="G712" s="173"/>
      <c r="H712" s="170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</row>
    <row r="713" ht="14.25" customHeight="1">
      <c r="A713" s="171"/>
      <c r="B713" s="282"/>
      <c r="C713" s="282"/>
      <c r="D713" s="78"/>
      <c r="E713" s="78"/>
      <c r="F713" s="173"/>
      <c r="G713" s="173"/>
      <c r="H713" s="170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</row>
    <row r="714" ht="14.25" customHeight="1">
      <c r="A714" s="171"/>
      <c r="B714" s="282"/>
      <c r="C714" s="282"/>
      <c r="D714" s="78"/>
      <c r="E714" s="78"/>
      <c r="F714" s="173"/>
      <c r="G714" s="173"/>
      <c r="H714" s="170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</row>
    <row r="715" ht="14.25" customHeight="1">
      <c r="A715" s="171"/>
      <c r="B715" s="282"/>
      <c r="C715" s="282"/>
      <c r="D715" s="78"/>
      <c r="E715" s="78"/>
      <c r="F715" s="173"/>
      <c r="G715" s="173"/>
      <c r="H715" s="170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</row>
    <row r="716" ht="14.25" customHeight="1">
      <c r="A716" s="171"/>
      <c r="B716" s="282"/>
      <c r="C716" s="282"/>
      <c r="D716" s="78"/>
      <c r="E716" s="78"/>
      <c r="F716" s="173"/>
      <c r="G716" s="173"/>
      <c r="H716" s="170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</row>
    <row r="717" ht="14.25" customHeight="1">
      <c r="A717" s="171"/>
      <c r="B717" s="282"/>
      <c r="C717" s="282"/>
      <c r="D717" s="78"/>
      <c r="E717" s="78"/>
      <c r="F717" s="173"/>
      <c r="G717" s="173"/>
      <c r="H717" s="170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</row>
    <row r="718" ht="14.25" customHeight="1">
      <c r="A718" s="171"/>
      <c r="B718" s="282"/>
      <c r="C718" s="282"/>
      <c r="D718" s="78"/>
      <c r="E718" s="78"/>
      <c r="F718" s="173"/>
      <c r="G718" s="173"/>
      <c r="H718" s="170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</row>
    <row r="719" ht="14.25" customHeight="1">
      <c r="A719" s="171"/>
      <c r="B719" s="282"/>
      <c r="C719" s="282"/>
      <c r="D719" s="78"/>
      <c r="E719" s="78"/>
      <c r="F719" s="173"/>
      <c r="G719" s="173"/>
      <c r="H719" s="170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</row>
    <row r="720" ht="14.25" customHeight="1">
      <c r="A720" s="171"/>
      <c r="B720" s="282"/>
      <c r="C720" s="282"/>
      <c r="D720" s="78"/>
      <c r="E720" s="78"/>
      <c r="F720" s="173"/>
      <c r="G720" s="173"/>
      <c r="H720" s="170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</row>
    <row r="721" ht="14.25" customHeight="1">
      <c r="A721" s="171"/>
      <c r="B721" s="282"/>
      <c r="C721" s="282"/>
      <c r="D721" s="78"/>
      <c r="E721" s="78"/>
      <c r="F721" s="173"/>
      <c r="G721" s="173"/>
      <c r="H721" s="170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</row>
    <row r="722" ht="14.25" customHeight="1">
      <c r="A722" s="171"/>
      <c r="B722" s="282"/>
      <c r="C722" s="282"/>
      <c r="D722" s="78"/>
      <c r="E722" s="78"/>
      <c r="F722" s="173"/>
      <c r="G722" s="173"/>
      <c r="H722" s="170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</row>
    <row r="723" ht="14.25" customHeight="1">
      <c r="A723" s="171"/>
      <c r="B723" s="282"/>
      <c r="C723" s="282"/>
      <c r="D723" s="78"/>
      <c r="E723" s="78"/>
      <c r="F723" s="173"/>
      <c r="G723" s="173"/>
      <c r="H723" s="170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</row>
    <row r="724" ht="14.25" customHeight="1">
      <c r="A724" s="171"/>
      <c r="B724" s="282"/>
      <c r="C724" s="282"/>
      <c r="D724" s="78"/>
      <c r="E724" s="78"/>
      <c r="F724" s="173"/>
      <c r="G724" s="173"/>
      <c r="H724" s="170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</row>
    <row r="725" ht="14.25" customHeight="1">
      <c r="A725" s="171"/>
      <c r="B725" s="282"/>
      <c r="C725" s="282"/>
      <c r="D725" s="78"/>
      <c r="E725" s="78"/>
      <c r="F725" s="173"/>
      <c r="G725" s="173"/>
      <c r="H725" s="170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</row>
    <row r="726" ht="14.25" customHeight="1">
      <c r="A726" s="171"/>
      <c r="B726" s="282"/>
      <c r="C726" s="282"/>
      <c r="D726" s="78"/>
      <c r="E726" s="78"/>
      <c r="F726" s="173"/>
      <c r="G726" s="173"/>
      <c r="H726" s="170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</row>
    <row r="727" ht="14.25" customHeight="1">
      <c r="A727" s="171"/>
      <c r="B727" s="282"/>
      <c r="C727" s="282"/>
      <c r="D727" s="78"/>
      <c r="E727" s="78"/>
      <c r="F727" s="173"/>
      <c r="G727" s="173"/>
      <c r="H727" s="170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</row>
    <row r="728" ht="14.25" customHeight="1">
      <c r="A728" s="171"/>
      <c r="B728" s="282"/>
      <c r="C728" s="282"/>
      <c r="D728" s="78"/>
      <c r="E728" s="78"/>
      <c r="F728" s="173"/>
      <c r="G728" s="173"/>
      <c r="H728" s="170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</row>
    <row r="729" ht="14.25" customHeight="1">
      <c r="A729" s="171"/>
      <c r="B729" s="282"/>
      <c r="C729" s="282"/>
      <c r="D729" s="78"/>
      <c r="E729" s="78"/>
      <c r="F729" s="173"/>
      <c r="G729" s="173"/>
      <c r="H729" s="170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</row>
    <row r="730" ht="14.25" customHeight="1">
      <c r="A730" s="171"/>
      <c r="B730" s="282"/>
      <c r="C730" s="282"/>
      <c r="D730" s="78"/>
      <c r="E730" s="78"/>
      <c r="F730" s="173"/>
      <c r="G730" s="173"/>
      <c r="H730" s="170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</row>
    <row r="731" ht="14.25" customHeight="1">
      <c r="A731" s="171"/>
      <c r="B731" s="282"/>
      <c r="C731" s="282"/>
      <c r="D731" s="78"/>
      <c r="E731" s="78"/>
      <c r="F731" s="173"/>
      <c r="G731" s="173"/>
      <c r="H731" s="170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</row>
    <row r="732" ht="14.25" customHeight="1">
      <c r="A732" s="171"/>
      <c r="B732" s="282"/>
      <c r="C732" s="282"/>
      <c r="D732" s="78"/>
      <c r="E732" s="78"/>
      <c r="F732" s="173"/>
      <c r="G732" s="173"/>
      <c r="H732" s="170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</row>
    <row r="733" ht="14.25" customHeight="1">
      <c r="A733" s="171"/>
      <c r="B733" s="282"/>
      <c r="C733" s="282"/>
      <c r="D733" s="78"/>
      <c r="E733" s="78"/>
      <c r="F733" s="173"/>
      <c r="G733" s="173"/>
      <c r="H733" s="170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</row>
    <row r="734" ht="14.25" customHeight="1">
      <c r="A734" s="171"/>
      <c r="B734" s="282"/>
      <c r="C734" s="282"/>
      <c r="D734" s="78"/>
      <c r="E734" s="78"/>
      <c r="F734" s="173"/>
      <c r="G734" s="173"/>
      <c r="H734" s="170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</row>
    <row r="735" ht="14.25" customHeight="1">
      <c r="A735" s="171"/>
      <c r="B735" s="282"/>
      <c r="C735" s="282"/>
      <c r="D735" s="78"/>
      <c r="E735" s="78"/>
      <c r="F735" s="173"/>
      <c r="G735" s="173"/>
      <c r="H735" s="170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</row>
    <row r="736" ht="14.25" customHeight="1">
      <c r="A736" s="171"/>
      <c r="B736" s="282"/>
      <c r="C736" s="282"/>
      <c r="D736" s="78"/>
      <c r="E736" s="78"/>
      <c r="F736" s="173"/>
      <c r="G736" s="173"/>
      <c r="H736" s="170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</row>
    <row r="737" ht="14.25" customHeight="1">
      <c r="A737" s="171"/>
      <c r="B737" s="282"/>
      <c r="C737" s="282"/>
      <c r="D737" s="78"/>
      <c r="E737" s="78"/>
      <c r="F737" s="173"/>
      <c r="G737" s="173"/>
      <c r="H737" s="170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</row>
    <row r="738" ht="14.25" customHeight="1">
      <c r="A738" s="171"/>
      <c r="B738" s="282"/>
      <c r="C738" s="282"/>
      <c r="D738" s="78"/>
      <c r="E738" s="78"/>
      <c r="F738" s="173"/>
      <c r="G738" s="173"/>
      <c r="H738" s="170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</row>
    <row r="739" ht="14.25" customHeight="1">
      <c r="A739" s="171"/>
      <c r="B739" s="282"/>
      <c r="C739" s="282"/>
      <c r="D739" s="78"/>
      <c r="E739" s="78"/>
      <c r="F739" s="173"/>
      <c r="G739" s="173"/>
      <c r="H739" s="170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</row>
    <row r="740" ht="14.25" customHeight="1">
      <c r="A740" s="171"/>
      <c r="B740" s="282"/>
      <c r="C740" s="282"/>
      <c r="D740" s="78"/>
      <c r="E740" s="78"/>
      <c r="F740" s="173"/>
      <c r="G740" s="173"/>
      <c r="H740" s="170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</row>
    <row r="741" ht="14.25" customHeight="1">
      <c r="A741" s="171"/>
      <c r="B741" s="282"/>
      <c r="C741" s="282"/>
      <c r="D741" s="78"/>
      <c r="E741" s="78"/>
      <c r="F741" s="173"/>
      <c r="G741" s="173"/>
      <c r="H741" s="170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</row>
    <row r="742" ht="14.25" customHeight="1">
      <c r="A742" s="171"/>
      <c r="B742" s="282"/>
      <c r="C742" s="282"/>
      <c r="D742" s="78"/>
      <c r="E742" s="78"/>
      <c r="F742" s="173"/>
      <c r="G742" s="173"/>
      <c r="H742" s="170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</row>
    <row r="743" ht="14.25" customHeight="1">
      <c r="A743" s="171"/>
      <c r="B743" s="282"/>
      <c r="C743" s="282"/>
      <c r="D743" s="78"/>
      <c r="E743" s="78"/>
      <c r="F743" s="173"/>
      <c r="G743" s="173"/>
      <c r="H743" s="170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</row>
    <row r="744" ht="14.25" customHeight="1">
      <c r="A744" s="171"/>
      <c r="B744" s="282"/>
      <c r="C744" s="282"/>
      <c r="D744" s="78"/>
      <c r="E744" s="78"/>
      <c r="F744" s="173"/>
      <c r="G744" s="173"/>
      <c r="H744" s="170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</row>
    <row r="745" ht="14.25" customHeight="1">
      <c r="A745" s="171"/>
      <c r="B745" s="282"/>
      <c r="C745" s="282"/>
      <c r="D745" s="78"/>
      <c r="E745" s="78"/>
      <c r="F745" s="173"/>
      <c r="G745" s="173"/>
      <c r="H745" s="170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</row>
    <row r="746" ht="14.25" customHeight="1">
      <c r="A746" s="171"/>
      <c r="B746" s="282"/>
      <c r="C746" s="282"/>
      <c r="D746" s="78"/>
      <c r="E746" s="78"/>
      <c r="F746" s="173"/>
      <c r="G746" s="173"/>
      <c r="H746" s="170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</row>
    <row r="747" ht="14.25" customHeight="1">
      <c r="A747" s="171"/>
      <c r="B747" s="282"/>
      <c r="C747" s="282"/>
      <c r="D747" s="78"/>
      <c r="E747" s="78"/>
      <c r="F747" s="173"/>
      <c r="G747" s="173"/>
      <c r="H747" s="170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</row>
    <row r="748" ht="14.25" customHeight="1">
      <c r="A748" s="171"/>
      <c r="B748" s="282"/>
      <c r="C748" s="282"/>
      <c r="D748" s="78"/>
      <c r="E748" s="78"/>
      <c r="F748" s="173"/>
      <c r="G748" s="173"/>
      <c r="H748" s="170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</row>
    <row r="749" ht="14.25" customHeight="1">
      <c r="A749" s="171"/>
      <c r="B749" s="282"/>
      <c r="C749" s="282"/>
      <c r="D749" s="78"/>
      <c r="E749" s="78"/>
      <c r="F749" s="173"/>
      <c r="G749" s="173"/>
      <c r="H749" s="170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</row>
    <row r="750" ht="14.25" customHeight="1">
      <c r="A750" s="171"/>
      <c r="B750" s="282"/>
      <c r="C750" s="282"/>
      <c r="D750" s="78"/>
      <c r="E750" s="78"/>
      <c r="F750" s="173"/>
      <c r="G750" s="173"/>
      <c r="H750" s="170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</row>
    <row r="751" ht="14.25" customHeight="1">
      <c r="A751" s="171"/>
      <c r="B751" s="282"/>
      <c r="C751" s="282"/>
      <c r="D751" s="78"/>
      <c r="E751" s="78"/>
      <c r="F751" s="173"/>
      <c r="G751" s="173"/>
      <c r="H751" s="170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</row>
    <row r="752" ht="14.25" customHeight="1">
      <c r="A752" s="171"/>
      <c r="B752" s="282"/>
      <c r="C752" s="282"/>
      <c r="D752" s="78"/>
      <c r="E752" s="78"/>
      <c r="F752" s="173"/>
      <c r="G752" s="173"/>
      <c r="H752" s="170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</row>
    <row r="753" ht="14.25" customHeight="1">
      <c r="A753" s="171"/>
      <c r="B753" s="282"/>
      <c r="C753" s="282"/>
      <c r="D753" s="78"/>
      <c r="E753" s="78"/>
      <c r="F753" s="173"/>
      <c r="G753" s="173"/>
      <c r="H753" s="170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</row>
    <row r="754" ht="14.25" customHeight="1">
      <c r="A754" s="171"/>
      <c r="B754" s="282"/>
      <c r="C754" s="282"/>
      <c r="D754" s="78"/>
      <c r="E754" s="78"/>
      <c r="F754" s="173"/>
      <c r="G754" s="173"/>
      <c r="H754" s="170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</row>
    <row r="755" ht="14.25" customHeight="1">
      <c r="A755" s="171"/>
      <c r="B755" s="282"/>
      <c r="C755" s="282"/>
      <c r="D755" s="78"/>
      <c r="E755" s="78"/>
      <c r="F755" s="173"/>
      <c r="G755" s="173"/>
      <c r="H755" s="170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</row>
    <row r="756" ht="14.25" customHeight="1">
      <c r="A756" s="171"/>
      <c r="B756" s="282"/>
      <c r="C756" s="282"/>
      <c r="D756" s="78"/>
      <c r="E756" s="78"/>
      <c r="F756" s="173"/>
      <c r="G756" s="173"/>
      <c r="H756" s="170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</row>
    <row r="757" ht="14.25" customHeight="1">
      <c r="A757" s="171"/>
      <c r="B757" s="282"/>
      <c r="C757" s="282"/>
      <c r="D757" s="78"/>
      <c r="E757" s="78"/>
      <c r="F757" s="173"/>
      <c r="G757" s="173"/>
      <c r="H757" s="170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</row>
    <row r="758" ht="14.25" customHeight="1">
      <c r="A758" s="171"/>
      <c r="B758" s="282"/>
      <c r="C758" s="282"/>
      <c r="D758" s="78"/>
      <c r="E758" s="78"/>
      <c r="F758" s="173"/>
      <c r="G758" s="173"/>
      <c r="H758" s="170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</row>
    <row r="759" ht="14.25" customHeight="1">
      <c r="A759" s="171"/>
      <c r="B759" s="282"/>
      <c r="C759" s="282"/>
      <c r="D759" s="78"/>
      <c r="E759" s="78"/>
      <c r="F759" s="173"/>
      <c r="G759" s="173"/>
      <c r="H759" s="170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</row>
    <row r="760" ht="14.25" customHeight="1">
      <c r="A760" s="171"/>
      <c r="B760" s="282"/>
      <c r="C760" s="282"/>
      <c r="D760" s="78"/>
      <c r="E760" s="78"/>
      <c r="F760" s="173"/>
      <c r="G760" s="173"/>
      <c r="H760" s="170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</row>
    <row r="761" ht="14.25" customHeight="1">
      <c r="A761" s="171"/>
      <c r="B761" s="282"/>
      <c r="C761" s="282"/>
      <c r="D761" s="78"/>
      <c r="E761" s="78"/>
      <c r="F761" s="173"/>
      <c r="G761" s="173"/>
      <c r="H761" s="170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</row>
    <row r="762" ht="14.25" customHeight="1">
      <c r="A762" s="171"/>
      <c r="B762" s="282"/>
      <c r="C762" s="282"/>
      <c r="D762" s="78"/>
      <c r="E762" s="78"/>
      <c r="F762" s="173"/>
      <c r="G762" s="173"/>
      <c r="H762" s="170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</row>
    <row r="763" ht="14.25" customHeight="1">
      <c r="A763" s="171"/>
      <c r="B763" s="282"/>
      <c r="C763" s="282"/>
      <c r="D763" s="78"/>
      <c r="E763" s="78"/>
      <c r="F763" s="173"/>
      <c r="G763" s="173"/>
      <c r="H763" s="170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</row>
    <row r="764" ht="14.25" customHeight="1">
      <c r="A764" s="171"/>
      <c r="B764" s="282"/>
      <c r="C764" s="282"/>
      <c r="D764" s="78"/>
      <c r="E764" s="78"/>
      <c r="F764" s="173"/>
      <c r="G764" s="173"/>
      <c r="H764" s="170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</row>
    <row r="765" ht="14.25" customHeight="1">
      <c r="A765" s="171"/>
      <c r="B765" s="282"/>
      <c r="C765" s="282"/>
      <c r="D765" s="78"/>
      <c r="E765" s="78"/>
      <c r="F765" s="173"/>
      <c r="G765" s="173"/>
      <c r="H765" s="170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</row>
    <row r="766" ht="14.25" customHeight="1">
      <c r="A766" s="171"/>
      <c r="B766" s="282"/>
      <c r="C766" s="282"/>
      <c r="D766" s="78"/>
      <c r="E766" s="78"/>
      <c r="F766" s="173"/>
      <c r="G766" s="173"/>
      <c r="H766" s="170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</row>
    <row r="767" ht="14.25" customHeight="1">
      <c r="A767" s="171"/>
      <c r="B767" s="282"/>
      <c r="C767" s="282"/>
      <c r="D767" s="78"/>
      <c r="E767" s="78"/>
      <c r="F767" s="173"/>
      <c r="G767" s="173"/>
      <c r="H767" s="170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</row>
    <row r="768" ht="14.25" customHeight="1">
      <c r="A768" s="171"/>
      <c r="B768" s="282"/>
      <c r="C768" s="282"/>
      <c r="D768" s="78"/>
      <c r="E768" s="78"/>
      <c r="F768" s="173"/>
      <c r="G768" s="173"/>
      <c r="H768" s="170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</row>
    <row r="769" ht="14.25" customHeight="1">
      <c r="A769" s="171"/>
      <c r="B769" s="282"/>
      <c r="C769" s="282"/>
      <c r="D769" s="78"/>
      <c r="E769" s="78"/>
      <c r="F769" s="173"/>
      <c r="G769" s="173"/>
      <c r="H769" s="170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</row>
    <row r="770" ht="14.25" customHeight="1">
      <c r="A770" s="171"/>
      <c r="B770" s="282"/>
      <c r="C770" s="282"/>
      <c r="D770" s="78"/>
      <c r="E770" s="78"/>
      <c r="F770" s="173"/>
      <c r="G770" s="173"/>
      <c r="H770" s="170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</row>
    <row r="771" ht="14.25" customHeight="1">
      <c r="A771" s="171"/>
      <c r="B771" s="282"/>
      <c r="C771" s="282"/>
      <c r="D771" s="78"/>
      <c r="E771" s="78"/>
      <c r="F771" s="173"/>
      <c r="G771" s="173"/>
      <c r="H771" s="170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</row>
    <row r="772" ht="14.25" customHeight="1">
      <c r="A772" s="171"/>
      <c r="B772" s="282"/>
      <c r="C772" s="282"/>
      <c r="D772" s="78"/>
      <c r="E772" s="78"/>
      <c r="F772" s="173"/>
      <c r="G772" s="173"/>
      <c r="H772" s="170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</row>
    <row r="773" ht="14.25" customHeight="1">
      <c r="A773" s="171"/>
      <c r="B773" s="282"/>
      <c r="C773" s="282"/>
      <c r="D773" s="78"/>
      <c r="E773" s="78"/>
      <c r="F773" s="173"/>
      <c r="G773" s="173"/>
      <c r="H773" s="170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</row>
    <row r="774" ht="14.25" customHeight="1">
      <c r="A774" s="171"/>
      <c r="B774" s="282"/>
      <c r="C774" s="282"/>
      <c r="D774" s="78"/>
      <c r="E774" s="78"/>
      <c r="F774" s="173"/>
      <c r="G774" s="173"/>
      <c r="H774" s="170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</row>
    <row r="775" ht="14.25" customHeight="1">
      <c r="A775" s="171"/>
      <c r="B775" s="282"/>
      <c r="C775" s="282"/>
      <c r="D775" s="78"/>
      <c r="E775" s="78"/>
      <c r="F775" s="173"/>
      <c r="G775" s="173"/>
      <c r="H775" s="170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</row>
    <row r="776" ht="14.25" customHeight="1">
      <c r="A776" s="171"/>
      <c r="B776" s="282"/>
      <c r="C776" s="282"/>
      <c r="D776" s="78"/>
      <c r="E776" s="78"/>
      <c r="F776" s="173"/>
      <c r="G776" s="173"/>
      <c r="H776" s="170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</row>
    <row r="777" ht="14.25" customHeight="1">
      <c r="A777" s="171"/>
      <c r="B777" s="282"/>
      <c r="C777" s="282"/>
      <c r="D777" s="78"/>
      <c r="E777" s="78"/>
      <c r="F777" s="173"/>
      <c r="G777" s="173"/>
      <c r="H777" s="170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</row>
    <row r="778" ht="14.25" customHeight="1">
      <c r="A778" s="171"/>
      <c r="B778" s="282"/>
      <c r="C778" s="282"/>
      <c r="D778" s="78"/>
      <c r="E778" s="78"/>
      <c r="F778" s="173"/>
      <c r="G778" s="173"/>
      <c r="H778" s="170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</row>
    <row r="779" ht="14.25" customHeight="1">
      <c r="A779" s="171"/>
      <c r="B779" s="282"/>
      <c r="C779" s="282"/>
      <c r="D779" s="78"/>
      <c r="E779" s="78"/>
      <c r="F779" s="173"/>
      <c r="G779" s="173"/>
      <c r="H779" s="170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</row>
    <row r="780" ht="14.25" customHeight="1">
      <c r="A780" s="171"/>
      <c r="B780" s="282"/>
      <c r="C780" s="282"/>
      <c r="D780" s="78"/>
      <c r="E780" s="78"/>
      <c r="F780" s="173"/>
      <c r="G780" s="173"/>
      <c r="H780" s="170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</row>
    <row r="781" ht="14.25" customHeight="1">
      <c r="A781" s="171"/>
      <c r="B781" s="282"/>
      <c r="C781" s="282"/>
      <c r="D781" s="78"/>
      <c r="E781" s="78"/>
      <c r="F781" s="173"/>
      <c r="G781" s="173"/>
      <c r="H781" s="170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</row>
    <row r="782" ht="14.25" customHeight="1">
      <c r="A782" s="171"/>
      <c r="B782" s="282"/>
      <c r="C782" s="282"/>
      <c r="D782" s="78"/>
      <c r="E782" s="78"/>
      <c r="F782" s="173"/>
      <c r="G782" s="173"/>
      <c r="H782" s="170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</row>
    <row r="783" ht="14.25" customHeight="1">
      <c r="A783" s="171"/>
      <c r="B783" s="282"/>
      <c r="C783" s="282"/>
      <c r="D783" s="78"/>
      <c r="E783" s="78"/>
      <c r="F783" s="173"/>
      <c r="G783" s="173"/>
      <c r="H783" s="170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</row>
    <row r="784" ht="14.25" customHeight="1">
      <c r="A784" s="171"/>
      <c r="B784" s="282"/>
      <c r="C784" s="282"/>
      <c r="D784" s="78"/>
      <c r="E784" s="78"/>
      <c r="F784" s="173"/>
      <c r="G784" s="173"/>
      <c r="H784" s="170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</row>
    <row r="785" ht="14.25" customHeight="1">
      <c r="A785" s="171"/>
      <c r="B785" s="282"/>
      <c r="C785" s="282"/>
      <c r="D785" s="78"/>
      <c r="E785" s="78"/>
      <c r="F785" s="173"/>
      <c r="G785" s="173"/>
      <c r="H785" s="170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</row>
    <row r="786" ht="14.25" customHeight="1">
      <c r="A786" s="171"/>
      <c r="B786" s="282"/>
      <c r="C786" s="282"/>
      <c r="D786" s="78"/>
      <c r="E786" s="78"/>
      <c r="F786" s="173"/>
      <c r="G786" s="173"/>
      <c r="H786" s="170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</row>
    <row r="787" ht="14.25" customHeight="1">
      <c r="A787" s="171"/>
      <c r="B787" s="282"/>
      <c r="C787" s="282"/>
      <c r="D787" s="78"/>
      <c r="E787" s="78"/>
      <c r="F787" s="173"/>
      <c r="G787" s="173"/>
      <c r="H787" s="170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</row>
    <row r="788" ht="14.25" customHeight="1">
      <c r="A788" s="171"/>
      <c r="B788" s="282"/>
      <c r="C788" s="282"/>
      <c r="D788" s="78"/>
      <c r="E788" s="78"/>
      <c r="F788" s="173"/>
      <c r="G788" s="173"/>
      <c r="H788" s="170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</row>
    <row r="789" ht="14.25" customHeight="1">
      <c r="A789" s="171"/>
      <c r="B789" s="282"/>
      <c r="C789" s="282"/>
      <c r="D789" s="78"/>
      <c r="E789" s="78"/>
      <c r="F789" s="173"/>
      <c r="G789" s="173"/>
      <c r="H789" s="170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</row>
    <row r="790" ht="14.25" customHeight="1">
      <c r="A790" s="171"/>
      <c r="B790" s="282"/>
      <c r="C790" s="282"/>
      <c r="D790" s="78"/>
      <c r="E790" s="78"/>
      <c r="F790" s="173"/>
      <c r="G790" s="173"/>
      <c r="H790" s="170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</row>
    <row r="791" ht="14.25" customHeight="1">
      <c r="A791" s="171"/>
      <c r="B791" s="282"/>
      <c r="C791" s="282"/>
      <c r="D791" s="78"/>
      <c r="E791" s="78"/>
      <c r="F791" s="173"/>
      <c r="G791" s="173"/>
      <c r="H791" s="170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</row>
    <row r="792" ht="14.25" customHeight="1">
      <c r="A792" s="171"/>
      <c r="B792" s="282"/>
      <c r="C792" s="282"/>
      <c r="D792" s="78"/>
      <c r="E792" s="78"/>
      <c r="F792" s="173"/>
      <c r="G792" s="173"/>
      <c r="H792" s="170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</row>
    <row r="793" ht="14.25" customHeight="1">
      <c r="A793" s="171"/>
      <c r="B793" s="282"/>
      <c r="C793" s="282"/>
      <c r="D793" s="78"/>
      <c r="E793" s="78"/>
      <c r="F793" s="173"/>
      <c r="G793" s="173"/>
      <c r="H793" s="170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</row>
    <row r="794" ht="14.25" customHeight="1">
      <c r="A794" s="171"/>
      <c r="B794" s="282"/>
      <c r="C794" s="282"/>
      <c r="D794" s="78"/>
      <c r="E794" s="78"/>
      <c r="F794" s="173"/>
      <c r="G794" s="173"/>
      <c r="H794" s="170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</row>
    <row r="795" ht="14.25" customHeight="1">
      <c r="A795" s="171"/>
      <c r="B795" s="282"/>
      <c r="C795" s="282"/>
      <c r="D795" s="78"/>
      <c r="E795" s="78"/>
      <c r="F795" s="173"/>
      <c r="G795" s="173"/>
      <c r="H795" s="170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</row>
    <row r="796" ht="14.25" customHeight="1">
      <c r="A796" s="171"/>
      <c r="B796" s="282"/>
      <c r="C796" s="282"/>
      <c r="D796" s="78"/>
      <c r="E796" s="78"/>
      <c r="F796" s="173"/>
      <c r="G796" s="173"/>
      <c r="H796" s="170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</row>
    <row r="797" ht="14.25" customHeight="1">
      <c r="A797" s="171"/>
      <c r="B797" s="282"/>
      <c r="C797" s="282"/>
      <c r="D797" s="78"/>
      <c r="E797" s="78"/>
      <c r="F797" s="173"/>
      <c r="G797" s="173"/>
      <c r="H797" s="170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</row>
    <row r="798" ht="14.25" customHeight="1">
      <c r="A798" s="171"/>
      <c r="B798" s="282"/>
      <c r="C798" s="282"/>
      <c r="D798" s="78"/>
      <c r="E798" s="78"/>
      <c r="F798" s="173"/>
      <c r="G798" s="173"/>
      <c r="H798" s="170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</row>
    <row r="799" ht="14.25" customHeight="1">
      <c r="A799" s="171"/>
      <c r="B799" s="282"/>
      <c r="C799" s="282"/>
      <c r="D799" s="78"/>
      <c r="E799" s="78"/>
      <c r="F799" s="173"/>
      <c r="G799" s="173"/>
      <c r="H799" s="170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</row>
    <row r="800" ht="14.25" customHeight="1">
      <c r="A800" s="171"/>
      <c r="B800" s="282"/>
      <c r="C800" s="282"/>
      <c r="D800" s="78"/>
      <c r="E800" s="78"/>
      <c r="F800" s="173"/>
      <c r="G800" s="173"/>
      <c r="H800" s="170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</row>
    <row r="801" ht="14.25" customHeight="1">
      <c r="A801" s="171"/>
      <c r="B801" s="282"/>
      <c r="C801" s="282"/>
      <c r="D801" s="78"/>
      <c r="E801" s="78"/>
      <c r="F801" s="173"/>
      <c r="G801" s="173"/>
      <c r="H801" s="170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</row>
    <row r="802" ht="14.25" customHeight="1">
      <c r="A802" s="171"/>
      <c r="B802" s="282"/>
      <c r="C802" s="282"/>
      <c r="D802" s="78"/>
      <c r="E802" s="78"/>
      <c r="F802" s="173"/>
      <c r="G802" s="173"/>
      <c r="H802" s="170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</row>
    <row r="803" ht="14.25" customHeight="1">
      <c r="A803" s="171"/>
      <c r="B803" s="282"/>
      <c r="C803" s="282"/>
      <c r="D803" s="78"/>
      <c r="E803" s="78"/>
      <c r="F803" s="173"/>
      <c r="G803" s="173"/>
      <c r="H803" s="170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</row>
    <row r="804" ht="14.25" customHeight="1">
      <c r="A804" s="171"/>
      <c r="B804" s="282"/>
      <c r="C804" s="282"/>
      <c r="D804" s="78"/>
      <c r="E804" s="78"/>
      <c r="F804" s="173"/>
      <c r="G804" s="173"/>
      <c r="H804" s="170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</row>
    <row r="805" ht="14.25" customHeight="1">
      <c r="A805" s="171"/>
      <c r="B805" s="282"/>
      <c r="C805" s="282"/>
      <c r="D805" s="78"/>
      <c r="E805" s="78"/>
      <c r="F805" s="173"/>
      <c r="G805" s="173"/>
      <c r="H805" s="170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</row>
    <row r="806" ht="14.25" customHeight="1">
      <c r="A806" s="171"/>
      <c r="B806" s="282"/>
      <c r="C806" s="282"/>
      <c r="D806" s="78"/>
      <c r="E806" s="78"/>
      <c r="F806" s="173"/>
      <c r="G806" s="173"/>
      <c r="H806" s="170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</row>
    <row r="807" ht="14.25" customHeight="1">
      <c r="A807" s="171"/>
      <c r="B807" s="282"/>
      <c r="C807" s="282"/>
      <c r="D807" s="78"/>
      <c r="E807" s="78"/>
      <c r="F807" s="173"/>
      <c r="G807" s="173"/>
      <c r="H807" s="170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</row>
    <row r="808" ht="14.25" customHeight="1">
      <c r="A808" s="171"/>
      <c r="B808" s="282"/>
      <c r="C808" s="282"/>
      <c r="D808" s="78"/>
      <c r="E808" s="78"/>
      <c r="F808" s="173"/>
      <c r="G808" s="173"/>
      <c r="H808" s="170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</row>
    <row r="809" ht="14.25" customHeight="1">
      <c r="A809" s="171"/>
      <c r="B809" s="282"/>
      <c r="C809" s="282"/>
      <c r="D809" s="78"/>
      <c r="E809" s="78"/>
      <c r="F809" s="173"/>
      <c r="G809" s="173"/>
      <c r="H809" s="170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</row>
    <row r="810" ht="14.25" customHeight="1">
      <c r="A810" s="171"/>
      <c r="B810" s="282"/>
      <c r="C810" s="282"/>
      <c r="D810" s="78"/>
      <c r="E810" s="78"/>
      <c r="F810" s="173"/>
      <c r="G810" s="173"/>
      <c r="H810" s="170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</row>
    <row r="811" ht="14.25" customHeight="1">
      <c r="A811" s="171"/>
      <c r="B811" s="282"/>
      <c r="C811" s="282"/>
      <c r="D811" s="78"/>
      <c r="E811" s="78"/>
      <c r="F811" s="173"/>
      <c r="G811" s="173"/>
      <c r="H811" s="170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</row>
    <row r="812" ht="14.25" customHeight="1">
      <c r="A812" s="171"/>
      <c r="B812" s="282"/>
      <c r="C812" s="282"/>
      <c r="D812" s="78"/>
      <c r="E812" s="78"/>
      <c r="F812" s="173"/>
      <c r="G812" s="173"/>
      <c r="H812" s="170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</row>
    <row r="813" ht="14.25" customHeight="1">
      <c r="A813" s="171"/>
      <c r="B813" s="282"/>
      <c r="C813" s="282"/>
      <c r="D813" s="78"/>
      <c r="E813" s="78"/>
      <c r="F813" s="173"/>
      <c r="G813" s="173"/>
      <c r="H813" s="170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</row>
    <row r="814" ht="14.25" customHeight="1">
      <c r="A814" s="171"/>
      <c r="B814" s="282"/>
      <c r="C814" s="282"/>
      <c r="D814" s="78"/>
      <c r="E814" s="78"/>
      <c r="F814" s="173"/>
      <c r="G814" s="173"/>
      <c r="H814" s="170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</row>
    <row r="815" ht="14.25" customHeight="1">
      <c r="A815" s="171"/>
      <c r="B815" s="282"/>
      <c r="C815" s="282"/>
      <c r="D815" s="78"/>
      <c r="E815" s="78"/>
      <c r="F815" s="173"/>
      <c r="G815" s="173"/>
      <c r="H815" s="170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</row>
    <row r="816" ht="14.25" customHeight="1">
      <c r="A816" s="171"/>
      <c r="B816" s="282"/>
      <c r="C816" s="282"/>
      <c r="D816" s="78"/>
      <c r="E816" s="78"/>
      <c r="F816" s="173"/>
      <c r="G816" s="173"/>
      <c r="H816" s="170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</row>
    <row r="817" ht="14.25" customHeight="1">
      <c r="A817" s="171"/>
      <c r="B817" s="282"/>
      <c r="C817" s="282"/>
      <c r="D817" s="78"/>
      <c r="E817" s="78"/>
      <c r="F817" s="173"/>
      <c r="G817" s="173"/>
      <c r="H817" s="170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</row>
    <row r="818" ht="14.25" customHeight="1">
      <c r="A818" s="171"/>
      <c r="B818" s="282"/>
      <c r="C818" s="282"/>
      <c r="D818" s="78"/>
      <c r="E818" s="78"/>
      <c r="F818" s="173"/>
      <c r="G818" s="173"/>
      <c r="H818" s="170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</row>
    <row r="819" ht="14.25" customHeight="1">
      <c r="A819" s="171"/>
      <c r="B819" s="282"/>
      <c r="C819" s="282"/>
      <c r="D819" s="78"/>
      <c r="E819" s="78"/>
      <c r="F819" s="173"/>
      <c r="G819" s="173"/>
      <c r="H819" s="170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</row>
    <row r="820" ht="14.25" customHeight="1">
      <c r="A820" s="171"/>
      <c r="B820" s="282"/>
      <c r="C820" s="282"/>
      <c r="D820" s="78"/>
      <c r="E820" s="78"/>
      <c r="F820" s="173"/>
      <c r="G820" s="173"/>
      <c r="H820" s="170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</row>
    <row r="821" ht="14.25" customHeight="1">
      <c r="A821" s="171"/>
      <c r="B821" s="282"/>
      <c r="C821" s="282"/>
      <c r="D821" s="78"/>
      <c r="E821" s="78"/>
      <c r="F821" s="173"/>
      <c r="G821" s="173"/>
      <c r="H821" s="170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</row>
    <row r="822" ht="14.25" customHeight="1">
      <c r="A822" s="171"/>
      <c r="B822" s="282"/>
      <c r="C822" s="282"/>
      <c r="D822" s="78"/>
      <c r="E822" s="78"/>
      <c r="F822" s="173"/>
      <c r="G822" s="173"/>
      <c r="H822" s="170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</row>
    <row r="823" ht="14.25" customHeight="1">
      <c r="A823" s="171"/>
      <c r="B823" s="282"/>
      <c r="C823" s="282"/>
      <c r="D823" s="78"/>
      <c r="E823" s="78"/>
      <c r="F823" s="173"/>
      <c r="G823" s="173"/>
      <c r="H823" s="170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</row>
    <row r="824" ht="14.25" customHeight="1">
      <c r="A824" s="171"/>
      <c r="B824" s="282"/>
      <c r="C824" s="282"/>
      <c r="D824" s="78"/>
      <c r="E824" s="78"/>
      <c r="F824" s="173"/>
      <c r="G824" s="173"/>
      <c r="H824" s="170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</row>
    <row r="825" ht="14.25" customHeight="1">
      <c r="A825" s="171"/>
      <c r="B825" s="282"/>
      <c r="C825" s="282"/>
      <c r="D825" s="78"/>
      <c r="E825" s="78"/>
      <c r="F825" s="173"/>
      <c r="G825" s="173"/>
      <c r="H825" s="170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</row>
    <row r="826" ht="14.25" customHeight="1">
      <c r="A826" s="171"/>
      <c r="B826" s="282"/>
      <c r="C826" s="282"/>
      <c r="D826" s="78"/>
      <c r="E826" s="78"/>
      <c r="F826" s="173"/>
      <c r="G826" s="173"/>
      <c r="H826" s="170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</row>
    <row r="827" ht="14.25" customHeight="1">
      <c r="A827" s="171"/>
      <c r="B827" s="282"/>
      <c r="C827" s="282"/>
      <c r="D827" s="78"/>
      <c r="E827" s="78"/>
      <c r="F827" s="173"/>
      <c r="G827" s="173"/>
      <c r="H827" s="170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</row>
    <row r="828" ht="14.25" customHeight="1">
      <c r="A828" s="171"/>
      <c r="B828" s="282"/>
      <c r="C828" s="282"/>
      <c r="D828" s="78"/>
      <c r="E828" s="78"/>
      <c r="F828" s="173"/>
      <c r="G828" s="173"/>
      <c r="H828" s="170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</row>
    <row r="829" ht="14.25" customHeight="1">
      <c r="A829" s="171"/>
      <c r="B829" s="282"/>
      <c r="C829" s="282"/>
      <c r="D829" s="78"/>
      <c r="E829" s="78"/>
      <c r="F829" s="173"/>
      <c r="G829" s="173"/>
      <c r="H829" s="170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</row>
    <row r="830" ht="14.25" customHeight="1">
      <c r="A830" s="171"/>
      <c r="B830" s="282"/>
      <c r="C830" s="282"/>
      <c r="D830" s="78"/>
      <c r="E830" s="78"/>
      <c r="F830" s="173"/>
      <c r="G830" s="173"/>
      <c r="H830" s="170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</row>
    <row r="831" ht="14.25" customHeight="1">
      <c r="A831" s="171"/>
      <c r="B831" s="282"/>
      <c r="C831" s="282"/>
      <c r="D831" s="78"/>
      <c r="E831" s="78"/>
      <c r="F831" s="173"/>
      <c r="G831" s="173"/>
      <c r="H831" s="170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</row>
    <row r="832" ht="14.25" customHeight="1">
      <c r="A832" s="171"/>
      <c r="B832" s="282"/>
      <c r="C832" s="282"/>
      <c r="D832" s="78"/>
      <c r="E832" s="78"/>
      <c r="F832" s="173"/>
      <c r="G832" s="173"/>
      <c r="H832" s="170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</row>
    <row r="833" ht="14.25" customHeight="1">
      <c r="A833" s="171"/>
      <c r="B833" s="282"/>
      <c r="C833" s="282"/>
      <c r="D833" s="78"/>
      <c r="E833" s="78"/>
      <c r="F833" s="173"/>
      <c r="G833" s="173"/>
      <c r="H833" s="170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</row>
    <row r="834" ht="14.25" customHeight="1">
      <c r="A834" s="171"/>
      <c r="B834" s="282"/>
      <c r="C834" s="282"/>
      <c r="D834" s="78"/>
      <c r="E834" s="78"/>
      <c r="F834" s="173"/>
      <c r="G834" s="173"/>
      <c r="H834" s="170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</row>
    <row r="835" ht="14.25" customHeight="1">
      <c r="A835" s="171"/>
      <c r="B835" s="282"/>
      <c r="C835" s="282"/>
      <c r="D835" s="78"/>
      <c r="E835" s="78"/>
      <c r="F835" s="173"/>
      <c r="G835" s="173"/>
      <c r="H835" s="170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</row>
    <row r="836" ht="14.25" customHeight="1">
      <c r="A836" s="171"/>
      <c r="B836" s="282"/>
      <c r="C836" s="282"/>
      <c r="D836" s="78"/>
      <c r="E836" s="78"/>
      <c r="F836" s="173"/>
      <c r="G836" s="173"/>
      <c r="H836" s="170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</row>
    <row r="837" ht="14.25" customHeight="1">
      <c r="A837" s="171"/>
      <c r="B837" s="282"/>
      <c r="C837" s="282"/>
      <c r="D837" s="78"/>
      <c r="E837" s="78"/>
      <c r="F837" s="173"/>
      <c r="G837" s="173"/>
      <c r="H837" s="170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</row>
    <row r="838" ht="14.25" customHeight="1">
      <c r="A838" s="171"/>
      <c r="B838" s="282"/>
      <c r="C838" s="282"/>
      <c r="D838" s="78"/>
      <c r="E838" s="78"/>
      <c r="F838" s="173"/>
      <c r="G838" s="173"/>
      <c r="H838" s="170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</row>
    <row r="839" ht="14.25" customHeight="1">
      <c r="A839" s="171"/>
      <c r="B839" s="282"/>
      <c r="C839" s="282"/>
      <c r="D839" s="78"/>
      <c r="E839" s="78"/>
      <c r="F839" s="173"/>
      <c r="G839" s="173"/>
      <c r="H839" s="170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</row>
    <row r="840" ht="14.25" customHeight="1">
      <c r="A840" s="171"/>
      <c r="B840" s="282"/>
      <c r="C840" s="282"/>
      <c r="D840" s="78"/>
      <c r="E840" s="78"/>
      <c r="F840" s="173"/>
      <c r="G840" s="173"/>
      <c r="H840" s="170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</row>
    <row r="841" ht="14.25" customHeight="1">
      <c r="A841" s="171"/>
      <c r="B841" s="282"/>
      <c r="C841" s="282"/>
      <c r="D841" s="78"/>
      <c r="E841" s="78"/>
      <c r="F841" s="173"/>
      <c r="G841" s="173"/>
      <c r="H841" s="170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</row>
    <row r="842" ht="14.25" customHeight="1">
      <c r="A842" s="171"/>
      <c r="B842" s="282"/>
      <c r="C842" s="282"/>
      <c r="D842" s="78"/>
      <c r="E842" s="78"/>
      <c r="F842" s="173"/>
      <c r="G842" s="173"/>
      <c r="H842" s="170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</row>
    <row r="843" ht="14.25" customHeight="1">
      <c r="A843" s="171"/>
      <c r="B843" s="282"/>
      <c r="C843" s="282"/>
      <c r="D843" s="78"/>
      <c r="E843" s="78"/>
      <c r="F843" s="173"/>
      <c r="G843" s="173"/>
      <c r="H843" s="170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</row>
    <row r="844" ht="14.25" customHeight="1">
      <c r="A844" s="171"/>
      <c r="B844" s="282"/>
      <c r="C844" s="282"/>
      <c r="D844" s="78"/>
      <c r="E844" s="78"/>
      <c r="F844" s="173"/>
      <c r="G844" s="173"/>
      <c r="H844" s="170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</row>
    <row r="845" ht="14.25" customHeight="1">
      <c r="A845" s="171"/>
      <c r="B845" s="282"/>
      <c r="C845" s="282"/>
      <c r="D845" s="78"/>
      <c r="E845" s="78"/>
      <c r="F845" s="173"/>
      <c r="G845" s="173"/>
      <c r="H845" s="170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</row>
    <row r="846" ht="14.25" customHeight="1">
      <c r="A846" s="171"/>
      <c r="B846" s="282"/>
      <c r="C846" s="282"/>
      <c r="D846" s="78"/>
      <c r="E846" s="78"/>
      <c r="F846" s="173"/>
      <c r="G846" s="173"/>
      <c r="H846" s="170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</row>
    <row r="847" ht="14.25" customHeight="1">
      <c r="A847" s="171"/>
      <c r="B847" s="282"/>
      <c r="C847" s="282"/>
      <c r="D847" s="78"/>
      <c r="E847" s="78"/>
      <c r="F847" s="173"/>
      <c r="G847" s="173"/>
      <c r="H847" s="170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</row>
    <row r="848" ht="14.25" customHeight="1">
      <c r="A848" s="171"/>
      <c r="B848" s="282"/>
      <c r="C848" s="282"/>
      <c r="D848" s="78"/>
      <c r="E848" s="78"/>
      <c r="F848" s="173"/>
      <c r="G848" s="173"/>
      <c r="H848" s="170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</row>
    <row r="849" ht="14.25" customHeight="1">
      <c r="A849" s="171"/>
      <c r="B849" s="282"/>
      <c r="C849" s="282"/>
      <c r="D849" s="78"/>
      <c r="E849" s="78"/>
      <c r="F849" s="173"/>
      <c r="G849" s="173"/>
      <c r="H849" s="170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</row>
    <row r="850" ht="14.25" customHeight="1">
      <c r="A850" s="171"/>
      <c r="B850" s="282"/>
      <c r="C850" s="282"/>
      <c r="D850" s="78"/>
      <c r="E850" s="78"/>
      <c r="F850" s="173"/>
      <c r="G850" s="173"/>
      <c r="H850" s="170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</row>
    <row r="851" ht="14.25" customHeight="1">
      <c r="A851" s="171"/>
      <c r="B851" s="282"/>
      <c r="C851" s="282"/>
      <c r="D851" s="78"/>
      <c r="E851" s="78"/>
      <c r="F851" s="173"/>
      <c r="G851" s="173"/>
      <c r="H851" s="170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</row>
    <row r="852" ht="14.25" customHeight="1">
      <c r="A852" s="171"/>
      <c r="B852" s="282"/>
      <c r="C852" s="282"/>
      <c r="D852" s="78"/>
      <c r="E852" s="78"/>
      <c r="F852" s="173"/>
      <c r="G852" s="173"/>
      <c r="H852" s="170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</row>
    <row r="853" ht="14.25" customHeight="1">
      <c r="A853" s="171"/>
      <c r="B853" s="282"/>
      <c r="C853" s="282"/>
      <c r="D853" s="78"/>
      <c r="E853" s="78"/>
      <c r="F853" s="173"/>
      <c r="G853" s="173"/>
      <c r="H853" s="170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</row>
    <row r="854" ht="14.25" customHeight="1">
      <c r="A854" s="171"/>
      <c r="B854" s="282"/>
      <c r="C854" s="282"/>
      <c r="D854" s="78"/>
      <c r="E854" s="78"/>
      <c r="F854" s="173"/>
      <c r="G854" s="173"/>
      <c r="H854" s="170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</row>
    <row r="855" ht="14.25" customHeight="1">
      <c r="A855" s="171"/>
      <c r="B855" s="282"/>
      <c r="C855" s="282"/>
      <c r="D855" s="78"/>
      <c r="E855" s="78"/>
      <c r="F855" s="173"/>
      <c r="G855" s="173"/>
      <c r="H855" s="170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</row>
    <row r="856" ht="14.25" customHeight="1">
      <c r="A856" s="171"/>
      <c r="B856" s="282"/>
      <c r="C856" s="282"/>
      <c r="D856" s="78"/>
      <c r="E856" s="78"/>
      <c r="F856" s="173"/>
      <c r="G856" s="173"/>
      <c r="H856" s="170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</row>
    <row r="857" ht="14.25" customHeight="1">
      <c r="A857" s="171"/>
      <c r="B857" s="282"/>
      <c r="C857" s="282"/>
      <c r="D857" s="78"/>
      <c r="E857" s="78"/>
      <c r="F857" s="173"/>
      <c r="G857" s="173"/>
      <c r="H857" s="170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</row>
    <row r="858" ht="14.25" customHeight="1">
      <c r="A858" s="171"/>
      <c r="B858" s="282"/>
      <c r="C858" s="282"/>
      <c r="D858" s="78"/>
      <c r="E858" s="78"/>
      <c r="F858" s="173"/>
      <c r="G858" s="173"/>
      <c r="H858" s="170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</row>
    <row r="859" ht="14.25" customHeight="1">
      <c r="A859" s="171"/>
      <c r="B859" s="282"/>
      <c r="C859" s="282"/>
      <c r="D859" s="78"/>
      <c r="E859" s="78"/>
      <c r="F859" s="173"/>
      <c r="G859" s="173"/>
      <c r="H859" s="170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</row>
    <row r="860" ht="14.25" customHeight="1">
      <c r="A860" s="171"/>
      <c r="B860" s="282"/>
      <c r="C860" s="282"/>
      <c r="D860" s="78"/>
      <c r="E860" s="78"/>
      <c r="F860" s="173"/>
      <c r="G860" s="173"/>
      <c r="H860" s="170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</row>
    <row r="861" ht="14.25" customHeight="1">
      <c r="A861" s="171"/>
      <c r="B861" s="282"/>
      <c r="C861" s="282"/>
      <c r="D861" s="78"/>
      <c r="E861" s="78"/>
      <c r="F861" s="173"/>
      <c r="G861" s="173"/>
      <c r="H861" s="170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</row>
    <row r="862" ht="14.25" customHeight="1">
      <c r="A862" s="171"/>
      <c r="B862" s="282"/>
      <c r="C862" s="282"/>
      <c r="D862" s="78"/>
      <c r="E862" s="78"/>
      <c r="F862" s="173"/>
      <c r="G862" s="173"/>
      <c r="H862" s="170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</row>
    <row r="863" ht="14.25" customHeight="1">
      <c r="A863" s="171"/>
      <c r="B863" s="282"/>
      <c r="C863" s="282"/>
      <c r="D863" s="78"/>
      <c r="E863" s="78"/>
      <c r="F863" s="173"/>
      <c r="G863" s="173"/>
      <c r="H863" s="170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</row>
    <row r="864" ht="14.25" customHeight="1">
      <c r="A864" s="171"/>
      <c r="B864" s="282"/>
      <c r="C864" s="282"/>
      <c r="D864" s="78"/>
      <c r="E864" s="78"/>
      <c r="F864" s="173"/>
      <c r="G864" s="173"/>
      <c r="H864" s="170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</row>
    <row r="865" ht="14.25" customHeight="1">
      <c r="A865" s="171"/>
      <c r="B865" s="282"/>
      <c r="C865" s="282"/>
      <c r="D865" s="78"/>
      <c r="E865" s="78"/>
      <c r="F865" s="173"/>
      <c r="G865" s="173"/>
      <c r="H865" s="170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</row>
    <row r="866" ht="14.25" customHeight="1">
      <c r="A866" s="171"/>
      <c r="B866" s="282"/>
      <c r="C866" s="282"/>
      <c r="D866" s="78"/>
      <c r="E866" s="78"/>
      <c r="F866" s="173"/>
      <c r="G866" s="173"/>
      <c r="H866" s="170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</row>
    <row r="867" ht="14.25" customHeight="1">
      <c r="A867" s="171"/>
      <c r="B867" s="282"/>
      <c r="C867" s="282"/>
      <c r="D867" s="78"/>
      <c r="E867" s="78"/>
      <c r="F867" s="173"/>
      <c r="G867" s="173"/>
      <c r="H867" s="170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</row>
    <row r="868" ht="14.25" customHeight="1">
      <c r="A868" s="171"/>
      <c r="B868" s="282"/>
      <c r="C868" s="282"/>
      <c r="D868" s="78"/>
      <c r="E868" s="78"/>
      <c r="F868" s="173"/>
      <c r="G868" s="173"/>
      <c r="H868" s="170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</row>
    <row r="869" ht="14.25" customHeight="1">
      <c r="A869" s="171"/>
      <c r="B869" s="282"/>
      <c r="C869" s="282"/>
      <c r="D869" s="78"/>
      <c r="E869" s="78"/>
      <c r="F869" s="173"/>
      <c r="G869" s="173"/>
      <c r="H869" s="170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</row>
    <row r="870" ht="14.25" customHeight="1">
      <c r="A870" s="171"/>
      <c r="B870" s="282"/>
      <c r="C870" s="282"/>
      <c r="D870" s="78"/>
      <c r="E870" s="78"/>
      <c r="F870" s="173"/>
      <c r="G870" s="173"/>
      <c r="H870" s="170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</row>
    <row r="871" ht="14.25" customHeight="1">
      <c r="A871" s="171"/>
      <c r="B871" s="282"/>
      <c r="C871" s="282"/>
      <c r="D871" s="78"/>
      <c r="E871" s="78"/>
      <c r="F871" s="173"/>
      <c r="G871" s="173"/>
      <c r="H871" s="170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</row>
    <row r="872" ht="14.25" customHeight="1">
      <c r="A872" s="171"/>
      <c r="B872" s="282"/>
      <c r="C872" s="282"/>
      <c r="D872" s="78"/>
      <c r="E872" s="78"/>
      <c r="F872" s="173"/>
      <c r="G872" s="173"/>
      <c r="H872" s="170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</row>
    <row r="873" ht="14.25" customHeight="1">
      <c r="A873" s="171"/>
      <c r="B873" s="282"/>
      <c r="C873" s="282"/>
      <c r="D873" s="78"/>
      <c r="E873" s="78"/>
      <c r="F873" s="173"/>
      <c r="G873" s="173"/>
      <c r="H873" s="170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</row>
    <row r="874" ht="14.25" customHeight="1">
      <c r="A874" s="171"/>
      <c r="B874" s="282"/>
      <c r="C874" s="282"/>
      <c r="D874" s="78"/>
      <c r="E874" s="78"/>
      <c r="F874" s="173"/>
      <c r="G874" s="173"/>
      <c r="H874" s="170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</row>
    <row r="875" ht="14.25" customHeight="1">
      <c r="A875" s="171"/>
      <c r="B875" s="282"/>
      <c r="C875" s="282"/>
      <c r="D875" s="78"/>
      <c r="E875" s="78"/>
      <c r="F875" s="173"/>
      <c r="G875" s="173"/>
      <c r="H875" s="170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</row>
    <row r="876" ht="14.25" customHeight="1">
      <c r="A876" s="171"/>
      <c r="B876" s="282"/>
      <c r="C876" s="282"/>
      <c r="D876" s="78"/>
      <c r="E876" s="78"/>
      <c r="F876" s="173"/>
      <c r="G876" s="173"/>
      <c r="H876" s="170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</row>
    <row r="877" ht="14.25" customHeight="1">
      <c r="A877" s="171"/>
      <c r="B877" s="282"/>
      <c r="C877" s="282"/>
      <c r="D877" s="78"/>
      <c r="E877" s="78"/>
      <c r="F877" s="173"/>
      <c r="G877" s="173"/>
      <c r="H877" s="170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</row>
    <row r="878" ht="14.25" customHeight="1">
      <c r="A878" s="171"/>
      <c r="B878" s="282"/>
      <c r="C878" s="282"/>
      <c r="D878" s="78"/>
      <c r="E878" s="78"/>
      <c r="F878" s="173"/>
      <c r="G878" s="173"/>
      <c r="H878" s="170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</row>
    <row r="879" ht="14.25" customHeight="1">
      <c r="A879" s="171"/>
      <c r="B879" s="282"/>
      <c r="C879" s="282"/>
      <c r="D879" s="78"/>
      <c r="E879" s="78"/>
      <c r="F879" s="173"/>
      <c r="G879" s="173"/>
      <c r="H879" s="170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</row>
    <row r="880" ht="14.25" customHeight="1">
      <c r="A880" s="171"/>
      <c r="B880" s="282"/>
      <c r="C880" s="282"/>
      <c r="D880" s="78"/>
      <c r="E880" s="78"/>
      <c r="F880" s="173"/>
      <c r="G880" s="173"/>
      <c r="H880" s="170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</row>
    <row r="881" ht="14.25" customHeight="1">
      <c r="A881" s="171"/>
      <c r="B881" s="282"/>
      <c r="C881" s="282"/>
      <c r="D881" s="78"/>
      <c r="E881" s="78"/>
      <c r="F881" s="173"/>
      <c r="G881" s="173"/>
      <c r="H881" s="170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</row>
    <row r="882" ht="14.25" customHeight="1">
      <c r="A882" s="171"/>
      <c r="B882" s="282"/>
      <c r="C882" s="282"/>
      <c r="D882" s="78"/>
      <c r="E882" s="78"/>
      <c r="F882" s="173"/>
      <c r="G882" s="173"/>
      <c r="H882" s="170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</row>
    <row r="883" ht="14.25" customHeight="1">
      <c r="A883" s="171"/>
      <c r="B883" s="282"/>
      <c r="C883" s="282"/>
      <c r="D883" s="78"/>
      <c r="E883" s="78"/>
      <c r="F883" s="173"/>
      <c r="G883" s="173"/>
      <c r="H883" s="170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</row>
    <row r="884" ht="14.25" customHeight="1">
      <c r="A884" s="171"/>
      <c r="B884" s="282"/>
      <c r="C884" s="282"/>
      <c r="D884" s="78"/>
      <c r="E884" s="78"/>
      <c r="F884" s="173"/>
      <c r="G884" s="173"/>
      <c r="H884" s="170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</row>
    <row r="885" ht="14.25" customHeight="1">
      <c r="A885" s="171"/>
      <c r="B885" s="282"/>
      <c r="C885" s="282"/>
      <c r="D885" s="78"/>
      <c r="E885" s="78"/>
      <c r="F885" s="173"/>
      <c r="G885" s="173"/>
      <c r="H885" s="170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</row>
    <row r="886" ht="14.25" customHeight="1">
      <c r="A886" s="171"/>
      <c r="B886" s="282"/>
      <c r="C886" s="282"/>
      <c r="D886" s="78"/>
      <c r="E886" s="78"/>
      <c r="F886" s="173"/>
      <c r="G886" s="173"/>
      <c r="H886" s="170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</row>
    <row r="887" ht="14.25" customHeight="1">
      <c r="A887" s="171"/>
      <c r="B887" s="282"/>
      <c r="C887" s="282"/>
      <c r="D887" s="78"/>
      <c r="E887" s="78"/>
      <c r="F887" s="173"/>
      <c r="G887" s="173"/>
      <c r="H887" s="170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</row>
    <row r="888" ht="14.25" customHeight="1">
      <c r="A888" s="171"/>
      <c r="B888" s="282"/>
      <c r="C888" s="282"/>
      <c r="D888" s="78"/>
      <c r="E888" s="78"/>
      <c r="F888" s="173"/>
      <c r="G888" s="173"/>
      <c r="H888" s="170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</row>
    <row r="889" ht="14.25" customHeight="1">
      <c r="A889" s="171"/>
      <c r="B889" s="282"/>
      <c r="C889" s="282"/>
      <c r="D889" s="78"/>
      <c r="E889" s="78"/>
      <c r="F889" s="173"/>
      <c r="G889" s="173"/>
      <c r="H889" s="170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</row>
    <row r="890" ht="14.25" customHeight="1">
      <c r="A890" s="171"/>
      <c r="B890" s="282"/>
      <c r="C890" s="282"/>
      <c r="D890" s="78"/>
      <c r="E890" s="78"/>
      <c r="F890" s="173"/>
      <c r="G890" s="173"/>
      <c r="H890" s="170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</row>
    <row r="891" ht="14.25" customHeight="1">
      <c r="A891" s="171"/>
      <c r="B891" s="282"/>
      <c r="C891" s="282"/>
      <c r="D891" s="78"/>
      <c r="E891" s="78"/>
      <c r="F891" s="173"/>
      <c r="G891" s="173"/>
      <c r="H891" s="170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</row>
    <row r="892" ht="14.25" customHeight="1">
      <c r="A892" s="171"/>
      <c r="B892" s="282"/>
      <c r="C892" s="282"/>
      <c r="D892" s="78"/>
      <c r="E892" s="78"/>
      <c r="F892" s="173"/>
      <c r="G892" s="173"/>
      <c r="H892" s="170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</row>
    <row r="893" ht="14.25" customHeight="1">
      <c r="A893" s="171"/>
      <c r="B893" s="282"/>
      <c r="C893" s="282"/>
      <c r="D893" s="78"/>
      <c r="E893" s="78"/>
      <c r="F893" s="173"/>
      <c r="G893" s="173"/>
      <c r="H893" s="170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</row>
    <row r="894" ht="14.25" customHeight="1">
      <c r="A894" s="171"/>
      <c r="B894" s="282"/>
      <c r="C894" s="282"/>
      <c r="D894" s="78"/>
      <c r="E894" s="78"/>
      <c r="F894" s="173"/>
      <c r="G894" s="173"/>
      <c r="H894" s="170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</row>
    <row r="895" ht="14.25" customHeight="1">
      <c r="A895" s="171"/>
      <c r="B895" s="282"/>
      <c r="C895" s="282"/>
      <c r="D895" s="78"/>
      <c r="E895" s="78"/>
      <c r="F895" s="173"/>
      <c r="G895" s="173"/>
      <c r="H895" s="170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</row>
    <row r="896" ht="14.25" customHeight="1">
      <c r="A896" s="171"/>
      <c r="B896" s="282"/>
      <c r="C896" s="282"/>
      <c r="D896" s="78"/>
      <c r="E896" s="78"/>
      <c r="F896" s="173"/>
      <c r="G896" s="173"/>
      <c r="H896" s="170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</row>
    <row r="897" ht="14.25" customHeight="1">
      <c r="A897" s="171"/>
      <c r="B897" s="282"/>
      <c r="C897" s="282"/>
      <c r="D897" s="78"/>
      <c r="E897" s="78"/>
      <c r="F897" s="173"/>
      <c r="G897" s="173"/>
      <c r="H897" s="170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</row>
    <row r="898" ht="14.25" customHeight="1">
      <c r="A898" s="171"/>
      <c r="B898" s="282"/>
      <c r="C898" s="282"/>
      <c r="D898" s="78"/>
      <c r="E898" s="78"/>
      <c r="F898" s="173"/>
      <c r="G898" s="173"/>
      <c r="H898" s="170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</row>
    <row r="899" ht="14.25" customHeight="1">
      <c r="A899" s="171"/>
      <c r="B899" s="282"/>
      <c r="C899" s="282"/>
      <c r="D899" s="78"/>
      <c r="E899" s="78"/>
      <c r="F899" s="173"/>
      <c r="G899" s="173"/>
      <c r="H899" s="170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</row>
    <row r="900" ht="14.25" customHeight="1">
      <c r="A900" s="171"/>
      <c r="B900" s="282"/>
      <c r="C900" s="282"/>
      <c r="D900" s="78"/>
      <c r="E900" s="78"/>
      <c r="F900" s="173"/>
      <c r="G900" s="173"/>
      <c r="H900" s="170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</row>
    <row r="901" ht="14.25" customHeight="1">
      <c r="A901" s="171"/>
      <c r="B901" s="282"/>
      <c r="C901" s="282"/>
      <c r="D901" s="78"/>
      <c r="E901" s="78"/>
      <c r="F901" s="173"/>
      <c r="G901" s="173"/>
      <c r="H901" s="170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</row>
    <row r="902" ht="14.25" customHeight="1">
      <c r="A902" s="171"/>
      <c r="B902" s="282"/>
      <c r="C902" s="282"/>
      <c r="D902" s="78"/>
      <c r="E902" s="78"/>
      <c r="F902" s="173"/>
      <c r="G902" s="173"/>
      <c r="H902" s="170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</row>
    <row r="903" ht="14.25" customHeight="1">
      <c r="A903" s="171"/>
      <c r="B903" s="282"/>
      <c r="C903" s="282"/>
      <c r="D903" s="78"/>
      <c r="E903" s="78"/>
      <c r="F903" s="173"/>
      <c r="G903" s="173"/>
      <c r="H903" s="170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</row>
    <row r="904" ht="14.25" customHeight="1">
      <c r="A904" s="171"/>
      <c r="B904" s="282"/>
      <c r="C904" s="282"/>
      <c r="D904" s="78"/>
      <c r="E904" s="78"/>
      <c r="F904" s="173"/>
      <c r="G904" s="173"/>
      <c r="H904" s="170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</row>
    <row r="905" ht="14.25" customHeight="1">
      <c r="A905" s="171"/>
      <c r="B905" s="282"/>
      <c r="C905" s="282"/>
      <c r="D905" s="78"/>
      <c r="E905" s="78"/>
      <c r="F905" s="173"/>
      <c r="G905" s="173"/>
      <c r="H905" s="170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</row>
    <row r="906" ht="14.25" customHeight="1">
      <c r="A906" s="171"/>
      <c r="B906" s="282"/>
      <c r="C906" s="282"/>
      <c r="D906" s="78"/>
      <c r="E906" s="78"/>
      <c r="F906" s="173"/>
      <c r="G906" s="173"/>
      <c r="H906" s="170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</row>
    <row r="907" ht="14.25" customHeight="1">
      <c r="A907" s="171"/>
      <c r="B907" s="282"/>
      <c r="C907" s="282"/>
      <c r="D907" s="78"/>
      <c r="E907" s="78"/>
      <c r="F907" s="173"/>
      <c r="G907" s="173"/>
      <c r="H907" s="170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</row>
    <row r="908" ht="14.25" customHeight="1">
      <c r="A908" s="171"/>
      <c r="B908" s="282"/>
      <c r="C908" s="282"/>
      <c r="D908" s="78"/>
      <c r="E908" s="78"/>
      <c r="F908" s="173"/>
      <c r="G908" s="173"/>
      <c r="H908" s="170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</row>
    <row r="909" ht="14.25" customHeight="1">
      <c r="A909" s="171"/>
      <c r="B909" s="282"/>
      <c r="C909" s="282"/>
      <c r="D909" s="78"/>
      <c r="E909" s="78"/>
      <c r="F909" s="173"/>
      <c r="G909" s="173"/>
      <c r="H909" s="170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</row>
    <row r="910" ht="14.25" customHeight="1">
      <c r="A910" s="171"/>
      <c r="B910" s="282"/>
      <c r="C910" s="282"/>
      <c r="D910" s="78"/>
      <c r="E910" s="78"/>
      <c r="F910" s="173"/>
      <c r="G910" s="173"/>
      <c r="H910" s="170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</row>
    <row r="911" ht="14.25" customHeight="1">
      <c r="A911" s="171"/>
      <c r="B911" s="282"/>
      <c r="C911" s="282"/>
      <c r="D911" s="78"/>
      <c r="E911" s="78"/>
      <c r="F911" s="173"/>
      <c r="G911" s="173"/>
      <c r="H911" s="170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</row>
    <row r="912" ht="14.25" customHeight="1">
      <c r="A912" s="171"/>
      <c r="B912" s="282"/>
      <c r="C912" s="282"/>
      <c r="D912" s="78"/>
      <c r="E912" s="78"/>
      <c r="F912" s="173"/>
      <c r="G912" s="173"/>
      <c r="H912" s="170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</row>
    <row r="913" ht="14.25" customHeight="1">
      <c r="A913" s="171"/>
      <c r="B913" s="282"/>
      <c r="C913" s="282"/>
      <c r="D913" s="78"/>
      <c r="E913" s="78"/>
      <c r="F913" s="173"/>
      <c r="G913" s="173"/>
      <c r="H913" s="170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</row>
    <row r="914" ht="14.25" customHeight="1">
      <c r="A914" s="171"/>
      <c r="B914" s="282"/>
      <c r="C914" s="282"/>
      <c r="D914" s="78"/>
      <c r="E914" s="78"/>
      <c r="F914" s="173"/>
      <c r="G914" s="173"/>
      <c r="H914" s="170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</row>
    <row r="915" ht="14.25" customHeight="1">
      <c r="A915" s="171"/>
      <c r="B915" s="282"/>
      <c r="C915" s="282"/>
      <c r="D915" s="78"/>
      <c r="E915" s="78"/>
      <c r="F915" s="173"/>
      <c r="G915" s="173"/>
      <c r="H915" s="170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</row>
    <row r="916" ht="14.25" customHeight="1">
      <c r="A916" s="171"/>
      <c r="B916" s="282"/>
      <c r="C916" s="282"/>
      <c r="D916" s="78"/>
      <c r="E916" s="78"/>
      <c r="F916" s="173"/>
      <c r="G916" s="173"/>
      <c r="H916" s="170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</row>
    <row r="917" ht="14.25" customHeight="1">
      <c r="A917" s="171"/>
      <c r="B917" s="282"/>
      <c r="C917" s="282"/>
      <c r="D917" s="78"/>
      <c r="E917" s="78"/>
      <c r="F917" s="173"/>
      <c r="G917" s="173"/>
      <c r="H917" s="170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</row>
    <row r="918" ht="14.25" customHeight="1">
      <c r="A918" s="171"/>
      <c r="B918" s="282"/>
      <c r="C918" s="282"/>
      <c r="D918" s="78"/>
      <c r="E918" s="78"/>
      <c r="F918" s="173"/>
      <c r="G918" s="173"/>
      <c r="H918" s="170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</row>
    <row r="919" ht="14.25" customHeight="1">
      <c r="A919" s="171"/>
      <c r="B919" s="282"/>
      <c r="C919" s="282"/>
      <c r="D919" s="78"/>
      <c r="E919" s="78"/>
      <c r="F919" s="173"/>
      <c r="G919" s="173"/>
      <c r="H919" s="170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</row>
    <row r="920" ht="14.25" customHeight="1">
      <c r="A920" s="171"/>
      <c r="B920" s="282"/>
      <c r="C920" s="282"/>
      <c r="D920" s="78"/>
      <c r="E920" s="78"/>
      <c r="F920" s="173"/>
      <c r="G920" s="173"/>
      <c r="H920" s="170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</row>
    <row r="921" ht="14.25" customHeight="1">
      <c r="A921" s="171"/>
      <c r="B921" s="282"/>
      <c r="C921" s="282"/>
      <c r="D921" s="78"/>
      <c r="E921" s="78"/>
      <c r="F921" s="173"/>
      <c r="G921" s="173"/>
      <c r="H921" s="170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</row>
    <row r="922" ht="14.25" customHeight="1">
      <c r="A922" s="171"/>
      <c r="B922" s="282"/>
      <c r="C922" s="282"/>
      <c r="D922" s="78"/>
      <c r="E922" s="78"/>
      <c r="F922" s="173"/>
      <c r="G922" s="173"/>
      <c r="H922" s="170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</row>
    <row r="923" ht="14.25" customHeight="1">
      <c r="A923" s="171"/>
      <c r="B923" s="282"/>
      <c r="C923" s="282"/>
      <c r="D923" s="78"/>
      <c r="E923" s="78"/>
      <c r="F923" s="173"/>
      <c r="G923" s="173"/>
      <c r="H923" s="170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</row>
    <row r="924" ht="14.25" customHeight="1">
      <c r="A924" s="171"/>
      <c r="B924" s="282"/>
      <c r="C924" s="282"/>
      <c r="D924" s="78"/>
      <c r="E924" s="78"/>
      <c r="F924" s="173"/>
      <c r="G924" s="173"/>
      <c r="H924" s="170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</row>
    <row r="925" ht="14.25" customHeight="1">
      <c r="A925" s="171"/>
      <c r="B925" s="282"/>
      <c r="C925" s="282"/>
      <c r="D925" s="78"/>
      <c r="E925" s="78"/>
      <c r="F925" s="173"/>
      <c r="G925" s="173"/>
      <c r="H925" s="170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</row>
    <row r="926" ht="14.25" customHeight="1">
      <c r="A926" s="171"/>
      <c r="B926" s="282"/>
      <c r="C926" s="282"/>
      <c r="D926" s="78"/>
      <c r="E926" s="78"/>
      <c r="F926" s="173"/>
      <c r="G926" s="173"/>
      <c r="H926" s="170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</row>
    <row r="927" ht="14.25" customHeight="1">
      <c r="A927" s="171"/>
      <c r="B927" s="282"/>
      <c r="C927" s="282"/>
      <c r="D927" s="78"/>
      <c r="E927" s="78"/>
      <c r="F927" s="173"/>
      <c r="G927" s="173"/>
      <c r="H927" s="170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</row>
    <row r="928" ht="14.25" customHeight="1">
      <c r="A928" s="171"/>
      <c r="B928" s="282"/>
      <c r="C928" s="282"/>
      <c r="D928" s="78"/>
      <c r="E928" s="78"/>
      <c r="F928" s="173"/>
      <c r="G928" s="173"/>
      <c r="H928" s="170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</row>
    <row r="929" ht="14.25" customHeight="1">
      <c r="A929" s="171"/>
      <c r="B929" s="282"/>
      <c r="C929" s="282"/>
      <c r="D929" s="78"/>
      <c r="E929" s="78"/>
      <c r="F929" s="173"/>
      <c r="G929" s="173"/>
      <c r="H929" s="170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</row>
    <row r="930" ht="14.25" customHeight="1">
      <c r="A930" s="171"/>
      <c r="B930" s="282"/>
      <c r="C930" s="282"/>
      <c r="D930" s="78"/>
      <c r="E930" s="78"/>
      <c r="F930" s="173"/>
      <c r="G930" s="173"/>
      <c r="H930" s="170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</row>
    <row r="931" ht="14.25" customHeight="1">
      <c r="A931" s="171"/>
      <c r="B931" s="282"/>
      <c r="C931" s="282"/>
      <c r="D931" s="78"/>
      <c r="E931" s="78"/>
      <c r="F931" s="173"/>
      <c r="G931" s="173"/>
      <c r="H931" s="170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</row>
    <row r="932" ht="14.25" customHeight="1">
      <c r="A932" s="171"/>
      <c r="B932" s="282"/>
      <c r="C932" s="282"/>
      <c r="D932" s="78"/>
      <c r="E932" s="78"/>
      <c r="F932" s="173"/>
      <c r="G932" s="173"/>
      <c r="H932" s="170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</row>
    <row r="933" ht="14.25" customHeight="1">
      <c r="A933" s="171"/>
      <c r="B933" s="282"/>
      <c r="C933" s="282"/>
      <c r="D933" s="78"/>
      <c r="E933" s="78"/>
      <c r="F933" s="173"/>
      <c r="G933" s="173"/>
      <c r="H933" s="170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</row>
    <row r="934" ht="14.25" customHeight="1">
      <c r="A934" s="171"/>
      <c r="B934" s="282"/>
      <c r="C934" s="282"/>
      <c r="D934" s="78"/>
      <c r="E934" s="78"/>
      <c r="F934" s="173"/>
      <c r="G934" s="173"/>
      <c r="H934" s="170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</row>
    <row r="935" ht="14.25" customHeight="1">
      <c r="A935" s="171"/>
      <c r="B935" s="282"/>
      <c r="C935" s="282"/>
      <c r="D935" s="78"/>
      <c r="E935" s="78"/>
      <c r="F935" s="173"/>
      <c r="G935" s="173"/>
      <c r="H935" s="170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</row>
    <row r="936" ht="14.25" customHeight="1">
      <c r="A936" s="171"/>
      <c r="B936" s="282"/>
      <c r="C936" s="282"/>
      <c r="D936" s="78"/>
      <c r="E936" s="78"/>
      <c r="F936" s="173"/>
      <c r="G936" s="173"/>
      <c r="H936" s="170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</row>
    <row r="937" ht="14.25" customHeight="1">
      <c r="A937" s="171"/>
      <c r="B937" s="282"/>
      <c r="C937" s="282"/>
      <c r="D937" s="78"/>
      <c r="E937" s="78"/>
      <c r="F937" s="173"/>
      <c r="G937" s="173"/>
      <c r="H937" s="170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</row>
    <row r="938" ht="14.25" customHeight="1">
      <c r="A938" s="171"/>
      <c r="B938" s="282"/>
      <c r="C938" s="282"/>
      <c r="D938" s="78"/>
      <c r="E938" s="78"/>
      <c r="F938" s="173"/>
      <c r="G938" s="173"/>
      <c r="H938" s="170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</row>
    <row r="939" ht="14.25" customHeight="1">
      <c r="A939" s="171"/>
      <c r="B939" s="282"/>
      <c r="C939" s="282"/>
      <c r="D939" s="78"/>
      <c r="E939" s="78"/>
      <c r="F939" s="173"/>
      <c r="G939" s="173"/>
      <c r="H939" s="170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</row>
    <row r="940" ht="14.25" customHeight="1">
      <c r="A940" s="171"/>
      <c r="B940" s="282"/>
      <c r="C940" s="282"/>
      <c r="D940" s="78"/>
      <c r="E940" s="78"/>
      <c r="F940" s="173"/>
      <c r="G940" s="173"/>
      <c r="H940" s="170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</row>
    <row r="941" ht="14.25" customHeight="1">
      <c r="A941" s="171"/>
      <c r="B941" s="282"/>
      <c r="C941" s="282"/>
      <c r="D941" s="78"/>
      <c r="E941" s="78"/>
      <c r="F941" s="173"/>
      <c r="G941" s="173"/>
      <c r="H941" s="170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</row>
    <row r="942" ht="14.25" customHeight="1">
      <c r="A942" s="171"/>
      <c r="B942" s="282"/>
      <c r="C942" s="282"/>
      <c r="D942" s="78"/>
      <c r="E942" s="78"/>
      <c r="F942" s="173"/>
      <c r="G942" s="173"/>
      <c r="H942" s="170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</row>
    <row r="943" ht="14.25" customHeight="1">
      <c r="A943" s="171"/>
      <c r="B943" s="282"/>
      <c r="C943" s="282"/>
      <c r="D943" s="78"/>
      <c r="E943" s="78"/>
      <c r="F943" s="173"/>
      <c r="G943" s="173"/>
      <c r="H943" s="170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</row>
    <row r="944" ht="14.25" customHeight="1">
      <c r="A944" s="171"/>
      <c r="B944" s="282"/>
      <c r="C944" s="282"/>
      <c r="D944" s="78"/>
      <c r="E944" s="78"/>
      <c r="F944" s="173"/>
      <c r="G944" s="173"/>
      <c r="H944" s="170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</row>
    <row r="945" ht="14.25" customHeight="1">
      <c r="A945" s="171"/>
      <c r="B945" s="282"/>
      <c r="C945" s="282"/>
      <c r="D945" s="78"/>
      <c r="E945" s="78"/>
      <c r="F945" s="173"/>
      <c r="G945" s="173"/>
      <c r="H945" s="170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</row>
    <row r="946" ht="14.25" customHeight="1">
      <c r="A946" s="171"/>
      <c r="B946" s="282"/>
      <c r="C946" s="282"/>
      <c r="D946" s="78"/>
      <c r="E946" s="78"/>
      <c r="F946" s="173"/>
      <c r="G946" s="173"/>
      <c r="H946" s="170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</row>
    <row r="947" ht="14.25" customHeight="1">
      <c r="A947" s="171"/>
      <c r="B947" s="282"/>
      <c r="C947" s="282"/>
      <c r="D947" s="78"/>
      <c r="E947" s="78"/>
      <c r="F947" s="173"/>
      <c r="G947" s="173"/>
      <c r="H947" s="170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</row>
    <row r="948" ht="14.25" customHeight="1">
      <c r="A948" s="171"/>
      <c r="B948" s="282"/>
      <c r="C948" s="282"/>
      <c r="D948" s="78"/>
      <c r="E948" s="78"/>
      <c r="F948" s="173"/>
      <c r="G948" s="173"/>
      <c r="H948" s="170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</row>
    <row r="949" ht="14.25" customHeight="1">
      <c r="A949" s="171"/>
      <c r="B949" s="282"/>
      <c r="C949" s="282"/>
      <c r="D949" s="78"/>
      <c r="E949" s="78"/>
      <c r="F949" s="173"/>
      <c r="G949" s="173"/>
      <c r="H949" s="170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</row>
    <row r="950" ht="14.25" customHeight="1">
      <c r="A950" s="171"/>
      <c r="B950" s="282"/>
      <c r="C950" s="282"/>
      <c r="D950" s="78"/>
      <c r="E950" s="78"/>
      <c r="F950" s="173"/>
      <c r="G950" s="173"/>
      <c r="H950" s="170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</row>
    <row r="951" ht="14.25" customHeight="1">
      <c r="A951" s="171"/>
      <c r="B951" s="282"/>
      <c r="C951" s="282"/>
      <c r="D951" s="78"/>
      <c r="E951" s="78"/>
      <c r="F951" s="173"/>
      <c r="G951" s="173"/>
      <c r="H951" s="170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</row>
    <row r="952" ht="14.25" customHeight="1">
      <c r="A952" s="171"/>
      <c r="B952" s="282"/>
      <c r="C952" s="282"/>
      <c r="D952" s="78"/>
      <c r="E952" s="78"/>
      <c r="F952" s="173"/>
      <c r="G952" s="173"/>
      <c r="H952" s="170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</row>
    <row r="953" ht="14.25" customHeight="1">
      <c r="A953" s="171"/>
      <c r="B953" s="282"/>
      <c r="C953" s="282"/>
      <c r="D953" s="78"/>
      <c r="E953" s="78"/>
      <c r="F953" s="173"/>
      <c r="G953" s="173"/>
      <c r="H953" s="170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</row>
    <row r="954" ht="14.25" customHeight="1">
      <c r="A954" s="171"/>
      <c r="B954" s="282"/>
      <c r="C954" s="282"/>
      <c r="D954" s="78"/>
      <c r="E954" s="78"/>
      <c r="F954" s="173"/>
      <c r="G954" s="173"/>
      <c r="H954" s="170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</row>
    <row r="955" ht="14.25" customHeight="1">
      <c r="A955" s="171"/>
      <c r="B955" s="282"/>
      <c r="C955" s="282"/>
      <c r="D955" s="78"/>
      <c r="E955" s="78"/>
      <c r="F955" s="173"/>
      <c r="G955" s="173"/>
      <c r="H955" s="170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</row>
    <row r="956" ht="14.25" customHeight="1">
      <c r="A956" s="171"/>
      <c r="B956" s="282"/>
      <c r="C956" s="282"/>
      <c r="D956" s="78"/>
      <c r="E956" s="78"/>
      <c r="F956" s="173"/>
      <c r="G956" s="173"/>
      <c r="H956" s="170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</row>
    <row r="957" ht="14.25" customHeight="1">
      <c r="A957" s="171"/>
      <c r="B957" s="282"/>
      <c r="C957" s="282"/>
      <c r="D957" s="78"/>
      <c r="E957" s="78"/>
      <c r="F957" s="173"/>
      <c r="G957" s="173"/>
      <c r="H957" s="170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</row>
    <row r="958" ht="14.25" customHeight="1">
      <c r="A958" s="171"/>
      <c r="B958" s="282"/>
      <c r="C958" s="282"/>
      <c r="D958" s="78"/>
      <c r="E958" s="78"/>
      <c r="F958" s="173"/>
      <c r="G958" s="173"/>
      <c r="H958" s="170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</row>
    <row r="959" ht="14.25" customHeight="1">
      <c r="A959" s="171"/>
      <c r="B959" s="282"/>
      <c r="C959" s="282"/>
      <c r="D959" s="78"/>
      <c r="E959" s="78"/>
      <c r="F959" s="173"/>
      <c r="G959" s="173"/>
      <c r="H959" s="170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</row>
    <row r="960" ht="14.25" customHeight="1">
      <c r="A960" s="171"/>
      <c r="B960" s="282"/>
      <c r="C960" s="282"/>
      <c r="D960" s="78"/>
      <c r="E960" s="78"/>
      <c r="F960" s="173"/>
      <c r="G960" s="173"/>
      <c r="H960" s="170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</row>
    <row r="961" ht="14.25" customHeight="1">
      <c r="A961" s="171"/>
      <c r="B961" s="282"/>
      <c r="C961" s="282"/>
      <c r="D961" s="78"/>
      <c r="E961" s="78"/>
      <c r="F961" s="173"/>
      <c r="G961" s="173"/>
      <c r="H961" s="170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</row>
    <row r="962" ht="14.25" customHeight="1">
      <c r="A962" s="171"/>
      <c r="B962" s="282"/>
      <c r="C962" s="282"/>
      <c r="D962" s="78"/>
      <c r="E962" s="78"/>
      <c r="F962" s="173"/>
      <c r="G962" s="173"/>
      <c r="H962" s="170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</row>
    <row r="963" ht="14.25" customHeight="1">
      <c r="A963" s="171"/>
      <c r="B963" s="282"/>
      <c r="C963" s="282"/>
      <c r="D963" s="78"/>
      <c r="E963" s="78"/>
      <c r="F963" s="173"/>
      <c r="G963" s="173"/>
      <c r="H963" s="170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</row>
    <row r="964" ht="14.25" customHeight="1">
      <c r="A964" s="171"/>
      <c r="B964" s="282"/>
      <c r="C964" s="282"/>
      <c r="D964" s="78"/>
      <c r="E964" s="78"/>
      <c r="F964" s="173"/>
      <c r="G964" s="173"/>
      <c r="H964" s="170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</row>
    <row r="965" ht="14.25" customHeight="1">
      <c r="A965" s="171"/>
      <c r="B965" s="282"/>
      <c r="C965" s="282"/>
      <c r="D965" s="78"/>
      <c r="E965" s="78"/>
      <c r="F965" s="173"/>
      <c r="G965" s="173"/>
      <c r="H965" s="170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</row>
    <row r="966" ht="14.25" customHeight="1">
      <c r="A966" s="171"/>
      <c r="B966" s="282"/>
      <c r="C966" s="282"/>
      <c r="D966" s="78"/>
      <c r="E966" s="78"/>
      <c r="F966" s="173"/>
      <c r="G966" s="173"/>
      <c r="H966" s="170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</row>
    <row r="967" ht="14.25" customHeight="1">
      <c r="A967" s="171"/>
      <c r="B967" s="282"/>
      <c r="C967" s="282"/>
      <c r="D967" s="78"/>
      <c r="E967" s="78"/>
      <c r="F967" s="173"/>
      <c r="G967" s="173"/>
      <c r="H967" s="170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</row>
    <row r="968" ht="14.25" customHeight="1">
      <c r="A968" s="171"/>
      <c r="B968" s="282"/>
      <c r="C968" s="282"/>
      <c r="D968" s="78"/>
      <c r="E968" s="78"/>
      <c r="F968" s="173"/>
      <c r="G968" s="173"/>
      <c r="H968" s="170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</row>
    <row r="969" ht="14.25" customHeight="1">
      <c r="A969" s="171"/>
      <c r="B969" s="282"/>
      <c r="C969" s="282"/>
      <c r="D969" s="78"/>
      <c r="E969" s="78"/>
      <c r="F969" s="173"/>
      <c r="G969" s="173"/>
      <c r="H969" s="170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</row>
    <row r="970" ht="14.25" customHeight="1">
      <c r="A970" s="171"/>
      <c r="B970" s="282"/>
      <c r="C970" s="282"/>
      <c r="D970" s="78"/>
      <c r="E970" s="78"/>
      <c r="F970" s="173"/>
      <c r="G970" s="173"/>
      <c r="H970" s="170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</row>
    <row r="971" ht="14.25" customHeight="1">
      <c r="A971" s="171"/>
      <c r="B971" s="282"/>
      <c r="C971" s="282"/>
      <c r="D971" s="78"/>
      <c r="E971" s="78"/>
      <c r="F971" s="173"/>
      <c r="G971" s="173"/>
      <c r="H971" s="170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</row>
    <row r="972" ht="14.25" customHeight="1">
      <c r="A972" s="171"/>
      <c r="B972" s="282"/>
      <c r="C972" s="282"/>
      <c r="D972" s="78"/>
      <c r="E972" s="78"/>
      <c r="F972" s="173"/>
      <c r="G972" s="173"/>
      <c r="H972" s="170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</row>
    <row r="973" ht="14.25" customHeight="1">
      <c r="A973" s="171"/>
      <c r="B973" s="282"/>
      <c r="C973" s="282"/>
      <c r="D973" s="78"/>
      <c r="E973" s="78"/>
      <c r="F973" s="173"/>
      <c r="G973" s="173"/>
      <c r="H973" s="170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</row>
    <row r="974" ht="14.25" customHeight="1">
      <c r="A974" s="171"/>
      <c r="B974" s="282"/>
      <c r="C974" s="282"/>
      <c r="D974" s="78"/>
      <c r="E974" s="78"/>
      <c r="F974" s="173"/>
      <c r="G974" s="173"/>
      <c r="H974" s="170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</row>
    <row r="975" ht="14.25" customHeight="1">
      <c r="A975" s="171"/>
      <c r="B975" s="282"/>
      <c r="C975" s="282"/>
      <c r="D975" s="78"/>
      <c r="E975" s="78"/>
      <c r="F975" s="173"/>
      <c r="G975" s="173"/>
      <c r="H975" s="170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</row>
    <row r="976" ht="14.25" customHeight="1">
      <c r="A976" s="171"/>
      <c r="B976" s="282"/>
      <c r="C976" s="282"/>
      <c r="D976" s="78"/>
      <c r="E976" s="78"/>
      <c r="F976" s="173"/>
      <c r="G976" s="173"/>
      <c r="H976" s="170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</row>
    <row r="977" ht="14.25" customHeight="1">
      <c r="A977" s="171"/>
      <c r="B977" s="282"/>
      <c r="C977" s="282"/>
      <c r="D977" s="78"/>
      <c r="E977" s="78"/>
      <c r="F977" s="173"/>
      <c r="G977" s="173"/>
      <c r="H977" s="170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</row>
    <row r="978" ht="14.25" customHeight="1">
      <c r="A978" s="171"/>
      <c r="B978" s="282"/>
      <c r="C978" s="282"/>
      <c r="D978" s="78"/>
      <c r="E978" s="78"/>
      <c r="F978" s="173"/>
      <c r="G978" s="173"/>
      <c r="H978" s="170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</row>
    <row r="979" ht="14.25" customHeight="1">
      <c r="A979" s="171"/>
      <c r="B979" s="282"/>
      <c r="C979" s="282"/>
      <c r="D979" s="78"/>
      <c r="E979" s="78"/>
      <c r="F979" s="173"/>
      <c r="G979" s="173"/>
      <c r="H979" s="170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</row>
    <row r="980" ht="14.25" customHeight="1">
      <c r="A980" s="171"/>
      <c r="B980" s="282"/>
      <c r="C980" s="282"/>
      <c r="D980" s="78"/>
      <c r="E980" s="78"/>
      <c r="F980" s="173"/>
      <c r="G980" s="173"/>
      <c r="H980" s="170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</row>
    <row r="981" ht="14.25" customHeight="1">
      <c r="A981" s="171"/>
      <c r="B981" s="282"/>
      <c r="C981" s="282"/>
      <c r="D981" s="78"/>
      <c r="E981" s="78"/>
      <c r="F981" s="173"/>
      <c r="G981" s="173"/>
      <c r="H981" s="170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</row>
    <row r="982" ht="14.25" customHeight="1">
      <c r="A982" s="171"/>
      <c r="B982" s="282"/>
      <c r="C982" s="282"/>
      <c r="D982" s="78"/>
      <c r="E982" s="78"/>
      <c r="F982" s="173"/>
      <c r="G982" s="173"/>
      <c r="H982" s="170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</row>
    <row r="983" ht="14.25" customHeight="1">
      <c r="A983" s="171"/>
      <c r="B983" s="282"/>
      <c r="C983" s="282"/>
      <c r="D983" s="78"/>
      <c r="E983" s="78"/>
      <c r="F983" s="173"/>
      <c r="G983" s="173"/>
      <c r="H983" s="170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</row>
    <row r="984" ht="14.25" customHeight="1">
      <c r="A984" s="171"/>
      <c r="B984" s="282"/>
      <c r="C984" s="282"/>
      <c r="D984" s="78"/>
      <c r="E984" s="78"/>
      <c r="F984" s="173"/>
      <c r="G984" s="173"/>
      <c r="H984" s="170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</row>
    <row r="985" ht="14.25" customHeight="1">
      <c r="A985" s="171"/>
      <c r="B985" s="282"/>
      <c r="C985" s="282"/>
      <c r="D985" s="78"/>
      <c r="E985" s="78"/>
      <c r="F985" s="173"/>
      <c r="G985" s="173"/>
      <c r="H985" s="170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</row>
    <row r="986" ht="14.25" customHeight="1">
      <c r="A986" s="171"/>
      <c r="B986" s="282"/>
      <c r="C986" s="282"/>
      <c r="D986" s="78"/>
      <c r="E986" s="78"/>
      <c r="F986" s="173"/>
      <c r="G986" s="173"/>
      <c r="H986" s="170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</row>
    <row r="987" ht="14.25" customHeight="1">
      <c r="A987" s="171"/>
      <c r="B987" s="282"/>
      <c r="C987" s="282"/>
      <c r="D987" s="78"/>
      <c r="E987" s="78"/>
      <c r="F987" s="173"/>
      <c r="G987" s="173"/>
      <c r="H987" s="170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</row>
    <row r="988" ht="14.25" customHeight="1">
      <c r="A988" s="171"/>
      <c r="B988" s="282"/>
      <c r="C988" s="282"/>
      <c r="D988" s="78"/>
      <c r="E988" s="78"/>
      <c r="F988" s="173"/>
      <c r="G988" s="173"/>
      <c r="H988" s="170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</row>
    <row r="989" ht="14.25" customHeight="1">
      <c r="A989" s="171"/>
      <c r="B989" s="282"/>
      <c r="C989" s="282"/>
      <c r="D989" s="78"/>
      <c r="E989" s="78"/>
      <c r="F989" s="173"/>
      <c r="G989" s="173"/>
      <c r="H989" s="170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</row>
    <row r="990" ht="14.25" customHeight="1">
      <c r="A990" s="171"/>
      <c r="B990" s="282"/>
      <c r="C990" s="282"/>
      <c r="D990" s="78"/>
      <c r="E990" s="78"/>
      <c r="F990" s="173"/>
      <c r="G990" s="173"/>
      <c r="H990" s="170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</row>
    <row r="991" ht="14.25" customHeight="1">
      <c r="A991" s="171"/>
      <c r="B991" s="282"/>
      <c r="C991" s="282"/>
      <c r="D991" s="78"/>
      <c r="E991" s="78"/>
      <c r="F991" s="173"/>
      <c r="G991" s="173"/>
      <c r="H991" s="170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</row>
    <row r="992" ht="14.25" customHeight="1">
      <c r="A992" s="171"/>
      <c r="B992" s="282"/>
      <c r="C992" s="282"/>
      <c r="D992" s="78"/>
      <c r="E992" s="78"/>
      <c r="F992" s="173"/>
      <c r="G992" s="173"/>
      <c r="H992" s="170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</row>
    <row r="993" ht="14.25" customHeight="1">
      <c r="A993" s="171"/>
      <c r="B993" s="282"/>
      <c r="C993" s="282"/>
      <c r="D993" s="78"/>
      <c r="E993" s="78"/>
      <c r="F993" s="173"/>
      <c r="G993" s="173"/>
      <c r="H993" s="170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</row>
    <row r="994" ht="14.25" customHeight="1">
      <c r="A994" s="171"/>
      <c r="B994" s="282"/>
      <c r="C994" s="282"/>
      <c r="D994" s="78"/>
      <c r="E994" s="78"/>
      <c r="F994" s="173"/>
      <c r="G994" s="173"/>
      <c r="H994" s="170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</row>
    <row r="995" ht="14.25" customHeight="1">
      <c r="A995" s="171"/>
      <c r="B995" s="282"/>
      <c r="C995" s="282"/>
      <c r="D995" s="78"/>
      <c r="E995" s="78"/>
      <c r="F995" s="173"/>
      <c r="G995" s="173"/>
      <c r="H995" s="170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</row>
    <row r="996" ht="14.25" customHeight="1">
      <c r="A996" s="171"/>
      <c r="B996" s="282"/>
      <c r="C996" s="282"/>
      <c r="D996" s="78"/>
      <c r="E996" s="78"/>
      <c r="F996" s="173"/>
      <c r="G996" s="173"/>
      <c r="H996" s="170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</row>
    <row r="997" ht="14.25" customHeight="1">
      <c r="A997" s="171"/>
      <c r="B997" s="282"/>
      <c r="C997" s="282"/>
      <c r="D997" s="78"/>
      <c r="E997" s="78"/>
      <c r="F997" s="173"/>
      <c r="G997" s="173"/>
      <c r="H997" s="170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</row>
    <row r="998" ht="14.25" customHeight="1">
      <c r="A998" s="171"/>
      <c r="B998" s="282"/>
      <c r="C998" s="282"/>
      <c r="D998" s="78"/>
      <c r="E998" s="78"/>
      <c r="F998" s="173"/>
      <c r="G998" s="173"/>
      <c r="H998" s="170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</row>
    <row r="999" ht="14.25" customHeight="1">
      <c r="A999" s="171"/>
      <c r="B999" s="282"/>
      <c r="C999" s="282"/>
      <c r="D999" s="78"/>
      <c r="E999" s="78"/>
      <c r="F999" s="173"/>
      <c r="G999" s="173"/>
      <c r="H999" s="170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</row>
    <row r="1000" ht="14.25" customHeight="1">
      <c r="A1000" s="171"/>
      <c r="B1000" s="282"/>
      <c r="C1000" s="282"/>
      <c r="D1000" s="78"/>
      <c r="E1000" s="78"/>
      <c r="F1000" s="173"/>
      <c r="G1000" s="173"/>
      <c r="H1000" s="170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</row>
    <row r="1001" ht="14.25" customHeight="1">
      <c r="A1001" s="171"/>
      <c r="B1001" s="282"/>
      <c r="C1001" s="282"/>
      <c r="D1001" s="78"/>
      <c r="E1001" s="78"/>
      <c r="F1001" s="173"/>
      <c r="G1001" s="173"/>
      <c r="H1001" s="170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  <c r="AB1001" s="171"/>
    </row>
    <row r="1002" ht="14.25" customHeight="1">
      <c r="A1002" s="171"/>
      <c r="B1002" s="282"/>
      <c r="C1002" s="282"/>
      <c r="D1002" s="78"/>
      <c r="E1002" s="78"/>
      <c r="F1002" s="173"/>
      <c r="G1002" s="173"/>
      <c r="H1002" s="170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  <c r="Y1002" s="171"/>
      <c r="Z1002" s="171"/>
      <c r="AA1002" s="171"/>
      <c r="AB1002" s="171"/>
    </row>
    <row r="1003" ht="14.25" customHeight="1">
      <c r="A1003" s="171"/>
      <c r="B1003" s="282"/>
      <c r="C1003" s="282"/>
      <c r="D1003" s="78"/>
      <c r="E1003" s="78"/>
      <c r="F1003" s="173"/>
      <c r="G1003" s="173"/>
      <c r="H1003" s="170"/>
      <c r="I1003" s="171"/>
      <c r="J1003" s="171"/>
      <c r="K1003" s="171"/>
      <c r="L1003" s="171"/>
      <c r="M1003" s="171"/>
      <c r="N1003" s="171"/>
      <c r="O1003" s="171"/>
      <c r="P1003" s="171"/>
      <c r="Q1003" s="171"/>
      <c r="R1003" s="171"/>
      <c r="S1003" s="171"/>
      <c r="T1003" s="171"/>
      <c r="U1003" s="171"/>
      <c r="V1003" s="171"/>
      <c r="W1003" s="171"/>
      <c r="X1003" s="171"/>
      <c r="Y1003" s="171"/>
      <c r="Z1003" s="171"/>
      <c r="AA1003" s="171"/>
      <c r="AB1003" s="171"/>
    </row>
  </sheetData>
  <mergeCells count="11">
    <mergeCell ref="B5:D5"/>
    <mergeCell ref="B6:D6"/>
    <mergeCell ref="F6:G6"/>
    <mergeCell ref="F43:I43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86"/>
    <col customWidth="1" min="6" max="6" width="19.29"/>
    <col customWidth="1" min="7" max="7" width="25.57"/>
    <col customWidth="1" min="8" max="8" width="12.71"/>
    <col customWidth="1" min="9" max="9" width="11.0"/>
    <col customWidth="1" min="10" max="28" width="8.71"/>
  </cols>
  <sheetData>
    <row r="1" ht="32.25" customHeight="1">
      <c r="A1" s="105" t="s">
        <v>42</v>
      </c>
      <c r="H1" s="170"/>
      <c r="I1" s="171"/>
    </row>
    <row r="2" ht="26.25" customHeight="1">
      <c r="A2" s="171"/>
      <c r="B2" s="282"/>
      <c r="C2" s="13" t="s">
        <v>43</v>
      </c>
      <c r="F2" s="171"/>
      <c r="G2" s="173"/>
      <c r="H2" s="170"/>
      <c r="I2" s="171"/>
    </row>
    <row r="3" ht="14.25" customHeight="1">
      <c r="A3" s="174" t="s">
        <v>44</v>
      </c>
      <c r="B3" s="283" t="s">
        <v>904</v>
      </c>
      <c r="E3" s="174" t="s">
        <v>46</v>
      </c>
      <c r="F3" s="175" t="s">
        <v>905</v>
      </c>
      <c r="H3" s="170"/>
      <c r="I3" s="171"/>
    </row>
    <row r="4" ht="14.25" customHeight="1">
      <c r="A4" s="174" t="s">
        <v>48</v>
      </c>
      <c r="B4" s="283" t="s">
        <v>906</v>
      </c>
      <c r="E4" s="174" t="s">
        <v>105</v>
      </c>
      <c r="F4" s="283">
        <v>6.2081761001E11</v>
      </c>
      <c r="H4" s="170"/>
      <c r="I4" s="171"/>
    </row>
    <row r="5" ht="14.25" customHeight="1">
      <c r="A5" s="174" t="s">
        <v>51</v>
      </c>
      <c r="B5" s="175" t="s">
        <v>52</v>
      </c>
      <c r="E5" s="174" t="s">
        <v>53</v>
      </c>
      <c r="F5" s="175" t="s">
        <v>907</v>
      </c>
      <c r="H5" s="170"/>
      <c r="I5" s="171"/>
    </row>
    <row r="6" ht="14.25" customHeight="1">
      <c r="A6" s="174" t="s">
        <v>54</v>
      </c>
      <c r="B6" s="175">
        <v>663464.0</v>
      </c>
      <c r="E6" s="174" t="s">
        <v>55</v>
      </c>
      <c r="F6" s="175">
        <v>9.1110003754572E13</v>
      </c>
      <c r="H6" s="170"/>
      <c r="I6" s="171"/>
    </row>
    <row r="7" ht="14.25" customHeight="1">
      <c r="A7" s="171"/>
      <c r="B7" s="282"/>
      <c r="C7" s="171"/>
      <c r="D7" s="171"/>
      <c r="E7" s="171"/>
      <c r="F7" s="171"/>
      <c r="G7" s="173"/>
      <c r="H7" s="170"/>
      <c r="I7" s="171"/>
    </row>
    <row r="8" ht="14.25" customHeight="1">
      <c r="A8" s="171"/>
      <c r="B8" s="282"/>
      <c r="C8" s="171"/>
      <c r="D8" s="171"/>
      <c r="E8" s="171"/>
      <c r="F8" s="171"/>
      <c r="G8" s="173"/>
      <c r="H8" s="170"/>
      <c r="I8" s="171"/>
    </row>
    <row r="9" ht="14.25" customHeight="1">
      <c r="A9" s="107" t="s">
        <v>56</v>
      </c>
      <c r="B9" s="108" t="s">
        <v>107</v>
      </c>
      <c r="C9" s="177" t="s">
        <v>58</v>
      </c>
      <c r="D9" s="107" t="s">
        <v>59</v>
      </c>
      <c r="E9" s="107" t="s">
        <v>60</v>
      </c>
      <c r="F9" s="107" t="s">
        <v>61</v>
      </c>
      <c r="G9" s="110" t="s">
        <v>62</v>
      </c>
      <c r="H9" s="111" t="s">
        <v>63</v>
      </c>
      <c r="I9" s="107" t="s">
        <v>64</v>
      </c>
    </row>
    <row r="10" ht="14.25" customHeight="1">
      <c r="A10" s="135" t="s">
        <v>908</v>
      </c>
      <c r="B10" s="135">
        <v>7.6369577E7</v>
      </c>
      <c r="C10" s="299" t="s">
        <v>909</v>
      </c>
      <c r="D10" s="299"/>
      <c r="E10" s="299"/>
      <c r="F10" s="121">
        <v>4.0</v>
      </c>
      <c r="G10" s="117">
        <v>4.0</v>
      </c>
      <c r="H10" s="118">
        <f t="shared" ref="H10:H34" si="1">G10*200</f>
        <v>800</v>
      </c>
      <c r="I10" s="119"/>
    </row>
    <row r="11" ht="14.25" customHeight="1">
      <c r="A11" s="135" t="s">
        <v>910</v>
      </c>
      <c r="B11" s="135">
        <v>7.634818E7</v>
      </c>
      <c r="C11" s="299" t="s">
        <v>909</v>
      </c>
      <c r="D11" s="299"/>
      <c r="E11" s="299"/>
      <c r="F11" s="121">
        <v>3.0</v>
      </c>
      <c r="G11" s="117">
        <v>3.0</v>
      </c>
      <c r="H11" s="118">
        <f t="shared" si="1"/>
        <v>600</v>
      </c>
      <c r="I11" s="119"/>
    </row>
    <row r="12" ht="14.25" customHeight="1">
      <c r="A12" s="137" t="s">
        <v>911</v>
      </c>
      <c r="B12" s="137">
        <v>7.6416567E7</v>
      </c>
      <c r="C12" s="299" t="s">
        <v>79</v>
      </c>
      <c r="D12" s="179"/>
      <c r="E12" s="179"/>
      <c r="F12" s="126">
        <v>2.0</v>
      </c>
      <c r="G12" s="117">
        <v>2.0</v>
      </c>
      <c r="H12" s="118">
        <f t="shared" si="1"/>
        <v>400</v>
      </c>
      <c r="I12" s="119"/>
    </row>
    <row r="13" ht="14.25" customHeight="1">
      <c r="A13" s="135" t="s">
        <v>912</v>
      </c>
      <c r="B13" s="185"/>
      <c r="C13" s="299" t="s">
        <v>79</v>
      </c>
      <c r="D13" s="299"/>
      <c r="E13" s="299"/>
      <c r="F13" s="121">
        <v>3.0</v>
      </c>
      <c r="G13" s="117">
        <v>3.0</v>
      </c>
      <c r="H13" s="118">
        <f t="shared" si="1"/>
        <v>600</v>
      </c>
      <c r="I13" s="119"/>
    </row>
    <row r="14" ht="14.25" customHeight="1">
      <c r="A14" s="137" t="s">
        <v>913</v>
      </c>
      <c r="B14" s="136">
        <v>7.8469027E7</v>
      </c>
      <c r="C14" s="299" t="s">
        <v>79</v>
      </c>
      <c r="D14" s="299"/>
      <c r="E14" s="299"/>
      <c r="F14" s="121">
        <v>2.0</v>
      </c>
      <c r="G14" s="117">
        <v>2.0</v>
      </c>
      <c r="H14" s="118">
        <f t="shared" si="1"/>
        <v>400</v>
      </c>
      <c r="I14" s="119"/>
    </row>
    <row r="15" ht="14.25" customHeight="1">
      <c r="A15" s="135" t="s">
        <v>914</v>
      </c>
      <c r="B15" s="136">
        <v>7.6071504E7</v>
      </c>
      <c r="C15" s="299" t="s">
        <v>171</v>
      </c>
      <c r="D15" s="299"/>
      <c r="E15" s="299"/>
      <c r="F15" s="121">
        <v>2.0</v>
      </c>
      <c r="G15" s="117">
        <v>2.0</v>
      </c>
      <c r="H15" s="118">
        <f t="shared" si="1"/>
        <v>400</v>
      </c>
      <c r="I15" s="119"/>
    </row>
    <row r="16" ht="14.25" customHeight="1">
      <c r="A16" s="137" t="s">
        <v>915</v>
      </c>
      <c r="B16" s="137">
        <v>7.6480854E7</v>
      </c>
      <c r="C16" s="299" t="s">
        <v>171</v>
      </c>
      <c r="D16" s="299"/>
      <c r="E16" s="299"/>
      <c r="F16" s="126">
        <v>2.0</v>
      </c>
      <c r="G16" s="117">
        <v>2.0</v>
      </c>
      <c r="H16" s="118">
        <f t="shared" si="1"/>
        <v>400</v>
      </c>
      <c r="I16" s="119"/>
    </row>
    <row r="17" ht="14.25" customHeight="1">
      <c r="A17" s="135" t="s">
        <v>916</v>
      </c>
      <c r="B17" s="135">
        <v>7.6765628E7</v>
      </c>
      <c r="C17" s="299" t="s">
        <v>171</v>
      </c>
      <c r="D17" s="299"/>
      <c r="E17" s="299"/>
      <c r="F17" s="121">
        <v>1.0</v>
      </c>
      <c r="G17" s="117">
        <v>1.0</v>
      </c>
      <c r="H17" s="118">
        <f t="shared" si="1"/>
        <v>200</v>
      </c>
      <c r="I17" s="119"/>
    </row>
    <row r="18" ht="14.25" customHeight="1">
      <c r="A18" s="135" t="s">
        <v>917</v>
      </c>
      <c r="B18" s="136">
        <v>7.6798045E7</v>
      </c>
      <c r="C18" s="299" t="s">
        <v>171</v>
      </c>
      <c r="D18" s="299"/>
      <c r="E18" s="299"/>
      <c r="F18" s="121">
        <v>1.0</v>
      </c>
      <c r="G18" s="117">
        <v>1.0</v>
      </c>
      <c r="H18" s="118">
        <f t="shared" si="1"/>
        <v>200</v>
      </c>
      <c r="I18" s="119"/>
    </row>
    <row r="19" ht="14.25" customHeight="1">
      <c r="A19" s="135" t="s">
        <v>918</v>
      </c>
      <c r="B19" s="135">
        <v>7.6589831E7</v>
      </c>
      <c r="C19" s="133">
        <v>44937.0</v>
      </c>
      <c r="D19" s="133"/>
      <c r="E19" s="133"/>
      <c r="F19" s="121">
        <v>3.0</v>
      </c>
      <c r="G19" s="117">
        <v>3.0</v>
      </c>
      <c r="H19" s="118">
        <f t="shared" si="1"/>
        <v>600</v>
      </c>
      <c r="I19" s="119"/>
    </row>
    <row r="20" ht="14.25" customHeight="1">
      <c r="A20" s="137" t="s">
        <v>919</v>
      </c>
      <c r="B20" s="136">
        <v>7.810107E7</v>
      </c>
      <c r="C20" s="133">
        <v>44937.0</v>
      </c>
      <c r="D20" s="133"/>
      <c r="E20" s="133"/>
      <c r="F20" s="121">
        <v>2.0</v>
      </c>
      <c r="G20" s="117">
        <v>2.0</v>
      </c>
      <c r="H20" s="118">
        <f t="shared" si="1"/>
        <v>400</v>
      </c>
      <c r="I20" s="119"/>
    </row>
    <row r="21" ht="14.25" customHeight="1">
      <c r="A21" s="135" t="s">
        <v>920</v>
      </c>
      <c r="B21" s="135">
        <v>7.6553598E7</v>
      </c>
      <c r="C21" s="133">
        <v>44937.0</v>
      </c>
      <c r="D21" s="133"/>
      <c r="E21" s="133"/>
      <c r="F21" s="121">
        <v>2.0</v>
      </c>
      <c r="G21" s="117">
        <v>2.0</v>
      </c>
      <c r="H21" s="118">
        <f t="shared" si="1"/>
        <v>400</v>
      </c>
      <c r="I21" s="119"/>
    </row>
    <row r="22" ht="14.25" customHeight="1">
      <c r="A22" s="135" t="s">
        <v>921</v>
      </c>
      <c r="B22" s="135">
        <v>7.6226918E7</v>
      </c>
      <c r="C22" s="133">
        <v>44996.0</v>
      </c>
      <c r="D22" s="133"/>
      <c r="E22" s="133"/>
      <c r="F22" s="121">
        <v>3.0</v>
      </c>
      <c r="G22" s="117">
        <v>3.0</v>
      </c>
      <c r="H22" s="118">
        <f t="shared" si="1"/>
        <v>600</v>
      </c>
      <c r="I22" s="119"/>
    </row>
    <row r="23" ht="14.25" customHeight="1">
      <c r="A23" s="135" t="s">
        <v>922</v>
      </c>
      <c r="B23" s="135">
        <v>7.6030399E7</v>
      </c>
      <c r="C23" s="133">
        <v>44996.0</v>
      </c>
      <c r="D23" s="133"/>
      <c r="E23" s="133"/>
      <c r="F23" s="121">
        <v>2.0</v>
      </c>
      <c r="G23" s="117">
        <v>2.0</v>
      </c>
      <c r="H23" s="118">
        <f t="shared" si="1"/>
        <v>400</v>
      </c>
      <c r="I23" s="119"/>
    </row>
    <row r="24" ht="14.25" customHeight="1">
      <c r="A24" s="135" t="s">
        <v>923</v>
      </c>
      <c r="B24" s="135">
        <v>7.8396424E7</v>
      </c>
      <c r="C24" s="133">
        <v>44996.0</v>
      </c>
      <c r="D24" s="133"/>
      <c r="E24" s="133"/>
      <c r="F24" s="121">
        <v>3.0</v>
      </c>
      <c r="G24" s="117">
        <v>3.0</v>
      </c>
      <c r="H24" s="118">
        <f t="shared" si="1"/>
        <v>600</v>
      </c>
      <c r="I24" s="119"/>
    </row>
    <row r="25" ht="14.25" customHeight="1">
      <c r="A25" s="135" t="s">
        <v>924</v>
      </c>
      <c r="B25" s="135">
        <v>7.6510494E7</v>
      </c>
      <c r="C25" s="299" t="s">
        <v>125</v>
      </c>
      <c r="D25" s="115"/>
      <c r="E25" s="115"/>
      <c r="F25" s="121">
        <v>1.0</v>
      </c>
      <c r="G25" s="117">
        <v>1.0</v>
      </c>
      <c r="H25" s="118">
        <f t="shared" si="1"/>
        <v>200</v>
      </c>
      <c r="I25" s="119"/>
    </row>
    <row r="26" ht="14.25" customHeight="1">
      <c r="A26" s="135" t="s">
        <v>925</v>
      </c>
      <c r="B26" s="300">
        <v>7.61442907E8</v>
      </c>
      <c r="C26" s="299" t="s">
        <v>125</v>
      </c>
      <c r="D26" s="115"/>
      <c r="E26" s="115"/>
      <c r="F26" s="121">
        <v>1.0</v>
      </c>
      <c r="G26" s="117">
        <v>1.0</v>
      </c>
      <c r="H26" s="118">
        <f t="shared" si="1"/>
        <v>200</v>
      </c>
      <c r="I26" s="119"/>
    </row>
    <row r="27" ht="14.25" customHeight="1">
      <c r="A27" s="135" t="s">
        <v>926</v>
      </c>
      <c r="B27" s="135">
        <v>7.8653043E7</v>
      </c>
      <c r="C27" s="299" t="s">
        <v>125</v>
      </c>
      <c r="D27" s="115"/>
      <c r="E27" s="115"/>
      <c r="F27" s="121">
        <v>2.0</v>
      </c>
      <c r="G27" s="117">
        <v>2.0</v>
      </c>
      <c r="H27" s="118">
        <f t="shared" si="1"/>
        <v>400</v>
      </c>
      <c r="I27" s="119"/>
    </row>
    <row r="28" ht="14.25" customHeight="1">
      <c r="A28" s="137" t="s">
        <v>927</v>
      </c>
      <c r="B28" s="137">
        <v>7.6447167E7</v>
      </c>
      <c r="C28" s="299" t="s">
        <v>125</v>
      </c>
      <c r="D28" s="115"/>
      <c r="E28" s="115"/>
      <c r="F28" s="121">
        <v>2.0</v>
      </c>
      <c r="G28" s="117">
        <v>2.0</v>
      </c>
      <c r="H28" s="118">
        <f t="shared" si="1"/>
        <v>400</v>
      </c>
      <c r="I28" s="119"/>
    </row>
    <row r="29" ht="14.25" customHeight="1">
      <c r="A29" s="137" t="s">
        <v>928</v>
      </c>
      <c r="B29" s="137">
        <v>7.6608298E7</v>
      </c>
      <c r="C29" s="299" t="s">
        <v>361</v>
      </c>
      <c r="D29" s="119"/>
      <c r="E29" s="119"/>
      <c r="F29" s="116">
        <v>3.0</v>
      </c>
      <c r="G29" s="117">
        <v>3.0</v>
      </c>
      <c r="H29" s="118">
        <f t="shared" si="1"/>
        <v>600</v>
      </c>
      <c r="I29" s="119"/>
    </row>
    <row r="30" ht="14.25" customHeight="1">
      <c r="A30" s="137" t="s">
        <v>929</v>
      </c>
      <c r="B30" s="137">
        <v>7.6516116E7</v>
      </c>
      <c r="C30" s="299" t="s">
        <v>361</v>
      </c>
      <c r="D30" s="119"/>
      <c r="E30" s="119"/>
      <c r="F30" s="116">
        <v>1.0</v>
      </c>
      <c r="G30" s="117">
        <v>1.0</v>
      </c>
      <c r="H30" s="118">
        <f t="shared" si="1"/>
        <v>200</v>
      </c>
      <c r="I30" s="119"/>
    </row>
    <row r="31" ht="14.25" customHeight="1">
      <c r="A31" s="135" t="s">
        <v>930</v>
      </c>
      <c r="B31" s="135">
        <v>7.8151457E7</v>
      </c>
      <c r="C31" s="299" t="s">
        <v>361</v>
      </c>
      <c r="D31" s="119"/>
      <c r="E31" s="119"/>
      <c r="F31" s="116">
        <v>1.0</v>
      </c>
      <c r="G31" s="117">
        <v>1.0</v>
      </c>
      <c r="H31" s="118">
        <f t="shared" si="1"/>
        <v>200</v>
      </c>
      <c r="I31" s="119"/>
    </row>
    <row r="32" ht="14.25" customHeight="1">
      <c r="A32" s="137" t="s">
        <v>931</v>
      </c>
      <c r="B32" s="137">
        <v>7.8418106E7</v>
      </c>
      <c r="C32" s="299" t="s">
        <v>361</v>
      </c>
      <c r="D32" s="119"/>
      <c r="E32" s="119"/>
      <c r="F32" s="116">
        <v>2.0</v>
      </c>
      <c r="G32" s="117">
        <v>2.0</v>
      </c>
      <c r="H32" s="118">
        <f t="shared" si="1"/>
        <v>400</v>
      </c>
      <c r="I32" s="119"/>
    </row>
    <row r="33" ht="14.25" customHeight="1">
      <c r="A33" s="135" t="s">
        <v>932</v>
      </c>
      <c r="B33" s="135">
        <v>7.8589831E7</v>
      </c>
      <c r="C33" s="299" t="s">
        <v>361</v>
      </c>
      <c r="D33" s="119"/>
      <c r="E33" s="119"/>
      <c r="F33" s="116">
        <v>2.0</v>
      </c>
      <c r="G33" s="117">
        <v>2.0</v>
      </c>
      <c r="H33" s="118">
        <f t="shared" si="1"/>
        <v>400</v>
      </c>
      <c r="I33" s="119"/>
    </row>
    <row r="34" ht="14.25" customHeight="1">
      <c r="A34" s="135" t="s">
        <v>933</v>
      </c>
      <c r="B34" s="135">
        <v>7.8201953E7</v>
      </c>
      <c r="C34" s="299" t="s">
        <v>361</v>
      </c>
      <c r="D34" s="119"/>
      <c r="E34" s="119"/>
      <c r="F34" s="116">
        <v>2.0</v>
      </c>
      <c r="G34" s="117">
        <v>2.0</v>
      </c>
      <c r="H34" s="118">
        <f t="shared" si="1"/>
        <v>400</v>
      </c>
      <c r="I34" s="119"/>
    </row>
    <row r="35" ht="18.0" customHeight="1">
      <c r="A35" s="284"/>
      <c r="B35" s="301"/>
      <c r="C35" s="119"/>
      <c r="D35" s="119"/>
      <c r="E35" s="141" t="s">
        <v>41</v>
      </c>
      <c r="F35" s="142">
        <f>SUM(F8:F34)</f>
        <v>52</v>
      </c>
      <c r="G35" s="142">
        <f>SUM(G10:G34)</f>
        <v>52</v>
      </c>
      <c r="H35" s="190">
        <f>SUM(H8:H34)</f>
        <v>10400</v>
      </c>
      <c r="I35" s="191"/>
    </row>
    <row r="36" ht="20.25" customHeight="1">
      <c r="A36" s="141"/>
      <c r="B36" s="140"/>
      <c r="C36" s="141"/>
      <c r="D36" s="141"/>
      <c r="E36" s="146" t="s">
        <v>100</v>
      </c>
      <c r="F36" s="147">
        <f>COUNT(F10:F34)</f>
        <v>25</v>
      </c>
      <c r="G36" s="47"/>
      <c r="H36" s="47"/>
      <c r="I36" s="48"/>
    </row>
    <row r="37" ht="14.25" customHeight="1">
      <c r="A37" s="171"/>
      <c r="B37" s="282"/>
      <c r="C37" s="171"/>
      <c r="D37" s="171"/>
      <c r="E37" s="171"/>
      <c r="F37" s="171"/>
      <c r="G37" s="173"/>
      <c r="H37" s="170"/>
      <c r="I37" s="171"/>
    </row>
    <row r="38" ht="14.25" customHeight="1">
      <c r="A38" s="171"/>
      <c r="B38" s="282"/>
      <c r="C38" s="171"/>
      <c r="D38" s="49" t="s">
        <v>101</v>
      </c>
      <c r="E38" s="50"/>
      <c r="F38" s="171"/>
      <c r="G38" s="173"/>
      <c r="H38" s="170"/>
      <c r="I38" s="171"/>
    </row>
    <row r="39" ht="14.25" customHeight="1">
      <c r="A39" s="171"/>
      <c r="B39" s="282"/>
      <c r="C39" s="171"/>
      <c r="D39" s="51" t="s">
        <v>102</v>
      </c>
      <c r="E39" s="50"/>
      <c r="F39" s="171"/>
      <c r="G39" s="173"/>
      <c r="H39" s="170"/>
      <c r="I39" s="171"/>
    </row>
    <row r="40" ht="14.25" customHeight="1">
      <c r="A40" s="171"/>
      <c r="B40" s="282"/>
      <c r="C40" s="171"/>
      <c r="D40" s="52" t="s">
        <v>58</v>
      </c>
      <c r="E40" s="53"/>
      <c r="F40" s="171"/>
      <c r="G40" s="173"/>
      <c r="H40" s="170"/>
      <c r="I40" s="171"/>
    </row>
    <row r="41" ht="14.25" customHeight="1">
      <c r="A41" s="171"/>
      <c r="B41" s="282"/>
      <c r="C41" s="171"/>
      <c r="D41" s="171"/>
      <c r="E41" s="171"/>
      <c r="F41" s="171"/>
      <c r="G41" s="173"/>
      <c r="H41" s="170"/>
      <c r="I41" s="171"/>
    </row>
    <row r="42" ht="14.25" customHeight="1">
      <c r="A42" s="171"/>
      <c r="B42" s="282"/>
      <c r="C42" s="171"/>
      <c r="D42" s="171"/>
      <c r="E42" s="171"/>
      <c r="F42" s="171"/>
      <c r="G42" s="173"/>
      <c r="H42" s="170"/>
      <c r="I42" s="171"/>
    </row>
    <row r="43" ht="14.25" customHeight="1">
      <c r="A43" s="171"/>
      <c r="B43" s="282"/>
      <c r="C43" s="171"/>
      <c r="D43" s="171"/>
      <c r="E43" s="171"/>
      <c r="F43" s="171"/>
      <c r="G43" s="173"/>
      <c r="H43" s="170"/>
      <c r="I43" s="171"/>
    </row>
    <row r="44" ht="14.25" customHeight="1">
      <c r="A44" s="171"/>
      <c r="B44" s="282"/>
      <c r="C44" s="171"/>
      <c r="D44" s="171"/>
      <c r="E44" s="171"/>
      <c r="F44" s="171"/>
      <c r="G44" s="173"/>
      <c r="H44" s="170"/>
      <c r="I44" s="171"/>
    </row>
    <row r="45" ht="14.25" customHeight="1">
      <c r="A45" s="171"/>
      <c r="B45" s="282"/>
      <c r="C45" s="171"/>
      <c r="D45" s="171"/>
      <c r="E45" s="171"/>
      <c r="F45" s="171"/>
      <c r="G45" s="173"/>
      <c r="H45" s="170"/>
      <c r="I45" s="171"/>
    </row>
    <row r="46" ht="14.25" customHeight="1">
      <c r="A46" s="171"/>
      <c r="B46" s="282"/>
      <c r="C46" s="171"/>
      <c r="D46" s="171"/>
      <c r="E46" s="171"/>
      <c r="F46" s="171"/>
      <c r="G46" s="173"/>
      <c r="H46" s="170"/>
      <c r="I46" s="171"/>
    </row>
    <row r="47" ht="14.25" customHeight="1">
      <c r="A47" s="171"/>
      <c r="B47" s="282"/>
      <c r="C47" s="171"/>
      <c r="D47" s="171"/>
      <c r="E47" s="171"/>
      <c r="F47" s="171"/>
      <c r="G47" s="173"/>
      <c r="H47" s="170"/>
      <c r="I47" s="171"/>
    </row>
    <row r="48" ht="14.25" customHeight="1">
      <c r="A48" s="171"/>
      <c r="B48" s="282"/>
      <c r="C48" s="171"/>
      <c r="D48" s="171"/>
      <c r="E48" s="171"/>
      <c r="F48" s="171"/>
      <c r="G48" s="173"/>
      <c r="H48" s="170"/>
      <c r="I48" s="171"/>
    </row>
    <row r="49" ht="14.25" customHeight="1">
      <c r="A49" s="171"/>
      <c r="B49" s="282"/>
      <c r="C49" s="171"/>
      <c r="D49" s="171"/>
      <c r="E49" s="171"/>
      <c r="F49" s="171"/>
      <c r="G49" s="173"/>
      <c r="H49" s="170"/>
      <c r="I49" s="171"/>
    </row>
    <row r="50" ht="14.25" customHeight="1">
      <c r="A50" s="171"/>
      <c r="B50" s="282"/>
      <c r="C50" s="171"/>
      <c r="D50" s="171"/>
      <c r="E50" s="171"/>
      <c r="F50" s="171"/>
      <c r="G50" s="173"/>
      <c r="H50" s="170"/>
      <c r="I50" s="171"/>
    </row>
    <row r="51" ht="14.25" customHeight="1">
      <c r="A51" s="171"/>
      <c r="B51" s="282"/>
      <c r="C51" s="171"/>
      <c r="D51" s="171"/>
      <c r="E51" s="171"/>
      <c r="F51" s="171"/>
      <c r="G51" s="173"/>
      <c r="H51" s="170"/>
      <c r="I51" s="171"/>
    </row>
    <row r="52" ht="14.25" customHeight="1">
      <c r="A52" s="171"/>
      <c r="B52" s="282"/>
      <c r="C52" s="171"/>
      <c r="D52" s="171"/>
      <c r="E52" s="171"/>
      <c r="F52" s="171"/>
      <c r="G52" s="173"/>
      <c r="H52" s="170"/>
      <c r="I52" s="171"/>
    </row>
    <row r="53" ht="14.25" customHeight="1">
      <c r="A53" s="171"/>
      <c r="B53" s="282"/>
      <c r="C53" s="171"/>
      <c r="D53" s="171"/>
      <c r="E53" s="171"/>
      <c r="F53" s="171"/>
      <c r="G53" s="173"/>
      <c r="H53" s="170"/>
      <c r="I53" s="171"/>
    </row>
    <row r="54" ht="14.25" customHeight="1">
      <c r="A54" s="171"/>
      <c r="B54" s="282"/>
      <c r="C54" s="171"/>
      <c r="D54" s="171"/>
      <c r="E54" s="171"/>
      <c r="F54" s="171"/>
      <c r="G54" s="173"/>
      <c r="H54" s="170"/>
      <c r="I54" s="171"/>
    </row>
    <row r="55" ht="14.25" customHeight="1">
      <c r="A55" s="171"/>
      <c r="B55" s="282"/>
      <c r="C55" s="171"/>
      <c r="D55" s="171"/>
      <c r="E55" s="171"/>
      <c r="F55" s="171"/>
      <c r="G55" s="173"/>
      <c r="H55" s="170"/>
      <c r="I55" s="171"/>
    </row>
    <row r="56" ht="14.25" customHeight="1">
      <c r="A56" s="171"/>
      <c r="B56" s="282"/>
      <c r="C56" s="171"/>
      <c r="D56" s="171"/>
      <c r="E56" s="171"/>
      <c r="F56" s="171"/>
      <c r="G56" s="173"/>
      <c r="H56" s="170"/>
      <c r="I56" s="171"/>
    </row>
    <row r="57" ht="14.25" customHeight="1">
      <c r="A57" s="171"/>
      <c r="B57" s="282"/>
      <c r="C57" s="171"/>
      <c r="D57" s="171"/>
      <c r="E57" s="171"/>
      <c r="F57" s="171"/>
      <c r="G57" s="173"/>
      <c r="H57" s="170"/>
      <c r="I57" s="171"/>
    </row>
    <row r="58" ht="14.25" customHeight="1">
      <c r="A58" s="171"/>
      <c r="B58" s="282"/>
      <c r="C58" s="171"/>
      <c r="D58" s="171"/>
      <c r="E58" s="171"/>
      <c r="F58" s="171"/>
      <c r="G58" s="173"/>
      <c r="H58" s="170"/>
      <c r="I58" s="171"/>
    </row>
    <row r="59" ht="14.25" customHeight="1">
      <c r="A59" s="171"/>
      <c r="B59" s="282"/>
      <c r="C59" s="171"/>
      <c r="D59" s="171"/>
      <c r="E59" s="171"/>
      <c r="F59" s="171"/>
      <c r="G59" s="173"/>
      <c r="H59" s="170"/>
      <c r="I59" s="171"/>
    </row>
    <row r="60" ht="14.25" customHeight="1">
      <c r="A60" s="171"/>
      <c r="B60" s="282"/>
      <c r="C60" s="171"/>
      <c r="D60" s="171"/>
      <c r="E60" s="171"/>
      <c r="F60" s="171"/>
      <c r="G60" s="173"/>
      <c r="H60" s="170"/>
      <c r="I60" s="171"/>
    </row>
    <row r="61" ht="14.25" customHeight="1">
      <c r="A61" s="171"/>
      <c r="B61" s="282"/>
      <c r="C61" s="171"/>
      <c r="D61" s="171"/>
      <c r="E61" s="171"/>
      <c r="F61" s="171"/>
      <c r="G61" s="173"/>
      <c r="H61" s="170"/>
      <c r="I61" s="171"/>
    </row>
    <row r="62" ht="14.25" customHeight="1">
      <c r="A62" s="171"/>
      <c r="B62" s="282"/>
      <c r="C62" s="171"/>
      <c r="D62" s="171"/>
      <c r="E62" s="171"/>
      <c r="F62" s="171"/>
      <c r="G62" s="173"/>
      <c r="H62" s="170"/>
      <c r="I62" s="171"/>
    </row>
    <row r="63" ht="14.25" customHeight="1">
      <c r="A63" s="171"/>
      <c r="B63" s="282"/>
      <c r="C63" s="171"/>
      <c r="D63" s="171"/>
      <c r="E63" s="171"/>
      <c r="F63" s="171"/>
      <c r="G63" s="173"/>
      <c r="H63" s="170"/>
      <c r="I63" s="171"/>
    </row>
    <row r="64" ht="14.25" customHeight="1">
      <c r="A64" s="171"/>
      <c r="B64" s="282"/>
      <c r="C64" s="171"/>
      <c r="D64" s="171"/>
      <c r="E64" s="171"/>
      <c r="F64" s="171"/>
      <c r="G64" s="173"/>
      <c r="H64" s="170"/>
      <c r="I64" s="171"/>
    </row>
    <row r="65" ht="14.25" customHeight="1">
      <c r="A65" s="171"/>
      <c r="B65" s="282"/>
      <c r="C65" s="171"/>
      <c r="D65" s="171"/>
      <c r="E65" s="171"/>
      <c r="F65" s="171"/>
      <c r="G65" s="173"/>
      <c r="H65" s="170"/>
      <c r="I65" s="171"/>
    </row>
    <row r="66" ht="14.25" customHeight="1">
      <c r="A66" s="171"/>
      <c r="B66" s="282"/>
      <c r="C66" s="171"/>
      <c r="D66" s="171"/>
      <c r="E66" s="171"/>
      <c r="F66" s="171"/>
      <c r="G66" s="173"/>
      <c r="H66" s="170"/>
      <c r="I66" s="171"/>
    </row>
    <row r="67" ht="14.25" customHeight="1">
      <c r="A67" s="171"/>
      <c r="B67" s="282"/>
      <c r="C67" s="171"/>
      <c r="D67" s="171"/>
      <c r="E67" s="171"/>
      <c r="F67" s="171"/>
      <c r="G67" s="173"/>
      <c r="H67" s="170"/>
      <c r="I67" s="171"/>
    </row>
    <row r="68" ht="14.25" customHeight="1">
      <c r="A68" s="171"/>
      <c r="B68" s="282"/>
      <c r="C68" s="171"/>
      <c r="D68" s="171"/>
      <c r="E68" s="171"/>
      <c r="F68" s="171"/>
      <c r="G68" s="173"/>
      <c r="H68" s="170"/>
      <c r="I68" s="171"/>
    </row>
    <row r="69" ht="14.25" customHeight="1">
      <c r="A69" s="171"/>
      <c r="B69" s="282"/>
      <c r="C69" s="171"/>
      <c r="D69" s="171"/>
      <c r="E69" s="171"/>
      <c r="F69" s="171"/>
      <c r="G69" s="173"/>
      <c r="H69" s="170"/>
      <c r="I69" s="171"/>
    </row>
    <row r="70" ht="14.25" customHeight="1">
      <c r="A70" s="171"/>
      <c r="B70" s="282"/>
      <c r="C70" s="171"/>
      <c r="D70" s="171"/>
      <c r="E70" s="171"/>
      <c r="F70" s="171"/>
      <c r="G70" s="173"/>
      <c r="H70" s="170"/>
      <c r="I70" s="171"/>
    </row>
    <row r="71" ht="14.25" customHeight="1">
      <c r="A71" s="171"/>
      <c r="B71" s="282"/>
      <c r="C71" s="171"/>
      <c r="D71" s="171"/>
      <c r="E71" s="171"/>
      <c r="F71" s="171"/>
      <c r="G71" s="173"/>
      <c r="H71" s="170"/>
      <c r="I71" s="171"/>
    </row>
    <row r="72" ht="14.25" customHeight="1">
      <c r="A72" s="171"/>
      <c r="B72" s="282"/>
      <c r="C72" s="171"/>
      <c r="D72" s="171"/>
      <c r="E72" s="171"/>
      <c r="F72" s="171"/>
      <c r="G72" s="173"/>
      <c r="H72" s="170"/>
      <c r="I72" s="171"/>
    </row>
    <row r="73" ht="14.25" customHeight="1">
      <c r="A73" s="171"/>
      <c r="B73" s="282"/>
      <c r="C73" s="171"/>
      <c r="D73" s="171"/>
      <c r="E73" s="171"/>
      <c r="F73" s="171"/>
      <c r="G73" s="173"/>
      <c r="H73" s="170"/>
      <c r="I73" s="171"/>
    </row>
    <row r="74" ht="14.25" customHeight="1">
      <c r="A74" s="171"/>
      <c r="B74" s="282"/>
      <c r="C74" s="171"/>
      <c r="D74" s="171"/>
      <c r="E74" s="171"/>
      <c r="F74" s="171"/>
      <c r="G74" s="173"/>
      <c r="H74" s="170"/>
      <c r="I74" s="171"/>
    </row>
    <row r="75" ht="14.25" customHeight="1">
      <c r="A75" s="171"/>
      <c r="B75" s="282"/>
      <c r="C75" s="171"/>
      <c r="D75" s="171"/>
      <c r="E75" s="171"/>
      <c r="F75" s="171"/>
      <c r="G75" s="173"/>
      <c r="H75" s="170"/>
      <c r="I75" s="171"/>
    </row>
    <row r="76" ht="14.25" customHeight="1">
      <c r="A76" s="171"/>
      <c r="B76" s="282"/>
      <c r="C76" s="171"/>
      <c r="D76" s="171"/>
      <c r="E76" s="171"/>
      <c r="F76" s="171"/>
      <c r="G76" s="173"/>
      <c r="H76" s="170"/>
      <c r="I76" s="171"/>
    </row>
    <row r="77" ht="14.25" customHeight="1">
      <c r="A77" s="171"/>
      <c r="B77" s="282"/>
      <c r="C77" s="171"/>
      <c r="D77" s="171"/>
      <c r="E77" s="171"/>
      <c r="F77" s="171"/>
      <c r="G77" s="173"/>
      <c r="H77" s="170"/>
      <c r="I77" s="171"/>
    </row>
    <row r="78" ht="14.25" customHeight="1">
      <c r="A78" s="171"/>
      <c r="B78" s="282"/>
      <c r="C78" s="171"/>
      <c r="D78" s="171"/>
      <c r="E78" s="171"/>
      <c r="F78" s="171"/>
      <c r="G78" s="173"/>
      <c r="H78" s="170"/>
      <c r="I78" s="171"/>
    </row>
    <row r="79" ht="14.25" customHeight="1">
      <c r="A79" s="171"/>
      <c r="B79" s="282"/>
      <c r="C79" s="171"/>
      <c r="D79" s="171"/>
      <c r="E79" s="171"/>
      <c r="F79" s="171"/>
      <c r="G79" s="173"/>
      <c r="H79" s="170"/>
      <c r="I79" s="171"/>
    </row>
    <row r="80" ht="14.25" customHeight="1">
      <c r="A80" s="171"/>
      <c r="B80" s="282"/>
      <c r="C80" s="171"/>
      <c r="D80" s="171"/>
      <c r="E80" s="171"/>
      <c r="F80" s="171"/>
      <c r="G80" s="173"/>
      <c r="H80" s="170"/>
      <c r="I80" s="171"/>
    </row>
    <row r="81" ht="14.25" customHeight="1">
      <c r="A81" s="171"/>
      <c r="B81" s="282"/>
      <c r="C81" s="171"/>
      <c r="D81" s="171"/>
      <c r="E81" s="171"/>
      <c r="F81" s="171"/>
      <c r="G81" s="173"/>
      <c r="H81" s="170"/>
      <c r="I81" s="171"/>
    </row>
    <row r="82" ht="14.25" customHeight="1">
      <c r="A82" s="171"/>
      <c r="B82" s="282"/>
      <c r="C82" s="171"/>
      <c r="D82" s="171"/>
      <c r="E82" s="171"/>
      <c r="F82" s="171"/>
      <c r="G82" s="173"/>
      <c r="H82" s="170"/>
      <c r="I82" s="171"/>
    </row>
    <row r="83" ht="14.25" customHeight="1">
      <c r="A83" s="171"/>
      <c r="B83" s="282"/>
      <c r="C83" s="171"/>
      <c r="D83" s="171"/>
      <c r="E83" s="171"/>
      <c r="F83" s="171"/>
      <c r="G83" s="173"/>
      <c r="H83" s="170"/>
      <c r="I83" s="171"/>
    </row>
    <row r="84" ht="14.25" customHeight="1">
      <c r="A84" s="171"/>
      <c r="B84" s="282"/>
      <c r="C84" s="171"/>
      <c r="D84" s="171"/>
      <c r="E84" s="171"/>
      <c r="F84" s="171"/>
      <c r="G84" s="173"/>
      <c r="H84" s="170"/>
      <c r="I84" s="171"/>
    </row>
    <row r="85" ht="14.25" customHeight="1">
      <c r="A85" s="171"/>
      <c r="B85" s="282"/>
      <c r="C85" s="171"/>
      <c r="D85" s="171"/>
      <c r="E85" s="171"/>
      <c r="F85" s="171"/>
      <c r="G85" s="173"/>
      <c r="H85" s="170"/>
      <c r="I85" s="171"/>
    </row>
    <row r="86" ht="14.25" customHeight="1">
      <c r="A86" s="171"/>
      <c r="B86" s="282"/>
      <c r="C86" s="171"/>
      <c r="D86" s="171"/>
      <c r="E86" s="171"/>
      <c r="F86" s="171"/>
      <c r="G86" s="173"/>
      <c r="H86" s="170"/>
      <c r="I86" s="171"/>
    </row>
    <row r="87" ht="14.25" customHeight="1">
      <c r="A87" s="171"/>
      <c r="B87" s="282"/>
      <c r="C87" s="171"/>
      <c r="D87" s="171"/>
      <c r="E87" s="171"/>
      <c r="F87" s="171"/>
      <c r="G87" s="173"/>
      <c r="H87" s="170"/>
      <c r="I87" s="171"/>
    </row>
    <row r="88" ht="14.25" customHeight="1">
      <c r="A88" s="171"/>
      <c r="B88" s="282"/>
      <c r="C88" s="171"/>
      <c r="D88" s="171"/>
      <c r="E88" s="171"/>
      <c r="F88" s="171"/>
      <c r="G88" s="173"/>
      <c r="H88" s="170"/>
      <c r="I88" s="171"/>
    </row>
    <row r="89" ht="14.25" customHeight="1">
      <c r="A89" s="171"/>
      <c r="B89" s="282"/>
      <c r="C89" s="171"/>
      <c r="D89" s="171"/>
      <c r="E89" s="171"/>
      <c r="F89" s="171"/>
      <c r="G89" s="173"/>
      <c r="H89" s="170"/>
      <c r="I89" s="171"/>
    </row>
    <row r="90" ht="14.25" customHeight="1">
      <c r="A90" s="171"/>
      <c r="B90" s="282"/>
      <c r="C90" s="171"/>
      <c r="D90" s="171"/>
      <c r="E90" s="171"/>
      <c r="F90" s="171"/>
      <c r="G90" s="173"/>
      <c r="H90" s="170"/>
      <c r="I90" s="171"/>
    </row>
    <row r="91" ht="14.25" customHeight="1">
      <c r="A91" s="171"/>
      <c r="B91" s="282"/>
      <c r="C91" s="171"/>
      <c r="D91" s="171"/>
      <c r="E91" s="171"/>
      <c r="F91" s="171"/>
      <c r="G91" s="173"/>
      <c r="H91" s="170"/>
      <c r="I91" s="171"/>
    </row>
    <row r="92" ht="14.25" customHeight="1">
      <c r="A92" s="171"/>
      <c r="B92" s="282"/>
      <c r="C92" s="171"/>
      <c r="D92" s="171"/>
      <c r="E92" s="171"/>
      <c r="F92" s="171"/>
      <c r="G92" s="173"/>
      <c r="H92" s="170"/>
      <c r="I92" s="171"/>
    </row>
    <row r="93" ht="14.25" customHeight="1">
      <c r="A93" s="171"/>
      <c r="B93" s="282"/>
      <c r="C93" s="171"/>
      <c r="D93" s="171"/>
      <c r="E93" s="171"/>
      <c r="F93" s="171"/>
      <c r="G93" s="173"/>
      <c r="H93" s="170"/>
      <c r="I93" s="171"/>
    </row>
    <row r="94" ht="14.25" customHeight="1">
      <c r="A94" s="171"/>
      <c r="B94" s="282"/>
      <c r="C94" s="171"/>
      <c r="D94" s="171"/>
      <c r="E94" s="171"/>
      <c r="F94" s="171"/>
      <c r="G94" s="173"/>
      <c r="H94" s="170"/>
      <c r="I94" s="171"/>
    </row>
    <row r="95" ht="14.25" customHeight="1">
      <c r="A95" s="171"/>
      <c r="B95" s="282"/>
      <c r="C95" s="171"/>
      <c r="D95" s="171"/>
      <c r="E95" s="171"/>
      <c r="F95" s="171"/>
      <c r="G95" s="173"/>
      <c r="H95" s="170"/>
      <c r="I95" s="171"/>
    </row>
    <row r="96" ht="14.25" customHeight="1">
      <c r="A96" s="171"/>
      <c r="B96" s="282"/>
      <c r="C96" s="171"/>
      <c r="D96" s="171"/>
      <c r="E96" s="171"/>
      <c r="F96" s="171"/>
      <c r="G96" s="173"/>
      <c r="H96" s="170"/>
      <c r="I96" s="171"/>
    </row>
    <row r="97" ht="14.25" customHeight="1">
      <c r="A97" s="171"/>
      <c r="B97" s="282"/>
      <c r="C97" s="171"/>
      <c r="D97" s="171"/>
      <c r="E97" s="171"/>
      <c r="F97" s="171"/>
      <c r="G97" s="173"/>
      <c r="H97" s="170"/>
      <c r="I97" s="171"/>
    </row>
    <row r="98" ht="14.25" customHeight="1">
      <c r="A98" s="171"/>
      <c r="B98" s="282"/>
      <c r="C98" s="171"/>
      <c r="D98" s="171"/>
      <c r="E98" s="171"/>
      <c r="F98" s="171"/>
      <c r="G98" s="173"/>
      <c r="H98" s="170"/>
      <c r="I98" s="171"/>
    </row>
    <row r="99" ht="14.25" customHeight="1">
      <c r="A99" s="171"/>
      <c r="B99" s="282"/>
      <c r="C99" s="171"/>
      <c r="D99" s="171"/>
      <c r="E99" s="171"/>
      <c r="F99" s="171"/>
      <c r="G99" s="173"/>
      <c r="H99" s="170"/>
      <c r="I99" s="171"/>
    </row>
    <row r="100" ht="14.25" customHeight="1">
      <c r="A100" s="171"/>
      <c r="B100" s="282"/>
      <c r="C100" s="171"/>
      <c r="D100" s="171"/>
      <c r="E100" s="171"/>
      <c r="F100" s="171"/>
      <c r="G100" s="173"/>
      <c r="H100" s="170"/>
      <c r="I100" s="171"/>
    </row>
    <row r="101" ht="14.25" customHeight="1">
      <c r="A101" s="171"/>
      <c r="B101" s="282"/>
      <c r="C101" s="171"/>
      <c r="D101" s="171"/>
      <c r="E101" s="171"/>
      <c r="F101" s="171"/>
      <c r="G101" s="173"/>
      <c r="H101" s="170"/>
      <c r="I101" s="171"/>
    </row>
    <row r="102" ht="14.25" customHeight="1">
      <c r="A102" s="171"/>
      <c r="B102" s="282"/>
      <c r="C102" s="171"/>
      <c r="D102" s="171"/>
      <c r="E102" s="171"/>
      <c r="F102" s="171"/>
      <c r="G102" s="173"/>
      <c r="H102" s="170"/>
      <c r="I102" s="171"/>
    </row>
    <row r="103" ht="14.25" customHeight="1">
      <c r="A103" s="171"/>
      <c r="B103" s="282"/>
      <c r="C103" s="171"/>
      <c r="D103" s="171"/>
      <c r="E103" s="171"/>
      <c r="F103" s="171"/>
      <c r="G103" s="173"/>
      <c r="H103" s="170"/>
      <c r="I103" s="171"/>
    </row>
    <row r="104" ht="14.25" customHeight="1">
      <c r="A104" s="171"/>
      <c r="B104" s="282"/>
      <c r="C104" s="171"/>
      <c r="D104" s="171"/>
      <c r="E104" s="171"/>
      <c r="F104" s="171"/>
      <c r="G104" s="173"/>
      <c r="H104" s="170"/>
      <c r="I104" s="171"/>
    </row>
    <row r="105" ht="14.25" customHeight="1">
      <c r="A105" s="171"/>
      <c r="B105" s="282"/>
      <c r="C105" s="171"/>
      <c r="D105" s="171"/>
      <c r="E105" s="171"/>
      <c r="F105" s="171"/>
      <c r="G105" s="173"/>
      <c r="H105" s="170"/>
      <c r="I105" s="171"/>
    </row>
    <row r="106" ht="14.25" customHeight="1">
      <c r="A106" s="171"/>
      <c r="B106" s="282"/>
      <c r="C106" s="171"/>
      <c r="D106" s="171"/>
      <c r="E106" s="171"/>
      <c r="F106" s="171"/>
      <c r="G106" s="173"/>
      <c r="H106" s="170"/>
      <c r="I106" s="171"/>
    </row>
    <row r="107" ht="14.25" customHeight="1">
      <c r="A107" s="171"/>
      <c r="B107" s="282"/>
      <c r="C107" s="171"/>
      <c r="D107" s="171"/>
      <c r="E107" s="171"/>
      <c r="F107" s="171"/>
      <c r="G107" s="173"/>
      <c r="H107" s="170"/>
      <c r="I107" s="171"/>
    </row>
    <row r="108" ht="14.25" customHeight="1">
      <c r="A108" s="171"/>
      <c r="B108" s="282"/>
      <c r="C108" s="171"/>
      <c r="D108" s="171"/>
      <c r="E108" s="171"/>
      <c r="F108" s="171"/>
      <c r="G108" s="173"/>
      <c r="H108" s="170"/>
      <c r="I108" s="171"/>
    </row>
    <row r="109" ht="14.25" customHeight="1">
      <c r="A109" s="171"/>
      <c r="B109" s="282"/>
      <c r="C109" s="171"/>
      <c r="D109" s="171"/>
      <c r="E109" s="171"/>
      <c r="F109" s="171"/>
      <c r="G109" s="173"/>
      <c r="H109" s="170"/>
      <c r="I109" s="171"/>
    </row>
    <row r="110" ht="14.25" customHeight="1">
      <c r="A110" s="171"/>
      <c r="B110" s="282"/>
      <c r="C110" s="171"/>
      <c r="D110" s="171"/>
      <c r="E110" s="171"/>
      <c r="F110" s="171"/>
      <c r="G110" s="173"/>
      <c r="H110" s="170"/>
      <c r="I110" s="171"/>
    </row>
    <row r="111" ht="14.25" customHeight="1">
      <c r="A111" s="171"/>
      <c r="B111" s="282"/>
      <c r="C111" s="171"/>
      <c r="D111" s="171"/>
      <c r="E111" s="171"/>
      <c r="F111" s="171"/>
      <c r="G111" s="173"/>
      <c r="H111" s="170"/>
      <c r="I111" s="171"/>
    </row>
    <row r="112" ht="14.25" customHeight="1">
      <c r="A112" s="171"/>
      <c r="B112" s="282"/>
      <c r="C112" s="171"/>
      <c r="D112" s="171"/>
      <c r="E112" s="171"/>
      <c r="F112" s="171"/>
      <c r="G112" s="173"/>
      <c r="H112" s="170"/>
      <c r="I112" s="171"/>
    </row>
    <row r="113" ht="14.25" customHeight="1">
      <c r="A113" s="171"/>
      <c r="B113" s="282"/>
      <c r="C113" s="171"/>
      <c r="D113" s="171"/>
      <c r="E113" s="171"/>
      <c r="F113" s="171"/>
      <c r="G113" s="173"/>
      <c r="H113" s="170"/>
      <c r="I113" s="171"/>
    </row>
    <row r="114" ht="14.25" customHeight="1">
      <c r="A114" s="171"/>
      <c r="B114" s="282"/>
      <c r="C114" s="171"/>
      <c r="D114" s="171"/>
      <c r="E114" s="171"/>
      <c r="F114" s="171"/>
      <c r="G114" s="173"/>
      <c r="H114" s="170"/>
      <c r="I114" s="171"/>
    </row>
    <row r="115" ht="14.25" customHeight="1">
      <c r="A115" s="171"/>
      <c r="B115" s="282"/>
      <c r="C115" s="171"/>
      <c r="D115" s="171"/>
      <c r="E115" s="171"/>
      <c r="F115" s="171"/>
      <c r="G115" s="173"/>
      <c r="H115" s="170"/>
      <c r="I115" s="171"/>
    </row>
    <row r="116" ht="14.25" customHeight="1">
      <c r="A116" s="171"/>
      <c r="B116" s="282"/>
      <c r="C116" s="171"/>
      <c r="D116" s="171"/>
      <c r="E116" s="171"/>
      <c r="F116" s="171"/>
      <c r="G116" s="173"/>
      <c r="H116" s="170"/>
      <c r="I116" s="171"/>
    </row>
    <row r="117" ht="14.25" customHeight="1">
      <c r="A117" s="171"/>
      <c r="B117" s="282"/>
      <c r="C117" s="171"/>
      <c r="D117" s="171"/>
      <c r="E117" s="171"/>
      <c r="F117" s="171"/>
      <c r="G117" s="173"/>
      <c r="H117" s="170"/>
      <c r="I117" s="171"/>
    </row>
    <row r="118" ht="14.25" customHeight="1">
      <c r="A118" s="171"/>
      <c r="B118" s="282"/>
      <c r="C118" s="171"/>
      <c r="D118" s="171"/>
      <c r="E118" s="171"/>
      <c r="F118" s="171"/>
      <c r="G118" s="173"/>
      <c r="H118" s="170"/>
      <c r="I118" s="171"/>
    </row>
    <row r="119" ht="14.25" customHeight="1">
      <c r="A119" s="171"/>
      <c r="B119" s="282"/>
      <c r="C119" s="171"/>
      <c r="D119" s="171"/>
      <c r="E119" s="171"/>
      <c r="F119" s="171"/>
      <c r="G119" s="173"/>
      <c r="H119" s="170"/>
      <c r="I119" s="171"/>
    </row>
    <row r="120" ht="14.25" customHeight="1">
      <c r="A120" s="171"/>
      <c r="B120" s="282"/>
      <c r="C120" s="171"/>
      <c r="D120" s="171"/>
      <c r="E120" s="171"/>
      <c r="F120" s="171"/>
      <c r="G120" s="173"/>
      <c r="H120" s="170"/>
      <c r="I120" s="171"/>
    </row>
    <row r="121" ht="14.25" customHeight="1">
      <c r="A121" s="171"/>
      <c r="B121" s="282"/>
      <c r="C121" s="171"/>
      <c r="D121" s="171"/>
      <c r="E121" s="171"/>
      <c r="F121" s="171"/>
      <c r="G121" s="173"/>
      <c r="H121" s="170"/>
      <c r="I121" s="171"/>
    </row>
    <row r="122" ht="14.25" customHeight="1">
      <c r="A122" s="171"/>
      <c r="B122" s="282"/>
      <c r="C122" s="171"/>
      <c r="D122" s="171"/>
      <c r="E122" s="171"/>
      <c r="F122" s="171"/>
      <c r="G122" s="173"/>
      <c r="H122" s="170"/>
      <c r="I122" s="171"/>
    </row>
    <row r="123" ht="14.25" customHeight="1">
      <c r="A123" s="171"/>
      <c r="B123" s="282"/>
      <c r="C123" s="171"/>
      <c r="D123" s="171"/>
      <c r="E123" s="171"/>
      <c r="F123" s="171"/>
      <c r="G123" s="173"/>
      <c r="H123" s="170"/>
      <c r="I123" s="171"/>
    </row>
    <row r="124" ht="14.25" customHeight="1">
      <c r="A124" s="171"/>
      <c r="B124" s="282"/>
      <c r="C124" s="171"/>
      <c r="D124" s="171"/>
      <c r="E124" s="171"/>
      <c r="F124" s="171"/>
      <c r="G124" s="173"/>
      <c r="H124" s="170"/>
      <c r="I124" s="171"/>
    </row>
    <row r="125" ht="14.25" customHeight="1">
      <c r="A125" s="171"/>
      <c r="B125" s="282"/>
      <c r="C125" s="171"/>
      <c r="D125" s="171"/>
      <c r="E125" s="171"/>
      <c r="F125" s="171"/>
      <c r="G125" s="173"/>
      <c r="H125" s="170"/>
      <c r="I125" s="171"/>
    </row>
    <row r="126" ht="14.25" customHeight="1">
      <c r="A126" s="171"/>
      <c r="B126" s="282"/>
      <c r="C126" s="171"/>
      <c r="D126" s="171"/>
      <c r="E126" s="171"/>
      <c r="F126" s="171"/>
      <c r="G126" s="173"/>
      <c r="H126" s="170"/>
      <c r="I126" s="171"/>
    </row>
    <row r="127" ht="14.25" customHeight="1">
      <c r="A127" s="171"/>
      <c r="B127" s="282"/>
      <c r="C127" s="171"/>
      <c r="D127" s="171"/>
      <c r="E127" s="171"/>
      <c r="F127" s="171"/>
      <c r="G127" s="173"/>
      <c r="H127" s="170"/>
      <c r="I127" s="171"/>
    </row>
    <row r="128" ht="14.25" customHeight="1">
      <c r="A128" s="171"/>
      <c r="B128" s="282"/>
      <c r="C128" s="171"/>
      <c r="D128" s="171"/>
      <c r="E128" s="171"/>
      <c r="F128" s="171"/>
      <c r="G128" s="173"/>
      <c r="H128" s="170"/>
      <c r="I128" s="171"/>
    </row>
    <row r="129" ht="14.25" customHeight="1">
      <c r="A129" s="171"/>
      <c r="B129" s="282"/>
      <c r="C129" s="171"/>
      <c r="D129" s="171"/>
      <c r="E129" s="171"/>
      <c r="F129" s="171"/>
      <c r="G129" s="173"/>
      <c r="H129" s="170"/>
      <c r="I129" s="171"/>
    </row>
    <row r="130" ht="14.25" customHeight="1">
      <c r="A130" s="171"/>
      <c r="B130" s="282"/>
      <c r="C130" s="171"/>
      <c r="D130" s="171"/>
      <c r="E130" s="171"/>
      <c r="F130" s="171"/>
      <c r="G130" s="173"/>
      <c r="H130" s="170"/>
      <c r="I130" s="171"/>
    </row>
    <row r="131" ht="14.25" customHeight="1">
      <c r="A131" s="171"/>
      <c r="B131" s="282"/>
      <c r="C131" s="171"/>
      <c r="D131" s="171"/>
      <c r="E131" s="171"/>
      <c r="F131" s="171"/>
      <c r="G131" s="173"/>
      <c r="H131" s="170"/>
      <c r="I131" s="171"/>
    </row>
    <row r="132" ht="14.25" customHeight="1">
      <c r="A132" s="171"/>
      <c r="B132" s="282"/>
      <c r="C132" s="171"/>
      <c r="D132" s="171"/>
      <c r="E132" s="171"/>
      <c r="F132" s="171"/>
      <c r="G132" s="173"/>
      <c r="H132" s="170"/>
      <c r="I132" s="171"/>
    </row>
    <row r="133" ht="14.25" customHeight="1">
      <c r="A133" s="171"/>
      <c r="B133" s="282"/>
      <c r="C133" s="171"/>
      <c r="D133" s="171"/>
      <c r="E133" s="171"/>
      <c r="F133" s="171"/>
      <c r="G133" s="173"/>
      <c r="H133" s="170"/>
      <c r="I133" s="171"/>
    </row>
    <row r="134" ht="14.25" customHeight="1">
      <c r="A134" s="171"/>
      <c r="B134" s="282"/>
      <c r="C134" s="171"/>
      <c r="D134" s="171"/>
      <c r="E134" s="171"/>
      <c r="F134" s="171"/>
      <c r="G134" s="173"/>
      <c r="H134" s="170"/>
      <c r="I134" s="171"/>
    </row>
    <row r="135" ht="14.25" customHeight="1">
      <c r="A135" s="171"/>
      <c r="B135" s="282"/>
      <c r="C135" s="171"/>
      <c r="D135" s="171"/>
      <c r="E135" s="171"/>
      <c r="F135" s="171"/>
      <c r="G135" s="173"/>
      <c r="H135" s="170"/>
      <c r="I135" s="171"/>
    </row>
    <row r="136" ht="14.25" customHeight="1">
      <c r="A136" s="171"/>
      <c r="B136" s="282"/>
      <c r="C136" s="171"/>
      <c r="D136" s="171"/>
      <c r="E136" s="171"/>
      <c r="F136" s="171"/>
      <c r="G136" s="173"/>
      <c r="H136" s="170"/>
      <c r="I136" s="171"/>
    </row>
    <row r="137" ht="14.25" customHeight="1">
      <c r="A137" s="171"/>
      <c r="B137" s="282"/>
      <c r="C137" s="171"/>
      <c r="D137" s="171"/>
      <c r="E137" s="171"/>
      <c r="F137" s="171"/>
      <c r="G137" s="173"/>
      <c r="H137" s="170"/>
      <c r="I137" s="171"/>
    </row>
    <row r="138" ht="14.25" customHeight="1">
      <c r="A138" s="171"/>
      <c r="B138" s="282"/>
      <c r="C138" s="171"/>
      <c r="D138" s="171"/>
      <c r="E138" s="171"/>
      <c r="F138" s="171"/>
      <c r="G138" s="173"/>
      <c r="H138" s="170"/>
      <c r="I138" s="171"/>
    </row>
    <row r="139" ht="14.25" customHeight="1">
      <c r="A139" s="171"/>
      <c r="B139" s="282"/>
      <c r="C139" s="171"/>
      <c r="D139" s="171"/>
      <c r="E139" s="171"/>
      <c r="F139" s="171"/>
      <c r="G139" s="173"/>
      <c r="H139" s="170"/>
      <c r="I139" s="171"/>
    </row>
    <row r="140" ht="14.25" customHeight="1">
      <c r="A140" s="171"/>
      <c r="B140" s="282"/>
      <c r="C140" s="171"/>
      <c r="D140" s="171"/>
      <c r="E140" s="171"/>
      <c r="F140" s="171"/>
      <c r="G140" s="173"/>
      <c r="H140" s="170"/>
      <c r="I140" s="171"/>
    </row>
    <row r="141" ht="14.25" customHeight="1">
      <c r="A141" s="171"/>
      <c r="B141" s="282"/>
      <c r="C141" s="171"/>
      <c r="D141" s="171"/>
      <c r="E141" s="171"/>
      <c r="F141" s="171"/>
      <c r="G141" s="173"/>
      <c r="H141" s="170"/>
      <c r="I141" s="171"/>
    </row>
    <row r="142" ht="14.25" customHeight="1">
      <c r="A142" s="171"/>
      <c r="B142" s="282"/>
      <c r="C142" s="171"/>
      <c r="D142" s="171"/>
      <c r="E142" s="171"/>
      <c r="F142" s="171"/>
      <c r="G142" s="173"/>
      <c r="H142" s="170"/>
      <c r="I142" s="171"/>
    </row>
    <row r="143" ht="14.25" customHeight="1">
      <c r="A143" s="171"/>
      <c r="B143" s="282"/>
      <c r="C143" s="171"/>
      <c r="D143" s="171"/>
      <c r="E143" s="171"/>
      <c r="F143" s="171"/>
      <c r="G143" s="173"/>
      <c r="H143" s="170"/>
      <c r="I143" s="171"/>
    </row>
    <row r="144" ht="14.25" customHeight="1">
      <c r="A144" s="171"/>
      <c r="B144" s="282"/>
      <c r="C144" s="171"/>
      <c r="D144" s="171"/>
      <c r="E144" s="171"/>
      <c r="F144" s="171"/>
      <c r="G144" s="173"/>
      <c r="H144" s="170"/>
      <c r="I144" s="171"/>
    </row>
    <row r="145" ht="14.25" customHeight="1">
      <c r="A145" s="171"/>
      <c r="B145" s="282"/>
      <c r="C145" s="171"/>
      <c r="D145" s="171"/>
      <c r="E145" s="171"/>
      <c r="F145" s="171"/>
      <c r="G145" s="173"/>
      <c r="H145" s="170"/>
      <c r="I145" s="171"/>
    </row>
    <row r="146" ht="14.25" customHeight="1">
      <c r="A146" s="171"/>
      <c r="B146" s="282"/>
      <c r="C146" s="171"/>
      <c r="D146" s="171"/>
      <c r="E146" s="171"/>
      <c r="F146" s="171"/>
      <c r="G146" s="173"/>
      <c r="H146" s="170"/>
      <c r="I146" s="171"/>
    </row>
    <row r="147" ht="14.25" customHeight="1">
      <c r="A147" s="171"/>
      <c r="B147" s="282"/>
      <c r="C147" s="171"/>
      <c r="D147" s="171"/>
      <c r="E147" s="171"/>
      <c r="F147" s="171"/>
      <c r="G147" s="173"/>
      <c r="H147" s="170"/>
      <c r="I147" s="171"/>
    </row>
    <row r="148" ht="14.25" customHeight="1">
      <c r="A148" s="171"/>
      <c r="B148" s="282"/>
      <c r="C148" s="171"/>
      <c r="D148" s="171"/>
      <c r="E148" s="171"/>
      <c r="F148" s="171"/>
      <c r="G148" s="173"/>
      <c r="H148" s="170"/>
      <c r="I148" s="171"/>
    </row>
    <row r="149" ht="14.25" customHeight="1">
      <c r="A149" s="171"/>
      <c r="B149" s="282"/>
      <c r="C149" s="171"/>
      <c r="D149" s="171"/>
      <c r="E149" s="171"/>
      <c r="F149" s="171"/>
      <c r="G149" s="173"/>
      <c r="H149" s="170"/>
      <c r="I149" s="171"/>
    </row>
    <row r="150" ht="14.25" customHeight="1">
      <c r="A150" s="171"/>
      <c r="B150" s="282"/>
      <c r="C150" s="171"/>
      <c r="D150" s="171"/>
      <c r="E150" s="171"/>
      <c r="F150" s="171"/>
      <c r="G150" s="173"/>
      <c r="H150" s="170"/>
      <c r="I150" s="171"/>
    </row>
    <row r="151" ht="14.25" customHeight="1">
      <c r="A151" s="171"/>
      <c r="B151" s="282"/>
      <c r="C151" s="171"/>
      <c r="D151" s="171"/>
      <c r="E151" s="171"/>
      <c r="F151" s="171"/>
      <c r="G151" s="173"/>
      <c r="H151" s="170"/>
      <c r="I151" s="171"/>
    </row>
    <row r="152" ht="14.25" customHeight="1">
      <c r="A152" s="171"/>
      <c r="B152" s="282"/>
      <c r="C152" s="171"/>
      <c r="D152" s="171"/>
      <c r="E152" s="171"/>
      <c r="F152" s="171"/>
      <c r="G152" s="173"/>
      <c r="H152" s="170"/>
      <c r="I152" s="171"/>
    </row>
    <row r="153" ht="14.25" customHeight="1">
      <c r="A153" s="171"/>
      <c r="B153" s="282"/>
      <c r="C153" s="171"/>
      <c r="D153" s="171"/>
      <c r="E153" s="171"/>
      <c r="F153" s="171"/>
      <c r="G153" s="173"/>
      <c r="H153" s="170"/>
      <c r="I153" s="171"/>
    </row>
    <row r="154" ht="14.25" customHeight="1">
      <c r="A154" s="171"/>
      <c r="B154" s="282"/>
      <c r="C154" s="171"/>
      <c r="D154" s="171"/>
      <c r="E154" s="171"/>
      <c r="F154" s="171"/>
      <c r="G154" s="173"/>
      <c r="H154" s="170"/>
      <c r="I154" s="171"/>
    </row>
    <row r="155" ht="14.25" customHeight="1">
      <c r="A155" s="171"/>
      <c r="B155" s="282"/>
      <c r="C155" s="171"/>
      <c r="D155" s="171"/>
      <c r="E155" s="171"/>
      <c r="F155" s="171"/>
      <c r="G155" s="173"/>
      <c r="H155" s="170"/>
      <c r="I155" s="171"/>
    </row>
    <row r="156" ht="14.25" customHeight="1">
      <c r="A156" s="171"/>
      <c r="B156" s="282"/>
      <c r="C156" s="171"/>
      <c r="D156" s="171"/>
      <c r="E156" s="171"/>
      <c r="F156" s="171"/>
      <c r="G156" s="173"/>
      <c r="H156" s="170"/>
      <c r="I156" s="171"/>
    </row>
    <row r="157" ht="14.25" customHeight="1">
      <c r="A157" s="171"/>
      <c r="B157" s="282"/>
      <c r="C157" s="171"/>
      <c r="D157" s="171"/>
      <c r="E157" s="171"/>
      <c r="F157" s="171"/>
      <c r="G157" s="173"/>
      <c r="H157" s="170"/>
      <c r="I157" s="171"/>
    </row>
    <row r="158" ht="14.25" customHeight="1">
      <c r="A158" s="171"/>
      <c r="B158" s="282"/>
      <c r="C158" s="171"/>
      <c r="D158" s="171"/>
      <c r="E158" s="171"/>
      <c r="F158" s="171"/>
      <c r="G158" s="173"/>
      <c r="H158" s="170"/>
      <c r="I158" s="171"/>
    </row>
    <row r="159" ht="14.25" customHeight="1">
      <c r="A159" s="171"/>
      <c r="B159" s="282"/>
      <c r="C159" s="171"/>
      <c r="D159" s="171"/>
      <c r="E159" s="171"/>
      <c r="F159" s="171"/>
      <c r="G159" s="173"/>
      <c r="H159" s="170"/>
      <c r="I159" s="171"/>
    </row>
    <row r="160" ht="14.25" customHeight="1">
      <c r="A160" s="171"/>
      <c r="B160" s="282"/>
      <c r="C160" s="171"/>
      <c r="D160" s="171"/>
      <c r="E160" s="171"/>
      <c r="F160" s="171"/>
      <c r="G160" s="173"/>
      <c r="H160" s="170"/>
      <c r="I160" s="171"/>
    </row>
    <row r="161" ht="14.25" customHeight="1">
      <c r="A161" s="171"/>
      <c r="B161" s="282"/>
      <c r="C161" s="171"/>
      <c r="D161" s="171"/>
      <c r="E161" s="171"/>
      <c r="F161" s="171"/>
      <c r="G161" s="173"/>
      <c r="H161" s="170"/>
      <c r="I161" s="171"/>
    </row>
    <row r="162" ht="14.25" customHeight="1">
      <c r="A162" s="171"/>
      <c r="B162" s="282"/>
      <c r="C162" s="171"/>
      <c r="D162" s="171"/>
      <c r="E162" s="171"/>
      <c r="F162" s="171"/>
      <c r="G162" s="173"/>
      <c r="H162" s="170"/>
      <c r="I162" s="171"/>
    </row>
    <row r="163" ht="14.25" customHeight="1">
      <c r="A163" s="171"/>
      <c r="B163" s="282"/>
      <c r="C163" s="171"/>
      <c r="D163" s="171"/>
      <c r="E163" s="171"/>
      <c r="F163" s="171"/>
      <c r="G163" s="173"/>
      <c r="H163" s="170"/>
      <c r="I163" s="171"/>
    </row>
    <row r="164" ht="14.25" customHeight="1">
      <c r="A164" s="171"/>
      <c r="B164" s="282"/>
      <c r="C164" s="171"/>
      <c r="D164" s="171"/>
      <c r="E164" s="171"/>
      <c r="F164" s="171"/>
      <c r="G164" s="173"/>
      <c r="H164" s="170"/>
      <c r="I164" s="171"/>
    </row>
    <row r="165" ht="14.25" customHeight="1">
      <c r="A165" s="171"/>
      <c r="B165" s="282"/>
      <c r="C165" s="171"/>
      <c r="D165" s="171"/>
      <c r="E165" s="171"/>
      <c r="F165" s="171"/>
      <c r="G165" s="173"/>
      <c r="H165" s="170"/>
      <c r="I165" s="171"/>
    </row>
    <row r="166" ht="14.25" customHeight="1">
      <c r="A166" s="171"/>
      <c r="B166" s="282"/>
      <c r="C166" s="171"/>
      <c r="D166" s="171"/>
      <c r="E166" s="171"/>
      <c r="F166" s="171"/>
      <c r="G166" s="173"/>
      <c r="H166" s="170"/>
      <c r="I166" s="171"/>
    </row>
    <row r="167" ht="14.25" customHeight="1">
      <c r="A167" s="171"/>
      <c r="B167" s="282"/>
      <c r="C167" s="171"/>
      <c r="D167" s="171"/>
      <c r="E167" s="171"/>
      <c r="F167" s="171"/>
      <c r="G167" s="173"/>
      <c r="H167" s="170"/>
      <c r="I167" s="171"/>
    </row>
    <row r="168" ht="14.25" customHeight="1">
      <c r="A168" s="171"/>
      <c r="B168" s="282"/>
      <c r="C168" s="171"/>
      <c r="D168" s="171"/>
      <c r="E168" s="171"/>
      <c r="F168" s="171"/>
      <c r="G168" s="173"/>
      <c r="H168" s="170"/>
      <c r="I168" s="171"/>
    </row>
    <row r="169" ht="14.25" customHeight="1">
      <c r="A169" s="171"/>
      <c r="B169" s="282"/>
      <c r="C169" s="171"/>
      <c r="D169" s="171"/>
      <c r="E169" s="171"/>
      <c r="F169" s="171"/>
      <c r="G169" s="173"/>
      <c r="H169" s="170"/>
      <c r="I169" s="171"/>
    </row>
    <row r="170" ht="14.25" customHeight="1">
      <c r="A170" s="171"/>
      <c r="B170" s="282"/>
      <c r="C170" s="171"/>
      <c r="D170" s="171"/>
      <c r="E170" s="171"/>
      <c r="F170" s="171"/>
      <c r="G170" s="173"/>
      <c r="H170" s="170"/>
      <c r="I170" s="171"/>
    </row>
    <row r="171" ht="14.25" customHeight="1">
      <c r="A171" s="171"/>
      <c r="B171" s="282"/>
      <c r="C171" s="171"/>
      <c r="D171" s="171"/>
      <c r="E171" s="171"/>
      <c r="F171" s="171"/>
      <c r="G171" s="173"/>
      <c r="H171" s="170"/>
      <c r="I171" s="171"/>
    </row>
    <row r="172" ht="14.25" customHeight="1">
      <c r="A172" s="171"/>
      <c r="B172" s="282"/>
      <c r="C172" s="171"/>
      <c r="D172" s="171"/>
      <c r="E172" s="171"/>
      <c r="F172" s="171"/>
      <c r="G172" s="173"/>
      <c r="H172" s="170"/>
      <c r="I172" s="171"/>
    </row>
    <row r="173" ht="14.25" customHeight="1">
      <c r="A173" s="171"/>
      <c r="B173" s="282"/>
      <c r="C173" s="171"/>
      <c r="D173" s="171"/>
      <c r="E173" s="171"/>
      <c r="F173" s="171"/>
      <c r="G173" s="173"/>
      <c r="H173" s="170"/>
      <c r="I173" s="171"/>
    </row>
    <row r="174" ht="14.25" customHeight="1">
      <c r="A174" s="171"/>
      <c r="B174" s="282"/>
      <c r="C174" s="171"/>
      <c r="D174" s="171"/>
      <c r="E174" s="171"/>
      <c r="F174" s="171"/>
      <c r="G174" s="173"/>
      <c r="H174" s="170"/>
      <c r="I174" s="171"/>
    </row>
    <row r="175" ht="14.25" customHeight="1">
      <c r="A175" s="171"/>
      <c r="B175" s="282"/>
      <c r="C175" s="171"/>
      <c r="D175" s="171"/>
      <c r="E175" s="171"/>
      <c r="F175" s="171"/>
      <c r="G175" s="173"/>
      <c r="H175" s="170"/>
      <c r="I175" s="171"/>
    </row>
    <row r="176" ht="14.25" customHeight="1">
      <c r="A176" s="171"/>
      <c r="B176" s="282"/>
      <c r="C176" s="171"/>
      <c r="D176" s="171"/>
      <c r="E176" s="171"/>
      <c r="F176" s="171"/>
      <c r="G176" s="173"/>
      <c r="H176" s="170"/>
      <c r="I176" s="171"/>
    </row>
    <row r="177" ht="14.25" customHeight="1">
      <c r="A177" s="171"/>
      <c r="B177" s="282"/>
      <c r="C177" s="171"/>
      <c r="D177" s="171"/>
      <c r="E177" s="171"/>
      <c r="F177" s="171"/>
      <c r="G177" s="173"/>
      <c r="H177" s="170"/>
      <c r="I177" s="171"/>
    </row>
    <row r="178" ht="14.25" customHeight="1">
      <c r="A178" s="171"/>
      <c r="B178" s="282"/>
      <c r="C178" s="171"/>
      <c r="D178" s="171"/>
      <c r="E178" s="171"/>
      <c r="F178" s="171"/>
      <c r="G178" s="173"/>
      <c r="H178" s="170"/>
      <c r="I178" s="171"/>
    </row>
    <row r="179" ht="14.25" customHeight="1">
      <c r="A179" s="171"/>
      <c r="B179" s="282"/>
      <c r="C179" s="171"/>
      <c r="D179" s="171"/>
      <c r="E179" s="171"/>
      <c r="F179" s="171"/>
      <c r="G179" s="173"/>
      <c r="H179" s="170"/>
      <c r="I179" s="171"/>
    </row>
    <row r="180" ht="14.25" customHeight="1">
      <c r="A180" s="171"/>
      <c r="B180" s="282"/>
      <c r="C180" s="171"/>
      <c r="D180" s="171"/>
      <c r="E180" s="171"/>
      <c r="F180" s="171"/>
      <c r="G180" s="173"/>
      <c r="H180" s="170"/>
      <c r="I180" s="171"/>
    </row>
    <row r="181" ht="14.25" customHeight="1">
      <c r="A181" s="171"/>
      <c r="B181" s="282"/>
      <c r="C181" s="171"/>
      <c r="D181" s="171"/>
      <c r="E181" s="171"/>
      <c r="F181" s="171"/>
      <c r="G181" s="173"/>
      <c r="H181" s="170"/>
      <c r="I181" s="171"/>
    </row>
    <row r="182" ht="14.25" customHeight="1">
      <c r="A182" s="171"/>
      <c r="B182" s="282"/>
      <c r="C182" s="171"/>
      <c r="D182" s="171"/>
      <c r="E182" s="171"/>
      <c r="F182" s="171"/>
      <c r="G182" s="173"/>
      <c r="H182" s="170"/>
      <c r="I182" s="171"/>
    </row>
    <row r="183" ht="14.25" customHeight="1">
      <c r="A183" s="171"/>
      <c r="B183" s="282"/>
      <c r="C183" s="171"/>
      <c r="D183" s="171"/>
      <c r="E183" s="171"/>
      <c r="F183" s="171"/>
      <c r="G183" s="173"/>
      <c r="H183" s="170"/>
      <c r="I183" s="171"/>
    </row>
    <row r="184" ht="14.25" customHeight="1">
      <c r="A184" s="171"/>
      <c r="B184" s="282"/>
      <c r="C184" s="171"/>
      <c r="D184" s="171"/>
      <c r="E184" s="171"/>
      <c r="F184" s="171"/>
      <c r="G184" s="173"/>
      <c r="H184" s="170"/>
      <c r="I184" s="171"/>
    </row>
    <row r="185" ht="14.25" customHeight="1">
      <c r="A185" s="171"/>
      <c r="B185" s="282"/>
      <c r="C185" s="171"/>
      <c r="D185" s="171"/>
      <c r="E185" s="171"/>
      <c r="F185" s="171"/>
      <c r="G185" s="173"/>
      <c r="H185" s="170"/>
      <c r="I185" s="171"/>
    </row>
    <row r="186" ht="14.25" customHeight="1">
      <c r="A186" s="171"/>
      <c r="B186" s="282"/>
      <c r="C186" s="171"/>
      <c r="D186" s="171"/>
      <c r="E186" s="171"/>
      <c r="F186" s="171"/>
      <c r="G186" s="173"/>
      <c r="H186" s="170"/>
      <c r="I186" s="171"/>
    </row>
    <row r="187" ht="14.25" customHeight="1">
      <c r="A187" s="171"/>
      <c r="B187" s="282"/>
      <c r="C187" s="171"/>
      <c r="D187" s="171"/>
      <c r="E187" s="171"/>
      <c r="F187" s="171"/>
      <c r="G187" s="173"/>
      <c r="H187" s="170"/>
      <c r="I187" s="171"/>
    </row>
    <row r="188" ht="14.25" customHeight="1">
      <c r="A188" s="171"/>
      <c r="B188" s="282"/>
      <c r="C188" s="171"/>
      <c r="D188" s="171"/>
      <c r="E188" s="171"/>
      <c r="F188" s="171"/>
      <c r="G188" s="173"/>
      <c r="H188" s="170"/>
      <c r="I188" s="171"/>
    </row>
    <row r="189" ht="14.25" customHeight="1">
      <c r="A189" s="171"/>
      <c r="B189" s="282"/>
      <c r="C189" s="171"/>
      <c r="D189" s="171"/>
      <c r="E189" s="171"/>
      <c r="F189" s="171"/>
      <c r="G189" s="173"/>
      <c r="H189" s="170"/>
      <c r="I189" s="171"/>
    </row>
    <row r="190" ht="14.25" customHeight="1">
      <c r="A190" s="171"/>
      <c r="B190" s="282"/>
      <c r="C190" s="171"/>
      <c r="D190" s="171"/>
      <c r="E190" s="171"/>
      <c r="F190" s="171"/>
      <c r="G190" s="173"/>
      <c r="H190" s="170"/>
      <c r="I190" s="171"/>
    </row>
    <row r="191" ht="14.25" customHeight="1">
      <c r="A191" s="171"/>
      <c r="B191" s="282"/>
      <c r="C191" s="171"/>
      <c r="D191" s="171"/>
      <c r="E191" s="171"/>
      <c r="F191" s="171"/>
      <c r="G191" s="173"/>
      <c r="H191" s="170"/>
      <c r="I191" s="171"/>
    </row>
    <row r="192" ht="14.25" customHeight="1">
      <c r="A192" s="171"/>
      <c r="B192" s="282"/>
      <c r="C192" s="171"/>
      <c r="D192" s="171"/>
      <c r="E192" s="171"/>
      <c r="F192" s="171"/>
      <c r="G192" s="173"/>
      <c r="H192" s="170"/>
      <c r="I192" s="171"/>
    </row>
    <row r="193" ht="14.25" customHeight="1">
      <c r="A193" s="171"/>
      <c r="B193" s="282"/>
      <c r="C193" s="171"/>
      <c r="D193" s="171"/>
      <c r="E193" s="171"/>
      <c r="F193" s="171"/>
      <c r="G193" s="173"/>
      <c r="H193" s="170"/>
      <c r="I193" s="171"/>
    </row>
    <row r="194" ht="14.25" customHeight="1">
      <c r="A194" s="171"/>
      <c r="B194" s="282"/>
      <c r="C194" s="171"/>
      <c r="D194" s="171"/>
      <c r="E194" s="171"/>
      <c r="F194" s="171"/>
      <c r="G194" s="173"/>
      <c r="H194" s="170"/>
      <c r="I194" s="171"/>
    </row>
    <row r="195" ht="14.25" customHeight="1">
      <c r="A195" s="171"/>
      <c r="B195" s="282"/>
      <c r="C195" s="171"/>
      <c r="D195" s="171"/>
      <c r="E195" s="171"/>
      <c r="F195" s="171"/>
      <c r="G195" s="173"/>
      <c r="H195" s="170"/>
      <c r="I195" s="171"/>
    </row>
    <row r="196" ht="14.25" customHeight="1">
      <c r="A196" s="171"/>
      <c r="B196" s="282"/>
      <c r="C196" s="171"/>
      <c r="D196" s="171"/>
      <c r="E196" s="171"/>
      <c r="F196" s="171"/>
      <c r="G196" s="173"/>
      <c r="H196" s="170"/>
      <c r="I196" s="171"/>
    </row>
    <row r="197" ht="14.25" customHeight="1">
      <c r="A197" s="171"/>
      <c r="B197" s="282"/>
      <c r="C197" s="171"/>
      <c r="D197" s="171"/>
      <c r="E197" s="171"/>
      <c r="F197" s="171"/>
      <c r="G197" s="173"/>
      <c r="H197" s="170"/>
      <c r="I197" s="171"/>
    </row>
    <row r="198" ht="14.25" customHeight="1">
      <c r="A198" s="171"/>
      <c r="B198" s="282"/>
      <c r="C198" s="171"/>
      <c r="D198" s="171"/>
      <c r="E198" s="171"/>
      <c r="F198" s="171"/>
      <c r="G198" s="173"/>
      <c r="H198" s="170"/>
      <c r="I198" s="171"/>
    </row>
    <row r="199" ht="14.25" customHeight="1">
      <c r="A199" s="171"/>
      <c r="B199" s="282"/>
      <c r="C199" s="171"/>
      <c r="D199" s="171"/>
      <c r="E199" s="171"/>
      <c r="F199" s="171"/>
      <c r="G199" s="173"/>
      <c r="H199" s="170"/>
      <c r="I199" s="171"/>
    </row>
    <row r="200" ht="14.25" customHeight="1">
      <c r="A200" s="171"/>
      <c r="B200" s="282"/>
      <c r="C200" s="171"/>
      <c r="D200" s="171"/>
      <c r="E200" s="171"/>
      <c r="F200" s="171"/>
      <c r="G200" s="173"/>
      <c r="H200" s="170"/>
      <c r="I200" s="171"/>
    </row>
    <row r="201" ht="14.25" customHeight="1">
      <c r="A201" s="171"/>
      <c r="B201" s="282"/>
      <c r="C201" s="171"/>
      <c r="D201" s="171"/>
      <c r="E201" s="171"/>
      <c r="F201" s="171"/>
      <c r="G201" s="173"/>
      <c r="H201" s="170"/>
      <c r="I201" s="171"/>
    </row>
    <row r="202" ht="14.25" customHeight="1">
      <c r="A202" s="171"/>
      <c r="B202" s="282"/>
      <c r="C202" s="171"/>
      <c r="D202" s="171"/>
      <c r="E202" s="171"/>
      <c r="F202" s="171"/>
      <c r="G202" s="173"/>
      <c r="H202" s="170"/>
      <c r="I202" s="171"/>
    </row>
    <row r="203" ht="14.25" customHeight="1">
      <c r="A203" s="171"/>
      <c r="B203" s="282"/>
      <c r="C203" s="171"/>
      <c r="D203" s="171"/>
      <c r="E203" s="171"/>
      <c r="F203" s="171"/>
      <c r="G203" s="173"/>
      <c r="H203" s="170"/>
      <c r="I203" s="171"/>
    </row>
    <row r="204" ht="14.25" customHeight="1">
      <c r="A204" s="171"/>
      <c r="B204" s="282"/>
      <c r="C204" s="171"/>
      <c r="D204" s="171"/>
      <c r="E204" s="171"/>
      <c r="F204" s="171"/>
      <c r="G204" s="173"/>
      <c r="H204" s="170"/>
      <c r="I204" s="171"/>
    </row>
    <row r="205" ht="14.25" customHeight="1">
      <c r="A205" s="171"/>
      <c r="B205" s="282"/>
      <c r="C205" s="171"/>
      <c r="D205" s="171"/>
      <c r="E205" s="171"/>
      <c r="F205" s="171"/>
      <c r="G205" s="173"/>
      <c r="H205" s="170"/>
      <c r="I205" s="171"/>
    </row>
    <row r="206" ht="14.25" customHeight="1">
      <c r="A206" s="171"/>
      <c r="B206" s="282"/>
      <c r="C206" s="171"/>
      <c r="D206" s="171"/>
      <c r="E206" s="171"/>
      <c r="F206" s="171"/>
      <c r="G206" s="173"/>
      <c r="H206" s="170"/>
      <c r="I206" s="171"/>
    </row>
    <row r="207" ht="14.25" customHeight="1">
      <c r="A207" s="171"/>
      <c r="B207" s="282"/>
      <c r="C207" s="171"/>
      <c r="D207" s="171"/>
      <c r="E207" s="171"/>
      <c r="F207" s="171"/>
      <c r="G207" s="173"/>
      <c r="H207" s="170"/>
      <c r="I207" s="171"/>
    </row>
    <row r="208" ht="14.25" customHeight="1">
      <c r="A208" s="171"/>
      <c r="B208" s="282"/>
      <c r="C208" s="171"/>
      <c r="D208" s="171"/>
      <c r="E208" s="171"/>
      <c r="F208" s="171"/>
      <c r="G208" s="173"/>
      <c r="H208" s="170"/>
      <c r="I208" s="171"/>
    </row>
    <row r="209" ht="14.25" customHeight="1">
      <c r="A209" s="171"/>
      <c r="B209" s="282"/>
      <c r="C209" s="171"/>
      <c r="D209" s="171"/>
      <c r="E209" s="171"/>
      <c r="F209" s="171"/>
      <c r="G209" s="173"/>
      <c r="H209" s="170"/>
      <c r="I209" s="171"/>
    </row>
    <row r="210" ht="14.25" customHeight="1">
      <c r="A210" s="171"/>
      <c r="B210" s="282"/>
      <c r="C210" s="171"/>
      <c r="D210" s="171"/>
      <c r="E210" s="171"/>
      <c r="F210" s="171"/>
      <c r="G210" s="173"/>
      <c r="H210" s="170"/>
      <c r="I210" s="171"/>
    </row>
    <row r="211" ht="14.25" customHeight="1">
      <c r="A211" s="171"/>
      <c r="B211" s="282"/>
      <c r="C211" s="171"/>
      <c r="D211" s="171"/>
      <c r="E211" s="171"/>
      <c r="F211" s="171"/>
      <c r="G211" s="173"/>
      <c r="H211" s="170"/>
      <c r="I211" s="171"/>
    </row>
    <row r="212" ht="14.25" customHeight="1">
      <c r="A212" s="171"/>
      <c r="B212" s="282"/>
      <c r="C212" s="171"/>
      <c r="D212" s="171"/>
      <c r="E212" s="171"/>
      <c r="F212" s="171"/>
      <c r="G212" s="173"/>
      <c r="H212" s="170"/>
      <c r="I212" s="171"/>
    </row>
    <row r="213" ht="14.25" customHeight="1">
      <c r="A213" s="171"/>
      <c r="B213" s="282"/>
      <c r="C213" s="171"/>
      <c r="D213" s="171"/>
      <c r="E213" s="171"/>
      <c r="F213" s="171"/>
      <c r="G213" s="173"/>
      <c r="H213" s="170"/>
      <c r="I213" s="171"/>
    </row>
    <row r="214" ht="14.25" customHeight="1">
      <c r="A214" s="171"/>
      <c r="B214" s="282"/>
      <c r="C214" s="171"/>
      <c r="D214" s="171"/>
      <c r="E214" s="171"/>
      <c r="F214" s="171"/>
      <c r="G214" s="173"/>
      <c r="H214" s="170"/>
      <c r="I214" s="171"/>
    </row>
    <row r="215" ht="14.25" customHeight="1">
      <c r="A215" s="171"/>
      <c r="B215" s="282"/>
      <c r="C215" s="171"/>
      <c r="D215" s="171"/>
      <c r="E215" s="171"/>
      <c r="F215" s="171"/>
      <c r="G215" s="173"/>
      <c r="H215" s="170"/>
      <c r="I215" s="171"/>
    </row>
    <row r="216" ht="14.25" customHeight="1">
      <c r="A216" s="171"/>
      <c r="B216" s="282"/>
      <c r="C216" s="171"/>
      <c r="D216" s="171"/>
      <c r="E216" s="171"/>
      <c r="F216" s="171"/>
      <c r="G216" s="173"/>
      <c r="H216" s="170"/>
      <c r="I216" s="171"/>
    </row>
    <row r="217" ht="14.25" customHeight="1">
      <c r="A217" s="171"/>
      <c r="B217" s="282"/>
      <c r="C217" s="171"/>
      <c r="D217" s="171"/>
      <c r="E217" s="171"/>
      <c r="F217" s="171"/>
      <c r="G217" s="173"/>
      <c r="H217" s="170"/>
      <c r="I217" s="171"/>
    </row>
    <row r="218" ht="14.25" customHeight="1">
      <c r="A218" s="171"/>
      <c r="B218" s="282"/>
      <c r="C218" s="171"/>
      <c r="D218" s="171"/>
      <c r="E218" s="171"/>
      <c r="F218" s="171"/>
      <c r="G218" s="173"/>
      <c r="H218" s="170"/>
      <c r="I218" s="171"/>
    </row>
    <row r="219" ht="14.25" customHeight="1">
      <c r="A219" s="171"/>
      <c r="B219" s="282"/>
      <c r="C219" s="171"/>
      <c r="D219" s="171"/>
      <c r="E219" s="171"/>
      <c r="F219" s="171"/>
      <c r="G219" s="173"/>
      <c r="H219" s="170"/>
      <c r="I219" s="171"/>
    </row>
    <row r="220" ht="14.25" customHeight="1">
      <c r="A220" s="171"/>
      <c r="B220" s="282"/>
      <c r="C220" s="171"/>
      <c r="D220" s="171"/>
      <c r="E220" s="171"/>
      <c r="F220" s="171"/>
      <c r="G220" s="173"/>
      <c r="H220" s="170"/>
      <c r="I220" s="171"/>
    </row>
    <row r="221" ht="14.25" customHeight="1">
      <c r="A221" s="171"/>
      <c r="B221" s="282"/>
      <c r="C221" s="171"/>
      <c r="D221" s="171"/>
      <c r="E221" s="171"/>
      <c r="F221" s="171"/>
      <c r="G221" s="173"/>
      <c r="H221" s="170"/>
      <c r="I221" s="171"/>
    </row>
    <row r="222" ht="14.25" customHeight="1">
      <c r="A222" s="171"/>
      <c r="B222" s="282"/>
      <c r="C222" s="171"/>
      <c r="D222" s="171"/>
      <c r="E222" s="171"/>
      <c r="F222" s="171"/>
      <c r="G222" s="173"/>
      <c r="H222" s="170"/>
      <c r="I222" s="171"/>
    </row>
    <row r="223" ht="14.25" customHeight="1">
      <c r="A223" s="171"/>
      <c r="B223" s="282"/>
      <c r="C223" s="171"/>
      <c r="D223" s="171"/>
      <c r="E223" s="171"/>
      <c r="F223" s="171"/>
      <c r="G223" s="173"/>
      <c r="H223" s="170"/>
      <c r="I223" s="171"/>
    </row>
    <row r="224" ht="14.25" customHeight="1">
      <c r="A224" s="171"/>
      <c r="B224" s="282"/>
      <c r="C224" s="171"/>
      <c r="D224" s="171"/>
      <c r="E224" s="171"/>
      <c r="F224" s="171"/>
      <c r="G224" s="173"/>
      <c r="H224" s="170"/>
      <c r="I224" s="171"/>
    </row>
    <row r="225" ht="14.25" customHeight="1">
      <c r="A225" s="171"/>
      <c r="B225" s="282"/>
      <c r="C225" s="171"/>
      <c r="D225" s="171"/>
      <c r="E225" s="171"/>
      <c r="F225" s="171"/>
      <c r="G225" s="173"/>
      <c r="H225" s="170"/>
      <c r="I225" s="171"/>
    </row>
    <row r="226" ht="14.25" customHeight="1">
      <c r="A226" s="171"/>
      <c r="B226" s="282"/>
      <c r="C226" s="171"/>
      <c r="D226" s="171"/>
      <c r="E226" s="171"/>
      <c r="F226" s="171"/>
      <c r="G226" s="173"/>
      <c r="H226" s="170"/>
      <c r="I226" s="171"/>
    </row>
    <row r="227" ht="14.25" customHeight="1">
      <c r="A227" s="171"/>
      <c r="B227" s="282"/>
      <c r="C227" s="171"/>
      <c r="D227" s="171"/>
      <c r="E227" s="171"/>
      <c r="F227" s="171"/>
      <c r="G227" s="173"/>
      <c r="H227" s="170"/>
      <c r="I227" s="171"/>
    </row>
    <row r="228" ht="14.25" customHeight="1">
      <c r="A228" s="171"/>
      <c r="B228" s="282"/>
      <c r="C228" s="171"/>
      <c r="D228" s="171"/>
      <c r="E228" s="171"/>
      <c r="F228" s="171"/>
      <c r="G228" s="173"/>
      <c r="H228" s="170"/>
      <c r="I228" s="171"/>
    </row>
    <row r="229" ht="14.25" customHeight="1">
      <c r="A229" s="171"/>
      <c r="B229" s="282"/>
      <c r="C229" s="171"/>
      <c r="D229" s="171"/>
      <c r="E229" s="171"/>
      <c r="F229" s="171"/>
      <c r="G229" s="173"/>
      <c r="H229" s="170"/>
      <c r="I229" s="171"/>
    </row>
    <row r="230" ht="14.25" customHeight="1">
      <c r="A230" s="171"/>
      <c r="B230" s="282"/>
      <c r="C230" s="171"/>
      <c r="D230" s="171"/>
      <c r="E230" s="171"/>
      <c r="F230" s="171"/>
      <c r="G230" s="173"/>
      <c r="H230" s="170"/>
      <c r="I230" s="171"/>
    </row>
    <row r="231" ht="14.25" customHeight="1">
      <c r="A231" s="171"/>
      <c r="B231" s="282"/>
      <c r="C231" s="171"/>
      <c r="D231" s="171"/>
      <c r="E231" s="171"/>
      <c r="F231" s="171"/>
      <c r="G231" s="173"/>
      <c r="H231" s="170"/>
      <c r="I231" s="171"/>
    </row>
    <row r="232" ht="14.25" customHeight="1">
      <c r="A232" s="171"/>
      <c r="B232" s="282"/>
      <c r="C232" s="171"/>
      <c r="D232" s="171"/>
      <c r="E232" s="171"/>
      <c r="F232" s="171"/>
      <c r="G232" s="173"/>
      <c r="H232" s="170"/>
      <c r="I232" s="171"/>
    </row>
    <row r="233" ht="14.25" customHeight="1">
      <c r="A233" s="171"/>
      <c r="B233" s="282"/>
      <c r="C233" s="171"/>
      <c r="D233" s="171"/>
      <c r="E233" s="171"/>
      <c r="F233" s="171"/>
      <c r="G233" s="173"/>
      <c r="H233" s="170"/>
      <c r="I233" s="171"/>
    </row>
    <row r="234" ht="14.25" customHeight="1">
      <c r="A234" s="171"/>
      <c r="B234" s="282"/>
      <c r="C234" s="171"/>
      <c r="D234" s="171"/>
      <c r="E234" s="171"/>
      <c r="F234" s="171"/>
      <c r="G234" s="173"/>
      <c r="H234" s="170"/>
      <c r="I234" s="171"/>
    </row>
    <row r="235" ht="14.25" customHeight="1">
      <c r="A235" s="171"/>
      <c r="B235" s="282"/>
      <c r="C235" s="171"/>
      <c r="D235" s="171"/>
      <c r="E235" s="171"/>
      <c r="F235" s="171"/>
      <c r="G235" s="173"/>
      <c r="H235" s="170"/>
      <c r="I235" s="171"/>
    </row>
    <row r="236" ht="14.25" customHeight="1">
      <c r="A236" s="171"/>
      <c r="B236" s="282"/>
      <c r="C236" s="171"/>
      <c r="D236" s="171"/>
      <c r="E236" s="171"/>
      <c r="F236" s="171"/>
      <c r="G236" s="173"/>
      <c r="H236" s="170"/>
      <c r="I236" s="171"/>
    </row>
    <row r="237" ht="14.25" customHeight="1">
      <c r="A237" s="171"/>
      <c r="B237" s="282"/>
      <c r="C237" s="171"/>
      <c r="D237" s="171"/>
      <c r="E237" s="171"/>
      <c r="F237" s="171"/>
      <c r="G237" s="173"/>
      <c r="H237" s="170"/>
      <c r="I237" s="171"/>
    </row>
    <row r="238" ht="14.25" customHeight="1">
      <c r="A238" s="171"/>
      <c r="B238" s="282"/>
      <c r="C238" s="171"/>
      <c r="D238" s="171"/>
      <c r="E238" s="171"/>
      <c r="F238" s="171"/>
      <c r="G238" s="173"/>
      <c r="H238" s="170"/>
      <c r="I238" s="171"/>
    </row>
    <row r="239" ht="14.25" customHeight="1">
      <c r="A239" s="171"/>
      <c r="B239" s="282"/>
      <c r="C239" s="171"/>
      <c r="D239" s="171"/>
      <c r="E239" s="171"/>
      <c r="F239" s="171"/>
      <c r="G239" s="173"/>
      <c r="H239" s="170"/>
      <c r="I239" s="171"/>
    </row>
    <row r="240" ht="14.25" customHeight="1">
      <c r="A240" s="171"/>
      <c r="B240" s="282"/>
      <c r="C240" s="171"/>
      <c r="D240" s="171"/>
      <c r="E240" s="171"/>
      <c r="F240" s="171"/>
      <c r="G240" s="173"/>
      <c r="H240" s="170"/>
      <c r="I240" s="171"/>
    </row>
    <row r="241" ht="14.25" customHeight="1">
      <c r="A241" s="171"/>
      <c r="B241" s="282"/>
      <c r="C241" s="171"/>
      <c r="D241" s="171"/>
      <c r="E241" s="171"/>
      <c r="F241" s="171"/>
      <c r="G241" s="173"/>
      <c r="H241" s="170"/>
      <c r="I241" s="171"/>
    </row>
    <row r="242" ht="14.25" customHeight="1">
      <c r="A242" s="171"/>
      <c r="B242" s="282"/>
      <c r="C242" s="171"/>
      <c r="D242" s="171"/>
      <c r="E242" s="171"/>
      <c r="F242" s="171"/>
      <c r="G242" s="173"/>
      <c r="H242" s="170"/>
      <c r="I242" s="171"/>
    </row>
    <row r="243" ht="14.25" customHeight="1">
      <c r="A243" s="171"/>
      <c r="B243" s="282"/>
      <c r="C243" s="171"/>
      <c r="D243" s="171"/>
      <c r="E243" s="171"/>
      <c r="F243" s="171"/>
      <c r="G243" s="173"/>
      <c r="H243" s="170"/>
      <c r="I243" s="171"/>
    </row>
    <row r="244" ht="14.25" customHeight="1">
      <c r="A244" s="171"/>
      <c r="B244" s="282"/>
      <c r="C244" s="171"/>
      <c r="D244" s="171"/>
      <c r="E244" s="171"/>
      <c r="F244" s="171"/>
      <c r="G244" s="173"/>
      <c r="H244" s="170"/>
      <c r="I244" s="171"/>
    </row>
    <row r="245" ht="14.25" customHeight="1">
      <c r="A245" s="171"/>
      <c r="B245" s="282"/>
      <c r="C245" s="171"/>
      <c r="D245" s="171"/>
      <c r="E245" s="171"/>
      <c r="F245" s="171"/>
      <c r="G245" s="173"/>
      <c r="H245" s="170"/>
      <c r="I245" s="171"/>
    </row>
    <row r="246" ht="14.25" customHeight="1">
      <c r="A246" s="171"/>
      <c r="B246" s="282"/>
      <c r="C246" s="171"/>
      <c r="D246" s="171"/>
      <c r="E246" s="171"/>
      <c r="F246" s="171"/>
      <c r="G246" s="173"/>
      <c r="H246" s="170"/>
      <c r="I246" s="171"/>
    </row>
    <row r="247" ht="14.25" customHeight="1">
      <c r="A247" s="171"/>
      <c r="B247" s="282"/>
      <c r="C247" s="171"/>
      <c r="D247" s="171"/>
      <c r="E247" s="171"/>
      <c r="F247" s="171"/>
      <c r="G247" s="173"/>
      <c r="H247" s="170"/>
      <c r="I247" s="171"/>
    </row>
    <row r="248" ht="14.25" customHeight="1">
      <c r="A248" s="171"/>
      <c r="B248" s="282"/>
      <c r="C248" s="171"/>
      <c r="D248" s="171"/>
      <c r="E248" s="171"/>
      <c r="F248" s="171"/>
      <c r="G248" s="173"/>
      <c r="H248" s="170"/>
      <c r="I248" s="171"/>
    </row>
    <row r="249" ht="14.25" customHeight="1">
      <c r="A249" s="171"/>
      <c r="B249" s="282"/>
      <c r="C249" s="171"/>
      <c r="D249" s="171"/>
      <c r="E249" s="171"/>
      <c r="F249" s="171"/>
      <c r="G249" s="173"/>
      <c r="H249" s="170"/>
      <c r="I249" s="171"/>
    </row>
    <row r="250" ht="14.25" customHeight="1">
      <c r="A250" s="171"/>
      <c r="B250" s="282"/>
      <c r="C250" s="171"/>
      <c r="D250" s="171"/>
      <c r="E250" s="171"/>
      <c r="F250" s="171"/>
      <c r="G250" s="173"/>
      <c r="H250" s="170"/>
      <c r="I250" s="171"/>
    </row>
    <row r="251" ht="14.25" customHeight="1">
      <c r="A251" s="171"/>
      <c r="B251" s="282"/>
      <c r="C251" s="171"/>
      <c r="D251" s="171"/>
      <c r="E251" s="171"/>
      <c r="F251" s="171"/>
      <c r="G251" s="173"/>
      <c r="H251" s="170"/>
      <c r="I251" s="171"/>
    </row>
    <row r="252" ht="14.25" customHeight="1">
      <c r="A252" s="171"/>
      <c r="B252" s="282"/>
      <c r="C252" s="171"/>
      <c r="D252" s="171"/>
      <c r="E252" s="171"/>
      <c r="F252" s="171"/>
      <c r="G252" s="173"/>
      <c r="H252" s="170"/>
      <c r="I252" s="171"/>
    </row>
    <row r="253" ht="14.25" customHeight="1">
      <c r="A253" s="171"/>
      <c r="B253" s="282"/>
      <c r="C253" s="171"/>
      <c r="D253" s="171"/>
      <c r="E253" s="171"/>
      <c r="F253" s="171"/>
      <c r="G253" s="173"/>
      <c r="H253" s="170"/>
      <c r="I253" s="171"/>
    </row>
    <row r="254" ht="14.25" customHeight="1">
      <c r="A254" s="171"/>
      <c r="B254" s="282"/>
      <c r="C254" s="171"/>
      <c r="D254" s="171"/>
      <c r="E254" s="171"/>
      <c r="F254" s="171"/>
      <c r="G254" s="173"/>
      <c r="H254" s="170"/>
      <c r="I254" s="171"/>
    </row>
    <row r="255" ht="14.25" customHeight="1">
      <c r="A255" s="171"/>
      <c r="B255" s="282"/>
      <c r="C255" s="171"/>
      <c r="D255" s="171"/>
      <c r="E255" s="171"/>
      <c r="F255" s="171"/>
      <c r="G255" s="173"/>
      <c r="H255" s="170"/>
      <c r="I255" s="171"/>
    </row>
    <row r="256" ht="14.25" customHeight="1">
      <c r="A256" s="171"/>
      <c r="B256" s="282"/>
      <c r="C256" s="171"/>
      <c r="D256" s="171"/>
      <c r="E256" s="171"/>
      <c r="F256" s="171"/>
      <c r="G256" s="173"/>
      <c r="H256" s="170"/>
      <c r="I256" s="171"/>
    </row>
    <row r="257" ht="14.25" customHeight="1">
      <c r="A257" s="171"/>
      <c r="B257" s="282"/>
      <c r="C257" s="171"/>
      <c r="D257" s="171"/>
      <c r="E257" s="171"/>
      <c r="F257" s="171"/>
      <c r="G257" s="173"/>
      <c r="H257" s="170"/>
      <c r="I257" s="171"/>
    </row>
    <row r="258" ht="14.25" customHeight="1">
      <c r="A258" s="171"/>
      <c r="B258" s="282"/>
      <c r="C258" s="171"/>
      <c r="D258" s="171"/>
      <c r="E258" s="171"/>
      <c r="F258" s="171"/>
      <c r="G258" s="173"/>
      <c r="H258" s="170"/>
      <c r="I258" s="171"/>
    </row>
    <row r="259" ht="14.25" customHeight="1">
      <c r="A259" s="171"/>
      <c r="B259" s="282"/>
      <c r="C259" s="171"/>
      <c r="D259" s="171"/>
      <c r="E259" s="171"/>
      <c r="F259" s="171"/>
      <c r="G259" s="173"/>
      <c r="H259" s="170"/>
      <c r="I259" s="171"/>
    </row>
    <row r="260" ht="14.25" customHeight="1">
      <c r="A260" s="171"/>
      <c r="B260" s="282"/>
      <c r="C260" s="171"/>
      <c r="D260" s="171"/>
      <c r="E260" s="171"/>
      <c r="F260" s="171"/>
      <c r="G260" s="173"/>
      <c r="H260" s="170"/>
      <c r="I260" s="171"/>
    </row>
    <row r="261" ht="14.25" customHeight="1">
      <c r="A261" s="171"/>
      <c r="B261" s="282"/>
      <c r="C261" s="171"/>
      <c r="D261" s="171"/>
      <c r="E261" s="171"/>
      <c r="F261" s="171"/>
      <c r="G261" s="173"/>
      <c r="H261" s="170"/>
      <c r="I261" s="171"/>
    </row>
    <row r="262" ht="14.25" customHeight="1">
      <c r="A262" s="171"/>
      <c r="B262" s="282"/>
      <c r="C262" s="171"/>
      <c r="D262" s="171"/>
      <c r="E262" s="171"/>
      <c r="F262" s="171"/>
      <c r="G262" s="173"/>
      <c r="H262" s="170"/>
      <c r="I262" s="171"/>
    </row>
    <row r="263" ht="14.25" customHeight="1">
      <c r="A263" s="171"/>
      <c r="B263" s="282"/>
      <c r="C263" s="171"/>
      <c r="D263" s="171"/>
      <c r="E263" s="171"/>
      <c r="F263" s="171"/>
      <c r="G263" s="173"/>
      <c r="H263" s="170"/>
      <c r="I263" s="171"/>
    </row>
    <row r="264" ht="14.25" customHeight="1">
      <c r="A264" s="171"/>
      <c r="B264" s="282"/>
      <c r="C264" s="171"/>
      <c r="D264" s="171"/>
      <c r="E264" s="171"/>
      <c r="F264" s="171"/>
      <c r="G264" s="173"/>
      <c r="H264" s="170"/>
      <c r="I264" s="171"/>
    </row>
    <row r="265" ht="14.25" customHeight="1">
      <c r="A265" s="171"/>
      <c r="B265" s="282"/>
      <c r="C265" s="171"/>
      <c r="D265" s="171"/>
      <c r="E265" s="171"/>
      <c r="F265" s="171"/>
      <c r="G265" s="173"/>
      <c r="H265" s="170"/>
      <c r="I265" s="171"/>
    </row>
    <row r="266" ht="14.25" customHeight="1">
      <c r="A266" s="171"/>
      <c r="B266" s="282"/>
      <c r="C266" s="171"/>
      <c r="D266" s="171"/>
      <c r="E266" s="171"/>
      <c r="F266" s="171"/>
      <c r="G266" s="173"/>
      <c r="H266" s="170"/>
      <c r="I266" s="171"/>
    </row>
    <row r="267" ht="14.25" customHeight="1">
      <c r="A267" s="171"/>
      <c r="B267" s="282"/>
      <c r="C267" s="171"/>
      <c r="D267" s="171"/>
      <c r="E267" s="171"/>
      <c r="F267" s="171"/>
      <c r="G267" s="173"/>
      <c r="H267" s="170"/>
      <c r="I267" s="171"/>
    </row>
    <row r="268" ht="14.25" customHeight="1">
      <c r="A268" s="171"/>
      <c r="B268" s="282"/>
      <c r="C268" s="171"/>
      <c r="D268" s="171"/>
      <c r="E268" s="171"/>
      <c r="F268" s="171"/>
      <c r="G268" s="173"/>
      <c r="H268" s="170"/>
      <c r="I268" s="171"/>
    </row>
    <row r="269" ht="14.25" customHeight="1">
      <c r="A269" s="171"/>
      <c r="B269" s="282"/>
      <c r="C269" s="171"/>
      <c r="D269" s="171"/>
      <c r="E269" s="171"/>
      <c r="F269" s="171"/>
      <c r="G269" s="173"/>
      <c r="H269" s="170"/>
      <c r="I269" s="171"/>
    </row>
    <row r="270" ht="14.25" customHeight="1">
      <c r="A270" s="171"/>
      <c r="B270" s="282"/>
      <c r="C270" s="171"/>
      <c r="D270" s="171"/>
      <c r="E270" s="171"/>
      <c r="F270" s="171"/>
      <c r="G270" s="173"/>
      <c r="H270" s="170"/>
      <c r="I270" s="171"/>
    </row>
    <row r="271" ht="14.25" customHeight="1">
      <c r="A271" s="171"/>
      <c r="B271" s="282"/>
      <c r="C271" s="171"/>
      <c r="D271" s="171"/>
      <c r="E271" s="171"/>
      <c r="F271" s="171"/>
      <c r="G271" s="173"/>
      <c r="H271" s="170"/>
      <c r="I271" s="171"/>
    </row>
    <row r="272" ht="14.25" customHeight="1">
      <c r="A272" s="171"/>
      <c r="B272" s="282"/>
      <c r="C272" s="171"/>
      <c r="D272" s="171"/>
      <c r="E272" s="171"/>
      <c r="F272" s="171"/>
      <c r="G272" s="173"/>
      <c r="H272" s="170"/>
      <c r="I272" s="171"/>
    </row>
    <row r="273" ht="14.25" customHeight="1">
      <c r="A273" s="171"/>
      <c r="B273" s="282"/>
      <c r="C273" s="171"/>
      <c r="D273" s="171"/>
      <c r="E273" s="171"/>
      <c r="F273" s="171"/>
      <c r="G273" s="173"/>
      <c r="H273" s="170"/>
      <c r="I273" s="171"/>
    </row>
    <row r="274" ht="14.25" customHeight="1">
      <c r="A274" s="171"/>
      <c r="B274" s="282"/>
      <c r="C274" s="171"/>
      <c r="D274" s="171"/>
      <c r="E274" s="171"/>
      <c r="F274" s="171"/>
      <c r="G274" s="173"/>
      <c r="H274" s="170"/>
      <c r="I274" s="171"/>
    </row>
    <row r="275" ht="14.25" customHeight="1">
      <c r="A275" s="171"/>
      <c r="B275" s="282"/>
      <c r="C275" s="171"/>
      <c r="D275" s="171"/>
      <c r="E275" s="171"/>
      <c r="F275" s="171"/>
      <c r="G275" s="173"/>
      <c r="H275" s="170"/>
      <c r="I275" s="171"/>
    </row>
    <row r="276" ht="14.25" customHeight="1">
      <c r="A276" s="171"/>
      <c r="B276" s="282"/>
      <c r="C276" s="171"/>
      <c r="D276" s="171"/>
      <c r="E276" s="171"/>
      <c r="F276" s="171"/>
      <c r="G276" s="173"/>
      <c r="H276" s="170"/>
      <c r="I276" s="171"/>
    </row>
    <row r="277" ht="14.25" customHeight="1">
      <c r="A277" s="171"/>
      <c r="B277" s="282"/>
      <c r="C277" s="171"/>
      <c r="D277" s="171"/>
      <c r="E277" s="171"/>
      <c r="F277" s="171"/>
      <c r="G277" s="173"/>
      <c r="H277" s="170"/>
      <c r="I277" s="171"/>
    </row>
    <row r="278" ht="14.25" customHeight="1">
      <c r="A278" s="171"/>
      <c r="B278" s="282"/>
      <c r="C278" s="171"/>
      <c r="D278" s="171"/>
      <c r="E278" s="171"/>
      <c r="F278" s="171"/>
      <c r="G278" s="173"/>
      <c r="H278" s="170"/>
      <c r="I278" s="171"/>
    </row>
    <row r="279" ht="14.25" customHeight="1">
      <c r="A279" s="171"/>
      <c r="B279" s="282"/>
      <c r="C279" s="171"/>
      <c r="D279" s="171"/>
      <c r="E279" s="171"/>
      <c r="F279" s="171"/>
      <c r="G279" s="173"/>
      <c r="H279" s="170"/>
      <c r="I279" s="171"/>
    </row>
    <row r="280" ht="14.25" customHeight="1">
      <c r="A280" s="171"/>
      <c r="B280" s="282"/>
      <c r="C280" s="171"/>
      <c r="D280" s="171"/>
      <c r="E280" s="171"/>
      <c r="F280" s="171"/>
      <c r="G280" s="173"/>
      <c r="H280" s="170"/>
      <c r="I280" s="171"/>
    </row>
    <row r="281" ht="14.25" customHeight="1">
      <c r="A281" s="171"/>
      <c r="B281" s="282"/>
      <c r="C281" s="171"/>
      <c r="D281" s="171"/>
      <c r="E281" s="171"/>
      <c r="F281" s="171"/>
      <c r="G281" s="173"/>
      <c r="H281" s="170"/>
      <c r="I281" s="171"/>
    </row>
    <row r="282" ht="14.25" customHeight="1">
      <c r="A282" s="171"/>
      <c r="B282" s="282"/>
      <c r="C282" s="171"/>
      <c r="D282" s="171"/>
      <c r="E282" s="171"/>
      <c r="F282" s="171"/>
      <c r="G282" s="173"/>
      <c r="H282" s="170"/>
      <c r="I282" s="171"/>
    </row>
    <row r="283" ht="14.25" customHeight="1">
      <c r="A283" s="171"/>
      <c r="B283" s="282"/>
      <c r="C283" s="171"/>
      <c r="D283" s="171"/>
      <c r="E283" s="171"/>
      <c r="F283" s="171"/>
      <c r="G283" s="173"/>
      <c r="H283" s="170"/>
      <c r="I283" s="171"/>
    </row>
    <row r="284" ht="14.25" customHeight="1">
      <c r="A284" s="171"/>
      <c r="B284" s="282"/>
      <c r="C284" s="171"/>
      <c r="D284" s="171"/>
      <c r="E284" s="171"/>
      <c r="F284" s="171"/>
      <c r="G284" s="173"/>
      <c r="H284" s="170"/>
      <c r="I284" s="171"/>
    </row>
    <row r="285" ht="14.25" customHeight="1">
      <c r="A285" s="171"/>
      <c r="B285" s="282"/>
      <c r="C285" s="171"/>
      <c r="D285" s="171"/>
      <c r="E285" s="171"/>
      <c r="F285" s="171"/>
      <c r="G285" s="173"/>
      <c r="H285" s="170"/>
      <c r="I285" s="171"/>
    </row>
    <row r="286" ht="14.25" customHeight="1">
      <c r="A286" s="171"/>
      <c r="B286" s="282"/>
      <c r="C286" s="171"/>
      <c r="D286" s="171"/>
      <c r="E286" s="171"/>
      <c r="F286" s="171"/>
      <c r="G286" s="173"/>
      <c r="H286" s="170"/>
      <c r="I286" s="171"/>
    </row>
    <row r="287" ht="14.25" customHeight="1">
      <c r="A287" s="171"/>
      <c r="B287" s="282"/>
      <c r="C287" s="171"/>
      <c r="D287" s="171"/>
      <c r="E287" s="171"/>
      <c r="F287" s="171"/>
      <c r="G287" s="173"/>
      <c r="H287" s="170"/>
      <c r="I287" s="171"/>
    </row>
    <row r="288" ht="14.25" customHeight="1">
      <c r="A288" s="171"/>
      <c r="B288" s="282"/>
      <c r="C288" s="171"/>
      <c r="D288" s="171"/>
      <c r="E288" s="171"/>
      <c r="F288" s="171"/>
      <c r="G288" s="173"/>
      <c r="H288" s="170"/>
      <c r="I288" s="171"/>
    </row>
    <row r="289" ht="14.25" customHeight="1">
      <c r="A289" s="171"/>
      <c r="B289" s="282"/>
      <c r="C289" s="171"/>
      <c r="D289" s="171"/>
      <c r="E289" s="171"/>
      <c r="F289" s="171"/>
      <c r="G289" s="173"/>
      <c r="H289" s="170"/>
      <c r="I289" s="171"/>
    </row>
    <row r="290" ht="14.25" customHeight="1">
      <c r="A290" s="171"/>
      <c r="B290" s="282"/>
      <c r="C290" s="171"/>
      <c r="D290" s="171"/>
      <c r="E290" s="171"/>
      <c r="F290" s="171"/>
      <c r="G290" s="173"/>
      <c r="H290" s="170"/>
      <c r="I290" s="171"/>
    </row>
    <row r="291" ht="14.25" customHeight="1">
      <c r="A291" s="171"/>
      <c r="B291" s="282"/>
      <c r="C291" s="171"/>
      <c r="D291" s="171"/>
      <c r="E291" s="171"/>
      <c r="F291" s="171"/>
      <c r="G291" s="173"/>
      <c r="H291" s="170"/>
      <c r="I291" s="171"/>
    </row>
    <row r="292" ht="14.25" customHeight="1">
      <c r="A292" s="171"/>
      <c r="B292" s="282"/>
      <c r="C292" s="171"/>
      <c r="D292" s="171"/>
      <c r="E292" s="171"/>
      <c r="F292" s="171"/>
      <c r="G292" s="173"/>
      <c r="H292" s="170"/>
      <c r="I292" s="171"/>
    </row>
    <row r="293" ht="14.25" customHeight="1">
      <c r="A293" s="171"/>
      <c r="B293" s="282"/>
      <c r="C293" s="171"/>
      <c r="D293" s="171"/>
      <c r="E293" s="171"/>
      <c r="F293" s="171"/>
      <c r="G293" s="173"/>
      <c r="H293" s="170"/>
      <c r="I293" s="171"/>
    </row>
    <row r="294" ht="14.25" customHeight="1">
      <c r="A294" s="171"/>
      <c r="B294" s="282"/>
      <c r="C294" s="171"/>
      <c r="D294" s="171"/>
      <c r="E294" s="171"/>
      <c r="F294" s="171"/>
      <c r="G294" s="173"/>
      <c r="H294" s="170"/>
      <c r="I294" s="171"/>
    </row>
    <row r="295" ht="14.25" customHeight="1">
      <c r="A295" s="171"/>
      <c r="B295" s="282"/>
      <c r="C295" s="171"/>
      <c r="D295" s="171"/>
      <c r="E295" s="171"/>
      <c r="F295" s="171"/>
      <c r="G295" s="173"/>
      <c r="H295" s="170"/>
      <c r="I295" s="171"/>
    </row>
    <row r="296" ht="14.25" customHeight="1">
      <c r="A296" s="171"/>
      <c r="B296" s="282"/>
      <c r="C296" s="171"/>
      <c r="D296" s="171"/>
      <c r="E296" s="171"/>
      <c r="F296" s="171"/>
      <c r="G296" s="173"/>
      <c r="H296" s="170"/>
      <c r="I296" s="171"/>
    </row>
    <row r="297" ht="14.25" customHeight="1">
      <c r="A297" s="171"/>
      <c r="B297" s="282"/>
      <c r="C297" s="171"/>
      <c r="D297" s="171"/>
      <c r="E297" s="171"/>
      <c r="F297" s="171"/>
      <c r="G297" s="173"/>
      <c r="H297" s="170"/>
      <c r="I297" s="171"/>
    </row>
    <row r="298" ht="14.25" customHeight="1">
      <c r="A298" s="171"/>
      <c r="B298" s="282"/>
      <c r="C298" s="171"/>
      <c r="D298" s="171"/>
      <c r="E298" s="171"/>
      <c r="F298" s="171"/>
      <c r="G298" s="173"/>
      <c r="H298" s="170"/>
      <c r="I298" s="171"/>
    </row>
    <row r="299" ht="14.25" customHeight="1">
      <c r="A299" s="171"/>
      <c r="B299" s="282"/>
      <c r="C299" s="171"/>
      <c r="D299" s="171"/>
      <c r="E299" s="171"/>
      <c r="F299" s="171"/>
      <c r="G299" s="173"/>
      <c r="H299" s="170"/>
      <c r="I299" s="171"/>
    </row>
    <row r="300" ht="14.25" customHeight="1">
      <c r="A300" s="171"/>
      <c r="B300" s="282"/>
      <c r="C300" s="171"/>
      <c r="D300" s="171"/>
      <c r="E300" s="171"/>
      <c r="F300" s="171"/>
      <c r="G300" s="173"/>
      <c r="H300" s="170"/>
      <c r="I300" s="171"/>
    </row>
    <row r="301" ht="14.25" customHeight="1">
      <c r="A301" s="171"/>
      <c r="B301" s="282"/>
      <c r="C301" s="171"/>
      <c r="D301" s="171"/>
      <c r="E301" s="171"/>
      <c r="F301" s="171"/>
      <c r="G301" s="173"/>
      <c r="H301" s="170"/>
      <c r="I301" s="171"/>
    </row>
    <row r="302" ht="14.25" customHeight="1">
      <c r="A302" s="171"/>
      <c r="B302" s="282"/>
      <c r="C302" s="171"/>
      <c r="D302" s="171"/>
      <c r="E302" s="171"/>
      <c r="F302" s="171"/>
      <c r="G302" s="173"/>
      <c r="H302" s="170"/>
      <c r="I302" s="171"/>
    </row>
    <row r="303" ht="14.25" customHeight="1">
      <c r="A303" s="171"/>
      <c r="B303" s="282"/>
      <c r="C303" s="171"/>
      <c r="D303" s="171"/>
      <c r="E303" s="171"/>
      <c r="F303" s="171"/>
      <c r="G303" s="173"/>
      <c r="H303" s="170"/>
      <c r="I303" s="171"/>
    </row>
    <row r="304" ht="14.25" customHeight="1">
      <c r="A304" s="171"/>
      <c r="B304" s="282"/>
      <c r="C304" s="171"/>
      <c r="D304" s="171"/>
      <c r="E304" s="171"/>
      <c r="F304" s="171"/>
      <c r="G304" s="173"/>
      <c r="H304" s="170"/>
      <c r="I304" s="171"/>
    </row>
    <row r="305" ht="14.25" customHeight="1">
      <c r="A305" s="171"/>
      <c r="B305" s="282"/>
      <c r="C305" s="171"/>
      <c r="D305" s="171"/>
      <c r="E305" s="171"/>
      <c r="F305" s="171"/>
      <c r="G305" s="173"/>
      <c r="H305" s="170"/>
      <c r="I305" s="171"/>
    </row>
    <row r="306" ht="14.25" customHeight="1">
      <c r="A306" s="171"/>
      <c r="B306" s="282"/>
      <c r="C306" s="171"/>
      <c r="D306" s="171"/>
      <c r="E306" s="171"/>
      <c r="F306" s="171"/>
      <c r="G306" s="173"/>
      <c r="H306" s="170"/>
      <c r="I306" s="171"/>
    </row>
    <row r="307" ht="14.25" customHeight="1">
      <c r="A307" s="171"/>
      <c r="B307" s="282"/>
      <c r="C307" s="171"/>
      <c r="D307" s="171"/>
      <c r="E307" s="171"/>
      <c r="F307" s="171"/>
      <c r="G307" s="173"/>
      <c r="H307" s="170"/>
      <c r="I307" s="171"/>
    </row>
    <row r="308" ht="14.25" customHeight="1">
      <c r="A308" s="171"/>
      <c r="B308" s="282"/>
      <c r="C308" s="171"/>
      <c r="D308" s="171"/>
      <c r="E308" s="171"/>
      <c r="F308" s="171"/>
      <c r="G308" s="173"/>
      <c r="H308" s="170"/>
      <c r="I308" s="171"/>
    </row>
    <row r="309" ht="14.25" customHeight="1">
      <c r="A309" s="171"/>
      <c r="B309" s="282"/>
      <c r="C309" s="171"/>
      <c r="D309" s="171"/>
      <c r="E309" s="171"/>
      <c r="F309" s="171"/>
      <c r="G309" s="173"/>
      <c r="H309" s="170"/>
      <c r="I309" s="171"/>
    </row>
    <row r="310" ht="14.25" customHeight="1">
      <c r="A310" s="171"/>
      <c r="B310" s="282"/>
      <c r="C310" s="171"/>
      <c r="D310" s="171"/>
      <c r="E310" s="171"/>
      <c r="F310" s="171"/>
      <c r="G310" s="173"/>
      <c r="H310" s="170"/>
      <c r="I310" s="171"/>
    </row>
    <row r="311" ht="14.25" customHeight="1">
      <c r="A311" s="171"/>
      <c r="B311" s="282"/>
      <c r="C311" s="171"/>
      <c r="D311" s="171"/>
      <c r="E311" s="171"/>
      <c r="F311" s="171"/>
      <c r="G311" s="173"/>
      <c r="H311" s="170"/>
      <c r="I311" s="171"/>
    </row>
    <row r="312" ht="14.25" customHeight="1">
      <c r="A312" s="171"/>
      <c r="B312" s="282"/>
      <c r="C312" s="171"/>
      <c r="D312" s="171"/>
      <c r="E312" s="171"/>
      <c r="F312" s="171"/>
      <c r="G312" s="173"/>
      <c r="H312" s="170"/>
      <c r="I312" s="171"/>
    </row>
    <row r="313" ht="14.25" customHeight="1">
      <c r="A313" s="171"/>
      <c r="B313" s="282"/>
      <c r="C313" s="171"/>
      <c r="D313" s="171"/>
      <c r="E313" s="171"/>
      <c r="F313" s="171"/>
      <c r="G313" s="173"/>
      <c r="H313" s="170"/>
      <c r="I313" s="171"/>
    </row>
    <row r="314" ht="14.25" customHeight="1">
      <c r="A314" s="171"/>
      <c r="B314" s="282"/>
      <c r="C314" s="171"/>
      <c r="D314" s="171"/>
      <c r="E314" s="171"/>
      <c r="F314" s="171"/>
      <c r="G314" s="173"/>
      <c r="H314" s="170"/>
      <c r="I314" s="171"/>
    </row>
    <row r="315" ht="14.25" customHeight="1">
      <c r="A315" s="171"/>
      <c r="B315" s="282"/>
      <c r="C315" s="171"/>
      <c r="D315" s="171"/>
      <c r="E315" s="171"/>
      <c r="F315" s="171"/>
      <c r="G315" s="173"/>
      <c r="H315" s="170"/>
      <c r="I315" s="171"/>
    </row>
    <row r="316" ht="14.25" customHeight="1">
      <c r="A316" s="171"/>
      <c r="B316" s="282"/>
      <c r="C316" s="171"/>
      <c r="D316" s="171"/>
      <c r="E316" s="171"/>
      <c r="F316" s="171"/>
      <c r="G316" s="173"/>
      <c r="H316" s="170"/>
      <c r="I316" s="171"/>
    </row>
    <row r="317" ht="14.25" customHeight="1">
      <c r="A317" s="171"/>
      <c r="B317" s="282"/>
      <c r="C317" s="171"/>
      <c r="D317" s="171"/>
      <c r="E317" s="171"/>
      <c r="F317" s="171"/>
      <c r="G317" s="173"/>
      <c r="H317" s="170"/>
      <c r="I317" s="171"/>
    </row>
    <row r="318" ht="14.25" customHeight="1">
      <c r="A318" s="171"/>
      <c r="B318" s="282"/>
      <c r="C318" s="171"/>
      <c r="D318" s="171"/>
      <c r="E318" s="171"/>
      <c r="F318" s="171"/>
      <c r="G318" s="173"/>
      <c r="H318" s="170"/>
      <c r="I318" s="171"/>
    </row>
    <row r="319" ht="14.25" customHeight="1">
      <c r="A319" s="171"/>
      <c r="B319" s="282"/>
      <c r="C319" s="171"/>
      <c r="D319" s="171"/>
      <c r="E319" s="171"/>
      <c r="F319" s="171"/>
      <c r="G319" s="173"/>
      <c r="H319" s="170"/>
      <c r="I319" s="171"/>
    </row>
    <row r="320" ht="14.25" customHeight="1">
      <c r="A320" s="171"/>
      <c r="B320" s="282"/>
      <c r="C320" s="171"/>
      <c r="D320" s="171"/>
      <c r="E320" s="171"/>
      <c r="F320" s="171"/>
      <c r="G320" s="173"/>
      <c r="H320" s="170"/>
      <c r="I320" s="171"/>
    </row>
    <row r="321" ht="14.25" customHeight="1">
      <c r="A321" s="171"/>
      <c r="B321" s="282"/>
      <c r="C321" s="171"/>
      <c r="D321" s="171"/>
      <c r="E321" s="171"/>
      <c r="F321" s="171"/>
      <c r="G321" s="173"/>
      <c r="H321" s="170"/>
      <c r="I321" s="171"/>
    </row>
    <row r="322" ht="14.25" customHeight="1">
      <c r="A322" s="171"/>
      <c r="B322" s="282"/>
      <c r="C322" s="171"/>
      <c r="D322" s="171"/>
      <c r="E322" s="171"/>
      <c r="F322" s="171"/>
      <c r="G322" s="173"/>
      <c r="H322" s="170"/>
      <c r="I322" s="171"/>
    </row>
    <row r="323" ht="14.25" customHeight="1">
      <c r="A323" s="171"/>
      <c r="B323" s="282"/>
      <c r="C323" s="171"/>
      <c r="D323" s="171"/>
      <c r="E323" s="171"/>
      <c r="F323" s="171"/>
      <c r="G323" s="173"/>
      <c r="H323" s="170"/>
      <c r="I323" s="171"/>
    </row>
    <row r="324" ht="14.25" customHeight="1">
      <c r="A324" s="171"/>
      <c r="B324" s="282"/>
      <c r="C324" s="171"/>
      <c r="D324" s="171"/>
      <c r="E324" s="171"/>
      <c r="F324" s="171"/>
      <c r="G324" s="173"/>
      <c r="H324" s="170"/>
      <c r="I324" s="171"/>
    </row>
    <row r="325" ht="14.25" customHeight="1">
      <c r="A325" s="171"/>
      <c r="B325" s="282"/>
      <c r="C325" s="171"/>
      <c r="D325" s="171"/>
      <c r="E325" s="171"/>
      <c r="F325" s="171"/>
      <c r="G325" s="173"/>
      <c r="H325" s="170"/>
      <c r="I325" s="171"/>
    </row>
    <row r="326" ht="14.25" customHeight="1">
      <c r="A326" s="171"/>
      <c r="B326" s="282"/>
      <c r="C326" s="171"/>
      <c r="D326" s="171"/>
      <c r="E326" s="171"/>
      <c r="F326" s="171"/>
      <c r="G326" s="173"/>
      <c r="H326" s="170"/>
      <c r="I326" s="171"/>
    </row>
    <row r="327" ht="14.25" customHeight="1">
      <c r="A327" s="171"/>
      <c r="B327" s="282"/>
      <c r="C327" s="171"/>
      <c r="D327" s="171"/>
      <c r="E327" s="171"/>
      <c r="F327" s="171"/>
      <c r="G327" s="173"/>
      <c r="H327" s="170"/>
      <c r="I327" s="171"/>
    </row>
    <row r="328" ht="14.25" customHeight="1">
      <c r="A328" s="171"/>
      <c r="B328" s="282"/>
      <c r="C328" s="171"/>
      <c r="D328" s="171"/>
      <c r="E328" s="171"/>
      <c r="F328" s="171"/>
      <c r="G328" s="173"/>
      <c r="H328" s="170"/>
      <c r="I328" s="171"/>
    </row>
    <row r="329" ht="14.25" customHeight="1">
      <c r="A329" s="171"/>
      <c r="B329" s="282"/>
      <c r="C329" s="171"/>
      <c r="D329" s="171"/>
      <c r="E329" s="171"/>
      <c r="F329" s="171"/>
      <c r="G329" s="173"/>
      <c r="H329" s="170"/>
      <c r="I329" s="171"/>
    </row>
    <row r="330" ht="14.25" customHeight="1">
      <c r="A330" s="171"/>
      <c r="B330" s="282"/>
      <c r="C330" s="171"/>
      <c r="D330" s="171"/>
      <c r="E330" s="171"/>
      <c r="F330" s="171"/>
      <c r="G330" s="173"/>
      <c r="H330" s="170"/>
      <c r="I330" s="171"/>
    </row>
    <row r="331" ht="14.25" customHeight="1">
      <c r="A331" s="171"/>
      <c r="B331" s="282"/>
      <c r="C331" s="171"/>
      <c r="D331" s="171"/>
      <c r="E331" s="171"/>
      <c r="F331" s="171"/>
      <c r="G331" s="173"/>
      <c r="H331" s="170"/>
      <c r="I331" s="171"/>
    </row>
    <row r="332" ht="14.25" customHeight="1">
      <c r="A332" s="171"/>
      <c r="B332" s="282"/>
      <c r="C332" s="171"/>
      <c r="D332" s="171"/>
      <c r="E332" s="171"/>
      <c r="F332" s="171"/>
      <c r="G332" s="173"/>
      <c r="H332" s="170"/>
      <c r="I332" s="171"/>
    </row>
    <row r="333" ht="14.25" customHeight="1">
      <c r="A333" s="171"/>
      <c r="B333" s="282"/>
      <c r="C333" s="171"/>
      <c r="D333" s="171"/>
      <c r="E333" s="171"/>
      <c r="F333" s="171"/>
      <c r="G333" s="173"/>
      <c r="H333" s="170"/>
      <c r="I333" s="171"/>
    </row>
    <row r="334" ht="14.25" customHeight="1">
      <c r="A334" s="171"/>
      <c r="B334" s="282"/>
      <c r="C334" s="171"/>
      <c r="D334" s="171"/>
      <c r="E334" s="171"/>
      <c r="F334" s="171"/>
      <c r="G334" s="173"/>
      <c r="H334" s="170"/>
      <c r="I334" s="171"/>
    </row>
    <row r="335" ht="14.25" customHeight="1">
      <c r="A335" s="171"/>
      <c r="B335" s="282"/>
      <c r="C335" s="171"/>
      <c r="D335" s="171"/>
      <c r="E335" s="171"/>
      <c r="F335" s="171"/>
      <c r="G335" s="173"/>
      <c r="H335" s="170"/>
      <c r="I335" s="171"/>
    </row>
    <row r="336" ht="14.25" customHeight="1">
      <c r="A336" s="171"/>
      <c r="B336" s="282"/>
      <c r="C336" s="171"/>
      <c r="D336" s="171"/>
      <c r="E336" s="171"/>
      <c r="F336" s="171"/>
      <c r="G336" s="173"/>
      <c r="H336" s="170"/>
      <c r="I336" s="171"/>
    </row>
    <row r="337" ht="14.25" customHeight="1">
      <c r="A337" s="171"/>
      <c r="B337" s="282"/>
      <c r="C337" s="171"/>
      <c r="D337" s="171"/>
      <c r="E337" s="171"/>
      <c r="F337" s="171"/>
      <c r="G337" s="173"/>
      <c r="H337" s="170"/>
      <c r="I337" s="171"/>
    </row>
    <row r="338" ht="14.25" customHeight="1">
      <c r="A338" s="171"/>
      <c r="B338" s="282"/>
      <c r="C338" s="171"/>
      <c r="D338" s="171"/>
      <c r="E338" s="171"/>
      <c r="F338" s="171"/>
      <c r="G338" s="173"/>
      <c r="H338" s="170"/>
      <c r="I338" s="171"/>
    </row>
    <row r="339" ht="14.25" customHeight="1">
      <c r="A339" s="171"/>
      <c r="B339" s="282"/>
      <c r="C339" s="171"/>
      <c r="D339" s="171"/>
      <c r="E339" s="171"/>
      <c r="F339" s="171"/>
      <c r="G339" s="173"/>
      <c r="H339" s="170"/>
      <c r="I339" s="171"/>
    </row>
    <row r="340" ht="14.25" customHeight="1">
      <c r="A340" s="171"/>
      <c r="B340" s="282"/>
      <c r="C340" s="171"/>
      <c r="D340" s="171"/>
      <c r="E340" s="171"/>
      <c r="F340" s="171"/>
      <c r="G340" s="173"/>
      <c r="H340" s="170"/>
      <c r="I340" s="171"/>
    </row>
    <row r="341" ht="14.25" customHeight="1">
      <c r="A341" s="171"/>
      <c r="B341" s="282"/>
      <c r="C341" s="171"/>
      <c r="D341" s="171"/>
      <c r="E341" s="171"/>
      <c r="F341" s="171"/>
      <c r="G341" s="173"/>
      <c r="H341" s="170"/>
      <c r="I341" s="171"/>
    </row>
    <row r="342" ht="14.25" customHeight="1">
      <c r="A342" s="171"/>
      <c r="B342" s="282"/>
      <c r="C342" s="171"/>
      <c r="D342" s="171"/>
      <c r="E342" s="171"/>
      <c r="F342" s="171"/>
      <c r="G342" s="173"/>
      <c r="H342" s="170"/>
      <c r="I342" s="171"/>
    </row>
    <row r="343" ht="14.25" customHeight="1">
      <c r="A343" s="171"/>
      <c r="B343" s="282"/>
      <c r="C343" s="171"/>
      <c r="D343" s="171"/>
      <c r="E343" s="171"/>
      <c r="F343" s="171"/>
      <c r="G343" s="173"/>
      <c r="H343" s="170"/>
      <c r="I343" s="171"/>
    </row>
    <row r="344" ht="14.25" customHeight="1">
      <c r="A344" s="171"/>
      <c r="B344" s="282"/>
      <c r="C344" s="171"/>
      <c r="D344" s="171"/>
      <c r="E344" s="171"/>
      <c r="F344" s="171"/>
      <c r="G344" s="173"/>
      <c r="H344" s="170"/>
      <c r="I344" s="171"/>
    </row>
    <row r="345" ht="14.25" customHeight="1">
      <c r="A345" s="171"/>
      <c r="B345" s="282"/>
      <c r="C345" s="171"/>
      <c r="D345" s="171"/>
      <c r="E345" s="171"/>
      <c r="F345" s="171"/>
      <c r="G345" s="173"/>
      <c r="H345" s="170"/>
      <c r="I345" s="171"/>
    </row>
    <row r="346" ht="14.25" customHeight="1">
      <c r="A346" s="171"/>
      <c r="B346" s="282"/>
      <c r="C346" s="171"/>
      <c r="D346" s="171"/>
      <c r="E346" s="171"/>
      <c r="F346" s="171"/>
      <c r="G346" s="173"/>
      <c r="H346" s="170"/>
      <c r="I346" s="171"/>
    </row>
    <row r="347" ht="14.25" customHeight="1">
      <c r="A347" s="171"/>
      <c r="B347" s="282"/>
      <c r="C347" s="171"/>
      <c r="D347" s="171"/>
      <c r="E347" s="171"/>
      <c r="F347" s="171"/>
      <c r="G347" s="173"/>
      <c r="H347" s="170"/>
      <c r="I347" s="171"/>
    </row>
    <row r="348" ht="14.25" customHeight="1">
      <c r="A348" s="171"/>
      <c r="B348" s="282"/>
      <c r="C348" s="171"/>
      <c r="D348" s="171"/>
      <c r="E348" s="171"/>
      <c r="F348" s="171"/>
      <c r="G348" s="173"/>
      <c r="H348" s="170"/>
      <c r="I348" s="171"/>
    </row>
    <row r="349" ht="14.25" customHeight="1">
      <c r="A349" s="171"/>
      <c r="B349" s="282"/>
      <c r="C349" s="171"/>
      <c r="D349" s="171"/>
      <c r="E349" s="171"/>
      <c r="F349" s="171"/>
      <c r="G349" s="173"/>
      <c r="H349" s="170"/>
      <c r="I349" s="171"/>
    </row>
    <row r="350" ht="14.25" customHeight="1">
      <c r="A350" s="171"/>
      <c r="B350" s="282"/>
      <c r="C350" s="171"/>
      <c r="D350" s="171"/>
      <c r="E350" s="171"/>
      <c r="F350" s="171"/>
      <c r="G350" s="173"/>
      <c r="H350" s="170"/>
      <c r="I350" s="171"/>
    </row>
    <row r="351" ht="14.25" customHeight="1">
      <c r="A351" s="171"/>
      <c r="B351" s="282"/>
      <c r="C351" s="171"/>
      <c r="D351" s="171"/>
      <c r="E351" s="171"/>
      <c r="F351" s="171"/>
      <c r="G351" s="173"/>
      <c r="H351" s="170"/>
      <c r="I351" s="171"/>
    </row>
    <row r="352" ht="14.25" customHeight="1">
      <c r="A352" s="171"/>
      <c r="B352" s="282"/>
      <c r="C352" s="171"/>
      <c r="D352" s="171"/>
      <c r="E352" s="171"/>
      <c r="F352" s="171"/>
      <c r="G352" s="173"/>
      <c r="H352" s="170"/>
      <c r="I352" s="171"/>
    </row>
    <row r="353" ht="14.25" customHeight="1">
      <c r="A353" s="171"/>
      <c r="B353" s="282"/>
      <c r="C353" s="171"/>
      <c r="D353" s="171"/>
      <c r="E353" s="171"/>
      <c r="F353" s="171"/>
      <c r="G353" s="173"/>
      <c r="H353" s="170"/>
      <c r="I353" s="171"/>
    </row>
    <row r="354" ht="14.25" customHeight="1">
      <c r="A354" s="171"/>
      <c r="B354" s="282"/>
      <c r="C354" s="171"/>
      <c r="D354" s="171"/>
      <c r="E354" s="171"/>
      <c r="F354" s="171"/>
      <c r="G354" s="173"/>
      <c r="H354" s="170"/>
      <c r="I354" s="171"/>
    </row>
    <row r="355" ht="14.25" customHeight="1">
      <c r="A355" s="171"/>
      <c r="B355" s="282"/>
      <c r="C355" s="171"/>
      <c r="D355" s="171"/>
      <c r="E355" s="171"/>
      <c r="F355" s="171"/>
      <c r="G355" s="173"/>
      <c r="H355" s="170"/>
      <c r="I355" s="171"/>
    </row>
    <row r="356" ht="14.25" customHeight="1">
      <c r="A356" s="171"/>
      <c r="B356" s="282"/>
      <c r="C356" s="171"/>
      <c r="D356" s="171"/>
      <c r="E356" s="171"/>
      <c r="F356" s="171"/>
      <c r="G356" s="173"/>
      <c r="H356" s="170"/>
      <c r="I356" s="171"/>
    </row>
    <row r="357" ht="14.25" customHeight="1">
      <c r="A357" s="171"/>
      <c r="B357" s="282"/>
      <c r="C357" s="171"/>
      <c r="D357" s="171"/>
      <c r="E357" s="171"/>
      <c r="F357" s="171"/>
      <c r="G357" s="173"/>
      <c r="H357" s="170"/>
      <c r="I357" s="171"/>
    </row>
    <row r="358" ht="14.25" customHeight="1">
      <c r="A358" s="171"/>
      <c r="B358" s="282"/>
      <c r="C358" s="171"/>
      <c r="D358" s="171"/>
      <c r="E358" s="171"/>
      <c r="F358" s="171"/>
      <c r="G358" s="173"/>
      <c r="H358" s="170"/>
      <c r="I358" s="171"/>
    </row>
    <row r="359" ht="14.25" customHeight="1">
      <c r="A359" s="171"/>
      <c r="B359" s="282"/>
      <c r="C359" s="171"/>
      <c r="D359" s="171"/>
      <c r="E359" s="171"/>
      <c r="F359" s="171"/>
      <c r="G359" s="173"/>
      <c r="H359" s="170"/>
      <c r="I359" s="171"/>
    </row>
    <row r="360" ht="14.25" customHeight="1">
      <c r="A360" s="171"/>
      <c r="B360" s="282"/>
      <c r="C360" s="171"/>
      <c r="D360" s="171"/>
      <c r="E360" s="171"/>
      <c r="F360" s="171"/>
      <c r="G360" s="173"/>
      <c r="H360" s="170"/>
      <c r="I360" s="171"/>
    </row>
    <row r="361" ht="14.25" customHeight="1">
      <c r="A361" s="171"/>
      <c r="B361" s="282"/>
      <c r="C361" s="171"/>
      <c r="D361" s="171"/>
      <c r="E361" s="171"/>
      <c r="F361" s="171"/>
      <c r="G361" s="173"/>
      <c r="H361" s="170"/>
      <c r="I361" s="171"/>
    </row>
    <row r="362" ht="14.25" customHeight="1">
      <c r="A362" s="171"/>
      <c r="B362" s="282"/>
      <c r="C362" s="171"/>
      <c r="D362" s="171"/>
      <c r="E362" s="171"/>
      <c r="F362" s="171"/>
      <c r="G362" s="173"/>
      <c r="H362" s="170"/>
      <c r="I362" s="171"/>
    </row>
    <row r="363" ht="14.25" customHeight="1">
      <c r="A363" s="171"/>
      <c r="B363" s="282"/>
      <c r="C363" s="171"/>
      <c r="D363" s="171"/>
      <c r="E363" s="171"/>
      <c r="F363" s="171"/>
      <c r="G363" s="173"/>
      <c r="H363" s="170"/>
      <c r="I363" s="171"/>
    </row>
    <row r="364" ht="14.25" customHeight="1">
      <c r="A364" s="171"/>
      <c r="B364" s="282"/>
      <c r="C364" s="171"/>
      <c r="D364" s="171"/>
      <c r="E364" s="171"/>
      <c r="F364" s="171"/>
      <c r="G364" s="173"/>
      <c r="H364" s="170"/>
      <c r="I364" s="171"/>
    </row>
    <row r="365" ht="14.25" customHeight="1">
      <c r="A365" s="171"/>
      <c r="B365" s="282"/>
      <c r="C365" s="171"/>
      <c r="D365" s="171"/>
      <c r="E365" s="171"/>
      <c r="F365" s="171"/>
      <c r="G365" s="173"/>
      <c r="H365" s="170"/>
      <c r="I365" s="171"/>
    </row>
    <row r="366" ht="14.25" customHeight="1">
      <c r="A366" s="171"/>
      <c r="B366" s="282"/>
      <c r="C366" s="171"/>
      <c r="D366" s="171"/>
      <c r="E366" s="171"/>
      <c r="F366" s="171"/>
      <c r="G366" s="173"/>
      <c r="H366" s="170"/>
      <c r="I366" s="171"/>
    </row>
    <row r="367" ht="14.25" customHeight="1">
      <c r="A367" s="171"/>
      <c r="B367" s="282"/>
      <c r="C367" s="171"/>
      <c r="D367" s="171"/>
      <c r="E367" s="171"/>
      <c r="F367" s="171"/>
      <c r="G367" s="173"/>
      <c r="H367" s="170"/>
      <c r="I367" s="171"/>
    </row>
    <row r="368" ht="14.25" customHeight="1">
      <c r="A368" s="171"/>
      <c r="B368" s="282"/>
      <c r="C368" s="171"/>
      <c r="D368" s="171"/>
      <c r="E368" s="171"/>
      <c r="F368" s="171"/>
      <c r="G368" s="173"/>
      <c r="H368" s="170"/>
      <c r="I368" s="171"/>
    </row>
    <row r="369" ht="14.25" customHeight="1">
      <c r="A369" s="171"/>
      <c r="B369" s="282"/>
      <c r="C369" s="171"/>
      <c r="D369" s="171"/>
      <c r="E369" s="171"/>
      <c r="F369" s="171"/>
      <c r="G369" s="173"/>
      <c r="H369" s="170"/>
      <c r="I369" s="171"/>
    </row>
    <row r="370" ht="14.25" customHeight="1">
      <c r="A370" s="171"/>
      <c r="B370" s="282"/>
      <c r="C370" s="171"/>
      <c r="D370" s="171"/>
      <c r="E370" s="171"/>
      <c r="F370" s="171"/>
      <c r="G370" s="173"/>
      <c r="H370" s="170"/>
      <c r="I370" s="171"/>
    </row>
    <row r="371" ht="14.25" customHeight="1">
      <c r="A371" s="171"/>
      <c r="B371" s="282"/>
      <c r="C371" s="171"/>
      <c r="D371" s="171"/>
      <c r="E371" s="171"/>
      <c r="F371" s="171"/>
      <c r="G371" s="173"/>
      <c r="H371" s="170"/>
      <c r="I371" s="171"/>
    </row>
    <row r="372" ht="14.25" customHeight="1">
      <c r="A372" s="171"/>
      <c r="B372" s="282"/>
      <c r="C372" s="171"/>
      <c r="D372" s="171"/>
      <c r="E372" s="171"/>
      <c r="F372" s="171"/>
      <c r="G372" s="173"/>
      <c r="H372" s="170"/>
      <c r="I372" s="171"/>
    </row>
    <row r="373" ht="14.25" customHeight="1">
      <c r="A373" s="171"/>
      <c r="B373" s="282"/>
      <c r="C373" s="171"/>
      <c r="D373" s="171"/>
      <c r="E373" s="171"/>
      <c r="F373" s="171"/>
      <c r="G373" s="173"/>
      <c r="H373" s="170"/>
      <c r="I373" s="171"/>
    </row>
    <row r="374" ht="14.25" customHeight="1">
      <c r="A374" s="171"/>
      <c r="B374" s="282"/>
      <c r="C374" s="171"/>
      <c r="D374" s="171"/>
      <c r="E374" s="171"/>
      <c r="F374" s="171"/>
      <c r="G374" s="173"/>
      <c r="H374" s="170"/>
      <c r="I374" s="171"/>
    </row>
    <row r="375" ht="14.25" customHeight="1">
      <c r="A375" s="171"/>
      <c r="B375" s="282"/>
      <c r="C375" s="171"/>
      <c r="D375" s="171"/>
      <c r="E375" s="171"/>
      <c r="F375" s="171"/>
      <c r="G375" s="173"/>
      <c r="H375" s="170"/>
      <c r="I375" s="171"/>
    </row>
    <row r="376" ht="14.25" customHeight="1">
      <c r="A376" s="171"/>
      <c r="B376" s="282"/>
      <c r="C376" s="171"/>
      <c r="D376" s="171"/>
      <c r="E376" s="171"/>
      <c r="F376" s="171"/>
      <c r="G376" s="173"/>
      <c r="H376" s="170"/>
      <c r="I376" s="171"/>
    </row>
    <row r="377" ht="14.25" customHeight="1">
      <c r="A377" s="171"/>
      <c r="B377" s="282"/>
      <c r="C377" s="171"/>
      <c r="D377" s="171"/>
      <c r="E377" s="171"/>
      <c r="F377" s="171"/>
      <c r="G377" s="173"/>
      <c r="H377" s="170"/>
      <c r="I377" s="171"/>
    </row>
    <row r="378" ht="14.25" customHeight="1">
      <c r="A378" s="171"/>
      <c r="B378" s="282"/>
      <c r="C378" s="171"/>
      <c r="D378" s="171"/>
      <c r="E378" s="171"/>
      <c r="F378" s="171"/>
      <c r="G378" s="173"/>
      <c r="H378" s="170"/>
      <c r="I378" s="171"/>
    </row>
    <row r="379" ht="14.25" customHeight="1">
      <c r="A379" s="171"/>
      <c r="B379" s="282"/>
      <c r="C379" s="171"/>
      <c r="D379" s="171"/>
      <c r="E379" s="171"/>
      <c r="F379" s="171"/>
      <c r="G379" s="173"/>
      <c r="H379" s="170"/>
      <c r="I379" s="171"/>
    </row>
    <row r="380" ht="14.25" customHeight="1">
      <c r="A380" s="171"/>
      <c r="B380" s="282"/>
      <c r="C380" s="171"/>
      <c r="D380" s="171"/>
      <c r="E380" s="171"/>
      <c r="F380" s="171"/>
      <c r="G380" s="173"/>
      <c r="H380" s="170"/>
      <c r="I380" s="171"/>
    </row>
    <row r="381" ht="14.25" customHeight="1">
      <c r="A381" s="171"/>
      <c r="B381" s="282"/>
      <c r="C381" s="171"/>
      <c r="D381" s="171"/>
      <c r="E381" s="171"/>
      <c r="F381" s="171"/>
      <c r="G381" s="173"/>
      <c r="H381" s="170"/>
      <c r="I381" s="171"/>
    </row>
    <row r="382" ht="14.25" customHeight="1">
      <c r="A382" s="171"/>
      <c r="B382" s="282"/>
      <c r="C382" s="171"/>
      <c r="D382" s="171"/>
      <c r="E382" s="171"/>
      <c r="F382" s="171"/>
      <c r="G382" s="173"/>
      <c r="H382" s="170"/>
      <c r="I382" s="171"/>
    </row>
    <row r="383" ht="14.25" customHeight="1">
      <c r="A383" s="171"/>
      <c r="B383" s="282"/>
      <c r="C383" s="171"/>
      <c r="D383" s="171"/>
      <c r="E383" s="171"/>
      <c r="F383" s="171"/>
      <c r="G383" s="173"/>
      <c r="H383" s="170"/>
      <c r="I383" s="171"/>
    </row>
    <row r="384" ht="14.25" customHeight="1">
      <c r="A384" s="171"/>
      <c r="B384" s="282"/>
      <c r="C384" s="171"/>
      <c r="D384" s="171"/>
      <c r="E384" s="171"/>
      <c r="F384" s="171"/>
      <c r="G384" s="173"/>
      <c r="H384" s="170"/>
      <c r="I384" s="171"/>
    </row>
    <row r="385" ht="14.25" customHeight="1">
      <c r="A385" s="171"/>
      <c r="B385" s="282"/>
      <c r="C385" s="171"/>
      <c r="D385" s="171"/>
      <c r="E385" s="171"/>
      <c r="F385" s="171"/>
      <c r="G385" s="173"/>
      <c r="H385" s="170"/>
      <c r="I385" s="171"/>
    </row>
    <row r="386" ht="14.25" customHeight="1">
      <c r="A386" s="171"/>
      <c r="B386" s="282"/>
      <c r="C386" s="171"/>
      <c r="D386" s="171"/>
      <c r="E386" s="171"/>
      <c r="F386" s="171"/>
      <c r="G386" s="173"/>
      <c r="H386" s="170"/>
      <c r="I386" s="171"/>
    </row>
    <row r="387" ht="14.25" customHeight="1">
      <c r="A387" s="171"/>
      <c r="B387" s="282"/>
      <c r="C387" s="171"/>
      <c r="D387" s="171"/>
      <c r="E387" s="171"/>
      <c r="F387" s="171"/>
      <c r="G387" s="173"/>
      <c r="H387" s="170"/>
      <c r="I387" s="171"/>
    </row>
    <row r="388" ht="14.25" customHeight="1">
      <c r="A388" s="171"/>
      <c r="B388" s="282"/>
      <c r="C388" s="171"/>
      <c r="D388" s="171"/>
      <c r="E388" s="171"/>
      <c r="F388" s="171"/>
      <c r="G388" s="173"/>
      <c r="H388" s="170"/>
      <c r="I388" s="171"/>
    </row>
    <row r="389" ht="14.25" customHeight="1">
      <c r="A389" s="171"/>
      <c r="B389" s="282"/>
      <c r="C389" s="171"/>
      <c r="D389" s="171"/>
      <c r="E389" s="171"/>
      <c r="F389" s="171"/>
      <c r="G389" s="173"/>
      <c r="H389" s="170"/>
      <c r="I389" s="171"/>
    </row>
    <row r="390" ht="14.25" customHeight="1">
      <c r="A390" s="171"/>
      <c r="B390" s="282"/>
      <c r="C390" s="171"/>
      <c r="D390" s="171"/>
      <c r="E390" s="171"/>
      <c r="F390" s="171"/>
      <c r="G390" s="173"/>
      <c r="H390" s="170"/>
      <c r="I390" s="171"/>
    </row>
    <row r="391" ht="14.25" customHeight="1">
      <c r="A391" s="171"/>
      <c r="B391" s="282"/>
      <c r="C391" s="171"/>
      <c r="D391" s="171"/>
      <c r="E391" s="171"/>
      <c r="F391" s="171"/>
      <c r="G391" s="173"/>
      <c r="H391" s="170"/>
      <c r="I391" s="171"/>
    </row>
    <row r="392" ht="14.25" customHeight="1">
      <c r="A392" s="171"/>
      <c r="B392" s="282"/>
      <c r="C392" s="171"/>
      <c r="D392" s="171"/>
      <c r="E392" s="171"/>
      <c r="F392" s="171"/>
      <c r="G392" s="173"/>
      <c r="H392" s="170"/>
      <c r="I392" s="171"/>
    </row>
    <row r="393" ht="14.25" customHeight="1">
      <c r="A393" s="171"/>
      <c r="B393" s="282"/>
      <c r="C393" s="171"/>
      <c r="D393" s="171"/>
      <c r="E393" s="171"/>
      <c r="F393" s="171"/>
      <c r="G393" s="173"/>
      <c r="H393" s="170"/>
      <c r="I393" s="171"/>
    </row>
    <row r="394" ht="14.25" customHeight="1">
      <c r="A394" s="171"/>
      <c r="B394" s="282"/>
      <c r="C394" s="171"/>
      <c r="D394" s="171"/>
      <c r="E394" s="171"/>
      <c r="F394" s="171"/>
      <c r="G394" s="173"/>
      <c r="H394" s="170"/>
      <c r="I394" s="171"/>
    </row>
    <row r="395" ht="14.25" customHeight="1">
      <c r="A395" s="171"/>
      <c r="B395" s="282"/>
      <c r="C395" s="171"/>
      <c r="D395" s="171"/>
      <c r="E395" s="171"/>
      <c r="F395" s="171"/>
      <c r="G395" s="173"/>
      <c r="H395" s="170"/>
      <c r="I395" s="171"/>
    </row>
    <row r="396" ht="14.25" customHeight="1">
      <c r="A396" s="171"/>
      <c r="B396" s="282"/>
      <c r="C396" s="171"/>
      <c r="D396" s="171"/>
      <c r="E396" s="171"/>
      <c r="F396" s="171"/>
      <c r="G396" s="173"/>
      <c r="H396" s="170"/>
      <c r="I396" s="171"/>
    </row>
    <row r="397" ht="14.25" customHeight="1">
      <c r="A397" s="171"/>
      <c r="B397" s="282"/>
      <c r="C397" s="171"/>
      <c r="D397" s="171"/>
      <c r="E397" s="171"/>
      <c r="F397" s="171"/>
      <c r="G397" s="173"/>
      <c r="H397" s="170"/>
      <c r="I397" s="171"/>
    </row>
    <row r="398" ht="14.25" customHeight="1">
      <c r="A398" s="171"/>
      <c r="B398" s="282"/>
      <c r="C398" s="171"/>
      <c r="D398" s="171"/>
      <c r="E398" s="171"/>
      <c r="F398" s="171"/>
      <c r="G398" s="173"/>
      <c r="H398" s="170"/>
      <c r="I398" s="171"/>
    </row>
    <row r="399" ht="14.25" customHeight="1">
      <c r="A399" s="171"/>
      <c r="B399" s="282"/>
      <c r="C399" s="171"/>
      <c r="D399" s="171"/>
      <c r="E399" s="171"/>
      <c r="F399" s="171"/>
      <c r="G399" s="173"/>
      <c r="H399" s="170"/>
      <c r="I399" s="171"/>
    </row>
    <row r="400" ht="14.25" customHeight="1">
      <c r="A400" s="171"/>
      <c r="B400" s="282"/>
      <c r="C400" s="171"/>
      <c r="D400" s="171"/>
      <c r="E400" s="171"/>
      <c r="F400" s="171"/>
      <c r="G400" s="173"/>
      <c r="H400" s="170"/>
      <c r="I400" s="171"/>
    </row>
    <row r="401" ht="14.25" customHeight="1">
      <c r="A401" s="171"/>
      <c r="B401" s="282"/>
      <c r="C401" s="171"/>
      <c r="D401" s="171"/>
      <c r="E401" s="171"/>
      <c r="F401" s="171"/>
      <c r="G401" s="173"/>
      <c r="H401" s="170"/>
      <c r="I401" s="171"/>
    </row>
    <row r="402" ht="14.25" customHeight="1">
      <c r="A402" s="171"/>
      <c r="B402" s="282"/>
      <c r="C402" s="171"/>
      <c r="D402" s="171"/>
      <c r="E402" s="171"/>
      <c r="F402" s="171"/>
      <c r="G402" s="173"/>
      <c r="H402" s="170"/>
      <c r="I402" s="171"/>
    </row>
    <row r="403" ht="14.25" customHeight="1">
      <c r="A403" s="171"/>
      <c r="B403" s="282"/>
      <c r="C403" s="171"/>
      <c r="D403" s="171"/>
      <c r="E403" s="171"/>
      <c r="F403" s="171"/>
      <c r="G403" s="173"/>
      <c r="H403" s="170"/>
      <c r="I403" s="171"/>
    </row>
    <row r="404" ht="14.25" customHeight="1">
      <c r="A404" s="171"/>
      <c r="B404" s="282"/>
      <c r="C404" s="171"/>
      <c r="D404" s="171"/>
      <c r="E404" s="171"/>
      <c r="F404" s="171"/>
      <c r="G404" s="173"/>
      <c r="H404" s="170"/>
      <c r="I404" s="171"/>
    </row>
    <row r="405" ht="14.25" customHeight="1">
      <c r="A405" s="171"/>
      <c r="B405" s="282"/>
      <c r="C405" s="171"/>
      <c r="D405" s="171"/>
      <c r="E405" s="171"/>
      <c r="F405" s="171"/>
      <c r="G405" s="173"/>
      <c r="H405" s="170"/>
      <c r="I405" s="171"/>
    </row>
    <row r="406" ht="14.25" customHeight="1">
      <c r="A406" s="171"/>
      <c r="B406" s="282"/>
      <c r="C406" s="171"/>
      <c r="D406" s="171"/>
      <c r="E406" s="171"/>
      <c r="F406" s="171"/>
      <c r="G406" s="173"/>
      <c r="H406" s="170"/>
      <c r="I406" s="171"/>
    </row>
    <row r="407" ht="14.25" customHeight="1">
      <c r="A407" s="171"/>
      <c r="B407" s="282"/>
      <c r="C407" s="171"/>
      <c r="D407" s="171"/>
      <c r="E407" s="171"/>
      <c r="F407" s="171"/>
      <c r="G407" s="173"/>
      <c r="H407" s="170"/>
      <c r="I407" s="171"/>
    </row>
    <row r="408" ht="14.25" customHeight="1">
      <c r="A408" s="171"/>
      <c r="B408" s="282"/>
      <c r="C408" s="171"/>
      <c r="D408" s="171"/>
      <c r="E408" s="171"/>
      <c r="F408" s="171"/>
      <c r="G408" s="173"/>
      <c r="H408" s="170"/>
      <c r="I408" s="171"/>
    </row>
    <row r="409" ht="14.25" customHeight="1">
      <c r="A409" s="171"/>
      <c r="B409" s="282"/>
      <c r="C409" s="171"/>
      <c r="D409" s="171"/>
      <c r="E409" s="171"/>
      <c r="F409" s="171"/>
      <c r="G409" s="173"/>
      <c r="H409" s="170"/>
      <c r="I409" s="171"/>
    </row>
    <row r="410" ht="14.25" customHeight="1">
      <c r="A410" s="171"/>
      <c r="B410" s="282"/>
      <c r="C410" s="171"/>
      <c r="D410" s="171"/>
      <c r="E410" s="171"/>
      <c r="F410" s="171"/>
      <c r="G410" s="173"/>
      <c r="H410" s="170"/>
      <c r="I410" s="171"/>
    </row>
    <row r="411" ht="14.25" customHeight="1">
      <c r="A411" s="171"/>
      <c r="B411" s="282"/>
      <c r="C411" s="171"/>
      <c r="D411" s="171"/>
      <c r="E411" s="171"/>
      <c r="F411" s="171"/>
      <c r="G411" s="173"/>
      <c r="H411" s="170"/>
      <c r="I411" s="171"/>
    </row>
    <row r="412" ht="14.25" customHeight="1">
      <c r="A412" s="171"/>
      <c r="B412" s="282"/>
      <c r="C412" s="171"/>
      <c r="D412" s="171"/>
      <c r="E412" s="171"/>
      <c r="F412" s="171"/>
      <c r="G412" s="173"/>
      <c r="H412" s="170"/>
      <c r="I412" s="171"/>
    </row>
    <row r="413" ht="14.25" customHeight="1">
      <c r="A413" s="171"/>
      <c r="B413" s="282"/>
      <c r="C413" s="171"/>
      <c r="D413" s="171"/>
      <c r="E413" s="171"/>
      <c r="F413" s="171"/>
      <c r="G413" s="173"/>
      <c r="H413" s="170"/>
      <c r="I413" s="171"/>
    </row>
    <row r="414" ht="14.25" customHeight="1">
      <c r="A414" s="171"/>
      <c r="B414" s="282"/>
      <c r="C414" s="171"/>
      <c r="D414" s="171"/>
      <c r="E414" s="171"/>
      <c r="F414" s="171"/>
      <c r="G414" s="173"/>
      <c r="H414" s="170"/>
      <c r="I414" s="171"/>
    </row>
    <row r="415" ht="14.25" customHeight="1">
      <c r="A415" s="171"/>
      <c r="B415" s="282"/>
      <c r="C415" s="171"/>
      <c r="D415" s="171"/>
      <c r="E415" s="171"/>
      <c r="F415" s="171"/>
      <c r="G415" s="173"/>
      <c r="H415" s="170"/>
      <c r="I415" s="171"/>
    </row>
    <row r="416" ht="14.25" customHeight="1">
      <c r="A416" s="171"/>
      <c r="B416" s="282"/>
      <c r="C416" s="171"/>
      <c r="D416" s="171"/>
      <c r="E416" s="171"/>
      <c r="F416" s="171"/>
      <c r="G416" s="173"/>
      <c r="H416" s="170"/>
      <c r="I416" s="171"/>
    </row>
    <row r="417" ht="14.25" customHeight="1">
      <c r="A417" s="171"/>
      <c r="B417" s="282"/>
      <c r="C417" s="171"/>
      <c r="D417" s="171"/>
      <c r="E417" s="171"/>
      <c r="F417" s="171"/>
      <c r="G417" s="173"/>
      <c r="H417" s="170"/>
      <c r="I417" s="171"/>
    </row>
    <row r="418" ht="14.25" customHeight="1">
      <c r="A418" s="171"/>
      <c r="B418" s="282"/>
      <c r="C418" s="171"/>
      <c r="D418" s="171"/>
      <c r="E418" s="171"/>
      <c r="F418" s="171"/>
      <c r="G418" s="173"/>
      <c r="H418" s="170"/>
      <c r="I418" s="171"/>
    </row>
    <row r="419" ht="14.25" customHeight="1">
      <c r="A419" s="171"/>
      <c r="B419" s="282"/>
      <c r="C419" s="171"/>
      <c r="D419" s="171"/>
      <c r="E419" s="171"/>
      <c r="F419" s="171"/>
      <c r="G419" s="173"/>
      <c r="H419" s="170"/>
      <c r="I419" s="171"/>
    </row>
    <row r="420" ht="14.25" customHeight="1">
      <c r="A420" s="171"/>
      <c r="B420" s="282"/>
      <c r="C420" s="171"/>
      <c r="D420" s="171"/>
      <c r="E420" s="171"/>
      <c r="F420" s="171"/>
      <c r="G420" s="173"/>
      <c r="H420" s="170"/>
      <c r="I420" s="171"/>
    </row>
    <row r="421" ht="14.25" customHeight="1">
      <c r="A421" s="171"/>
      <c r="B421" s="282"/>
      <c r="C421" s="171"/>
      <c r="D421" s="171"/>
      <c r="E421" s="171"/>
      <c r="F421" s="171"/>
      <c r="G421" s="173"/>
      <c r="H421" s="170"/>
      <c r="I421" s="171"/>
    </row>
    <row r="422" ht="14.25" customHeight="1">
      <c r="A422" s="171"/>
      <c r="B422" s="282"/>
      <c r="C422" s="171"/>
      <c r="D422" s="171"/>
      <c r="E422" s="171"/>
      <c r="F422" s="171"/>
      <c r="G422" s="173"/>
      <c r="H422" s="170"/>
      <c r="I422" s="171"/>
    </row>
    <row r="423" ht="14.25" customHeight="1">
      <c r="A423" s="171"/>
      <c r="B423" s="282"/>
      <c r="C423" s="171"/>
      <c r="D423" s="171"/>
      <c r="E423" s="171"/>
      <c r="F423" s="171"/>
      <c r="G423" s="173"/>
      <c r="H423" s="170"/>
      <c r="I423" s="171"/>
    </row>
    <row r="424" ht="14.25" customHeight="1">
      <c r="A424" s="171"/>
      <c r="B424" s="282"/>
      <c r="C424" s="171"/>
      <c r="D424" s="171"/>
      <c r="E424" s="171"/>
      <c r="F424" s="171"/>
      <c r="G424" s="173"/>
      <c r="H424" s="170"/>
      <c r="I424" s="171"/>
    </row>
    <row r="425" ht="14.25" customHeight="1">
      <c r="A425" s="171"/>
      <c r="B425" s="282"/>
      <c r="C425" s="171"/>
      <c r="D425" s="171"/>
      <c r="E425" s="171"/>
      <c r="F425" s="171"/>
      <c r="G425" s="173"/>
      <c r="H425" s="170"/>
      <c r="I425" s="171"/>
    </row>
    <row r="426" ht="14.25" customHeight="1">
      <c r="A426" s="171"/>
      <c r="B426" s="282"/>
      <c r="C426" s="171"/>
      <c r="D426" s="171"/>
      <c r="E426" s="171"/>
      <c r="F426" s="171"/>
      <c r="G426" s="173"/>
      <c r="H426" s="170"/>
      <c r="I426" s="171"/>
    </row>
    <row r="427" ht="14.25" customHeight="1">
      <c r="A427" s="171"/>
      <c r="B427" s="282"/>
      <c r="C427" s="171"/>
      <c r="D427" s="171"/>
      <c r="E427" s="171"/>
      <c r="F427" s="171"/>
      <c r="G427" s="173"/>
      <c r="H427" s="170"/>
      <c r="I427" s="171"/>
    </row>
    <row r="428" ht="14.25" customHeight="1">
      <c r="A428" s="171"/>
      <c r="B428" s="282"/>
      <c r="C428" s="171"/>
      <c r="D428" s="171"/>
      <c r="E428" s="171"/>
      <c r="F428" s="171"/>
      <c r="G428" s="173"/>
      <c r="H428" s="170"/>
      <c r="I428" s="171"/>
    </row>
    <row r="429" ht="14.25" customHeight="1">
      <c r="A429" s="171"/>
      <c r="B429" s="282"/>
      <c r="C429" s="171"/>
      <c r="D429" s="171"/>
      <c r="E429" s="171"/>
      <c r="F429" s="171"/>
      <c r="G429" s="173"/>
      <c r="H429" s="170"/>
      <c r="I429" s="171"/>
    </row>
    <row r="430" ht="14.25" customHeight="1">
      <c r="A430" s="171"/>
      <c r="B430" s="282"/>
      <c r="C430" s="171"/>
      <c r="D430" s="171"/>
      <c r="E430" s="171"/>
      <c r="F430" s="171"/>
      <c r="G430" s="173"/>
      <c r="H430" s="170"/>
      <c r="I430" s="171"/>
    </row>
    <row r="431" ht="14.25" customHeight="1">
      <c r="A431" s="171"/>
      <c r="B431" s="282"/>
      <c r="C431" s="171"/>
      <c r="D431" s="171"/>
      <c r="E431" s="171"/>
      <c r="F431" s="171"/>
      <c r="G431" s="173"/>
      <c r="H431" s="170"/>
      <c r="I431" s="171"/>
    </row>
    <row r="432" ht="14.25" customHeight="1">
      <c r="A432" s="171"/>
      <c r="B432" s="282"/>
      <c r="C432" s="171"/>
      <c r="D432" s="171"/>
      <c r="E432" s="171"/>
      <c r="F432" s="171"/>
      <c r="G432" s="173"/>
      <c r="H432" s="170"/>
      <c r="I432" s="171"/>
    </row>
    <row r="433" ht="14.25" customHeight="1">
      <c r="A433" s="171"/>
      <c r="B433" s="282"/>
      <c r="C433" s="171"/>
      <c r="D433" s="171"/>
      <c r="E433" s="171"/>
      <c r="F433" s="171"/>
      <c r="G433" s="173"/>
      <c r="H433" s="170"/>
      <c r="I433" s="171"/>
    </row>
    <row r="434" ht="14.25" customHeight="1">
      <c r="A434" s="171"/>
      <c r="B434" s="282"/>
      <c r="C434" s="171"/>
      <c r="D434" s="171"/>
      <c r="E434" s="171"/>
      <c r="F434" s="171"/>
      <c r="G434" s="173"/>
      <c r="H434" s="170"/>
      <c r="I434" s="171"/>
    </row>
    <row r="435" ht="14.25" customHeight="1">
      <c r="A435" s="171"/>
      <c r="B435" s="282"/>
      <c r="C435" s="171"/>
      <c r="D435" s="171"/>
      <c r="E435" s="171"/>
      <c r="F435" s="171"/>
      <c r="G435" s="173"/>
      <c r="H435" s="170"/>
      <c r="I435" s="171"/>
    </row>
    <row r="436" ht="14.25" customHeight="1">
      <c r="A436" s="171"/>
      <c r="B436" s="282"/>
      <c r="C436" s="171"/>
      <c r="D436" s="171"/>
      <c r="E436" s="171"/>
      <c r="F436" s="171"/>
      <c r="G436" s="173"/>
      <c r="H436" s="170"/>
      <c r="I436" s="171"/>
    </row>
    <row r="437" ht="14.25" customHeight="1">
      <c r="A437" s="171"/>
      <c r="B437" s="282"/>
      <c r="C437" s="171"/>
      <c r="D437" s="171"/>
      <c r="E437" s="171"/>
      <c r="F437" s="171"/>
      <c r="G437" s="173"/>
      <c r="H437" s="170"/>
      <c r="I437" s="171"/>
    </row>
    <row r="438" ht="14.25" customHeight="1">
      <c r="A438" s="171"/>
      <c r="B438" s="282"/>
      <c r="C438" s="171"/>
      <c r="D438" s="171"/>
      <c r="E438" s="171"/>
      <c r="F438" s="171"/>
      <c r="G438" s="173"/>
      <c r="H438" s="170"/>
      <c r="I438" s="171"/>
    </row>
    <row r="439" ht="14.25" customHeight="1">
      <c r="A439" s="171"/>
      <c r="B439" s="282"/>
      <c r="C439" s="171"/>
      <c r="D439" s="171"/>
      <c r="E439" s="171"/>
      <c r="F439" s="171"/>
      <c r="G439" s="173"/>
      <c r="H439" s="170"/>
      <c r="I439" s="171"/>
    </row>
    <row r="440" ht="14.25" customHeight="1">
      <c r="A440" s="171"/>
      <c r="B440" s="282"/>
      <c r="C440" s="171"/>
      <c r="D440" s="171"/>
      <c r="E440" s="171"/>
      <c r="F440" s="171"/>
      <c r="G440" s="173"/>
      <c r="H440" s="170"/>
      <c r="I440" s="171"/>
    </row>
    <row r="441" ht="14.25" customHeight="1">
      <c r="A441" s="171"/>
      <c r="B441" s="282"/>
      <c r="C441" s="171"/>
      <c r="D441" s="171"/>
      <c r="E441" s="171"/>
      <c r="F441" s="171"/>
      <c r="G441" s="173"/>
      <c r="H441" s="170"/>
      <c r="I441" s="171"/>
    </row>
    <row r="442" ht="14.25" customHeight="1">
      <c r="A442" s="171"/>
      <c r="B442" s="282"/>
      <c r="C442" s="171"/>
      <c r="D442" s="171"/>
      <c r="E442" s="171"/>
      <c r="F442" s="171"/>
      <c r="G442" s="173"/>
      <c r="H442" s="170"/>
      <c r="I442" s="171"/>
    </row>
    <row r="443" ht="14.25" customHeight="1">
      <c r="A443" s="171"/>
      <c r="B443" s="282"/>
      <c r="C443" s="171"/>
      <c r="D443" s="171"/>
      <c r="E443" s="171"/>
      <c r="F443" s="171"/>
      <c r="G443" s="173"/>
      <c r="H443" s="170"/>
      <c r="I443" s="171"/>
    </row>
    <row r="444" ht="14.25" customHeight="1">
      <c r="A444" s="171"/>
      <c r="B444" s="282"/>
      <c r="C444" s="171"/>
      <c r="D444" s="171"/>
      <c r="E444" s="171"/>
      <c r="F444" s="171"/>
      <c r="G444" s="173"/>
      <c r="H444" s="170"/>
      <c r="I444" s="171"/>
    </row>
    <row r="445" ht="14.25" customHeight="1">
      <c r="A445" s="171"/>
      <c r="B445" s="282"/>
      <c r="C445" s="171"/>
      <c r="D445" s="171"/>
      <c r="E445" s="171"/>
      <c r="F445" s="171"/>
      <c r="G445" s="173"/>
      <c r="H445" s="170"/>
      <c r="I445" s="171"/>
    </row>
    <row r="446" ht="14.25" customHeight="1">
      <c r="A446" s="171"/>
      <c r="B446" s="282"/>
      <c r="C446" s="171"/>
      <c r="D446" s="171"/>
      <c r="E446" s="171"/>
      <c r="F446" s="171"/>
      <c r="G446" s="173"/>
      <c r="H446" s="170"/>
      <c r="I446" s="171"/>
    </row>
    <row r="447" ht="14.25" customHeight="1">
      <c r="A447" s="171"/>
      <c r="B447" s="282"/>
      <c r="C447" s="171"/>
      <c r="D447" s="171"/>
      <c r="E447" s="171"/>
      <c r="F447" s="171"/>
      <c r="G447" s="173"/>
      <c r="H447" s="170"/>
      <c r="I447" s="171"/>
    </row>
    <row r="448" ht="14.25" customHeight="1">
      <c r="A448" s="171"/>
      <c r="B448" s="282"/>
      <c r="C448" s="171"/>
      <c r="D448" s="171"/>
      <c r="E448" s="171"/>
      <c r="F448" s="171"/>
      <c r="G448" s="173"/>
      <c r="H448" s="170"/>
      <c r="I448" s="171"/>
    </row>
    <row r="449" ht="14.25" customHeight="1">
      <c r="A449" s="171"/>
      <c r="B449" s="282"/>
      <c r="C449" s="171"/>
      <c r="D449" s="171"/>
      <c r="E449" s="171"/>
      <c r="F449" s="171"/>
      <c r="G449" s="173"/>
      <c r="H449" s="170"/>
      <c r="I449" s="171"/>
    </row>
    <row r="450" ht="14.25" customHeight="1">
      <c r="A450" s="171"/>
      <c r="B450" s="282"/>
      <c r="C450" s="171"/>
      <c r="D450" s="171"/>
      <c r="E450" s="171"/>
      <c r="F450" s="171"/>
      <c r="G450" s="173"/>
      <c r="H450" s="170"/>
      <c r="I450" s="171"/>
    </row>
    <row r="451" ht="14.25" customHeight="1">
      <c r="A451" s="171"/>
      <c r="B451" s="282"/>
      <c r="C451" s="171"/>
      <c r="D451" s="171"/>
      <c r="E451" s="171"/>
      <c r="F451" s="171"/>
      <c r="G451" s="173"/>
      <c r="H451" s="170"/>
      <c r="I451" s="171"/>
    </row>
    <row r="452" ht="14.25" customHeight="1">
      <c r="A452" s="171"/>
      <c r="B452" s="282"/>
      <c r="C452" s="171"/>
      <c r="D452" s="171"/>
      <c r="E452" s="171"/>
      <c r="F452" s="171"/>
      <c r="G452" s="173"/>
      <c r="H452" s="170"/>
      <c r="I452" s="171"/>
    </row>
    <row r="453" ht="14.25" customHeight="1">
      <c r="A453" s="171"/>
      <c r="B453" s="282"/>
      <c r="C453" s="171"/>
      <c r="D453" s="171"/>
      <c r="E453" s="171"/>
      <c r="F453" s="171"/>
      <c r="G453" s="173"/>
      <c r="H453" s="170"/>
      <c r="I453" s="171"/>
    </row>
    <row r="454" ht="14.25" customHeight="1">
      <c r="A454" s="171"/>
      <c r="B454" s="282"/>
      <c r="C454" s="171"/>
      <c r="D454" s="171"/>
      <c r="E454" s="171"/>
      <c r="F454" s="171"/>
      <c r="G454" s="173"/>
      <c r="H454" s="170"/>
      <c r="I454" s="171"/>
    </row>
    <row r="455" ht="14.25" customHeight="1">
      <c r="A455" s="171"/>
      <c r="B455" s="282"/>
      <c r="C455" s="171"/>
      <c r="D455" s="171"/>
      <c r="E455" s="171"/>
      <c r="F455" s="171"/>
      <c r="G455" s="173"/>
      <c r="H455" s="170"/>
      <c r="I455" s="171"/>
    </row>
    <row r="456" ht="14.25" customHeight="1">
      <c r="A456" s="171"/>
      <c r="B456" s="282"/>
      <c r="C456" s="171"/>
      <c r="D456" s="171"/>
      <c r="E456" s="171"/>
      <c r="F456" s="171"/>
      <c r="G456" s="173"/>
      <c r="H456" s="170"/>
      <c r="I456" s="171"/>
    </row>
    <row r="457" ht="14.25" customHeight="1">
      <c r="A457" s="171"/>
      <c r="B457" s="282"/>
      <c r="C457" s="171"/>
      <c r="D457" s="171"/>
      <c r="E457" s="171"/>
      <c r="F457" s="171"/>
      <c r="G457" s="173"/>
      <c r="H457" s="170"/>
      <c r="I457" s="171"/>
    </row>
    <row r="458" ht="14.25" customHeight="1">
      <c r="A458" s="171"/>
      <c r="B458" s="282"/>
      <c r="C458" s="171"/>
      <c r="D458" s="171"/>
      <c r="E458" s="171"/>
      <c r="F458" s="171"/>
      <c r="G458" s="173"/>
      <c r="H458" s="170"/>
      <c r="I458" s="171"/>
    </row>
    <row r="459" ht="14.25" customHeight="1">
      <c r="A459" s="171"/>
      <c r="B459" s="282"/>
      <c r="C459" s="171"/>
      <c r="D459" s="171"/>
      <c r="E459" s="171"/>
      <c r="F459" s="171"/>
      <c r="G459" s="173"/>
      <c r="H459" s="170"/>
      <c r="I459" s="171"/>
    </row>
    <row r="460" ht="14.25" customHeight="1">
      <c r="A460" s="171"/>
      <c r="B460" s="282"/>
      <c r="C460" s="171"/>
      <c r="D460" s="171"/>
      <c r="E460" s="171"/>
      <c r="F460" s="171"/>
      <c r="G460" s="173"/>
      <c r="H460" s="170"/>
      <c r="I460" s="171"/>
    </row>
    <row r="461" ht="14.25" customHeight="1">
      <c r="A461" s="171"/>
      <c r="B461" s="282"/>
      <c r="C461" s="171"/>
      <c r="D461" s="171"/>
      <c r="E461" s="171"/>
      <c r="F461" s="171"/>
      <c r="G461" s="173"/>
      <c r="H461" s="170"/>
      <c r="I461" s="171"/>
    </row>
    <row r="462" ht="14.25" customHeight="1">
      <c r="A462" s="171"/>
      <c r="B462" s="282"/>
      <c r="C462" s="171"/>
      <c r="D462" s="171"/>
      <c r="E462" s="171"/>
      <c r="F462" s="171"/>
      <c r="G462" s="173"/>
      <c r="H462" s="170"/>
      <c r="I462" s="171"/>
    </row>
    <row r="463" ht="14.25" customHeight="1">
      <c r="A463" s="171"/>
      <c r="B463" s="282"/>
      <c r="C463" s="171"/>
      <c r="D463" s="171"/>
      <c r="E463" s="171"/>
      <c r="F463" s="171"/>
      <c r="G463" s="173"/>
      <c r="H463" s="170"/>
      <c r="I463" s="171"/>
    </row>
    <row r="464" ht="14.25" customHeight="1">
      <c r="A464" s="171"/>
      <c r="B464" s="282"/>
      <c r="C464" s="171"/>
      <c r="D464" s="171"/>
      <c r="E464" s="171"/>
      <c r="F464" s="171"/>
      <c r="G464" s="173"/>
      <c r="H464" s="170"/>
      <c r="I464" s="171"/>
    </row>
    <row r="465" ht="14.25" customHeight="1">
      <c r="A465" s="171"/>
      <c r="B465" s="282"/>
      <c r="C465" s="171"/>
      <c r="D465" s="171"/>
      <c r="E465" s="171"/>
      <c r="F465" s="171"/>
      <c r="G465" s="173"/>
      <c r="H465" s="170"/>
      <c r="I465" s="171"/>
    </row>
    <row r="466" ht="14.25" customHeight="1">
      <c r="A466" s="171"/>
      <c r="B466" s="282"/>
      <c r="C466" s="171"/>
      <c r="D466" s="171"/>
      <c r="E466" s="171"/>
      <c r="F466" s="171"/>
      <c r="G466" s="173"/>
      <c r="H466" s="170"/>
      <c r="I466" s="171"/>
    </row>
    <row r="467" ht="14.25" customHeight="1">
      <c r="A467" s="171"/>
      <c r="B467" s="282"/>
      <c r="C467" s="171"/>
      <c r="D467" s="171"/>
      <c r="E467" s="171"/>
      <c r="F467" s="171"/>
      <c r="G467" s="173"/>
      <c r="H467" s="170"/>
      <c r="I467" s="171"/>
    </row>
    <row r="468" ht="14.25" customHeight="1">
      <c r="A468" s="171"/>
      <c r="B468" s="282"/>
      <c r="C468" s="171"/>
      <c r="D468" s="171"/>
      <c r="E468" s="171"/>
      <c r="F468" s="171"/>
      <c r="G468" s="173"/>
      <c r="H468" s="170"/>
      <c r="I468" s="171"/>
    </row>
    <row r="469" ht="14.25" customHeight="1">
      <c r="A469" s="171"/>
      <c r="B469" s="282"/>
      <c r="C469" s="171"/>
      <c r="D469" s="171"/>
      <c r="E469" s="171"/>
      <c r="F469" s="171"/>
      <c r="G469" s="173"/>
      <c r="H469" s="170"/>
      <c r="I469" s="171"/>
    </row>
    <row r="470" ht="14.25" customHeight="1">
      <c r="A470" s="171"/>
      <c r="B470" s="282"/>
      <c r="C470" s="171"/>
      <c r="D470" s="171"/>
      <c r="E470" s="171"/>
      <c r="F470" s="171"/>
      <c r="G470" s="173"/>
      <c r="H470" s="170"/>
      <c r="I470" s="171"/>
    </row>
    <row r="471" ht="14.25" customHeight="1">
      <c r="A471" s="171"/>
      <c r="B471" s="282"/>
      <c r="C471" s="171"/>
      <c r="D471" s="171"/>
      <c r="E471" s="171"/>
      <c r="F471" s="171"/>
      <c r="G471" s="173"/>
      <c r="H471" s="170"/>
      <c r="I471" s="171"/>
    </row>
    <row r="472" ht="14.25" customHeight="1">
      <c r="A472" s="171"/>
      <c r="B472" s="282"/>
      <c r="C472" s="171"/>
      <c r="D472" s="171"/>
      <c r="E472" s="171"/>
      <c r="F472" s="171"/>
      <c r="G472" s="173"/>
      <c r="H472" s="170"/>
      <c r="I472" s="171"/>
    </row>
    <row r="473" ht="14.25" customHeight="1">
      <c r="A473" s="171"/>
      <c r="B473" s="282"/>
      <c r="C473" s="171"/>
      <c r="D473" s="171"/>
      <c r="E473" s="171"/>
      <c r="F473" s="171"/>
      <c r="G473" s="173"/>
      <c r="H473" s="170"/>
      <c r="I473" s="171"/>
    </row>
    <row r="474" ht="14.25" customHeight="1">
      <c r="A474" s="171"/>
      <c r="B474" s="282"/>
      <c r="C474" s="171"/>
      <c r="D474" s="171"/>
      <c r="E474" s="171"/>
      <c r="F474" s="171"/>
      <c r="G474" s="173"/>
      <c r="H474" s="170"/>
      <c r="I474" s="171"/>
    </row>
    <row r="475" ht="14.25" customHeight="1">
      <c r="A475" s="171"/>
      <c r="B475" s="282"/>
      <c r="C475" s="171"/>
      <c r="D475" s="171"/>
      <c r="E475" s="171"/>
      <c r="F475" s="171"/>
      <c r="G475" s="173"/>
      <c r="H475" s="170"/>
      <c r="I475" s="171"/>
    </row>
    <row r="476" ht="14.25" customHeight="1">
      <c r="A476" s="171"/>
      <c r="B476" s="282"/>
      <c r="C476" s="171"/>
      <c r="D476" s="171"/>
      <c r="E476" s="171"/>
      <c r="F476" s="171"/>
      <c r="G476" s="173"/>
      <c r="H476" s="170"/>
      <c r="I476" s="171"/>
    </row>
    <row r="477" ht="14.25" customHeight="1">
      <c r="A477" s="171"/>
      <c r="B477" s="282"/>
      <c r="C477" s="171"/>
      <c r="D477" s="171"/>
      <c r="E477" s="171"/>
      <c r="F477" s="171"/>
      <c r="G477" s="173"/>
      <c r="H477" s="170"/>
      <c r="I477" s="171"/>
    </row>
    <row r="478" ht="14.25" customHeight="1">
      <c r="A478" s="171"/>
      <c r="B478" s="282"/>
      <c r="C478" s="171"/>
      <c r="D478" s="171"/>
      <c r="E478" s="171"/>
      <c r="F478" s="171"/>
      <c r="G478" s="173"/>
      <c r="H478" s="170"/>
      <c r="I478" s="171"/>
    </row>
    <row r="479" ht="14.25" customHeight="1">
      <c r="A479" s="171"/>
      <c r="B479" s="282"/>
      <c r="C479" s="171"/>
      <c r="D479" s="171"/>
      <c r="E479" s="171"/>
      <c r="F479" s="171"/>
      <c r="G479" s="173"/>
      <c r="H479" s="170"/>
      <c r="I479" s="171"/>
    </row>
    <row r="480" ht="14.25" customHeight="1">
      <c r="A480" s="171"/>
      <c r="B480" s="282"/>
      <c r="C480" s="171"/>
      <c r="D480" s="171"/>
      <c r="E480" s="171"/>
      <c r="F480" s="171"/>
      <c r="G480" s="173"/>
      <c r="H480" s="170"/>
      <c r="I480" s="171"/>
    </row>
    <row r="481" ht="14.25" customHeight="1">
      <c r="A481" s="171"/>
      <c r="B481" s="282"/>
      <c r="C481" s="171"/>
      <c r="D481" s="171"/>
      <c r="E481" s="171"/>
      <c r="F481" s="171"/>
      <c r="G481" s="173"/>
      <c r="H481" s="170"/>
      <c r="I481" s="171"/>
    </row>
    <row r="482" ht="14.25" customHeight="1">
      <c r="A482" s="171"/>
      <c r="B482" s="282"/>
      <c r="C482" s="171"/>
      <c r="D482" s="171"/>
      <c r="E482" s="171"/>
      <c r="F482" s="171"/>
      <c r="G482" s="173"/>
      <c r="H482" s="170"/>
      <c r="I482" s="171"/>
    </row>
    <row r="483" ht="14.25" customHeight="1">
      <c r="A483" s="171"/>
      <c r="B483" s="282"/>
      <c r="C483" s="171"/>
      <c r="D483" s="171"/>
      <c r="E483" s="171"/>
      <c r="F483" s="171"/>
      <c r="G483" s="173"/>
      <c r="H483" s="170"/>
      <c r="I483" s="171"/>
    </row>
    <row r="484" ht="14.25" customHeight="1">
      <c r="A484" s="171"/>
      <c r="B484" s="282"/>
      <c r="C484" s="171"/>
      <c r="D484" s="171"/>
      <c r="E484" s="171"/>
      <c r="F484" s="171"/>
      <c r="G484" s="173"/>
      <c r="H484" s="170"/>
      <c r="I484" s="171"/>
    </row>
    <row r="485" ht="14.25" customHeight="1">
      <c r="A485" s="171"/>
      <c r="B485" s="282"/>
      <c r="C485" s="171"/>
      <c r="D485" s="171"/>
      <c r="E485" s="171"/>
      <c r="F485" s="171"/>
      <c r="G485" s="173"/>
      <c r="H485" s="170"/>
      <c r="I485" s="171"/>
    </row>
    <row r="486" ht="14.25" customHeight="1">
      <c r="A486" s="171"/>
      <c r="B486" s="282"/>
      <c r="C486" s="171"/>
      <c r="D486" s="171"/>
      <c r="E486" s="171"/>
      <c r="F486" s="171"/>
      <c r="G486" s="173"/>
      <c r="H486" s="170"/>
      <c r="I486" s="171"/>
    </row>
    <row r="487" ht="14.25" customHeight="1">
      <c r="A487" s="171"/>
      <c r="B487" s="282"/>
      <c r="C487" s="171"/>
      <c r="D487" s="171"/>
      <c r="E487" s="171"/>
      <c r="F487" s="171"/>
      <c r="G487" s="173"/>
      <c r="H487" s="170"/>
      <c r="I487" s="171"/>
    </row>
    <row r="488" ht="14.25" customHeight="1">
      <c r="A488" s="171"/>
      <c r="B488" s="282"/>
      <c r="C488" s="171"/>
      <c r="D488" s="171"/>
      <c r="E488" s="171"/>
      <c r="F488" s="171"/>
      <c r="G488" s="173"/>
      <c r="H488" s="170"/>
      <c r="I488" s="171"/>
    </row>
    <row r="489" ht="14.25" customHeight="1">
      <c r="A489" s="171"/>
      <c r="B489" s="282"/>
      <c r="C489" s="171"/>
      <c r="D489" s="171"/>
      <c r="E489" s="171"/>
      <c r="F489" s="171"/>
      <c r="G489" s="173"/>
      <c r="H489" s="170"/>
      <c r="I489" s="171"/>
    </row>
    <row r="490" ht="14.25" customHeight="1">
      <c r="A490" s="171"/>
      <c r="B490" s="282"/>
      <c r="C490" s="171"/>
      <c r="D490" s="171"/>
      <c r="E490" s="171"/>
      <c r="F490" s="171"/>
      <c r="G490" s="173"/>
      <c r="H490" s="170"/>
      <c r="I490" s="171"/>
    </row>
    <row r="491" ht="14.25" customHeight="1">
      <c r="A491" s="171"/>
      <c r="B491" s="282"/>
      <c r="C491" s="171"/>
      <c r="D491" s="171"/>
      <c r="E491" s="171"/>
      <c r="F491" s="171"/>
      <c r="G491" s="173"/>
      <c r="H491" s="170"/>
      <c r="I491" s="171"/>
    </row>
    <row r="492" ht="14.25" customHeight="1">
      <c r="A492" s="171"/>
      <c r="B492" s="282"/>
      <c r="C492" s="171"/>
      <c r="D492" s="171"/>
      <c r="E492" s="171"/>
      <c r="F492" s="171"/>
      <c r="G492" s="173"/>
      <c r="H492" s="170"/>
      <c r="I492" s="171"/>
    </row>
    <row r="493" ht="14.25" customHeight="1">
      <c r="A493" s="171"/>
      <c r="B493" s="282"/>
      <c r="C493" s="171"/>
      <c r="D493" s="171"/>
      <c r="E493" s="171"/>
      <c r="F493" s="171"/>
      <c r="G493" s="173"/>
      <c r="H493" s="170"/>
      <c r="I493" s="171"/>
    </row>
    <row r="494" ht="14.25" customHeight="1">
      <c r="A494" s="171"/>
      <c r="B494" s="282"/>
      <c r="C494" s="171"/>
      <c r="D494" s="171"/>
      <c r="E494" s="171"/>
      <c r="F494" s="171"/>
      <c r="G494" s="173"/>
      <c r="H494" s="170"/>
      <c r="I494" s="171"/>
    </row>
    <row r="495" ht="14.25" customHeight="1">
      <c r="A495" s="171"/>
      <c r="B495" s="282"/>
      <c r="C495" s="171"/>
      <c r="D495" s="171"/>
      <c r="E495" s="171"/>
      <c r="F495" s="171"/>
      <c r="G495" s="173"/>
      <c r="H495" s="170"/>
      <c r="I495" s="171"/>
    </row>
    <row r="496" ht="14.25" customHeight="1">
      <c r="A496" s="171"/>
      <c r="B496" s="282"/>
      <c r="C496" s="171"/>
      <c r="D496" s="171"/>
      <c r="E496" s="171"/>
      <c r="F496" s="171"/>
      <c r="G496" s="173"/>
      <c r="H496" s="170"/>
      <c r="I496" s="171"/>
    </row>
    <row r="497" ht="14.25" customHeight="1">
      <c r="A497" s="171"/>
      <c r="B497" s="282"/>
      <c r="C497" s="171"/>
      <c r="D497" s="171"/>
      <c r="E497" s="171"/>
      <c r="F497" s="171"/>
      <c r="G497" s="173"/>
      <c r="H497" s="170"/>
      <c r="I497" s="171"/>
    </row>
    <row r="498" ht="14.25" customHeight="1">
      <c r="A498" s="171"/>
      <c r="B498" s="282"/>
      <c r="C498" s="171"/>
      <c r="D498" s="171"/>
      <c r="E498" s="171"/>
      <c r="F498" s="171"/>
      <c r="G498" s="173"/>
      <c r="H498" s="170"/>
      <c r="I498" s="171"/>
    </row>
    <row r="499" ht="14.25" customHeight="1">
      <c r="A499" s="171"/>
      <c r="B499" s="282"/>
      <c r="C499" s="171"/>
      <c r="D499" s="171"/>
      <c r="E499" s="171"/>
      <c r="F499" s="171"/>
      <c r="G499" s="173"/>
      <c r="H499" s="170"/>
      <c r="I499" s="171"/>
    </row>
    <row r="500" ht="14.25" customHeight="1">
      <c r="A500" s="171"/>
      <c r="B500" s="282"/>
      <c r="C500" s="171"/>
      <c r="D500" s="171"/>
      <c r="E500" s="171"/>
      <c r="F500" s="171"/>
      <c r="G500" s="173"/>
      <c r="H500" s="170"/>
      <c r="I500" s="171"/>
    </row>
    <row r="501" ht="14.25" customHeight="1">
      <c r="A501" s="171"/>
      <c r="B501" s="282"/>
      <c r="C501" s="171"/>
      <c r="D501" s="171"/>
      <c r="E501" s="171"/>
      <c r="F501" s="171"/>
      <c r="G501" s="173"/>
      <c r="H501" s="170"/>
      <c r="I501" s="171"/>
    </row>
    <row r="502" ht="14.25" customHeight="1">
      <c r="A502" s="171"/>
      <c r="B502" s="282"/>
      <c r="C502" s="171"/>
      <c r="D502" s="171"/>
      <c r="E502" s="171"/>
      <c r="F502" s="171"/>
      <c r="G502" s="173"/>
      <c r="H502" s="170"/>
      <c r="I502" s="171"/>
    </row>
    <row r="503" ht="14.25" customHeight="1">
      <c r="A503" s="171"/>
      <c r="B503" s="282"/>
      <c r="C503" s="171"/>
      <c r="D503" s="171"/>
      <c r="E503" s="171"/>
      <c r="F503" s="171"/>
      <c r="G503" s="173"/>
      <c r="H503" s="170"/>
      <c r="I503" s="171"/>
    </row>
    <row r="504" ht="14.25" customHeight="1">
      <c r="A504" s="171"/>
      <c r="B504" s="282"/>
      <c r="C504" s="171"/>
      <c r="D504" s="171"/>
      <c r="E504" s="171"/>
      <c r="F504" s="171"/>
      <c r="G504" s="173"/>
      <c r="H504" s="170"/>
      <c r="I504" s="171"/>
    </row>
    <row r="505" ht="14.25" customHeight="1">
      <c r="A505" s="171"/>
      <c r="B505" s="282"/>
      <c r="C505" s="171"/>
      <c r="D505" s="171"/>
      <c r="E505" s="171"/>
      <c r="F505" s="171"/>
      <c r="G505" s="173"/>
      <c r="H505" s="170"/>
      <c r="I505" s="171"/>
    </row>
    <row r="506" ht="14.25" customHeight="1">
      <c r="A506" s="171"/>
      <c r="B506" s="282"/>
      <c r="C506" s="171"/>
      <c r="D506" s="171"/>
      <c r="E506" s="171"/>
      <c r="F506" s="171"/>
      <c r="G506" s="173"/>
      <c r="H506" s="170"/>
      <c r="I506" s="171"/>
    </row>
    <row r="507" ht="14.25" customHeight="1">
      <c r="A507" s="171"/>
      <c r="B507" s="282"/>
      <c r="C507" s="171"/>
      <c r="D507" s="171"/>
      <c r="E507" s="171"/>
      <c r="F507" s="171"/>
      <c r="G507" s="173"/>
      <c r="H507" s="170"/>
      <c r="I507" s="171"/>
    </row>
    <row r="508" ht="14.25" customHeight="1">
      <c r="A508" s="171"/>
      <c r="B508" s="282"/>
      <c r="C508" s="171"/>
      <c r="D508" s="171"/>
      <c r="E508" s="171"/>
      <c r="F508" s="171"/>
      <c r="G508" s="173"/>
      <c r="H508" s="170"/>
      <c r="I508" s="171"/>
    </row>
    <row r="509" ht="14.25" customHeight="1">
      <c r="A509" s="171"/>
      <c r="B509" s="282"/>
      <c r="C509" s="171"/>
      <c r="D509" s="171"/>
      <c r="E509" s="171"/>
      <c r="F509" s="171"/>
      <c r="G509" s="173"/>
      <c r="H509" s="170"/>
      <c r="I509" s="171"/>
    </row>
    <row r="510" ht="14.25" customHeight="1">
      <c r="A510" s="171"/>
      <c r="B510" s="282"/>
      <c r="C510" s="171"/>
      <c r="D510" s="171"/>
      <c r="E510" s="171"/>
      <c r="F510" s="171"/>
      <c r="G510" s="173"/>
      <c r="H510" s="170"/>
      <c r="I510" s="171"/>
    </row>
    <row r="511" ht="14.25" customHeight="1">
      <c r="A511" s="171"/>
      <c r="B511" s="282"/>
      <c r="C511" s="171"/>
      <c r="D511" s="171"/>
      <c r="E511" s="171"/>
      <c r="F511" s="171"/>
      <c r="G511" s="173"/>
      <c r="H511" s="170"/>
      <c r="I511" s="171"/>
    </row>
    <row r="512" ht="14.25" customHeight="1">
      <c r="A512" s="171"/>
      <c r="B512" s="282"/>
      <c r="C512" s="171"/>
      <c r="D512" s="171"/>
      <c r="E512" s="171"/>
      <c r="F512" s="171"/>
      <c r="G512" s="173"/>
      <c r="H512" s="170"/>
      <c r="I512" s="171"/>
    </row>
    <row r="513" ht="14.25" customHeight="1">
      <c r="A513" s="171"/>
      <c r="B513" s="282"/>
      <c r="C513" s="171"/>
      <c r="D513" s="171"/>
      <c r="E513" s="171"/>
      <c r="F513" s="171"/>
      <c r="G513" s="173"/>
      <c r="H513" s="170"/>
      <c r="I513" s="171"/>
    </row>
    <row r="514" ht="14.25" customHeight="1">
      <c r="A514" s="171"/>
      <c r="B514" s="282"/>
      <c r="C514" s="171"/>
      <c r="D514" s="171"/>
      <c r="E514" s="171"/>
      <c r="F514" s="171"/>
      <c r="G514" s="173"/>
      <c r="H514" s="170"/>
      <c r="I514" s="171"/>
    </row>
    <row r="515" ht="14.25" customHeight="1">
      <c r="A515" s="171"/>
      <c r="B515" s="282"/>
      <c r="C515" s="171"/>
      <c r="D515" s="171"/>
      <c r="E515" s="171"/>
      <c r="F515" s="171"/>
      <c r="G515" s="173"/>
      <c r="H515" s="170"/>
      <c r="I515" s="171"/>
    </row>
    <row r="516" ht="14.25" customHeight="1">
      <c r="A516" s="171"/>
      <c r="B516" s="282"/>
      <c r="C516" s="171"/>
      <c r="D516" s="171"/>
      <c r="E516" s="171"/>
      <c r="F516" s="171"/>
      <c r="G516" s="173"/>
      <c r="H516" s="170"/>
      <c r="I516" s="171"/>
    </row>
    <row r="517" ht="14.25" customHeight="1">
      <c r="A517" s="171"/>
      <c r="B517" s="282"/>
      <c r="C517" s="171"/>
      <c r="D517" s="171"/>
      <c r="E517" s="171"/>
      <c r="F517" s="171"/>
      <c r="G517" s="173"/>
      <c r="H517" s="170"/>
      <c r="I517" s="171"/>
    </row>
    <row r="518" ht="14.25" customHeight="1">
      <c r="A518" s="171"/>
      <c r="B518" s="282"/>
      <c r="C518" s="171"/>
      <c r="D518" s="171"/>
      <c r="E518" s="171"/>
      <c r="F518" s="171"/>
      <c r="G518" s="173"/>
      <c r="H518" s="170"/>
      <c r="I518" s="171"/>
    </row>
    <row r="519" ht="14.25" customHeight="1">
      <c r="A519" s="171"/>
      <c r="B519" s="282"/>
      <c r="C519" s="171"/>
      <c r="D519" s="171"/>
      <c r="E519" s="171"/>
      <c r="F519" s="171"/>
      <c r="G519" s="173"/>
      <c r="H519" s="170"/>
      <c r="I519" s="171"/>
    </row>
    <row r="520" ht="14.25" customHeight="1">
      <c r="A520" s="171"/>
      <c r="B520" s="282"/>
      <c r="C520" s="171"/>
      <c r="D520" s="171"/>
      <c r="E520" s="171"/>
      <c r="F520" s="171"/>
      <c r="G520" s="173"/>
      <c r="H520" s="170"/>
      <c r="I520" s="171"/>
    </row>
    <row r="521" ht="14.25" customHeight="1">
      <c r="A521" s="171"/>
      <c r="B521" s="282"/>
      <c r="C521" s="171"/>
      <c r="D521" s="171"/>
      <c r="E521" s="171"/>
      <c r="F521" s="171"/>
      <c r="G521" s="173"/>
      <c r="H521" s="170"/>
      <c r="I521" s="171"/>
    </row>
    <row r="522" ht="14.25" customHeight="1">
      <c r="A522" s="171"/>
      <c r="B522" s="282"/>
      <c r="C522" s="171"/>
      <c r="D522" s="171"/>
      <c r="E522" s="171"/>
      <c r="F522" s="171"/>
      <c r="G522" s="173"/>
      <c r="H522" s="170"/>
      <c r="I522" s="171"/>
    </row>
    <row r="523" ht="14.25" customHeight="1">
      <c r="A523" s="171"/>
      <c r="B523" s="282"/>
      <c r="C523" s="171"/>
      <c r="D523" s="171"/>
      <c r="E523" s="171"/>
      <c r="F523" s="171"/>
      <c r="G523" s="173"/>
      <c r="H523" s="170"/>
      <c r="I523" s="171"/>
    </row>
    <row r="524" ht="14.25" customHeight="1">
      <c r="A524" s="171"/>
      <c r="B524" s="282"/>
      <c r="C524" s="171"/>
      <c r="D524" s="171"/>
      <c r="E524" s="171"/>
      <c r="F524" s="171"/>
      <c r="G524" s="173"/>
      <c r="H524" s="170"/>
      <c r="I524" s="171"/>
    </row>
    <row r="525" ht="14.25" customHeight="1">
      <c r="A525" s="171"/>
      <c r="B525" s="282"/>
      <c r="C525" s="171"/>
      <c r="D525" s="171"/>
      <c r="E525" s="171"/>
      <c r="F525" s="171"/>
      <c r="G525" s="173"/>
      <c r="H525" s="170"/>
      <c r="I525" s="171"/>
    </row>
    <row r="526" ht="14.25" customHeight="1">
      <c r="A526" s="171"/>
      <c r="B526" s="282"/>
      <c r="C526" s="171"/>
      <c r="D526" s="171"/>
      <c r="E526" s="171"/>
      <c r="F526" s="171"/>
      <c r="G526" s="173"/>
      <c r="H526" s="170"/>
      <c r="I526" s="171"/>
    </row>
    <row r="527" ht="14.25" customHeight="1">
      <c r="A527" s="171"/>
      <c r="B527" s="282"/>
      <c r="C527" s="171"/>
      <c r="D527" s="171"/>
      <c r="E527" s="171"/>
      <c r="F527" s="171"/>
      <c r="G527" s="173"/>
      <c r="H527" s="170"/>
      <c r="I527" s="171"/>
    </row>
    <row r="528" ht="14.25" customHeight="1">
      <c r="A528" s="171"/>
      <c r="B528" s="282"/>
      <c r="C528" s="171"/>
      <c r="D528" s="171"/>
      <c r="E528" s="171"/>
      <c r="F528" s="171"/>
      <c r="G528" s="173"/>
      <c r="H528" s="170"/>
      <c r="I528" s="171"/>
    </row>
    <row r="529" ht="14.25" customHeight="1">
      <c r="A529" s="171"/>
      <c r="B529" s="282"/>
      <c r="C529" s="171"/>
      <c r="D529" s="171"/>
      <c r="E529" s="171"/>
      <c r="F529" s="171"/>
      <c r="G529" s="173"/>
      <c r="H529" s="170"/>
      <c r="I529" s="171"/>
    </row>
    <row r="530" ht="14.25" customHeight="1">
      <c r="A530" s="171"/>
      <c r="B530" s="282"/>
      <c r="C530" s="171"/>
      <c r="D530" s="171"/>
      <c r="E530" s="171"/>
      <c r="F530" s="171"/>
      <c r="G530" s="173"/>
      <c r="H530" s="170"/>
      <c r="I530" s="171"/>
    </row>
    <row r="531" ht="14.25" customHeight="1">
      <c r="A531" s="171"/>
      <c r="B531" s="282"/>
      <c r="C531" s="171"/>
      <c r="D531" s="171"/>
      <c r="E531" s="171"/>
      <c r="F531" s="171"/>
      <c r="G531" s="173"/>
      <c r="H531" s="170"/>
      <c r="I531" s="171"/>
    </row>
    <row r="532" ht="14.25" customHeight="1">
      <c r="A532" s="171"/>
      <c r="B532" s="282"/>
      <c r="C532" s="171"/>
      <c r="D532" s="171"/>
      <c r="E532" s="171"/>
      <c r="F532" s="171"/>
      <c r="G532" s="173"/>
      <c r="H532" s="170"/>
      <c r="I532" s="171"/>
    </row>
    <row r="533" ht="14.25" customHeight="1">
      <c r="A533" s="171"/>
      <c r="B533" s="282"/>
      <c r="C533" s="171"/>
      <c r="D533" s="171"/>
      <c r="E533" s="171"/>
      <c r="F533" s="171"/>
      <c r="G533" s="173"/>
      <c r="H533" s="170"/>
      <c r="I533" s="171"/>
    </row>
    <row r="534" ht="14.25" customHeight="1">
      <c r="A534" s="171"/>
      <c r="B534" s="282"/>
      <c r="C534" s="171"/>
      <c r="D534" s="171"/>
      <c r="E534" s="171"/>
      <c r="F534" s="171"/>
      <c r="G534" s="173"/>
      <c r="H534" s="170"/>
      <c r="I534" s="171"/>
    </row>
    <row r="535" ht="14.25" customHeight="1">
      <c r="A535" s="171"/>
      <c r="B535" s="282"/>
      <c r="C535" s="171"/>
      <c r="D535" s="171"/>
      <c r="E535" s="171"/>
      <c r="F535" s="171"/>
      <c r="G535" s="173"/>
      <c r="H535" s="170"/>
      <c r="I535" s="171"/>
    </row>
    <row r="536" ht="14.25" customHeight="1">
      <c r="A536" s="171"/>
      <c r="B536" s="282"/>
      <c r="C536" s="171"/>
      <c r="D536" s="171"/>
      <c r="E536" s="171"/>
      <c r="F536" s="171"/>
      <c r="G536" s="173"/>
      <c r="H536" s="170"/>
      <c r="I536" s="171"/>
    </row>
    <row r="537" ht="14.25" customHeight="1">
      <c r="A537" s="171"/>
      <c r="B537" s="282"/>
      <c r="C537" s="171"/>
      <c r="D537" s="171"/>
      <c r="E537" s="171"/>
      <c r="F537" s="171"/>
      <c r="G537" s="173"/>
      <c r="H537" s="170"/>
      <c r="I537" s="171"/>
    </row>
    <row r="538" ht="14.25" customHeight="1">
      <c r="A538" s="171"/>
      <c r="B538" s="282"/>
      <c r="C538" s="171"/>
      <c r="D538" s="171"/>
      <c r="E538" s="171"/>
      <c r="F538" s="171"/>
      <c r="G538" s="173"/>
      <c r="H538" s="170"/>
      <c r="I538" s="171"/>
    </row>
    <row r="539" ht="14.25" customHeight="1">
      <c r="A539" s="171"/>
      <c r="B539" s="282"/>
      <c r="C539" s="171"/>
      <c r="D539" s="171"/>
      <c r="E539" s="171"/>
      <c r="F539" s="171"/>
      <c r="G539" s="173"/>
      <c r="H539" s="170"/>
      <c r="I539" s="171"/>
    </row>
    <row r="540" ht="14.25" customHeight="1">
      <c r="A540" s="171"/>
      <c r="B540" s="282"/>
      <c r="C540" s="171"/>
      <c r="D540" s="171"/>
      <c r="E540" s="171"/>
      <c r="F540" s="171"/>
      <c r="G540" s="173"/>
      <c r="H540" s="170"/>
      <c r="I540" s="171"/>
    </row>
    <row r="541" ht="14.25" customHeight="1">
      <c r="A541" s="171"/>
      <c r="B541" s="282"/>
      <c r="C541" s="171"/>
      <c r="D541" s="171"/>
      <c r="E541" s="171"/>
      <c r="F541" s="171"/>
      <c r="G541" s="173"/>
      <c r="H541" s="170"/>
      <c r="I541" s="171"/>
    </row>
    <row r="542" ht="14.25" customHeight="1">
      <c r="A542" s="171"/>
      <c r="B542" s="282"/>
      <c r="C542" s="171"/>
      <c r="D542" s="171"/>
      <c r="E542" s="171"/>
      <c r="F542" s="171"/>
      <c r="G542" s="173"/>
      <c r="H542" s="170"/>
      <c r="I542" s="171"/>
    </row>
    <row r="543" ht="14.25" customHeight="1">
      <c r="A543" s="171"/>
      <c r="B543" s="282"/>
      <c r="C543" s="171"/>
      <c r="D543" s="171"/>
      <c r="E543" s="171"/>
      <c r="F543" s="171"/>
      <c r="G543" s="173"/>
      <c r="H543" s="170"/>
      <c r="I543" s="171"/>
    </row>
    <row r="544" ht="14.25" customHeight="1">
      <c r="A544" s="171"/>
      <c r="B544" s="282"/>
      <c r="C544" s="171"/>
      <c r="D544" s="171"/>
      <c r="E544" s="171"/>
      <c r="F544" s="171"/>
      <c r="G544" s="173"/>
      <c r="H544" s="170"/>
      <c r="I544" s="171"/>
    </row>
    <row r="545" ht="14.25" customHeight="1">
      <c r="A545" s="171"/>
      <c r="B545" s="282"/>
      <c r="C545" s="171"/>
      <c r="D545" s="171"/>
      <c r="E545" s="171"/>
      <c r="F545" s="171"/>
      <c r="G545" s="173"/>
      <c r="H545" s="170"/>
      <c r="I545" s="171"/>
    </row>
    <row r="546" ht="14.25" customHeight="1">
      <c r="A546" s="171"/>
      <c r="B546" s="282"/>
      <c r="C546" s="171"/>
      <c r="D546" s="171"/>
      <c r="E546" s="171"/>
      <c r="F546" s="171"/>
      <c r="G546" s="173"/>
      <c r="H546" s="170"/>
      <c r="I546" s="171"/>
    </row>
    <row r="547" ht="14.25" customHeight="1">
      <c r="A547" s="171"/>
      <c r="B547" s="282"/>
      <c r="C547" s="171"/>
      <c r="D547" s="171"/>
      <c r="E547" s="171"/>
      <c r="F547" s="171"/>
      <c r="G547" s="173"/>
      <c r="H547" s="170"/>
      <c r="I547" s="171"/>
    </row>
    <row r="548" ht="14.25" customHeight="1">
      <c r="A548" s="171"/>
      <c r="B548" s="282"/>
      <c r="C548" s="171"/>
      <c r="D548" s="171"/>
      <c r="E548" s="171"/>
      <c r="F548" s="171"/>
      <c r="G548" s="173"/>
      <c r="H548" s="170"/>
      <c r="I548" s="171"/>
    </row>
    <row r="549" ht="14.25" customHeight="1">
      <c r="A549" s="171"/>
      <c r="B549" s="282"/>
      <c r="C549" s="171"/>
      <c r="D549" s="171"/>
      <c r="E549" s="171"/>
      <c r="F549" s="171"/>
      <c r="G549" s="173"/>
      <c r="H549" s="170"/>
      <c r="I549" s="171"/>
    </row>
    <row r="550" ht="14.25" customHeight="1">
      <c r="A550" s="171"/>
      <c r="B550" s="282"/>
      <c r="C550" s="171"/>
      <c r="D550" s="171"/>
      <c r="E550" s="171"/>
      <c r="F550" s="171"/>
      <c r="G550" s="173"/>
      <c r="H550" s="170"/>
      <c r="I550" s="171"/>
    </row>
    <row r="551" ht="14.25" customHeight="1">
      <c r="A551" s="171"/>
      <c r="B551" s="282"/>
      <c r="C551" s="171"/>
      <c r="D551" s="171"/>
      <c r="E551" s="171"/>
      <c r="F551" s="171"/>
      <c r="G551" s="173"/>
      <c r="H551" s="170"/>
      <c r="I551" s="171"/>
    </row>
    <row r="552" ht="14.25" customHeight="1">
      <c r="A552" s="171"/>
      <c r="B552" s="282"/>
      <c r="C552" s="171"/>
      <c r="D552" s="171"/>
      <c r="E552" s="171"/>
      <c r="F552" s="171"/>
      <c r="G552" s="173"/>
      <c r="H552" s="170"/>
      <c r="I552" s="171"/>
    </row>
    <row r="553" ht="14.25" customHeight="1">
      <c r="A553" s="171"/>
      <c r="B553" s="282"/>
      <c r="C553" s="171"/>
      <c r="D553" s="171"/>
      <c r="E553" s="171"/>
      <c r="F553" s="171"/>
      <c r="G553" s="173"/>
      <c r="H553" s="170"/>
      <c r="I553" s="171"/>
    </row>
    <row r="554" ht="14.25" customHeight="1">
      <c r="A554" s="171"/>
      <c r="B554" s="282"/>
      <c r="C554" s="171"/>
      <c r="D554" s="171"/>
      <c r="E554" s="171"/>
      <c r="F554" s="171"/>
      <c r="G554" s="173"/>
      <c r="H554" s="170"/>
      <c r="I554" s="171"/>
    </row>
    <row r="555" ht="14.25" customHeight="1">
      <c r="A555" s="171"/>
      <c r="B555" s="282"/>
      <c r="C555" s="171"/>
      <c r="D555" s="171"/>
      <c r="E555" s="171"/>
      <c r="F555" s="171"/>
      <c r="G555" s="173"/>
      <c r="H555" s="170"/>
      <c r="I555" s="171"/>
    </row>
    <row r="556" ht="14.25" customHeight="1">
      <c r="A556" s="171"/>
      <c r="B556" s="282"/>
      <c r="C556" s="171"/>
      <c r="D556" s="171"/>
      <c r="E556" s="171"/>
      <c r="F556" s="171"/>
      <c r="G556" s="173"/>
      <c r="H556" s="170"/>
      <c r="I556" s="171"/>
    </row>
    <row r="557" ht="14.25" customHeight="1">
      <c r="A557" s="171"/>
      <c r="B557" s="282"/>
      <c r="C557" s="171"/>
      <c r="D557" s="171"/>
      <c r="E557" s="171"/>
      <c r="F557" s="171"/>
      <c r="G557" s="173"/>
      <c r="H557" s="170"/>
      <c r="I557" s="171"/>
    </row>
    <row r="558" ht="14.25" customHeight="1">
      <c r="A558" s="171"/>
      <c r="B558" s="282"/>
      <c r="C558" s="171"/>
      <c r="D558" s="171"/>
      <c r="E558" s="171"/>
      <c r="F558" s="171"/>
      <c r="G558" s="173"/>
      <c r="H558" s="170"/>
      <c r="I558" s="171"/>
    </row>
    <row r="559" ht="14.25" customHeight="1">
      <c r="A559" s="171"/>
      <c r="B559" s="282"/>
      <c r="C559" s="171"/>
      <c r="D559" s="171"/>
      <c r="E559" s="171"/>
      <c r="F559" s="171"/>
      <c r="G559" s="173"/>
      <c r="H559" s="170"/>
      <c r="I559" s="171"/>
    </row>
    <row r="560" ht="14.25" customHeight="1">
      <c r="A560" s="171"/>
      <c r="B560" s="282"/>
      <c r="C560" s="171"/>
      <c r="D560" s="171"/>
      <c r="E560" s="171"/>
      <c r="F560" s="171"/>
      <c r="G560" s="173"/>
      <c r="H560" s="170"/>
      <c r="I560" s="171"/>
    </row>
    <row r="561" ht="14.25" customHeight="1">
      <c r="A561" s="171"/>
      <c r="B561" s="282"/>
      <c r="C561" s="171"/>
      <c r="D561" s="171"/>
      <c r="E561" s="171"/>
      <c r="F561" s="171"/>
      <c r="G561" s="173"/>
      <c r="H561" s="170"/>
      <c r="I561" s="171"/>
    </row>
    <row r="562" ht="14.25" customHeight="1">
      <c r="A562" s="171"/>
      <c r="B562" s="282"/>
      <c r="C562" s="171"/>
      <c r="D562" s="171"/>
      <c r="E562" s="171"/>
      <c r="F562" s="171"/>
      <c r="G562" s="173"/>
      <c r="H562" s="170"/>
      <c r="I562" s="171"/>
    </row>
    <row r="563" ht="14.25" customHeight="1">
      <c r="A563" s="171"/>
      <c r="B563" s="282"/>
      <c r="C563" s="171"/>
      <c r="D563" s="171"/>
      <c r="E563" s="171"/>
      <c r="F563" s="171"/>
      <c r="G563" s="173"/>
      <c r="H563" s="170"/>
      <c r="I563" s="171"/>
    </row>
    <row r="564" ht="14.25" customHeight="1">
      <c r="A564" s="171"/>
      <c r="B564" s="282"/>
      <c r="C564" s="171"/>
      <c r="D564" s="171"/>
      <c r="E564" s="171"/>
      <c r="F564" s="171"/>
      <c r="G564" s="173"/>
      <c r="H564" s="170"/>
      <c r="I564" s="171"/>
    </row>
    <row r="565" ht="14.25" customHeight="1">
      <c r="A565" s="171"/>
      <c r="B565" s="282"/>
      <c r="C565" s="171"/>
      <c r="D565" s="171"/>
      <c r="E565" s="171"/>
      <c r="F565" s="171"/>
      <c r="G565" s="173"/>
      <c r="H565" s="170"/>
      <c r="I565" s="171"/>
    </row>
    <row r="566" ht="14.25" customHeight="1">
      <c r="A566" s="171"/>
      <c r="B566" s="282"/>
      <c r="C566" s="171"/>
      <c r="D566" s="171"/>
      <c r="E566" s="171"/>
      <c r="F566" s="171"/>
      <c r="G566" s="173"/>
      <c r="H566" s="170"/>
      <c r="I566" s="171"/>
    </row>
    <row r="567" ht="14.25" customHeight="1">
      <c r="A567" s="171"/>
      <c r="B567" s="282"/>
      <c r="C567" s="171"/>
      <c r="D567" s="171"/>
      <c r="E567" s="171"/>
      <c r="F567" s="171"/>
      <c r="G567" s="173"/>
      <c r="H567" s="170"/>
      <c r="I567" s="171"/>
    </row>
    <row r="568" ht="14.25" customHeight="1">
      <c r="A568" s="171"/>
      <c r="B568" s="282"/>
      <c r="C568" s="171"/>
      <c r="D568" s="171"/>
      <c r="E568" s="171"/>
      <c r="F568" s="171"/>
      <c r="G568" s="173"/>
      <c r="H568" s="170"/>
      <c r="I568" s="171"/>
    </row>
    <row r="569" ht="14.25" customHeight="1">
      <c r="A569" s="171"/>
      <c r="B569" s="282"/>
      <c r="C569" s="171"/>
      <c r="D569" s="171"/>
      <c r="E569" s="171"/>
      <c r="F569" s="171"/>
      <c r="G569" s="173"/>
      <c r="H569" s="170"/>
      <c r="I569" s="171"/>
    </row>
    <row r="570" ht="14.25" customHeight="1">
      <c r="A570" s="171"/>
      <c r="B570" s="282"/>
      <c r="C570" s="171"/>
      <c r="D570" s="171"/>
      <c r="E570" s="171"/>
      <c r="F570" s="171"/>
      <c r="G570" s="173"/>
      <c r="H570" s="170"/>
      <c r="I570" s="171"/>
    </row>
    <row r="571" ht="14.25" customHeight="1">
      <c r="A571" s="171"/>
      <c r="B571" s="282"/>
      <c r="C571" s="171"/>
      <c r="D571" s="171"/>
      <c r="E571" s="171"/>
      <c r="F571" s="171"/>
      <c r="G571" s="173"/>
      <c r="H571" s="170"/>
      <c r="I571" s="171"/>
    </row>
    <row r="572" ht="14.25" customHeight="1">
      <c r="A572" s="171"/>
      <c r="B572" s="282"/>
      <c r="C572" s="171"/>
      <c r="D572" s="171"/>
      <c r="E572" s="171"/>
      <c r="F572" s="171"/>
      <c r="G572" s="173"/>
      <c r="H572" s="170"/>
      <c r="I572" s="171"/>
    </row>
    <row r="573" ht="14.25" customHeight="1">
      <c r="A573" s="171"/>
      <c r="B573" s="282"/>
      <c r="C573" s="171"/>
      <c r="D573" s="171"/>
      <c r="E573" s="171"/>
      <c r="F573" s="171"/>
      <c r="G573" s="173"/>
      <c r="H573" s="170"/>
      <c r="I573" s="171"/>
    </row>
    <row r="574" ht="14.25" customHeight="1">
      <c r="A574" s="171"/>
      <c r="B574" s="282"/>
      <c r="C574" s="171"/>
      <c r="D574" s="171"/>
      <c r="E574" s="171"/>
      <c r="F574" s="171"/>
      <c r="G574" s="173"/>
      <c r="H574" s="170"/>
      <c r="I574" s="171"/>
    </row>
    <row r="575" ht="14.25" customHeight="1">
      <c r="A575" s="171"/>
      <c r="B575" s="282"/>
      <c r="C575" s="171"/>
      <c r="D575" s="171"/>
      <c r="E575" s="171"/>
      <c r="F575" s="171"/>
      <c r="G575" s="173"/>
      <c r="H575" s="170"/>
      <c r="I575" s="171"/>
    </row>
    <row r="576" ht="14.25" customHeight="1">
      <c r="A576" s="171"/>
      <c r="B576" s="282"/>
      <c r="C576" s="171"/>
      <c r="D576" s="171"/>
      <c r="E576" s="171"/>
      <c r="F576" s="171"/>
      <c r="G576" s="173"/>
      <c r="H576" s="170"/>
      <c r="I576" s="171"/>
    </row>
    <row r="577" ht="14.25" customHeight="1">
      <c r="A577" s="171"/>
      <c r="B577" s="282"/>
      <c r="C577" s="171"/>
      <c r="D577" s="171"/>
      <c r="E577" s="171"/>
      <c r="F577" s="171"/>
      <c r="G577" s="173"/>
      <c r="H577" s="170"/>
      <c r="I577" s="171"/>
    </row>
    <row r="578" ht="14.25" customHeight="1">
      <c r="A578" s="171"/>
      <c r="B578" s="282"/>
      <c r="C578" s="171"/>
      <c r="D578" s="171"/>
      <c r="E578" s="171"/>
      <c r="F578" s="171"/>
      <c r="G578" s="173"/>
      <c r="H578" s="170"/>
      <c r="I578" s="171"/>
    </row>
    <row r="579" ht="14.25" customHeight="1">
      <c r="A579" s="171"/>
      <c r="B579" s="282"/>
      <c r="C579" s="171"/>
      <c r="D579" s="171"/>
      <c r="E579" s="171"/>
      <c r="F579" s="171"/>
      <c r="G579" s="173"/>
      <c r="H579" s="170"/>
      <c r="I579" s="171"/>
    </row>
    <row r="580" ht="14.25" customHeight="1">
      <c r="A580" s="171"/>
      <c r="B580" s="282"/>
      <c r="C580" s="171"/>
      <c r="D580" s="171"/>
      <c r="E580" s="171"/>
      <c r="F580" s="171"/>
      <c r="G580" s="173"/>
      <c r="H580" s="170"/>
      <c r="I580" s="171"/>
    </row>
    <row r="581" ht="14.25" customHeight="1">
      <c r="A581" s="171"/>
      <c r="B581" s="282"/>
      <c r="C581" s="171"/>
      <c r="D581" s="171"/>
      <c r="E581" s="171"/>
      <c r="F581" s="171"/>
      <c r="G581" s="173"/>
      <c r="H581" s="170"/>
      <c r="I581" s="171"/>
    </row>
    <row r="582" ht="14.25" customHeight="1">
      <c r="A582" s="171"/>
      <c r="B582" s="282"/>
      <c r="C582" s="171"/>
      <c r="D582" s="171"/>
      <c r="E582" s="171"/>
      <c r="F582" s="171"/>
      <c r="G582" s="173"/>
      <c r="H582" s="170"/>
      <c r="I582" s="171"/>
    </row>
    <row r="583" ht="14.25" customHeight="1">
      <c r="A583" s="171"/>
      <c r="B583" s="282"/>
      <c r="C583" s="171"/>
      <c r="D583" s="171"/>
      <c r="E583" s="171"/>
      <c r="F583" s="171"/>
      <c r="G583" s="173"/>
      <c r="H583" s="170"/>
      <c r="I583" s="171"/>
    </row>
    <row r="584" ht="14.25" customHeight="1">
      <c r="A584" s="171"/>
      <c r="B584" s="282"/>
      <c r="C584" s="171"/>
      <c r="D584" s="171"/>
      <c r="E584" s="171"/>
      <c r="F584" s="171"/>
      <c r="G584" s="173"/>
      <c r="H584" s="170"/>
      <c r="I584" s="171"/>
    </row>
    <row r="585" ht="14.25" customHeight="1">
      <c r="A585" s="171"/>
      <c r="B585" s="282"/>
      <c r="C585" s="171"/>
      <c r="D585" s="171"/>
      <c r="E585" s="171"/>
      <c r="F585" s="171"/>
      <c r="G585" s="173"/>
      <c r="H585" s="170"/>
      <c r="I585" s="171"/>
    </row>
    <row r="586" ht="14.25" customHeight="1">
      <c r="A586" s="171"/>
      <c r="B586" s="282"/>
      <c r="C586" s="171"/>
      <c r="D586" s="171"/>
      <c r="E586" s="171"/>
      <c r="F586" s="171"/>
      <c r="G586" s="173"/>
      <c r="H586" s="170"/>
      <c r="I586" s="171"/>
    </row>
    <row r="587" ht="14.25" customHeight="1">
      <c r="A587" s="171"/>
      <c r="B587" s="282"/>
      <c r="C587" s="171"/>
      <c r="D587" s="171"/>
      <c r="E587" s="171"/>
      <c r="F587" s="171"/>
      <c r="G587" s="173"/>
      <c r="H587" s="170"/>
      <c r="I587" s="171"/>
    </row>
    <row r="588" ht="14.25" customHeight="1">
      <c r="A588" s="171"/>
      <c r="B588" s="282"/>
      <c r="C588" s="171"/>
      <c r="D588" s="171"/>
      <c r="E588" s="171"/>
      <c r="F588" s="171"/>
      <c r="G588" s="173"/>
      <c r="H588" s="170"/>
      <c r="I588" s="171"/>
    </row>
    <row r="589" ht="14.25" customHeight="1">
      <c r="A589" s="171"/>
      <c r="B589" s="282"/>
      <c r="C589" s="171"/>
      <c r="D589" s="171"/>
      <c r="E589" s="171"/>
      <c r="F589" s="171"/>
      <c r="G589" s="173"/>
      <c r="H589" s="170"/>
      <c r="I589" s="171"/>
    </row>
    <row r="590" ht="14.25" customHeight="1">
      <c r="A590" s="171"/>
      <c r="B590" s="282"/>
      <c r="C590" s="171"/>
      <c r="D590" s="171"/>
      <c r="E590" s="171"/>
      <c r="F590" s="171"/>
      <c r="G590" s="173"/>
      <c r="H590" s="170"/>
      <c r="I590" s="171"/>
    </row>
    <row r="591" ht="14.25" customHeight="1">
      <c r="A591" s="171"/>
      <c r="B591" s="282"/>
      <c r="C591" s="171"/>
      <c r="D591" s="171"/>
      <c r="E591" s="171"/>
      <c r="F591" s="171"/>
      <c r="G591" s="173"/>
      <c r="H591" s="170"/>
      <c r="I591" s="171"/>
    </row>
    <row r="592" ht="14.25" customHeight="1">
      <c r="A592" s="171"/>
      <c r="B592" s="282"/>
      <c r="C592" s="171"/>
      <c r="D592" s="171"/>
      <c r="E592" s="171"/>
      <c r="F592" s="171"/>
      <c r="G592" s="173"/>
      <c r="H592" s="170"/>
      <c r="I592" s="171"/>
    </row>
    <row r="593" ht="14.25" customHeight="1">
      <c r="A593" s="171"/>
      <c r="B593" s="282"/>
      <c r="C593" s="171"/>
      <c r="D593" s="171"/>
      <c r="E593" s="171"/>
      <c r="F593" s="171"/>
      <c r="G593" s="173"/>
      <c r="H593" s="170"/>
      <c r="I593" s="171"/>
    </row>
    <row r="594" ht="14.25" customHeight="1">
      <c r="A594" s="171"/>
      <c r="B594" s="282"/>
      <c r="C594" s="171"/>
      <c r="D594" s="171"/>
      <c r="E594" s="171"/>
      <c r="F594" s="171"/>
      <c r="G594" s="173"/>
      <c r="H594" s="170"/>
      <c r="I594" s="171"/>
    </row>
    <row r="595" ht="14.25" customHeight="1">
      <c r="A595" s="171"/>
      <c r="B595" s="282"/>
      <c r="C595" s="171"/>
      <c r="D595" s="171"/>
      <c r="E595" s="171"/>
      <c r="F595" s="171"/>
      <c r="G595" s="173"/>
      <c r="H595" s="170"/>
      <c r="I595" s="171"/>
    </row>
    <row r="596" ht="14.25" customHeight="1">
      <c r="A596" s="171"/>
      <c r="B596" s="282"/>
      <c r="C596" s="171"/>
      <c r="D596" s="171"/>
      <c r="E596" s="171"/>
      <c r="F596" s="171"/>
      <c r="G596" s="173"/>
      <c r="H596" s="170"/>
      <c r="I596" s="171"/>
    </row>
    <row r="597" ht="14.25" customHeight="1">
      <c r="A597" s="171"/>
      <c r="B597" s="282"/>
      <c r="C597" s="171"/>
      <c r="D597" s="171"/>
      <c r="E597" s="171"/>
      <c r="F597" s="171"/>
      <c r="G597" s="173"/>
      <c r="H597" s="170"/>
      <c r="I597" s="171"/>
    </row>
    <row r="598" ht="14.25" customHeight="1">
      <c r="A598" s="171"/>
      <c r="B598" s="282"/>
      <c r="C598" s="171"/>
      <c r="D598" s="171"/>
      <c r="E598" s="171"/>
      <c r="F598" s="171"/>
      <c r="G598" s="173"/>
      <c r="H598" s="170"/>
      <c r="I598" s="171"/>
    </row>
    <row r="599" ht="14.25" customHeight="1">
      <c r="A599" s="171"/>
      <c r="B599" s="282"/>
      <c r="C599" s="171"/>
      <c r="D599" s="171"/>
      <c r="E599" s="171"/>
      <c r="F599" s="171"/>
      <c r="G599" s="173"/>
      <c r="H599" s="170"/>
      <c r="I599" s="171"/>
    </row>
    <row r="600" ht="14.25" customHeight="1">
      <c r="A600" s="171"/>
      <c r="B600" s="282"/>
      <c r="C600" s="171"/>
      <c r="D600" s="171"/>
      <c r="E600" s="171"/>
      <c r="F600" s="171"/>
      <c r="G600" s="173"/>
      <c r="H600" s="170"/>
      <c r="I600" s="171"/>
    </row>
    <row r="601" ht="14.25" customHeight="1">
      <c r="A601" s="171"/>
      <c r="B601" s="282"/>
      <c r="C601" s="171"/>
      <c r="D601" s="171"/>
      <c r="E601" s="171"/>
      <c r="F601" s="171"/>
      <c r="G601" s="173"/>
      <c r="H601" s="170"/>
      <c r="I601" s="171"/>
    </row>
    <row r="602" ht="14.25" customHeight="1">
      <c r="A602" s="171"/>
      <c r="B602" s="282"/>
      <c r="C602" s="171"/>
      <c r="D602" s="171"/>
      <c r="E602" s="171"/>
      <c r="F602" s="171"/>
      <c r="G602" s="173"/>
      <c r="H602" s="170"/>
      <c r="I602" s="171"/>
    </row>
    <row r="603" ht="14.25" customHeight="1">
      <c r="A603" s="171"/>
      <c r="B603" s="282"/>
      <c r="C603" s="171"/>
      <c r="D603" s="171"/>
      <c r="E603" s="171"/>
      <c r="F603" s="171"/>
      <c r="G603" s="173"/>
      <c r="H603" s="170"/>
      <c r="I603" s="171"/>
    </row>
    <row r="604" ht="14.25" customHeight="1">
      <c r="A604" s="171"/>
      <c r="B604" s="282"/>
      <c r="C604" s="171"/>
      <c r="D604" s="171"/>
      <c r="E604" s="171"/>
      <c r="F604" s="171"/>
      <c r="G604" s="173"/>
      <c r="H604" s="170"/>
      <c r="I604" s="171"/>
    </row>
    <row r="605" ht="14.25" customHeight="1">
      <c r="A605" s="171"/>
      <c r="B605" s="282"/>
      <c r="C605" s="171"/>
      <c r="D605" s="171"/>
      <c r="E605" s="171"/>
      <c r="F605" s="171"/>
      <c r="G605" s="173"/>
      <c r="H605" s="170"/>
      <c r="I605" s="171"/>
    </row>
    <row r="606" ht="14.25" customHeight="1">
      <c r="A606" s="171"/>
      <c r="B606" s="282"/>
      <c r="C606" s="171"/>
      <c r="D606" s="171"/>
      <c r="E606" s="171"/>
      <c r="F606" s="171"/>
      <c r="G606" s="173"/>
      <c r="H606" s="170"/>
      <c r="I606" s="171"/>
    </row>
    <row r="607" ht="14.25" customHeight="1">
      <c r="A607" s="171"/>
      <c r="B607" s="282"/>
      <c r="C607" s="171"/>
      <c r="D607" s="171"/>
      <c r="E607" s="171"/>
      <c r="F607" s="171"/>
      <c r="G607" s="173"/>
      <c r="H607" s="170"/>
      <c r="I607" s="171"/>
    </row>
    <row r="608" ht="14.25" customHeight="1">
      <c r="A608" s="171"/>
      <c r="B608" s="282"/>
      <c r="C608" s="171"/>
      <c r="D608" s="171"/>
      <c r="E608" s="171"/>
      <c r="F608" s="171"/>
      <c r="G608" s="173"/>
      <c r="H608" s="170"/>
      <c r="I608" s="171"/>
    </row>
    <row r="609" ht="14.25" customHeight="1">
      <c r="A609" s="171"/>
      <c r="B609" s="282"/>
      <c r="C609" s="171"/>
      <c r="D609" s="171"/>
      <c r="E609" s="171"/>
      <c r="F609" s="171"/>
      <c r="G609" s="173"/>
      <c r="H609" s="170"/>
      <c r="I609" s="171"/>
    </row>
    <row r="610" ht="14.25" customHeight="1">
      <c r="A610" s="171"/>
      <c r="B610" s="282"/>
      <c r="C610" s="171"/>
      <c r="D610" s="171"/>
      <c r="E610" s="171"/>
      <c r="F610" s="171"/>
      <c r="G610" s="173"/>
      <c r="H610" s="170"/>
      <c r="I610" s="171"/>
    </row>
    <row r="611" ht="14.25" customHeight="1">
      <c r="A611" s="171"/>
      <c r="B611" s="282"/>
      <c r="C611" s="171"/>
      <c r="D611" s="171"/>
      <c r="E611" s="171"/>
      <c r="F611" s="171"/>
      <c r="G611" s="173"/>
      <c r="H611" s="170"/>
      <c r="I611" s="171"/>
    </row>
    <row r="612" ht="14.25" customHeight="1">
      <c r="A612" s="171"/>
      <c r="B612" s="282"/>
      <c r="C612" s="171"/>
      <c r="D612" s="171"/>
      <c r="E612" s="171"/>
      <c r="F612" s="171"/>
      <c r="G612" s="173"/>
      <c r="H612" s="170"/>
      <c r="I612" s="171"/>
    </row>
    <row r="613" ht="14.25" customHeight="1">
      <c r="A613" s="171"/>
      <c r="B613" s="282"/>
      <c r="C613" s="171"/>
      <c r="D613" s="171"/>
      <c r="E613" s="171"/>
      <c r="F613" s="171"/>
      <c r="G613" s="173"/>
      <c r="H613" s="170"/>
      <c r="I613" s="171"/>
    </row>
    <row r="614" ht="14.25" customHeight="1">
      <c r="A614" s="171"/>
      <c r="B614" s="282"/>
      <c r="C614" s="171"/>
      <c r="D614" s="171"/>
      <c r="E614" s="171"/>
      <c r="F614" s="171"/>
      <c r="G614" s="173"/>
      <c r="H614" s="170"/>
      <c r="I614" s="171"/>
    </row>
    <row r="615" ht="14.25" customHeight="1">
      <c r="A615" s="171"/>
      <c r="B615" s="282"/>
      <c r="C615" s="171"/>
      <c r="D615" s="171"/>
      <c r="E615" s="171"/>
      <c r="F615" s="171"/>
      <c r="G615" s="173"/>
      <c r="H615" s="170"/>
      <c r="I615" s="171"/>
    </row>
    <row r="616" ht="14.25" customHeight="1">
      <c r="A616" s="171"/>
      <c r="B616" s="282"/>
      <c r="C616" s="171"/>
      <c r="D616" s="171"/>
      <c r="E616" s="171"/>
      <c r="F616" s="171"/>
      <c r="G616" s="173"/>
      <c r="H616" s="170"/>
      <c r="I616" s="171"/>
    </row>
    <row r="617" ht="14.25" customHeight="1">
      <c r="A617" s="171"/>
      <c r="B617" s="282"/>
      <c r="C617" s="171"/>
      <c r="D617" s="171"/>
      <c r="E617" s="171"/>
      <c r="F617" s="171"/>
      <c r="G617" s="173"/>
      <c r="H617" s="170"/>
      <c r="I617" s="171"/>
    </row>
    <row r="618" ht="14.25" customHeight="1">
      <c r="A618" s="171"/>
      <c r="B618" s="282"/>
      <c r="C618" s="171"/>
      <c r="D618" s="171"/>
      <c r="E618" s="171"/>
      <c r="F618" s="171"/>
      <c r="G618" s="173"/>
      <c r="H618" s="170"/>
      <c r="I618" s="171"/>
    </row>
    <row r="619" ht="14.25" customHeight="1">
      <c r="A619" s="171"/>
      <c r="B619" s="282"/>
      <c r="C619" s="171"/>
      <c r="D619" s="171"/>
      <c r="E619" s="171"/>
      <c r="F619" s="171"/>
      <c r="G619" s="173"/>
      <c r="H619" s="170"/>
      <c r="I619" s="171"/>
    </row>
    <row r="620" ht="14.25" customHeight="1">
      <c r="A620" s="171"/>
      <c r="B620" s="282"/>
      <c r="C620" s="171"/>
      <c r="D620" s="171"/>
      <c r="E620" s="171"/>
      <c r="F620" s="171"/>
      <c r="G620" s="173"/>
      <c r="H620" s="170"/>
      <c r="I620" s="171"/>
    </row>
    <row r="621" ht="14.25" customHeight="1">
      <c r="A621" s="171"/>
      <c r="B621" s="282"/>
      <c r="C621" s="171"/>
      <c r="D621" s="171"/>
      <c r="E621" s="171"/>
      <c r="F621" s="171"/>
      <c r="G621" s="173"/>
      <c r="H621" s="170"/>
      <c r="I621" s="171"/>
    </row>
    <row r="622" ht="14.25" customHeight="1">
      <c r="A622" s="171"/>
      <c r="B622" s="282"/>
      <c r="C622" s="171"/>
      <c r="D622" s="171"/>
      <c r="E622" s="171"/>
      <c r="F622" s="171"/>
      <c r="G622" s="173"/>
      <c r="H622" s="170"/>
      <c r="I622" s="171"/>
    </row>
    <row r="623" ht="14.25" customHeight="1">
      <c r="A623" s="171"/>
      <c r="B623" s="282"/>
      <c r="C623" s="171"/>
      <c r="D623" s="171"/>
      <c r="E623" s="171"/>
      <c r="F623" s="171"/>
      <c r="G623" s="173"/>
      <c r="H623" s="170"/>
      <c r="I623" s="171"/>
    </row>
    <row r="624" ht="14.25" customHeight="1">
      <c r="A624" s="171"/>
      <c r="B624" s="282"/>
      <c r="C624" s="171"/>
      <c r="D624" s="171"/>
      <c r="E624" s="171"/>
      <c r="F624" s="171"/>
      <c r="G624" s="173"/>
      <c r="H624" s="170"/>
      <c r="I624" s="171"/>
    </row>
    <row r="625" ht="14.25" customHeight="1">
      <c r="A625" s="171"/>
      <c r="B625" s="282"/>
      <c r="C625" s="171"/>
      <c r="D625" s="171"/>
      <c r="E625" s="171"/>
      <c r="F625" s="171"/>
      <c r="G625" s="173"/>
      <c r="H625" s="170"/>
      <c r="I625" s="171"/>
    </row>
    <row r="626" ht="14.25" customHeight="1">
      <c r="A626" s="171"/>
      <c r="B626" s="282"/>
      <c r="C626" s="171"/>
      <c r="D626" s="171"/>
      <c r="E626" s="171"/>
      <c r="F626" s="171"/>
      <c r="G626" s="173"/>
      <c r="H626" s="170"/>
      <c r="I626" s="171"/>
    </row>
    <row r="627" ht="14.25" customHeight="1">
      <c r="A627" s="171"/>
      <c r="B627" s="282"/>
      <c r="C627" s="171"/>
      <c r="D627" s="171"/>
      <c r="E627" s="171"/>
      <c r="F627" s="171"/>
      <c r="G627" s="173"/>
      <c r="H627" s="170"/>
      <c r="I627" s="171"/>
    </row>
    <row r="628" ht="14.25" customHeight="1">
      <c r="A628" s="171"/>
      <c r="B628" s="282"/>
      <c r="C628" s="171"/>
      <c r="D628" s="171"/>
      <c r="E628" s="171"/>
      <c r="F628" s="171"/>
      <c r="G628" s="173"/>
      <c r="H628" s="170"/>
      <c r="I628" s="171"/>
    </row>
    <row r="629" ht="14.25" customHeight="1">
      <c r="A629" s="171"/>
      <c r="B629" s="282"/>
      <c r="C629" s="171"/>
      <c r="D629" s="171"/>
      <c r="E629" s="171"/>
      <c r="F629" s="171"/>
      <c r="G629" s="173"/>
      <c r="H629" s="170"/>
      <c r="I629" s="171"/>
    </row>
    <row r="630" ht="14.25" customHeight="1">
      <c r="A630" s="171"/>
      <c r="B630" s="282"/>
      <c r="C630" s="171"/>
      <c r="D630" s="171"/>
      <c r="E630" s="171"/>
      <c r="F630" s="171"/>
      <c r="G630" s="173"/>
      <c r="H630" s="170"/>
      <c r="I630" s="171"/>
    </row>
    <row r="631" ht="14.25" customHeight="1">
      <c r="A631" s="171"/>
      <c r="B631" s="282"/>
      <c r="C631" s="171"/>
      <c r="D631" s="171"/>
      <c r="E631" s="171"/>
      <c r="F631" s="171"/>
      <c r="G631" s="173"/>
      <c r="H631" s="170"/>
      <c r="I631" s="171"/>
    </row>
    <row r="632" ht="14.25" customHeight="1">
      <c r="A632" s="171"/>
      <c r="B632" s="282"/>
      <c r="C632" s="171"/>
      <c r="D632" s="171"/>
      <c r="E632" s="171"/>
      <c r="F632" s="171"/>
      <c r="G632" s="173"/>
      <c r="H632" s="170"/>
      <c r="I632" s="171"/>
    </row>
    <row r="633" ht="14.25" customHeight="1">
      <c r="A633" s="171"/>
      <c r="B633" s="282"/>
      <c r="C633" s="171"/>
      <c r="D633" s="171"/>
      <c r="E633" s="171"/>
      <c r="F633" s="171"/>
      <c r="G633" s="173"/>
      <c r="H633" s="170"/>
      <c r="I633" s="171"/>
    </row>
    <row r="634" ht="14.25" customHeight="1">
      <c r="A634" s="171"/>
      <c r="B634" s="282"/>
      <c r="C634" s="171"/>
      <c r="D634" s="171"/>
      <c r="E634" s="171"/>
      <c r="F634" s="171"/>
      <c r="G634" s="173"/>
      <c r="H634" s="170"/>
      <c r="I634" s="171"/>
    </row>
    <row r="635" ht="14.25" customHeight="1">
      <c r="A635" s="171"/>
      <c r="B635" s="282"/>
      <c r="C635" s="171"/>
      <c r="D635" s="171"/>
      <c r="E635" s="171"/>
      <c r="F635" s="171"/>
      <c r="G635" s="173"/>
      <c r="H635" s="170"/>
      <c r="I635" s="171"/>
    </row>
    <row r="636" ht="14.25" customHeight="1">
      <c r="A636" s="171"/>
      <c r="B636" s="282"/>
      <c r="C636" s="171"/>
      <c r="D636" s="171"/>
      <c r="E636" s="171"/>
      <c r="F636" s="171"/>
      <c r="G636" s="173"/>
      <c r="H636" s="170"/>
      <c r="I636" s="171"/>
    </row>
    <row r="637" ht="14.25" customHeight="1">
      <c r="A637" s="171"/>
      <c r="B637" s="282"/>
      <c r="C637" s="171"/>
      <c r="D637" s="171"/>
      <c r="E637" s="171"/>
      <c r="F637" s="171"/>
      <c r="G637" s="173"/>
      <c r="H637" s="170"/>
      <c r="I637" s="171"/>
    </row>
    <row r="638" ht="14.25" customHeight="1">
      <c r="A638" s="171"/>
      <c r="B638" s="282"/>
      <c r="C638" s="171"/>
      <c r="D638" s="171"/>
      <c r="E638" s="171"/>
      <c r="F638" s="171"/>
      <c r="G638" s="173"/>
      <c r="H638" s="170"/>
      <c r="I638" s="171"/>
    </row>
    <row r="639" ht="14.25" customHeight="1">
      <c r="A639" s="171"/>
      <c r="B639" s="282"/>
      <c r="C639" s="171"/>
      <c r="D639" s="171"/>
      <c r="E639" s="171"/>
      <c r="F639" s="171"/>
      <c r="G639" s="173"/>
      <c r="H639" s="170"/>
      <c r="I639" s="171"/>
    </row>
    <row r="640" ht="14.25" customHeight="1">
      <c r="A640" s="171"/>
      <c r="B640" s="282"/>
      <c r="C640" s="171"/>
      <c r="D640" s="171"/>
      <c r="E640" s="171"/>
      <c r="F640" s="171"/>
      <c r="G640" s="173"/>
      <c r="H640" s="170"/>
      <c r="I640" s="171"/>
    </row>
    <row r="641" ht="14.25" customHeight="1">
      <c r="A641" s="171"/>
      <c r="B641" s="282"/>
      <c r="C641" s="171"/>
      <c r="D641" s="171"/>
      <c r="E641" s="171"/>
      <c r="F641" s="171"/>
      <c r="G641" s="173"/>
      <c r="H641" s="170"/>
      <c r="I641" s="171"/>
    </row>
    <row r="642" ht="14.25" customHeight="1">
      <c r="A642" s="171"/>
      <c r="B642" s="282"/>
      <c r="C642" s="171"/>
      <c r="D642" s="171"/>
      <c r="E642" s="171"/>
      <c r="F642" s="171"/>
      <c r="G642" s="173"/>
      <c r="H642" s="170"/>
      <c r="I642" s="171"/>
    </row>
    <row r="643" ht="14.25" customHeight="1">
      <c r="A643" s="171"/>
      <c r="B643" s="282"/>
      <c r="C643" s="171"/>
      <c r="D643" s="171"/>
      <c r="E643" s="171"/>
      <c r="F643" s="171"/>
      <c r="G643" s="173"/>
      <c r="H643" s="170"/>
      <c r="I643" s="171"/>
    </row>
    <row r="644" ht="14.25" customHeight="1">
      <c r="A644" s="171"/>
      <c r="B644" s="282"/>
      <c r="C644" s="171"/>
      <c r="D644" s="171"/>
      <c r="E644" s="171"/>
      <c r="F644" s="171"/>
      <c r="G644" s="173"/>
      <c r="H644" s="170"/>
      <c r="I644" s="171"/>
    </row>
    <row r="645" ht="14.25" customHeight="1">
      <c r="A645" s="171"/>
      <c r="B645" s="282"/>
      <c r="C645" s="171"/>
      <c r="D645" s="171"/>
      <c r="E645" s="171"/>
      <c r="F645" s="171"/>
      <c r="G645" s="173"/>
      <c r="H645" s="170"/>
      <c r="I645" s="171"/>
    </row>
    <row r="646" ht="14.25" customHeight="1">
      <c r="A646" s="171"/>
      <c r="B646" s="282"/>
      <c r="C646" s="171"/>
      <c r="D646" s="171"/>
      <c r="E646" s="171"/>
      <c r="F646" s="171"/>
      <c r="G646" s="173"/>
      <c r="H646" s="170"/>
      <c r="I646" s="171"/>
    </row>
    <row r="647" ht="14.25" customHeight="1">
      <c r="A647" s="171"/>
      <c r="B647" s="282"/>
      <c r="C647" s="171"/>
      <c r="D647" s="171"/>
      <c r="E647" s="171"/>
      <c r="F647" s="171"/>
      <c r="G647" s="173"/>
      <c r="H647" s="170"/>
      <c r="I647" s="171"/>
    </row>
    <row r="648" ht="14.25" customHeight="1">
      <c r="A648" s="171"/>
      <c r="B648" s="282"/>
      <c r="C648" s="171"/>
      <c r="D648" s="171"/>
      <c r="E648" s="171"/>
      <c r="F648" s="171"/>
      <c r="G648" s="173"/>
      <c r="H648" s="170"/>
      <c r="I648" s="171"/>
    </row>
    <row r="649" ht="14.25" customHeight="1">
      <c r="A649" s="171"/>
      <c r="B649" s="282"/>
      <c r="C649" s="171"/>
      <c r="D649" s="171"/>
      <c r="E649" s="171"/>
      <c r="F649" s="171"/>
      <c r="G649" s="173"/>
      <c r="H649" s="170"/>
      <c r="I649" s="171"/>
    </row>
    <row r="650" ht="14.25" customHeight="1">
      <c r="A650" s="171"/>
      <c r="B650" s="282"/>
      <c r="C650" s="171"/>
      <c r="D650" s="171"/>
      <c r="E650" s="171"/>
      <c r="F650" s="171"/>
      <c r="G650" s="173"/>
      <c r="H650" s="170"/>
      <c r="I650" s="171"/>
    </row>
    <row r="651" ht="14.25" customHeight="1">
      <c r="A651" s="171"/>
      <c r="B651" s="282"/>
      <c r="C651" s="171"/>
      <c r="D651" s="171"/>
      <c r="E651" s="171"/>
      <c r="F651" s="171"/>
      <c r="G651" s="173"/>
      <c r="H651" s="170"/>
      <c r="I651" s="171"/>
    </row>
    <row r="652" ht="14.25" customHeight="1">
      <c r="A652" s="171"/>
      <c r="B652" s="282"/>
      <c r="C652" s="171"/>
      <c r="D652" s="171"/>
      <c r="E652" s="171"/>
      <c r="F652" s="171"/>
      <c r="G652" s="173"/>
      <c r="H652" s="170"/>
      <c r="I652" s="171"/>
    </row>
    <row r="653" ht="14.25" customHeight="1">
      <c r="A653" s="171"/>
      <c r="B653" s="282"/>
      <c r="C653" s="171"/>
      <c r="D653" s="171"/>
      <c r="E653" s="171"/>
      <c r="F653" s="171"/>
      <c r="G653" s="173"/>
      <c r="H653" s="170"/>
      <c r="I653" s="171"/>
    </row>
    <row r="654" ht="14.25" customHeight="1">
      <c r="A654" s="171"/>
      <c r="B654" s="282"/>
      <c r="C654" s="171"/>
      <c r="D654" s="171"/>
      <c r="E654" s="171"/>
      <c r="F654" s="171"/>
      <c r="G654" s="173"/>
      <c r="H654" s="170"/>
      <c r="I654" s="171"/>
    </row>
    <row r="655" ht="14.25" customHeight="1">
      <c r="A655" s="171"/>
      <c r="B655" s="282"/>
      <c r="C655" s="171"/>
      <c r="D655" s="171"/>
      <c r="E655" s="171"/>
      <c r="F655" s="171"/>
      <c r="G655" s="173"/>
      <c r="H655" s="170"/>
      <c r="I655" s="171"/>
    </row>
    <row r="656" ht="14.25" customHeight="1">
      <c r="A656" s="171"/>
      <c r="B656" s="282"/>
      <c r="C656" s="171"/>
      <c r="D656" s="171"/>
      <c r="E656" s="171"/>
      <c r="F656" s="171"/>
      <c r="G656" s="173"/>
      <c r="H656" s="170"/>
      <c r="I656" s="171"/>
    </row>
    <row r="657" ht="14.25" customHeight="1">
      <c r="A657" s="171"/>
      <c r="B657" s="282"/>
      <c r="C657" s="171"/>
      <c r="D657" s="171"/>
      <c r="E657" s="171"/>
      <c r="F657" s="171"/>
      <c r="G657" s="173"/>
      <c r="H657" s="170"/>
      <c r="I657" s="171"/>
    </row>
    <row r="658" ht="14.25" customHeight="1">
      <c r="A658" s="171"/>
      <c r="B658" s="282"/>
      <c r="C658" s="171"/>
      <c r="D658" s="171"/>
      <c r="E658" s="171"/>
      <c r="F658" s="171"/>
      <c r="G658" s="173"/>
      <c r="H658" s="170"/>
      <c r="I658" s="171"/>
    </row>
    <row r="659" ht="14.25" customHeight="1">
      <c r="A659" s="171"/>
      <c r="B659" s="282"/>
      <c r="C659" s="171"/>
      <c r="D659" s="171"/>
      <c r="E659" s="171"/>
      <c r="F659" s="171"/>
      <c r="G659" s="173"/>
      <c r="H659" s="170"/>
      <c r="I659" s="171"/>
    </row>
    <row r="660" ht="14.25" customHeight="1">
      <c r="A660" s="171"/>
      <c r="B660" s="282"/>
      <c r="C660" s="171"/>
      <c r="D660" s="171"/>
      <c r="E660" s="171"/>
      <c r="F660" s="171"/>
      <c r="G660" s="173"/>
      <c r="H660" s="170"/>
      <c r="I660" s="171"/>
    </row>
    <row r="661" ht="14.25" customHeight="1">
      <c r="A661" s="171"/>
      <c r="B661" s="282"/>
      <c r="C661" s="171"/>
      <c r="D661" s="171"/>
      <c r="E661" s="171"/>
      <c r="F661" s="171"/>
      <c r="G661" s="173"/>
      <c r="H661" s="170"/>
      <c r="I661" s="171"/>
    </row>
    <row r="662" ht="14.25" customHeight="1">
      <c r="A662" s="171"/>
      <c r="B662" s="282"/>
      <c r="C662" s="171"/>
      <c r="D662" s="171"/>
      <c r="E662" s="171"/>
      <c r="F662" s="171"/>
      <c r="G662" s="173"/>
      <c r="H662" s="170"/>
      <c r="I662" s="171"/>
    </row>
    <row r="663" ht="14.25" customHeight="1">
      <c r="A663" s="171"/>
      <c r="B663" s="282"/>
      <c r="C663" s="171"/>
      <c r="D663" s="171"/>
      <c r="E663" s="171"/>
      <c r="F663" s="171"/>
      <c r="G663" s="173"/>
      <c r="H663" s="170"/>
      <c r="I663" s="171"/>
    </row>
    <row r="664" ht="14.25" customHeight="1">
      <c r="A664" s="171"/>
      <c r="B664" s="282"/>
      <c r="C664" s="171"/>
      <c r="D664" s="171"/>
      <c r="E664" s="171"/>
      <c r="F664" s="171"/>
      <c r="G664" s="173"/>
      <c r="H664" s="170"/>
      <c r="I664" s="171"/>
    </row>
    <row r="665" ht="14.25" customHeight="1">
      <c r="A665" s="171"/>
      <c r="B665" s="282"/>
      <c r="C665" s="171"/>
      <c r="D665" s="171"/>
      <c r="E665" s="171"/>
      <c r="F665" s="171"/>
      <c r="G665" s="173"/>
      <c r="H665" s="170"/>
      <c r="I665" s="171"/>
    </row>
    <row r="666" ht="14.25" customHeight="1">
      <c r="A666" s="171"/>
      <c r="B666" s="282"/>
      <c r="C666" s="171"/>
      <c r="D666" s="171"/>
      <c r="E666" s="171"/>
      <c r="F666" s="171"/>
      <c r="G666" s="173"/>
      <c r="H666" s="170"/>
      <c r="I666" s="171"/>
    </row>
    <row r="667" ht="14.25" customHeight="1">
      <c r="A667" s="171"/>
      <c r="B667" s="282"/>
      <c r="C667" s="171"/>
      <c r="D667" s="171"/>
      <c r="E667" s="171"/>
      <c r="F667" s="171"/>
      <c r="G667" s="173"/>
      <c r="H667" s="170"/>
      <c r="I667" s="171"/>
    </row>
    <row r="668" ht="14.25" customHeight="1">
      <c r="A668" s="171"/>
      <c r="B668" s="282"/>
      <c r="C668" s="171"/>
      <c r="D668" s="171"/>
      <c r="E668" s="171"/>
      <c r="F668" s="171"/>
      <c r="G668" s="173"/>
      <c r="H668" s="170"/>
      <c r="I668" s="171"/>
    </row>
    <row r="669" ht="14.25" customHeight="1">
      <c r="A669" s="171"/>
      <c r="B669" s="282"/>
      <c r="C669" s="171"/>
      <c r="D669" s="171"/>
      <c r="E669" s="171"/>
      <c r="F669" s="171"/>
      <c r="G669" s="173"/>
      <c r="H669" s="170"/>
      <c r="I669" s="171"/>
    </row>
    <row r="670" ht="14.25" customHeight="1">
      <c r="A670" s="171"/>
      <c r="B670" s="282"/>
      <c r="C670" s="171"/>
      <c r="D670" s="171"/>
      <c r="E670" s="171"/>
      <c r="F670" s="171"/>
      <c r="G670" s="173"/>
      <c r="H670" s="170"/>
      <c r="I670" s="171"/>
    </row>
    <row r="671" ht="14.25" customHeight="1">
      <c r="A671" s="171"/>
      <c r="B671" s="282"/>
      <c r="C671" s="171"/>
      <c r="D671" s="171"/>
      <c r="E671" s="171"/>
      <c r="F671" s="171"/>
      <c r="G671" s="173"/>
      <c r="H671" s="170"/>
      <c r="I671" s="171"/>
    </row>
    <row r="672" ht="14.25" customHeight="1">
      <c r="A672" s="171"/>
      <c r="B672" s="282"/>
      <c r="C672" s="171"/>
      <c r="D672" s="171"/>
      <c r="E672" s="171"/>
      <c r="F672" s="171"/>
      <c r="G672" s="173"/>
      <c r="H672" s="170"/>
      <c r="I672" s="171"/>
    </row>
    <row r="673" ht="14.25" customHeight="1">
      <c r="A673" s="171"/>
      <c r="B673" s="282"/>
      <c r="C673" s="171"/>
      <c r="D673" s="171"/>
      <c r="E673" s="171"/>
      <c r="F673" s="171"/>
      <c r="G673" s="173"/>
      <c r="H673" s="170"/>
      <c r="I673" s="171"/>
    </row>
    <row r="674" ht="14.25" customHeight="1">
      <c r="A674" s="171"/>
      <c r="B674" s="282"/>
      <c r="C674" s="171"/>
      <c r="D674" s="171"/>
      <c r="E674" s="171"/>
      <c r="F674" s="171"/>
      <c r="G674" s="173"/>
      <c r="H674" s="170"/>
      <c r="I674" s="171"/>
    </row>
    <row r="675" ht="14.25" customHeight="1">
      <c r="A675" s="171"/>
      <c r="B675" s="282"/>
      <c r="C675" s="171"/>
      <c r="D675" s="171"/>
      <c r="E675" s="171"/>
      <c r="F675" s="171"/>
      <c r="G675" s="173"/>
      <c r="H675" s="170"/>
      <c r="I675" s="171"/>
    </row>
    <row r="676" ht="14.25" customHeight="1">
      <c r="A676" s="171"/>
      <c r="B676" s="282"/>
      <c r="C676" s="171"/>
      <c r="D676" s="171"/>
      <c r="E676" s="171"/>
      <c r="F676" s="171"/>
      <c r="G676" s="173"/>
      <c r="H676" s="170"/>
      <c r="I676" s="171"/>
    </row>
    <row r="677" ht="14.25" customHeight="1">
      <c r="A677" s="171"/>
      <c r="B677" s="282"/>
      <c r="C677" s="171"/>
      <c r="D677" s="171"/>
      <c r="E677" s="171"/>
      <c r="F677" s="171"/>
      <c r="G677" s="173"/>
      <c r="H677" s="170"/>
      <c r="I677" s="171"/>
    </row>
    <row r="678" ht="14.25" customHeight="1">
      <c r="A678" s="171"/>
      <c r="B678" s="282"/>
      <c r="C678" s="171"/>
      <c r="D678" s="171"/>
      <c r="E678" s="171"/>
      <c r="F678" s="171"/>
      <c r="G678" s="173"/>
      <c r="H678" s="170"/>
      <c r="I678" s="171"/>
    </row>
    <row r="679" ht="14.25" customHeight="1">
      <c r="A679" s="171"/>
      <c r="B679" s="282"/>
      <c r="C679" s="171"/>
      <c r="D679" s="171"/>
      <c r="E679" s="171"/>
      <c r="F679" s="171"/>
      <c r="G679" s="173"/>
      <c r="H679" s="170"/>
      <c r="I679" s="171"/>
    </row>
    <row r="680" ht="14.25" customHeight="1">
      <c r="A680" s="171"/>
      <c r="B680" s="282"/>
      <c r="C680" s="171"/>
      <c r="D680" s="171"/>
      <c r="E680" s="171"/>
      <c r="F680" s="171"/>
      <c r="G680" s="173"/>
      <c r="H680" s="170"/>
      <c r="I680" s="171"/>
    </row>
    <row r="681" ht="14.25" customHeight="1">
      <c r="A681" s="171"/>
      <c r="B681" s="282"/>
      <c r="C681" s="171"/>
      <c r="D681" s="171"/>
      <c r="E681" s="171"/>
      <c r="F681" s="171"/>
      <c r="G681" s="173"/>
      <c r="H681" s="170"/>
      <c r="I681" s="171"/>
    </row>
    <row r="682" ht="14.25" customHeight="1">
      <c r="A682" s="171"/>
      <c r="B682" s="282"/>
      <c r="C682" s="171"/>
      <c r="D682" s="171"/>
      <c r="E682" s="171"/>
      <c r="F682" s="171"/>
      <c r="G682" s="173"/>
      <c r="H682" s="170"/>
      <c r="I682" s="171"/>
    </row>
    <row r="683" ht="14.25" customHeight="1">
      <c r="A683" s="171"/>
      <c r="B683" s="282"/>
      <c r="C683" s="171"/>
      <c r="D683" s="171"/>
      <c r="E683" s="171"/>
      <c r="F683" s="171"/>
      <c r="G683" s="173"/>
      <c r="H683" s="170"/>
      <c r="I683" s="171"/>
    </row>
    <row r="684" ht="14.25" customHeight="1">
      <c r="A684" s="171"/>
      <c r="B684" s="282"/>
      <c r="C684" s="171"/>
      <c r="D684" s="171"/>
      <c r="E684" s="171"/>
      <c r="F684" s="171"/>
      <c r="G684" s="173"/>
      <c r="H684" s="170"/>
      <c r="I684" s="171"/>
    </row>
    <row r="685" ht="14.25" customHeight="1">
      <c r="A685" s="171"/>
      <c r="B685" s="282"/>
      <c r="C685" s="171"/>
      <c r="D685" s="171"/>
      <c r="E685" s="171"/>
      <c r="F685" s="171"/>
      <c r="G685" s="173"/>
      <c r="H685" s="170"/>
      <c r="I685" s="171"/>
    </row>
    <row r="686" ht="14.25" customHeight="1">
      <c r="A686" s="171"/>
      <c r="B686" s="282"/>
      <c r="C686" s="171"/>
      <c r="D686" s="171"/>
      <c r="E686" s="171"/>
      <c r="F686" s="171"/>
      <c r="G686" s="173"/>
      <c r="H686" s="170"/>
      <c r="I686" s="171"/>
    </row>
    <row r="687" ht="14.25" customHeight="1">
      <c r="A687" s="171"/>
      <c r="B687" s="282"/>
      <c r="C687" s="171"/>
      <c r="D687" s="171"/>
      <c r="E687" s="171"/>
      <c r="F687" s="171"/>
      <c r="G687" s="173"/>
      <c r="H687" s="170"/>
      <c r="I687" s="171"/>
    </row>
    <row r="688" ht="14.25" customHeight="1">
      <c r="A688" s="171"/>
      <c r="B688" s="282"/>
      <c r="C688" s="171"/>
      <c r="D688" s="171"/>
      <c r="E688" s="171"/>
      <c r="F688" s="171"/>
      <c r="G688" s="173"/>
      <c r="H688" s="170"/>
      <c r="I688" s="171"/>
    </row>
    <row r="689" ht="14.25" customHeight="1">
      <c r="A689" s="171"/>
      <c r="B689" s="282"/>
      <c r="C689" s="171"/>
      <c r="D689" s="171"/>
      <c r="E689" s="171"/>
      <c r="F689" s="171"/>
      <c r="G689" s="173"/>
      <c r="H689" s="170"/>
      <c r="I689" s="171"/>
    </row>
    <row r="690" ht="14.25" customHeight="1">
      <c r="A690" s="171"/>
      <c r="B690" s="282"/>
      <c r="C690" s="171"/>
      <c r="D690" s="171"/>
      <c r="E690" s="171"/>
      <c r="F690" s="171"/>
      <c r="G690" s="173"/>
      <c r="H690" s="170"/>
      <c r="I690" s="171"/>
    </row>
    <row r="691" ht="14.25" customHeight="1">
      <c r="A691" s="171"/>
      <c r="B691" s="282"/>
      <c r="C691" s="171"/>
      <c r="D691" s="171"/>
      <c r="E691" s="171"/>
      <c r="F691" s="171"/>
      <c r="G691" s="173"/>
      <c r="H691" s="170"/>
      <c r="I691" s="171"/>
    </row>
    <row r="692" ht="14.25" customHeight="1">
      <c r="A692" s="171"/>
      <c r="B692" s="282"/>
      <c r="C692" s="171"/>
      <c r="D692" s="171"/>
      <c r="E692" s="171"/>
      <c r="F692" s="171"/>
      <c r="G692" s="173"/>
      <c r="H692" s="170"/>
      <c r="I692" s="171"/>
    </row>
    <row r="693" ht="14.25" customHeight="1">
      <c r="A693" s="171"/>
      <c r="B693" s="282"/>
      <c r="C693" s="171"/>
      <c r="D693" s="171"/>
      <c r="E693" s="171"/>
      <c r="F693" s="171"/>
      <c r="G693" s="173"/>
      <c r="H693" s="170"/>
      <c r="I693" s="171"/>
    </row>
    <row r="694" ht="14.25" customHeight="1">
      <c r="A694" s="171"/>
      <c r="B694" s="282"/>
      <c r="C694" s="171"/>
      <c r="D694" s="171"/>
      <c r="E694" s="171"/>
      <c r="F694" s="171"/>
      <c r="G694" s="173"/>
      <c r="H694" s="170"/>
      <c r="I694" s="171"/>
    </row>
    <row r="695" ht="14.25" customHeight="1">
      <c r="A695" s="171"/>
      <c r="B695" s="282"/>
      <c r="C695" s="171"/>
      <c r="D695" s="171"/>
      <c r="E695" s="171"/>
      <c r="F695" s="171"/>
      <c r="G695" s="173"/>
      <c r="H695" s="170"/>
      <c r="I695" s="171"/>
    </row>
    <row r="696" ht="14.25" customHeight="1">
      <c r="A696" s="171"/>
      <c r="B696" s="282"/>
      <c r="C696" s="171"/>
      <c r="D696" s="171"/>
      <c r="E696" s="171"/>
      <c r="F696" s="171"/>
      <c r="G696" s="173"/>
      <c r="H696" s="170"/>
      <c r="I696" s="171"/>
    </row>
    <row r="697" ht="14.25" customHeight="1">
      <c r="A697" s="171"/>
      <c r="B697" s="282"/>
      <c r="C697" s="171"/>
      <c r="D697" s="171"/>
      <c r="E697" s="171"/>
      <c r="F697" s="171"/>
      <c r="G697" s="173"/>
      <c r="H697" s="170"/>
      <c r="I697" s="171"/>
    </row>
    <row r="698" ht="14.25" customHeight="1">
      <c r="A698" s="171"/>
      <c r="B698" s="282"/>
      <c r="C698" s="171"/>
      <c r="D698" s="171"/>
      <c r="E698" s="171"/>
      <c r="F698" s="171"/>
      <c r="G698" s="173"/>
      <c r="H698" s="170"/>
      <c r="I698" s="171"/>
    </row>
    <row r="699" ht="14.25" customHeight="1">
      <c r="A699" s="171"/>
      <c r="B699" s="282"/>
      <c r="C699" s="171"/>
      <c r="D699" s="171"/>
      <c r="E699" s="171"/>
      <c r="F699" s="171"/>
      <c r="G699" s="173"/>
      <c r="H699" s="170"/>
      <c r="I699" s="171"/>
    </row>
    <row r="700" ht="14.25" customHeight="1">
      <c r="A700" s="171"/>
      <c r="B700" s="282"/>
      <c r="C700" s="171"/>
      <c r="D700" s="171"/>
      <c r="E700" s="171"/>
      <c r="F700" s="171"/>
      <c r="G700" s="173"/>
      <c r="H700" s="170"/>
      <c r="I700" s="171"/>
    </row>
    <row r="701" ht="14.25" customHeight="1">
      <c r="A701" s="171"/>
      <c r="B701" s="282"/>
      <c r="C701" s="171"/>
      <c r="D701" s="171"/>
      <c r="E701" s="171"/>
      <c r="F701" s="171"/>
      <c r="G701" s="173"/>
      <c r="H701" s="170"/>
      <c r="I701" s="171"/>
    </row>
    <row r="702" ht="14.25" customHeight="1">
      <c r="A702" s="171"/>
      <c r="B702" s="282"/>
      <c r="C702" s="171"/>
      <c r="D702" s="171"/>
      <c r="E702" s="171"/>
      <c r="F702" s="171"/>
      <c r="G702" s="173"/>
      <c r="H702" s="170"/>
      <c r="I702" s="171"/>
    </row>
    <row r="703" ht="14.25" customHeight="1">
      <c r="A703" s="171"/>
      <c r="B703" s="282"/>
      <c r="C703" s="171"/>
      <c r="D703" s="171"/>
      <c r="E703" s="171"/>
      <c r="F703" s="171"/>
      <c r="G703" s="173"/>
      <c r="H703" s="170"/>
      <c r="I703" s="171"/>
    </row>
    <row r="704" ht="14.25" customHeight="1">
      <c r="A704" s="171"/>
      <c r="B704" s="282"/>
      <c r="C704" s="171"/>
      <c r="D704" s="171"/>
      <c r="E704" s="171"/>
      <c r="F704" s="171"/>
      <c r="G704" s="173"/>
      <c r="H704" s="170"/>
      <c r="I704" s="171"/>
    </row>
    <row r="705" ht="14.25" customHeight="1">
      <c r="A705" s="171"/>
      <c r="B705" s="282"/>
      <c r="C705" s="171"/>
      <c r="D705" s="171"/>
      <c r="E705" s="171"/>
      <c r="F705" s="171"/>
      <c r="G705" s="173"/>
      <c r="H705" s="170"/>
      <c r="I705" s="171"/>
    </row>
    <row r="706" ht="14.25" customHeight="1">
      <c r="A706" s="171"/>
      <c r="B706" s="282"/>
      <c r="C706" s="171"/>
      <c r="D706" s="171"/>
      <c r="E706" s="171"/>
      <c r="F706" s="171"/>
      <c r="G706" s="173"/>
      <c r="H706" s="170"/>
      <c r="I706" s="171"/>
    </row>
    <row r="707" ht="14.25" customHeight="1">
      <c r="A707" s="171"/>
      <c r="B707" s="282"/>
      <c r="C707" s="171"/>
      <c r="D707" s="171"/>
      <c r="E707" s="171"/>
      <c r="F707" s="171"/>
      <c r="G707" s="173"/>
      <c r="H707" s="170"/>
      <c r="I707" s="171"/>
    </row>
    <row r="708" ht="14.25" customHeight="1">
      <c r="A708" s="171"/>
      <c r="B708" s="282"/>
      <c r="C708" s="171"/>
      <c r="D708" s="171"/>
      <c r="E708" s="171"/>
      <c r="F708" s="171"/>
      <c r="G708" s="173"/>
      <c r="H708" s="170"/>
      <c r="I708" s="171"/>
    </row>
    <row r="709" ht="14.25" customHeight="1">
      <c r="A709" s="171"/>
      <c r="B709" s="282"/>
      <c r="C709" s="171"/>
      <c r="D709" s="171"/>
      <c r="E709" s="171"/>
      <c r="F709" s="171"/>
      <c r="G709" s="173"/>
      <c r="H709" s="170"/>
      <c r="I709" s="171"/>
    </row>
    <row r="710" ht="14.25" customHeight="1">
      <c r="A710" s="171"/>
      <c r="B710" s="282"/>
      <c r="C710" s="171"/>
      <c r="D710" s="171"/>
      <c r="E710" s="171"/>
      <c r="F710" s="171"/>
      <c r="G710" s="173"/>
      <c r="H710" s="170"/>
      <c r="I710" s="171"/>
    </row>
    <row r="711" ht="14.25" customHeight="1">
      <c r="A711" s="171"/>
      <c r="B711" s="282"/>
      <c r="C711" s="171"/>
      <c r="D711" s="171"/>
      <c r="E711" s="171"/>
      <c r="F711" s="171"/>
      <c r="G711" s="173"/>
      <c r="H711" s="170"/>
      <c r="I711" s="171"/>
    </row>
    <row r="712" ht="14.25" customHeight="1">
      <c r="A712" s="171"/>
      <c r="B712" s="282"/>
      <c r="C712" s="171"/>
      <c r="D712" s="171"/>
      <c r="E712" s="171"/>
      <c r="F712" s="171"/>
      <c r="G712" s="173"/>
      <c r="H712" s="170"/>
      <c r="I712" s="171"/>
    </row>
    <row r="713" ht="14.25" customHeight="1">
      <c r="A713" s="171"/>
      <c r="B713" s="282"/>
      <c r="C713" s="171"/>
      <c r="D713" s="171"/>
      <c r="E713" s="171"/>
      <c r="F713" s="171"/>
      <c r="G713" s="173"/>
      <c r="H713" s="170"/>
      <c r="I713" s="171"/>
    </row>
    <row r="714" ht="14.25" customHeight="1">
      <c r="A714" s="171"/>
      <c r="B714" s="282"/>
      <c r="C714" s="171"/>
      <c r="D714" s="171"/>
      <c r="E714" s="171"/>
      <c r="F714" s="171"/>
      <c r="G714" s="173"/>
      <c r="H714" s="170"/>
      <c r="I714" s="171"/>
    </row>
    <row r="715" ht="14.25" customHeight="1">
      <c r="A715" s="171"/>
      <c r="B715" s="282"/>
      <c r="C715" s="171"/>
      <c r="D715" s="171"/>
      <c r="E715" s="171"/>
      <c r="F715" s="171"/>
      <c r="G715" s="173"/>
      <c r="H715" s="170"/>
      <c r="I715" s="171"/>
    </row>
    <row r="716" ht="14.25" customHeight="1">
      <c r="A716" s="171"/>
      <c r="B716" s="282"/>
      <c r="C716" s="171"/>
      <c r="D716" s="171"/>
      <c r="E716" s="171"/>
      <c r="F716" s="171"/>
      <c r="G716" s="173"/>
      <c r="H716" s="170"/>
      <c r="I716" s="171"/>
    </row>
    <row r="717" ht="14.25" customHeight="1">
      <c r="A717" s="171"/>
      <c r="B717" s="282"/>
      <c r="C717" s="171"/>
      <c r="D717" s="171"/>
      <c r="E717" s="171"/>
      <c r="F717" s="171"/>
      <c r="G717" s="173"/>
      <c r="H717" s="170"/>
      <c r="I717" s="171"/>
    </row>
    <row r="718" ht="14.25" customHeight="1">
      <c r="A718" s="171"/>
      <c r="B718" s="282"/>
      <c r="C718" s="171"/>
      <c r="D718" s="171"/>
      <c r="E718" s="171"/>
      <c r="F718" s="171"/>
      <c r="G718" s="173"/>
      <c r="H718" s="170"/>
      <c r="I718" s="171"/>
    </row>
    <row r="719" ht="14.25" customHeight="1">
      <c r="A719" s="171"/>
      <c r="B719" s="282"/>
      <c r="C719" s="171"/>
      <c r="D719" s="171"/>
      <c r="E719" s="171"/>
      <c r="F719" s="171"/>
      <c r="G719" s="173"/>
      <c r="H719" s="170"/>
      <c r="I719" s="171"/>
    </row>
    <row r="720" ht="14.25" customHeight="1">
      <c r="A720" s="171"/>
      <c r="B720" s="282"/>
      <c r="C720" s="171"/>
      <c r="D720" s="171"/>
      <c r="E720" s="171"/>
      <c r="F720" s="171"/>
      <c r="G720" s="173"/>
      <c r="H720" s="170"/>
      <c r="I720" s="171"/>
    </row>
    <row r="721" ht="14.25" customHeight="1">
      <c r="A721" s="171"/>
      <c r="B721" s="282"/>
      <c r="C721" s="171"/>
      <c r="D721" s="171"/>
      <c r="E721" s="171"/>
      <c r="F721" s="171"/>
      <c r="G721" s="173"/>
      <c r="H721" s="170"/>
      <c r="I721" s="171"/>
    </row>
    <row r="722" ht="14.25" customHeight="1">
      <c r="A722" s="171"/>
      <c r="B722" s="282"/>
      <c r="C722" s="171"/>
      <c r="D722" s="171"/>
      <c r="E722" s="171"/>
      <c r="F722" s="171"/>
      <c r="G722" s="173"/>
      <c r="H722" s="170"/>
      <c r="I722" s="171"/>
    </row>
    <row r="723" ht="14.25" customHeight="1">
      <c r="A723" s="171"/>
      <c r="B723" s="282"/>
      <c r="C723" s="171"/>
      <c r="D723" s="171"/>
      <c r="E723" s="171"/>
      <c r="F723" s="171"/>
      <c r="G723" s="173"/>
      <c r="H723" s="170"/>
      <c r="I723" s="171"/>
    </row>
    <row r="724" ht="14.25" customHeight="1">
      <c r="A724" s="171"/>
      <c r="B724" s="282"/>
      <c r="C724" s="171"/>
      <c r="D724" s="171"/>
      <c r="E724" s="171"/>
      <c r="F724" s="171"/>
      <c r="G724" s="173"/>
      <c r="H724" s="170"/>
      <c r="I724" s="171"/>
    </row>
    <row r="725" ht="14.25" customHeight="1">
      <c r="A725" s="171"/>
      <c r="B725" s="282"/>
      <c r="C725" s="171"/>
      <c r="D725" s="171"/>
      <c r="E725" s="171"/>
      <c r="F725" s="171"/>
      <c r="G725" s="173"/>
      <c r="H725" s="170"/>
      <c r="I725" s="171"/>
    </row>
    <row r="726" ht="14.25" customHeight="1">
      <c r="A726" s="171"/>
      <c r="B726" s="282"/>
      <c r="C726" s="171"/>
      <c r="D726" s="171"/>
      <c r="E726" s="171"/>
      <c r="F726" s="171"/>
      <c r="G726" s="173"/>
      <c r="H726" s="170"/>
      <c r="I726" s="171"/>
    </row>
    <row r="727" ht="14.25" customHeight="1">
      <c r="A727" s="171"/>
      <c r="B727" s="282"/>
      <c r="C727" s="171"/>
      <c r="D727" s="171"/>
      <c r="E727" s="171"/>
      <c r="F727" s="171"/>
      <c r="G727" s="173"/>
      <c r="H727" s="170"/>
      <c r="I727" s="171"/>
    </row>
    <row r="728" ht="14.25" customHeight="1">
      <c r="A728" s="171"/>
      <c r="B728" s="282"/>
      <c r="C728" s="171"/>
      <c r="D728" s="171"/>
      <c r="E728" s="171"/>
      <c r="F728" s="171"/>
      <c r="G728" s="173"/>
      <c r="H728" s="170"/>
      <c r="I728" s="171"/>
    </row>
    <row r="729" ht="14.25" customHeight="1">
      <c r="A729" s="171"/>
      <c r="B729" s="282"/>
      <c r="C729" s="171"/>
      <c r="D729" s="171"/>
      <c r="E729" s="171"/>
      <c r="F729" s="171"/>
      <c r="G729" s="173"/>
      <c r="H729" s="170"/>
      <c r="I729" s="171"/>
    </row>
    <row r="730" ht="14.25" customHeight="1">
      <c r="A730" s="171"/>
      <c r="B730" s="282"/>
      <c r="C730" s="171"/>
      <c r="D730" s="171"/>
      <c r="E730" s="171"/>
      <c r="F730" s="171"/>
      <c r="G730" s="173"/>
      <c r="H730" s="170"/>
      <c r="I730" s="171"/>
    </row>
    <row r="731" ht="14.25" customHeight="1">
      <c r="A731" s="171"/>
      <c r="B731" s="282"/>
      <c r="C731" s="171"/>
      <c r="D731" s="171"/>
      <c r="E731" s="171"/>
      <c r="F731" s="171"/>
      <c r="G731" s="173"/>
      <c r="H731" s="170"/>
      <c r="I731" s="171"/>
    </row>
    <row r="732" ht="14.25" customHeight="1">
      <c r="A732" s="171"/>
      <c r="B732" s="282"/>
      <c r="C732" s="171"/>
      <c r="D732" s="171"/>
      <c r="E732" s="171"/>
      <c r="F732" s="171"/>
      <c r="G732" s="173"/>
      <c r="H732" s="170"/>
      <c r="I732" s="171"/>
    </row>
    <row r="733" ht="14.25" customHeight="1">
      <c r="A733" s="171"/>
      <c r="B733" s="282"/>
      <c r="C733" s="171"/>
      <c r="D733" s="171"/>
      <c r="E733" s="171"/>
      <c r="F733" s="171"/>
      <c r="G733" s="173"/>
      <c r="H733" s="170"/>
      <c r="I733" s="171"/>
    </row>
    <row r="734" ht="14.25" customHeight="1">
      <c r="A734" s="171"/>
      <c r="B734" s="282"/>
      <c r="C734" s="171"/>
      <c r="D734" s="171"/>
      <c r="E734" s="171"/>
      <c r="F734" s="171"/>
      <c r="G734" s="173"/>
      <c r="H734" s="170"/>
      <c r="I734" s="171"/>
    </row>
    <row r="735" ht="14.25" customHeight="1">
      <c r="A735" s="171"/>
      <c r="B735" s="282"/>
      <c r="C735" s="171"/>
      <c r="D735" s="171"/>
      <c r="E735" s="171"/>
      <c r="F735" s="171"/>
      <c r="G735" s="173"/>
      <c r="H735" s="170"/>
      <c r="I735" s="171"/>
    </row>
    <row r="736" ht="14.25" customHeight="1">
      <c r="A736" s="171"/>
      <c r="B736" s="282"/>
      <c r="C736" s="171"/>
      <c r="D736" s="171"/>
      <c r="E736" s="171"/>
      <c r="F736" s="171"/>
      <c r="G736" s="173"/>
      <c r="H736" s="170"/>
      <c r="I736" s="171"/>
    </row>
    <row r="737" ht="14.25" customHeight="1">
      <c r="A737" s="171"/>
      <c r="B737" s="282"/>
      <c r="C737" s="171"/>
      <c r="D737" s="171"/>
      <c r="E737" s="171"/>
      <c r="F737" s="171"/>
      <c r="G737" s="173"/>
      <c r="H737" s="170"/>
      <c r="I737" s="171"/>
    </row>
    <row r="738" ht="14.25" customHeight="1">
      <c r="A738" s="171"/>
      <c r="B738" s="282"/>
      <c r="C738" s="171"/>
      <c r="D738" s="171"/>
      <c r="E738" s="171"/>
      <c r="F738" s="171"/>
      <c r="G738" s="173"/>
      <c r="H738" s="170"/>
      <c r="I738" s="171"/>
    </row>
    <row r="739" ht="14.25" customHeight="1">
      <c r="A739" s="171"/>
      <c r="B739" s="282"/>
      <c r="C739" s="171"/>
      <c r="D739" s="171"/>
      <c r="E739" s="171"/>
      <c r="F739" s="171"/>
      <c r="G739" s="173"/>
      <c r="H739" s="170"/>
      <c r="I739" s="171"/>
    </row>
    <row r="740" ht="14.25" customHeight="1">
      <c r="A740" s="171"/>
      <c r="B740" s="282"/>
      <c r="C740" s="171"/>
      <c r="D740" s="171"/>
      <c r="E740" s="171"/>
      <c r="F740" s="171"/>
      <c r="G740" s="173"/>
      <c r="H740" s="170"/>
      <c r="I740" s="171"/>
    </row>
    <row r="741" ht="14.25" customHeight="1">
      <c r="A741" s="171"/>
      <c r="B741" s="282"/>
      <c r="C741" s="171"/>
      <c r="D741" s="171"/>
      <c r="E741" s="171"/>
      <c r="F741" s="171"/>
      <c r="G741" s="173"/>
      <c r="H741" s="170"/>
      <c r="I741" s="171"/>
    </row>
    <row r="742" ht="14.25" customHeight="1">
      <c r="A742" s="171"/>
      <c r="B742" s="282"/>
      <c r="C742" s="171"/>
      <c r="D742" s="171"/>
      <c r="E742" s="171"/>
      <c r="F742" s="171"/>
      <c r="G742" s="173"/>
      <c r="H742" s="170"/>
      <c r="I742" s="171"/>
    </row>
    <row r="743" ht="14.25" customHeight="1">
      <c r="A743" s="171"/>
      <c r="B743" s="282"/>
      <c r="C743" s="171"/>
      <c r="D743" s="171"/>
      <c r="E743" s="171"/>
      <c r="F743" s="171"/>
      <c r="G743" s="173"/>
      <c r="H743" s="170"/>
      <c r="I743" s="171"/>
    </row>
    <row r="744" ht="14.25" customHeight="1">
      <c r="A744" s="171"/>
      <c r="B744" s="282"/>
      <c r="C744" s="171"/>
      <c r="D744" s="171"/>
      <c r="E744" s="171"/>
      <c r="F744" s="171"/>
      <c r="G744" s="173"/>
      <c r="H744" s="170"/>
      <c r="I744" s="171"/>
    </row>
    <row r="745" ht="14.25" customHeight="1">
      <c r="A745" s="171"/>
      <c r="B745" s="282"/>
      <c r="C745" s="171"/>
      <c r="D745" s="171"/>
      <c r="E745" s="171"/>
      <c r="F745" s="171"/>
      <c r="G745" s="173"/>
      <c r="H745" s="170"/>
      <c r="I745" s="171"/>
    </row>
    <row r="746" ht="14.25" customHeight="1">
      <c r="A746" s="171"/>
      <c r="B746" s="282"/>
      <c r="C746" s="171"/>
      <c r="D746" s="171"/>
      <c r="E746" s="171"/>
      <c r="F746" s="171"/>
      <c r="G746" s="173"/>
      <c r="H746" s="170"/>
      <c r="I746" s="171"/>
    </row>
    <row r="747" ht="14.25" customHeight="1">
      <c r="A747" s="171"/>
      <c r="B747" s="282"/>
      <c r="C747" s="171"/>
      <c r="D747" s="171"/>
      <c r="E747" s="171"/>
      <c r="F747" s="171"/>
      <c r="G747" s="173"/>
      <c r="H747" s="170"/>
      <c r="I747" s="171"/>
    </row>
    <row r="748" ht="14.25" customHeight="1">
      <c r="A748" s="171"/>
      <c r="B748" s="282"/>
      <c r="C748" s="171"/>
      <c r="D748" s="171"/>
      <c r="E748" s="171"/>
      <c r="F748" s="171"/>
      <c r="G748" s="173"/>
      <c r="H748" s="170"/>
      <c r="I748" s="171"/>
    </row>
    <row r="749" ht="14.25" customHeight="1">
      <c r="A749" s="171"/>
      <c r="B749" s="282"/>
      <c r="C749" s="171"/>
      <c r="D749" s="171"/>
      <c r="E749" s="171"/>
      <c r="F749" s="171"/>
      <c r="G749" s="173"/>
      <c r="H749" s="170"/>
      <c r="I749" s="171"/>
    </row>
    <row r="750" ht="14.25" customHeight="1">
      <c r="A750" s="171"/>
      <c r="B750" s="282"/>
      <c r="C750" s="171"/>
      <c r="D750" s="171"/>
      <c r="E750" s="171"/>
      <c r="F750" s="171"/>
      <c r="G750" s="173"/>
      <c r="H750" s="170"/>
      <c r="I750" s="171"/>
    </row>
    <row r="751" ht="14.25" customHeight="1">
      <c r="A751" s="171"/>
      <c r="B751" s="282"/>
      <c r="C751" s="171"/>
      <c r="D751" s="171"/>
      <c r="E751" s="171"/>
      <c r="F751" s="171"/>
      <c r="G751" s="173"/>
      <c r="H751" s="170"/>
      <c r="I751" s="171"/>
    </row>
    <row r="752" ht="14.25" customHeight="1">
      <c r="A752" s="171"/>
      <c r="B752" s="282"/>
      <c r="C752" s="171"/>
      <c r="D752" s="171"/>
      <c r="E752" s="171"/>
      <c r="F752" s="171"/>
      <c r="G752" s="173"/>
      <c r="H752" s="170"/>
      <c r="I752" s="171"/>
    </row>
    <row r="753" ht="14.25" customHeight="1">
      <c r="A753" s="171"/>
      <c r="B753" s="282"/>
      <c r="C753" s="171"/>
      <c r="D753" s="171"/>
      <c r="E753" s="171"/>
      <c r="F753" s="171"/>
      <c r="G753" s="173"/>
      <c r="H753" s="170"/>
      <c r="I753" s="171"/>
    </row>
    <row r="754" ht="14.25" customHeight="1">
      <c r="A754" s="171"/>
      <c r="B754" s="282"/>
      <c r="C754" s="171"/>
      <c r="D754" s="171"/>
      <c r="E754" s="171"/>
      <c r="F754" s="171"/>
      <c r="G754" s="173"/>
      <c r="H754" s="170"/>
      <c r="I754" s="171"/>
    </row>
    <row r="755" ht="14.25" customHeight="1">
      <c r="A755" s="171"/>
      <c r="B755" s="282"/>
      <c r="C755" s="171"/>
      <c r="D755" s="171"/>
      <c r="E755" s="171"/>
      <c r="F755" s="171"/>
      <c r="G755" s="173"/>
      <c r="H755" s="170"/>
      <c r="I755" s="171"/>
    </row>
    <row r="756" ht="14.25" customHeight="1">
      <c r="A756" s="171"/>
      <c r="B756" s="282"/>
      <c r="C756" s="171"/>
      <c r="D756" s="171"/>
      <c r="E756" s="171"/>
      <c r="F756" s="171"/>
      <c r="G756" s="173"/>
      <c r="H756" s="170"/>
      <c r="I756" s="171"/>
    </row>
    <row r="757" ht="14.25" customHeight="1">
      <c r="A757" s="171"/>
      <c r="B757" s="282"/>
      <c r="C757" s="171"/>
      <c r="D757" s="171"/>
      <c r="E757" s="171"/>
      <c r="F757" s="171"/>
      <c r="G757" s="173"/>
      <c r="H757" s="170"/>
      <c r="I757" s="171"/>
    </row>
    <row r="758" ht="14.25" customHeight="1">
      <c r="A758" s="171"/>
      <c r="B758" s="282"/>
      <c r="C758" s="171"/>
      <c r="D758" s="171"/>
      <c r="E758" s="171"/>
      <c r="F758" s="171"/>
      <c r="G758" s="173"/>
      <c r="H758" s="170"/>
      <c r="I758" s="171"/>
    </row>
    <row r="759" ht="14.25" customHeight="1">
      <c r="A759" s="171"/>
      <c r="B759" s="282"/>
      <c r="C759" s="171"/>
      <c r="D759" s="171"/>
      <c r="E759" s="171"/>
      <c r="F759" s="171"/>
      <c r="G759" s="173"/>
      <c r="H759" s="170"/>
      <c r="I759" s="171"/>
    </row>
    <row r="760" ht="14.25" customHeight="1">
      <c r="A760" s="171"/>
      <c r="B760" s="282"/>
      <c r="C760" s="171"/>
      <c r="D760" s="171"/>
      <c r="E760" s="171"/>
      <c r="F760" s="171"/>
      <c r="G760" s="173"/>
      <c r="H760" s="170"/>
      <c r="I760" s="171"/>
    </row>
    <row r="761" ht="14.25" customHeight="1">
      <c r="A761" s="171"/>
      <c r="B761" s="282"/>
      <c r="C761" s="171"/>
      <c r="D761" s="171"/>
      <c r="E761" s="171"/>
      <c r="F761" s="171"/>
      <c r="G761" s="173"/>
      <c r="H761" s="170"/>
      <c r="I761" s="171"/>
    </row>
    <row r="762" ht="14.25" customHeight="1">
      <c r="A762" s="171"/>
      <c r="B762" s="282"/>
      <c r="C762" s="171"/>
      <c r="D762" s="171"/>
      <c r="E762" s="171"/>
      <c r="F762" s="171"/>
      <c r="G762" s="173"/>
      <c r="H762" s="170"/>
      <c r="I762" s="171"/>
    </row>
    <row r="763" ht="14.25" customHeight="1">
      <c r="A763" s="171"/>
      <c r="B763" s="282"/>
      <c r="C763" s="171"/>
      <c r="D763" s="171"/>
      <c r="E763" s="171"/>
      <c r="F763" s="171"/>
      <c r="G763" s="173"/>
      <c r="H763" s="170"/>
      <c r="I763" s="171"/>
    </row>
    <row r="764" ht="14.25" customHeight="1">
      <c r="A764" s="171"/>
      <c r="B764" s="282"/>
      <c r="C764" s="171"/>
      <c r="D764" s="171"/>
      <c r="E764" s="171"/>
      <c r="F764" s="171"/>
      <c r="G764" s="173"/>
      <c r="H764" s="170"/>
      <c r="I764" s="171"/>
    </row>
    <row r="765" ht="14.25" customHeight="1">
      <c r="A765" s="171"/>
      <c r="B765" s="282"/>
      <c r="C765" s="171"/>
      <c r="D765" s="171"/>
      <c r="E765" s="171"/>
      <c r="F765" s="171"/>
      <c r="G765" s="173"/>
      <c r="H765" s="170"/>
      <c r="I765" s="171"/>
    </row>
    <row r="766" ht="14.25" customHeight="1">
      <c r="A766" s="171"/>
      <c r="B766" s="282"/>
      <c r="C766" s="171"/>
      <c r="D766" s="171"/>
      <c r="E766" s="171"/>
      <c r="F766" s="171"/>
      <c r="G766" s="173"/>
      <c r="H766" s="170"/>
      <c r="I766" s="171"/>
    </row>
    <row r="767" ht="14.25" customHeight="1">
      <c r="A767" s="171"/>
      <c r="B767" s="282"/>
      <c r="C767" s="171"/>
      <c r="D767" s="171"/>
      <c r="E767" s="171"/>
      <c r="F767" s="171"/>
      <c r="G767" s="173"/>
      <c r="H767" s="170"/>
      <c r="I767" s="171"/>
    </row>
    <row r="768" ht="14.25" customHeight="1">
      <c r="A768" s="171"/>
      <c r="B768" s="282"/>
      <c r="C768" s="171"/>
      <c r="D768" s="171"/>
      <c r="E768" s="171"/>
      <c r="F768" s="171"/>
      <c r="G768" s="173"/>
      <c r="H768" s="170"/>
      <c r="I768" s="171"/>
    </row>
    <row r="769" ht="14.25" customHeight="1">
      <c r="A769" s="171"/>
      <c r="B769" s="282"/>
      <c r="C769" s="171"/>
      <c r="D769" s="171"/>
      <c r="E769" s="171"/>
      <c r="F769" s="171"/>
      <c r="G769" s="173"/>
      <c r="H769" s="170"/>
      <c r="I769" s="171"/>
    </row>
    <row r="770" ht="14.25" customHeight="1">
      <c r="A770" s="171"/>
      <c r="B770" s="282"/>
      <c r="C770" s="171"/>
      <c r="D770" s="171"/>
      <c r="E770" s="171"/>
      <c r="F770" s="171"/>
      <c r="G770" s="173"/>
      <c r="H770" s="170"/>
      <c r="I770" s="171"/>
    </row>
    <row r="771" ht="14.25" customHeight="1">
      <c r="A771" s="171"/>
      <c r="B771" s="282"/>
      <c r="C771" s="171"/>
      <c r="D771" s="171"/>
      <c r="E771" s="171"/>
      <c r="F771" s="171"/>
      <c r="G771" s="173"/>
      <c r="H771" s="170"/>
      <c r="I771" s="171"/>
    </row>
    <row r="772" ht="14.25" customHeight="1">
      <c r="A772" s="171"/>
      <c r="B772" s="282"/>
      <c r="C772" s="171"/>
      <c r="D772" s="171"/>
      <c r="E772" s="171"/>
      <c r="F772" s="171"/>
      <c r="G772" s="173"/>
      <c r="H772" s="170"/>
      <c r="I772" s="171"/>
    </row>
    <row r="773" ht="14.25" customHeight="1">
      <c r="A773" s="171"/>
      <c r="B773" s="282"/>
      <c r="C773" s="171"/>
      <c r="D773" s="171"/>
      <c r="E773" s="171"/>
      <c r="F773" s="171"/>
      <c r="G773" s="173"/>
      <c r="H773" s="170"/>
      <c r="I773" s="171"/>
    </row>
    <row r="774" ht="14.25" customHeight="1">
      <c r="A774" s="171"/>
      <c r="B774" s="282"/>
      <c r="C774" s="171"/>
      <c r="D774" s="171"/>
      <c r="E774" s="171"/>
      <c r="F774" s="171"/>
      <c r="G774" s="173"/>
      <c r="H774" s="170"/>
      <c r="I774" s="171"/>
    </row>
    <row r="775" ht="14.25" customHeight="1">
      <c r="A775" s="171"/>
      <c r="B775" s="282"/>
      <c r="C775" s="171"/>
      <c r="D775" s="171"/>
      <c r="E775" s="171"/>
      <c r="F775" s="171"/>
      <c r="G775" s="173"/>
      <c r="H775" s="170"/>
      <c r="I775" s="171"/>
    </row>
    <row r="776" ht="14.25" customHeight="1">
      <c r="A776" s="171"/>
      <c r="B776" s="282"/>
      <c r="C776" s="171"/>
      <c r="D776" s="171"/>
      <c r="E776" s="171"/>
      <c r="F776" s="171"/>
      <c r="G776" s="173"/>
      <c r="H776" s="170"/>
      <c r="I776" s="171"/>
    </row>
    <row r="777" ht="14.25" customHeight="1">
      <c r="A777" s="171"/>
      <c r="B777" s="282"/>
      <c r="C777" s="171"/>
      <c r="D777" s="171"/>
      <c r="E777" s="171"/>
      <c r="F777" s="171"/>
      <c r="G777" s="173"/>
      <c r="H777" s="170"/>
      <c r="I777" s="171"/>
    </row>
    <row r="778" ht="14.25" customHeight="1">
      <c r="A778" s="171"/>
      <c r="B778" s="282"/>
      <c r="C778" s="171"/>
      <c r="D778" s="171"/>
      <c r="E778" s="171"/>
      <c r="F778" s="171"/>
      <c r="G778" s="173"/>
      <c r="H778" s="170"/>
      <c r="I778" s="171"/>
    </row>
    <row r="779" ht="14.25" customHeight="1">
      <c r="A779" s="171"/>
      <c r="B779" s="282"/>
      <c r="C779" s="171"/>
      <c r="D779" s="171"/>
      <c r="E779" s="171"/>
      <c r="F779" s="171"/>
      <c r="G779" s="173"/>
      <c r="H779" s="170"/>
      <c r="I779" s="171"/>
    </row>
    <row r="780" ht="14.25" customHeight="1">
      <c r="A780" s="171"/>
      <c r="B780" s="282"/>
      <c r="C780" s="171"/>
      <c r="D780" s="171"/>
      <c r="E780" s="171"/>
      <c r="F780" s="171"/>
      <c r="G780" s="173"/>
      <c r="H780" s="170"/>
      <c r="I780" s="171"/>
    </row>
    <row r="781" ht="14.25" customHeight="1">
      <c r="A781" s="171"/>
      <c r="B781" s="282"/>
      <c r="C781" s="171"/>
      <c r="D781" s="171"/>
      <c r="E781" s="171"/>
      <c r="F781" s="171"/>
      <c r="G781" s="173"/>
      <c r="H781" s="170"/>
      <c r="I781" s="171"/>
    </row>
    <row r="782" ht="14.25" customHeight="1">
      <c r="A782" s="171"/>
      <c r="B782" s="282"/>
      <c r="C782" s="171"/>
      <c r="D782" s="171"/>
      <c r="E782" s="171"/>
      <c r="F782" s="171"/>
      <c r="G782" s="173"/>
      <c r="H782" s="170"/>
      <c r="I782" s="171"/>
    </row>
    <row r="783" ht="14.25" customHeight="1">
      <c r="A783" s="171"/>
      <c r="B783" s="282"/>
      <c r="C783" s="171"/>
      <c r="D783" s="171"/>
      <c r="E783" s="171"/>
      <c r="F783" s="171"/>
      <c r="G783" s="173"/>
      <c r="H783" s="170"/>
      <c r="I783" s="171"/>
    </row>
    <row r="784" ht="14.25" customHeight="1">
      <c r="A784" s="171"/>
      <c r="B784" s="282"/>
      <c r="C784" s="171"/>
      <c r="D784" s="171"/>
      <c r="E784" s="171"/>
      <c r="F784" s="171"/>
      <c r="G784" s="173"/>
      <c r="H784" s="170"/>
      <c r="I784" s="171"/>
    </row>
    <row r="785" ht="14.25" customHeight="1">
      <c r="A785" s="171"/>
      <c r="B785" s="282"/>
      <c r="C785" s="171"/>
      <c r="D785" s="171"/>
      <c r="E785" s="171"/>
      <c r="F785" s="171"/>
      <c r="G785" s="173"/>
      <c r="H785" s="170"/>
      <c r="I785" s="171"/>
    </row>
    <row r="786" ht="14.25" customHeight="1">
      <c r="A786" s="171"/>
      <c r="B786" s="282"/>
      <c r="C786" s="171"/>
      <c r="D786" s="171"/>
      <c r="E786" s="171"/>
      <c r="F786" s="171"/>
      <c r="G786" s="173"/>
      <c r="H786" s="170"/>
      <c r="I786" s="171"/>
    </row>
    <row r="787" ht="14.25" customHeight="1">
      <c r="A787" s="171"/>
      <c r="B787" s="282"/>
      <c r="C787" s="171"/>
      <c r="D787" s="171"/>
      <c r="E787" s="171"/>
      <c r="F787" s="171"/>
      <c r="G787" s="173"/>
      <c r="H787" s="170"/>
      <c r="I787" s="171"/>
    </row>
    <row r="788" ht="14.25" customHeight="1">
      <c r="A788" s="171"/>
      <c r="B788" s="282"/>
      <c r="C788" s="171"/>
      <c r="D788" s="171"/>
      <c r="E788" s="171"/>
      <c r="F788" s="171"/>
      <c r="G788" s="173"/>
      <c r="H788" s="170"/>
      <c r="I788" s="171"/>
    </row>
    <row r="789" ht="14.25" customHeight="1">
      <c r="A789" s="171"/>
      <c r="B789" s="282"/>
      <c r="C789" s="171"/>
      <c r="D789" s="171"/>
      <c r="E789" s="171"/>
      <c r="F789" s="171"/>
      <c r="G789" s="173"/>
      <c r="H789" s="170"/>
      <c r="I789" s="171"/>
    </row>
    <row r="790" ht="14.25" customHeight="1">
      <c r="A790" s="171"/>
      <c r="B790" s="282"/>
      <c r="C790" s="171"/>
      <c r="D790" s="171"/>
      <c r="E790" s="171"/>
      <c r="F790" s="171"/>
      <c r="G790" s="173"/>
      <c r="H790" s="170"/>
      <c r="I790" s="171"/>
    </row>
    <row r="791" ht="14.25" customHeight="1">
      <c r="A791" s="171"/>
      <c r="B791" s="282"/>
      <c r="C791" s="171"/>
      <c r="D791" s="171"/>
      <c r="E791" s="171"/>
      <c r="F791" s="171"/>
      <c r="G791" s="173"/>
      <c r="H791" s="170"/>
      <c r="I791" s="171"/>
    </row>
    <row r="792" ht="14.25" customHeight="1">
      <c r="A792" s="171"/>
      <c r="B792" s="282"/>
      <c r="C792" s="171"/>
      <c r="D792" s="171"/>
      <c r="E792" s="171"/>
      <c r="F792" s="171"/>
      <c r="G792" s="173"/>
      <c r="H792" s="170"/>
      <c r="I792" s="171"/>
    </row>
    <row r="793" ht="14.25" customHeight="1">
      <c r="A793" s="171"/>
      <c r="B793" s="282"/>
      <c r="C793" s="171"/>
      <c r="D793" s="171"/>
      <c r="E793" s="171"/>
      <c r="F793" s="171"/>
      <c r="G793" s="173"/>
      <c r="H793" s="170"/>
      <c r="I793" s="171"/>
    </row>
    <row r="794" ht="14.25" customHeight="1">
      <c r="A794" s="171"/>
      <c r="B794" s="282"/>
      <c r="C794" s="171"/>
      <c r="D794" s="171"/>
      <c r="E794" s="171"/>
      <c r="F794" s="171"/>
      <c r="G794" s="173"/>
      <c r="H794" s="170"/>
      <c r="I794" s="171"/>
    </row>
    <row r="795" ht="14.25" customHeight="1">
      <c r="A795" s="171"/>
      <c r="B795" s="282"/>
      <c r="C795" s="171"/>
      <c r="D795" s="171"/>
      <c r="E795" s="171"/>
      <c r="F795" s="171"/>
      <c r="G795" s="173"/>
      <c r="H795" s="170"/>
      <c r="I795" s="171"/>
    </row>
    <row r="796" ht="14.25" customHeight="1">
      <c r="A796" s="171"/>
      <c r="B796" s="282"/>
      <c r="C796" s="171"/>
      <c r="D796" s="171"/>
      <c r="E796" s="171"/>
      <c r="F796" s="171"/>
      <c r="G796" s="173"/>
      <c r="H796" s="170"/>
      <c r="I796" s="171"/>
    </row>
    <row r="797" ht="14.25" customHeight="1">
      <c r="A797" s="171"/>
      <c r="B797" s="282"/>
      <c r="C797" s="171"/>
      <c r="D797" s="171"/>
      <c r="E797" s="171"/>
      <c r="F797" s="171"/>
      <c r="G797" s="173"/>
      <c r="H797" s="170"/>
      <c r="I797" s="171"/>
    </row>
    <row r="798" ht="14.25" customHeight="1">
      <c r="A798" s="171"/>
      <c r="B798" s="282"/>
      <c r="C798" s="171"/>
      <c r="D798" s="171"/>
      <c r="E798" s="171"/>
      <c r="F798" s="171"/>
      <c r="G798" s="173"/>
      <c r="H798" s="170"/>
      <c r="I798" s="171"/>
    </row>
    <row r="799" ht="14.25" customHeight="1">
      <c r="A799" s="171"/>
      <c r="B799" s="282"/>
      <c r="C799" s="171"/>
      <c r="D799" s="171"/>
      <c r="E799" s="171"/>
      <c r="F799" s="171"/>
      <c r="G799" s="173"/>
      <c r="H799" s="170"/>
      <c r="I799" s="171"/>
    </row>
    <row r="800" ht="14.25" customHeight="1">
      <c r="A800" s="171"/>
      <c r="B800" s="282"/>
      <c r="C800" s="171"/>
      <c r="D800" s="171"/>
      <c r="E800" s="171"/>
      <c r="F800" s="171"/>
      <c r="G800" s="173"/>
      <c r="H800" s="170"/>
      <c r="I800" s="171"/>
    </row>
    <row r="801" ht="14.25" customHeight="1">
      <c r="A801" s="171"/>
      <c r="B801" s="282"/>
      <c r="C801" s="171"/>
      <c r="D801" s="171"/>
      <c r="E801" s="171"/>
      <c r="F801" s="171"/>
      <c r="G801" s="173"/>
      <c r="H801" s="170"/>
      <c r="I801" s="171"/>
    </row>
    <row r="802" ht="14.25" customHeight="1">
      <c r="A802" s="171"/>
      <c r="B802" s="282"/>
      <c r="C802" s="171"/>
      <c r="D802" s="171"/>
      <c r="E802" s="171"/>
      <c r="F802" s="171"/>
      <c r="G802" s="173"/>
      <c r="H802" s="170"/>
      <c r="I802" s="171"/>
    </row>
    <row r="803" ht="14.25" customHeight="1">
      <c r="A803" s="171"/>
      <c r="B803" s="282"/>
      <c r="C803" s="171"/>
      <c r="D803" s="171"/>
      <c r="E803" s="171"/>
      <c r="F803" s="171"/>
      <c r="G803" s="173"/>
      <c r="H803" s="170"/>
      <c r="I803" s="171"/>
    </row>
    <row r="804" ht="14.25" customHeight="1">
      <c r="A804" s="171"/>
      <c r="B804" s="282"/>
      <c r="C804" s="171"/>
      <c r="D804" s="171"/>
      <c r="E804" s="171"/>
      <c r="F804" s="171"/>
      <c r="G804" s="173"/>
      <c r="H804" s="170"/>
      <c r="I804" s="171"/>
    </row>
    <row r="805" ht="14.25" customHeight="1">
      <c r="A805" s="171"/>
      <c r="B805" s="282"/>
      <c r="C805" s="171"/>
      <c r="D805" s="171"/>
      <c r="E805" s="171"/>
      <c r="F805" s="171"/>
      <c r="G805" s="173"/>
      <c r="H805" s="170"/>
      <c r="I805" s="171"/>
    </row>
    <row r="806" ht="14.25" customHeight="1">
      <c r="A806" s="171"/>
      <c r="B806" s="282"/>
      <c r="C806" s="171"/>
      <c r="D806" s="171"/>
      <c r="E806" s="171"/>
      <c r="F806" s="171"/>
      <c r="G806" s="173"/>
      <c r="H806" s="170"/>
      <c r="I806" s="171"/>
    </row>
    <row r="807" ht="14.25" customHeight="1">
      <c r="A807" s="171"/>
      <c r="B807" s="282"/>
      <c r="C807" s="171"/>
      <c r="D807" s="171"/>
      <c r="E807" s="171"/>
      <c r="F807" s="171"/>
      <c r="G807" s="173"/>
      <c r="H807" s="170"/>
      <c r="I807" s="171"/>
    </row>
    <row r="808" ht="14.25" customHeight="1">
      <c r="A808" s="171"/>
      <c r="B808" s="282"/>
      <c r="C808" s="171"/>
      <c r="D808" s="171"/>
      <c r="E808" s="171"/>
      <c r="F808" s="171"/>
      <c r="G808" s="173"/>
      <c r="H808" s="170"/>
      <c r="I808" s="171"/>
    </row>
    <row r="809" ht="14.25" customHeight="1">
      <c r="A809" s="171"/>
      <c r="B809" s="282"/>
      <c r="C809" s="171"/>
      <c r="D809" s="171"/>
      <c r="E809" s="171"/>
      <c r="F809" s="171"/>
      <c r="G809" s="173"/>
      <c r="H809" s="170"/>
      <c r="I809" s="171"/>
    </row>
    <row r="810" ht="14.25" customHeight="1">
      <c r="A810" s="171"/>
      <c r="B810" s="282"/>
      <c r="C810" s="171"/>
      <c r="D810" s="171"/>
      <c r="E810" s="171"/>
      <c r="F810" s="171"/>
      <c r="G810" s="173"/>
      <c r="H810" s="170"/>
      <c r="I810" s="171"/>
    </row>
    <row r="811" ht="14.25" customHeight="1">
      <c r="A811" s="171"/>
      <c r="B811" s="282"/>
      <c r="C811" s="171"/>
      <c r="D811" s="171"/>
      <c r="E811" s="171"/>
      <c r="F811" s="171"/>
      <c r="G811" s="173"/>
      <c r="H811" s="170"/>
      <c r="I811" s="171"/>
    </row>
    <row r="812" ht="14.25" customHeight="1">
      <c r="A812" s="171"/>
      <c r="B812" s="282"/>
      <c r="C812" s="171"/>
      <c r="D812" s="171"/>
      <c r="E812" s="171"/>
      <c r="F812" s="171"/>
      <c r="G812" s="173"/>
      <c r="H812" s="170"/>
      <c r="I812" s="171"/>
    </row>
    <row r="813" ht="14.25" customHeight="1">
      <c r="A813" s="171"/>
      <c r="B813" s="282"/>
      <c r="C813" s="171"/>
      <c r="D813" s="171"/>
      <c r="E813" s="171"/>
      <c r="F813" s="171"/>
      <c r="G813" s="173"/>
      <c r="H813" s="170"/>
      <c r="I813" s="171"/>
    </row>
    <row r="814" ht="14.25" customHeight="1">
      <c r="A814" s="171"/>
      <c r="B814" s="282"/>
      <c r="C814" s="171"/>
      <c r="D814" s="171"/>
      <c r="E814" s="171"/>
      <c r="F814" s="171"/>
      <c r="G814" s="173"/>
      <c r="H814" s="170"/>
      <c r="I814" s="171"/>
    </row>
    <row r="815" ht="14.25" customHeight="1">
      <c r="A815" s="171"/>
      <c r="B815" s="282"/>
      <c r="C815" s="171"/>
      <c r="D815" s="171"/>
      <c r="E815" s="171"/>
      <c r="F815" s="171"/>
      <c r="G815" s="173"/>
      <c r="H815" s="170"/>
      <c r="I815" s="171"/>
    </row>
    <row r="816" ht="14.25" customHeight="1">
      <c r="A816" s="171"/>
      <c r="B816" s="282"/>
      <c r="C816" s="171"/>
      <c r="D816" s="171"/>
      <c r="E816" s="171"/>
      <c r="F816" s="171"/>
      <c r="G816" s="173"/>
      <c r="H816" s="170"/>
      <c r="I816" s="171"/>
    </row>
    <row r="817" ht="14.25" customHeight="1">
      <c r="A817" s="171"/>
      <c r="B817" s="282"/>
      <c r="C817" s="171"/>
      <c r="D817" s="171"/>
      <c r="E817" s="171"/>
      <c r="F817" s="171"/>
      <c r="G817" s="173"/>
      <c r="H817" s="170"/>
      <c r="I817" s="171"/>
    </row>
    <row r="818" ht="14.25" customHeight="1">
      <c r="A818" s="171"/>
      <c r="B818" s="282"/>
      <c r="C818" s="171"/>
      <c r="D818" s="171"/>
      <c r="E818" s="171"/>
      <c r="F818" s="171"/>
      <c r="G818" s="173"/>
      <c r="H818" s="170"/>
      <c r="I818" s="171"/>
    </row>
    <row r="819" ht="14.25" customHeight="1">
      <c r="A819" s="171"/>
      <c r="B819" s="282"/>
      <c r="C819" s="171"/>
      <c r="D819" s="171"/>
      <c r="E819" s="171"/>
      <c r="F819" s="171"/>
      <c r="G819" s="173"/>
      <c r="H819" s="170"/>
      <c r="I819" s="171"/>
    </row>
    <row r="820" ht="14.25" customHeight="1">
      <c r="A820" s="171"/>
      <c r="B820" s="282"/>
      <c r="C820" s="171"/>
      <c r="D820" s="171"/>
      <c r="E820" s="171"/>
      <c r="F820" s="171"/>
      <c r="G820" s="173"/>
      <c r="H820" s="170"/>
      <c r="I820" s="171"/>
    </row>
    <row r="821" ht="14.25" customHeight="1">
      <c r="A821" s="171"/>
      <c r="B821" s="282"/>
      <c r="C821" s="171"/>
      <c r="D821" s="171"/>
      <c r="E821" s="171"/>
      <c r="F821" s="171"/>
      <c r="G821" s="173"/>
      <c r="H821" s="170"/>
      <c r="I821" s="171"/>
    </row>
    <row r="822" ht="14.25" customHeight="1">
      <c r="A822" s="171"/>
      <c r="B822" s="282"/>
      <c r="C822" s="171"/>
      <c r="D822" s="171"/>
      <c r="E822" s="171"/>
      <c r="F822" s="171"/>
      <c r="G822" s="173"/>
      <c r="H822" s="170"/>
      <c r="I822" s="171"/>
    </row>
    <row r="823" ht="14.25" customHeight="1">
      <c r="A823" s="171"/>
      <c r="B823" s="282"/>
      <c r="C823" s="171"/>
      <c r="D823" s="171"/>
      <c r="E823" s="171"/>
      <c r="F823" s="171"/>
      <c r="G823" s="173"/>
      <c r="H823" s="170"/>
      <c r="I823" s="171"/>
    </row>
    <row r="824" ht="14.25" customHeight="1">
      <c r="A824" s="171"/>
      <c r="B824" s="282"/>
      <c r="C824" s="171"/>
      <c r="D824" s="171"/>
      <c r="E824" s="171"/>
      <c r="F824" s="171"/>
      <c r="G824" s="173"/>
      <c r="H824" s="170"/>
      <c r="I824" s="171"/>
    </row>
    <row r="825" ht="14.25" customHeight="1">
      <c r="A825" s="171"/>
      <c r="B825" s="282"/>
      <c r="C825" s="171"/>
      <c r="D825" s="171"/>
      <c r="E825" s="171"/>
      <c r="F825" s="171"/>
      <c r="G825" s="173"/>
      <c r="H825" s="170"/>
      <c r="I825" s="171"/>
    </row>
    <row r="826" ht="14.25" customHeight="1">
      <c r="A826" s="171"/>
      <c r="B826" s="282"/>
      <c r="C826" s="171"/>
      <c r="D826" s="171"/>
      <c r="E826" s="171"/>
      <c r="F826" s="171"/>
      <c r="G826" s="173"/>
      <c r="H826" s="170"/>
      <c r="I826" s="171"/>
    </row>
    <row r="827" ht="14.25" customHeight="1">
      <c r="A827" s="171"/>
      <c r="B827" s="282"/>
      <c r="C827" s="171"/>
      <c r="D827" s="171"/>
      <c r="E827" s="171"/>
      <c r="F827" s="171"/>
      <c r="G827" s="173"/>
      <c r="H827" s="170"/>
      <c r="I827" s="171"/>
    </row>
    <row r="828" ht="14.25" customHeight="1">
      <c r="A828" s="171"/>
      <c r="B828" s="282"/>
      <c r="C828" s="171"/>
      <c r="D828" s="171"/>
      <c r="E828" s="171"/>
      <c r="F828" s="171"/>
      <c r="G828" s="173"/>
      <c r="H828" s="170"/>
      <c r="I828" s="171"/>
    </row>
    <row r="829" ht="14.25" customHeight="1">
      <c r="A829" s="171"/>
      <c r="B829" s="282"/>
      <c r="C829" s="171"/>
      <c r="D829" s="171"/>
      <c r="E829" s="171"/>
      <c r="F829" s="171"/>
      <c r="G829" s="173"/>
      <c r="H829" s="170"/>
      <c r="I829" s="171"/>
    </row>
    <row r="830" ht="14.25" customHeight="1">
      <c r="A830" s="171"/>
      <c r="B830" s="282"/>
      <c r="C830" s="171"/>
      <c r="D830" s="171"/>
      <c r="E830" s="171"/>
      <c r="F830" s="171"/>
      <c r="G830" s="173"/>
      <c r="H830" s="170"/>
      <c r="I830" s="171"/>
    </row>
    <row r="831" ht="14.25" customHeight="1">
      <c r="A831" s="171"/>
      <c r="B831" s="282"/>
      <c r="C831" s="171"/>
      <c r="D831" s="171"/>
      <c r="E831" s="171"/>
      <c r="F831" s="171"/>
      <c r="G831" s="173"/>
      <c r="H831" s="170"/>
      <c r="I831" s="171"/>
    </row>
    <row r="832" ht="14.25" customHeight="1">
      <c r="A832" s="171"/>
      <c r="B832" s="282"/>
      <c r="C832" s="171"/>
      <c r="D832" s="171"/>
      <c r="E832" s="171"/>
      <c r="F832" s="171"/>
      <c r="G832" s="173"/>
      <c r="H832" s="170"/>
      <c r="I832" s="171"/>
    </row>
    <row r="833" ht="14.25" customHeight="1">
      <c r="A833" s="171"/>
      <c r="B833" s="282"/>
      <c r="C833" s="171"/>
      <c r="D833" s="171"/>
      <c r="E833" s="171"/>
      <c r="F833" s="171"/>
      <c r="G833" s="173"/>
      <c r="H833" s="170"/>
      <c r="I833" s="171"/>
    </row>
    <row r="834" ht="14.25" customHeight="1">
      <c r="A834" s="171"/>
      <c r="B834" s="282"/>
      <c r="C834" s="171"/>
      <c r="D834" s="171"/>
      <c r="E834" s="171"/>
      <c r="F834" s="171"/>
      <c r="G834" s="173"/>
      <c r="H834" s="170"/>
      <c r="I834" s="171"/>
    </row>
    <row r="835" ht="14.25" customHeight="1">
      <c r="A835" s="171"/>
      <c r="B835" s="282"/>
      <c r="C835" s="171"/>
      <c r="D835" s="171"/>
      <c r="E835" s="171"/>
      <c r="F835" s="171"/>
      <c r="G835" s="173"/>
      <c r="H835" s="170"/>
      <c r="I835" s="171"/>
    </row>
    <row r="836" ht="14.25" customHeight="1">
      <c r="A836" s="171"/>
      <c r="B836" s="282"/>
      <c r="C836" s="171"/>
      <c r="D836" s="171"/>
      <c r="E836" s="171"/>
      <c r="F836" s="171"/>
      <c r="G836" s="173"/>
      <c r="H836" s="170"/>
      <c r="I836" s="171"/>
    </row>
    <row r="837" ht="14.25" customHeight="1">
      <c r="A837" s="171"/>
      <c r="B837" s="282"/>
      <c r="C837" s="171"/>
      <c r="D837" s="171"/>
      <c r="E837" s="171"/>
      <c r="F837" s="171"/>
      <c r="G837" s="173"/>
      <c r="H837" s="170"/>
      <c r="I837" s="171"/>
    </row>
    <row r="838" ht="14.25" customHeight="1">
      <c r="A838" s="171"/>
      <c r="B838" s="282"/>
      <c r="C838" s="171"/>
      <c r="D838" s="171"/>
      <c r="E838" s="171"/>
      <c r="F838" s="171"/>
      <c r="G838" s="173"/>
      <c r="H838" s="170"/>
      <c r="I838" s="171"/>
    </row>
    <row r="839" ht="14.25" customHeight="1">
      <c r="A839" s="171"/>
      <c r="B839" s="282"/>
      <c r="C839" s="171"/>
      <c r="D839" s="171"/>
      <c r="E839" s="171"/>
      <c r="F839" s="171"/>
      <c r="G839" s="173"/>
      <c r="H839" s="170"/>
      <c r="I839" s="171"/>
    </row>
    <row r="840" ht="14.25" customHeight="1">
      <c r="A840" s="171"/>
      <c r="B840" s="282"/>
      <c r="C840" s="171"/>
      <c r="D840" s="171"/>
      <c r="E840" s="171"/>
      <c r="F840" s="171"/>
      <c r="G840" s="173"/>
      <c r="H840" s="170"/>
      <c r="I840" s="171"/>
    </row>
    <row r="841" ht="14.25" customHeight="1">
      <c r="A841" s="171"/>
      <c r="B841" s="282"/>
      <c r="C841" s="171"/>
      <c r="D841" s="171"/>
      <c r="E841" s="171"/>
      <c r="F841" s="171"/>
      <c r="G841" s="173"/>
      <c r="H841" s="170"/>
      <c r="I841" s="171"/>
    </row>
    <row r="842" ht="14.25" customHeight="1">
      <c r="A842" s="171"/>
      <c r="B842" s="282"/>
      <c r="C842" s="171"/>
      <c r="D842" s="171"/>
      <c r="E842" s="171"/>
      <c r="F842" s="171"/>
      <c r="G842" s="173"/>
      <c r="H842" s="170"/>
      <c r="I842" s="171"/>
    </row>
    <row r="843" ht="14.25" customHeight="1">
      <c r="A843" s="171"/>
      <c r="B843" s="282"/>
      <c r="C843" s="171"/>
      <c r="D843" s="171"/>
      <c r="E843" s="171"/>
      <c r="F843" s="171"/>
      <c r="G843" s="173"/>
      <c r="H843" s="170"/>
      <c r="I843" s="171"/>
    </row>
    <row r="844" ht="14.25" customHeight="1">
      <c r="A844" s="171"/>
      <c r="B844" s="282"/>
      <c r="C844" s="171"/>
      <c r="D844" s="171"/>
      <c r="E844" s="171"/>
      <c r="F844" s="171"/>
      <c r="G844" s="173"/>
      <c r="H844" s="170"/>
      <c r="I844" s="171"/>
    </row>
    <row r="845" ht="14.25" customHeight="1">
      <c r="A845" s="171"/>
      <c r="B845" s="282"/>
      <c r="C845" s="171"/>
      <c r="D845" s="171"/>
      <c r="E845" s="171"/>
      <c r="F845" s="171"/>
      <c r="G845" s="173"/>
      <c r="H845" s="170"/>
      <c r="I845" s="171"/>
    </row>
    <row r="846" ht="14.25" customHeight="1">
      <c r="A846" s="171"/>
      <c r="B846" s="282"/>
      <c r="C846" s="171"/>
      <c r="D846" s="171"/>
      <c r="E846" s="171"/>
      <c r="F846" s="171"/>
      <c r="G846" s="173"/>
      <c r="H846" s="170"/>
      <c r="I846" s="171"/>
    </row>
    <row r="847" ht="14.25" customHeight="1">
      <c r="A847" s="171"/>
      <c r="B847" s="282"/>
      <c r="C847" s="171"/>
      <c r="D847" s="171"/>
      <c r="E847" s="171"/>
      <c r="F847" s="171"/>
      <c r="G847" s="173"/>
      <c r="H847" s="170"/>
      <c r="I847" s="171"/>
    </row>
    <row r="848" ht="14.25" customHeight="1">
      <c r="A848" s="171"/>
      <c r="B848" s="282"/>
      <c r="C848" s="171"/>
      <c r="D848" s="171"/>
      <c r="E848" s="171"/>
      <c r="F848" s="171"/>
      <c r="G848" s="173"/>
      <c r="H848" s="170"/>
      <c r="I848" s="171"/>
    </row>
    <row r="849" ht="14.25" customHeight="1">
      <c r="A849" s="171"/>
      <c r="B849" s="282"/>
      <c r="C849" s="171"/>
      <c r="D849" s="171"/>
      <c r="E849" s="171"/>
      <c r="F849" s="171"/>
      <c r="G849" s="173"/>
      <c r="H849" s="170"/>
      <c r="I849" s="171"/>
    </row>
    <row r="850" ht="14.25" customHeight="1">
      <c r="A850" s="171"/>
      <c r="B850" s="282"/>
      <c r="C850" s="171"/>
      <c r="D850" s="171"/>
      <c r="E850" s="171"/>
      <c r="F850" s="171"/>
      <c r="G850" s="173"/>
      <c r="H850" s="170"/>
      <c r="I850" s="171"/>
    </row>
    <row r="851" ht="14.25" customHeight="1">
      <c r="A851" s="171"/>
      <c r="B851" s="282"/>
      <c r="C851" s="171"/>
      <c r="D851" s="171"/>
      <c r="E851" s="171"/>
      <c r="F851" s="171"/>
      <c r="G851" s="173"/>
      <c r="H851" s="170"/>
      <c r="I851" s="171"/>
    </row>
    <row r="852" ht="14.25" customHeight="1">
      <c r="A852" s="171"/>
      <c r="B852" s="282"/>
      <c r="C852" s="171"/>
      <c r="D852" s="171"/>
      <c r="E852" s="171"/>
      <c r="F852" s="171"/>
      <c r="G852" s="173"/>
      <c r="H852" s="170"/>
      <c r="I852" s="171"/>
    </row>
    <row r="853" ht="14.25" customHeight="1">
      <c r="A853" s="171"/>
      <c r="B853" s="282"/>
      <c r="C853" s="171"/>
      <c r="D853" s="171"/>
      <c r="E853" s="171"/>
      <c r="F853" s="171"/>
      <c r="G853" s="173"/>
      <c r="H853" s="170"/>
      <c r="I853" s="171"/>
    </row>
    <row r="854" ht="14.25" customHeight="1">
      <c r="A854" s="171"/>
      <c r="B854" s="282"/>
      <c r="C854" s="171"/>
      <c r="D854" s="171"/>
      <c r="E854" s="171"/>
      <c r="F854" s="171"/>
      <c r="G854" s="173"/>
      <c r="H854" s="170"/>
      <c r="I854" s="171"/>
    </row>
    <row r="855" ht="14.25" customHeight="1">
      <c r="A855" s="171"/>
      <c r="B855" s="282"/>
      <c r="C855" s="171"/>
      <c r="D855" s="171"/>
      <c r="E855" s="171"/>
      <c r="F855" s="171"/>
      <c r="G855" s="173"/>
      <c r="H855" s="170"/>
      <c r="I855" s="171"/>
    </row>
    <row r="856" ht="14.25" customHeight="1">
      <c r="A856" s="171"/>
      <c r="B856" s="282"/>
      <c r="C856" s="171"/>
      <c r="D856" s="171"/>
      <c r="E856" s="171"/>
      <c r="F856" s="171"/>
      <c r="G856" s="173"/>
      <c r="H856" s="170"/>
      <c r="I856" s="171"/>
    </row>
    <row r="857" ht="14.25" customHeight="1">
      <c r="A857" s="171"/>
      <c r="B857" s="282"/>
      <c r="C857" s="171"/>
      <c r="D857" s="171"/>
      <c r="E857" s="171"/>
      <c r="F857" s="171"/>
      <c r="G857" s="173"/>
      <c r="H857" s="170"/>
      <c r="I857" s="171"/>
    </row>
    <row r="858" ht="14.25" customHeight="1">
      <c r="A858" s="171"/>
      <c r="B858" s="282"/>
      <c r="C858" s="171"/>
      <c r="D858" s="171"/>
      <c r="E858" s="171"/>
      <c r="F858" s="171"/>
      <c r="G858" s="173"/>
      <c r="H858" s="170"/>
      <c r="I858" s="171"/>
    </row>
    <row r="859" ht="14.25" customHeight="1">
      <c r="A859" s="171"/>
      <c r="B859" s="282"/>
      <c r="C859" s="171"/>
      <c r="D859" s="171"/>
      <c r="E859" s="171"/>
      <c r="F859" s="171"/>
      <c r="G859" s="173"/>
      <c r="H859" s="170"/>
      <c r="I859" s="171"/>
    </row>
    <row r="860" ht="14.25" customHeight="1">
      <c r="A860" s="171"/>
      <c r="B860" s="282"/>
      <c r="C860" s="171"/>
      <c r="D860" s="171"/>
      <c r="E860" s="171"/>
      <c r="F860" s="171"/>
      <c r="G860" s="173"/>
      <c r="H860" s="170"/>
      <c r="I860" s="171"/>
    </row>
    <row r="861" ht="14.25" customHeight="1">
      <c r="A861" s="171"/>
      <c r="B861" s="282"/>
      <c r="C861" s="171"/>
      <c r="D861" s="171"/>
      <c r="E861" s="171"/>
      <c r="F861" s="171"/>
      <c r="G861" s="173"/>
      <c r="H861" s="170"/>
      <c r="I861" s="171"/>
    </row>
    <row r="862" ht="14.25" customHeight="1">
      <c r="A862" s="171"/>
      <c r="B862" s="282"/>
      <c r="C862" s="171"/>
      <c r="D862" s="171"/>
      <c r="E862" s="171"/>
      <c r="F862" s="171"/>
      <c r="G862" s="173"/>
      <c r="H862" s="170"/>
      <c r="I862" s="171"/>
    </row>
    <row r="863" ht="14.25" customHeight="1">
      <c r="A863" s="171"/>
      <c r="B863" s="282"/>
      <c r="C863" s="171"/>
      <c r="D863" s="171"/>
      <c r="E863" s="171"/>
      <c r="F863" s="171"/>
      <c r="G863" s="173"/>
      <c r="H863" s="170"/>
      <c r="I863" s="171"/>
    </row>
    <row r="864" ht="14.25" customHeight="1">
      <c r="A864" s="171"/>
      <c r="B864" s="282"/>
      <c r="C864" s="171"/>
      <c r="D864" s="171"/>
      <c r="E864" s="171"/>
      <c r="F864" s="171"/>
      <c r="G864" s="173"/>
      <c r="H864" s="170"/>
      <c r="I864" s="171"/>
    </row>
    <row r="865" ht="14.25" customHeight="1">
      <c r="A865" s="171"/>
      <c r="B865" s="282"/>
      <c r="C865" s="171"/>
      <c r="D865" s="171"/>
      <c r="E865" s="171"/>
      <c r="F865" s="171"/>
      <c r="G865" s="173"/>
      <c r="H865" s="170"/>
      <c r="I865" s="171"/>
    </row>
    <row r="866" ht="14.25" customHeight="1">
      <c r="A866" s="171"/>
      <c r="B866" s="282"/>
      <c r="C866" s="171"/>
      <c r="D866" s="171"/>
      <c r="E866" s="171"/>
      <c r="F866" s="171"/>
      <c r="G866" s="173"/>
      <c r="H866" s="170"/>
      <c r="I866" s="171"/>
    </row>
    <row r="867" ht="14.25" customHeight="1">
      <c r="A867" s="171"/>
      <c r="B867" s="282"/>
      <c r="C867" s="171"/>
      <c r="D867" s="171"/>
      <c r="E867" s="171"/>
      <c r="F867" s="171"/>
      <c r="G867" s="173"/>
      <c r="H867" s="170"/>
      <c r="I867" s="171"/>
    </row>
    <row r="868" ht="14.25" customHeight="1">
      <c r="A868" s="171"/>
      <c r="B868" s="282"/>
      <c r="C868" s="171"/>
      <c r="D868" s="171"/>
      <c r="E868" s="171"/>
      <c r="F868" s="171"/>
      <c r="G868" s="173"/>
      <c r="H868" s="170"/>
      <c r="I868" s="171"/>
    </row>
    <row r="869" ht="14.25" customHeight="1">
      <c r="A869" s="171"/>
      <c r="B869" s="282"/>
      <c r="C869" s="171"/>
      <c r="D869" s="171"/>
      <c r="E869" s="171"/>
      <c r="F869" s="171"/>
      <c r="G869" s="173"/>
      <c r="H869" s="170"/>
      <c r="I869" s="171"/>
    </row>
    <row r="870" ht="14.25" customHeight="1">
      <c r="A870" s="171"/>
      <c r="B870" s="282"/>
      <c r="C870" s="171"/>
      <c r="D870" s="171"/>
      <c r="E870" s="171"/>
      <c r="F870" s="171"/>
      <c r="G870" s="173"/>
      <c r="H870" s="170"/>
      <c r="I870" s="171"/>
    </row>
    <row r="871" ht="14.25" customHeight="1">
      <c r="A871" s="171"/>
      <c r="B871" s="282"/>
      <c r="C871" s="171"/>
      <c r="D871" s="171"/>
      <c r="E871" s="171"/>
      <c r="F871" s="171"/>
      <c r="G871" s="173"/>
      <c r="H871" s="170"/>
      <c r="I871" s="171"/>
    </row>
    <row r="872" ht="14.25" customHeight="1">
      <c r="A872" s="171"/>
      <c r="B872" s="282"/>
      <c r="C872" s="171"/>
      <c r="D872" s="171"/>
      <c r="E872" s="171"/>
      <c r="F872" s="171"/>
      <c r="G872" s="173"/>
      <c r="H872" s="170"/>
      <c r="I872" s="171"/>
    </row>
    <row r="873" ht="14.25" customHeight="1">
      <c r="A873" s="171"/>
      <c r="B873" s="282"/>
      <c r="C873" s="171"/>
      <c r="D873" s="171"/>
      <c r="E873" s="171"/>
      <c r="F873" s="171"/>
      <c r="G873" s="173"/>
      <c r="H873" s="170"/>
      <c r="I873" s="171"/>
    </row>
    <row r="874" ht="14.25" customHeight="1">
      <c r="A874" s="171"/>
      <c r="B874" s="282"/>
      <c r="C874" s="171"/>
      <c r="D874" s="171"/>
      <c r="E874" s="171"/>
      <c r="F874" s="171"/>
      <c r="G874" s="173"/>
      <c r="H874" s="170"/>
      <c r="I874" s="171"/>
    </row>
    <row r="875" ht="14.25" customHeight="1">
      <c r="A875" s="171"/>
      <c r="B875" s="282"/>
      <c r="C875" s="171"/>
      <c r="D875" s="171"/>
      <c r="E875" s="171"/>
      <c r="F875" s="171"/>
      <c r="G875" s="173"/>
      <c r="H875" s="170"/>
      <c r="I875" s="171"/>
    </row>
    <row r="876" ht="14.25" customHeight="1">
      <c r="A876" s="171"/>
      <c r="B876" s="282"/>
      <c r="C876" s="171"/>
      <c r="D876" s="171"/>
      <c r="E876" s="171"/>
      <c r="F876" s="171"/>
      <c r="G876" s="173"/>
      <c r="H876" s="170"/>
      <c r="I876" s="171"/>
    </row>
    <row r="877" ht="14.25" customHeight="1">
      <c r="A877" s="171"/>
      <c r="B877" s="282"/>
      <c r="C877" s="171"/>
      <c r="D877" s="171"/>
      <c r="E877" s="171"/>
      <c r="F877" s="171"/>
      <c r="G877" s="173"/>
      <c r="H877" s="170"/>
      <c r="I877" s="171"/>
    </row>
    <row r="878" ht="14.25" customHeight="1">
      <c r="A878" s="171"/>
      <c r="B878" s="282"/>
      <c r="C878" s="171"/>
      <c r="D878" s="171"/>
      <c r="E878" s="171"/>
      <c r="F878" s="171"/>
      <c r="G878" s="173"/>
      <c r="H878" s="170"/>
      <c r="I878" s="171"/>
    </row>
    <row r="879" ht="14.25" customHeight="1">
      <c r="A879" s="171"/>
      <c r="B879" s="282"/>
      <c r="C879" s="171"/>
      <c r="D879" s="171"/>
      <c r="E879" s="171"/>
      <c r="F879" s="171"/>
      <c r="G879" s="173"/>
      <c r="H879" s="170"/>
      <c r="I879" s="171"/>
    </row>
    <row r="880" ht="14.25" customHeight="1">
      <c r="A880" s="171"/>
      <c r="B880" s="282"/>
      <c r="C880" s="171"/>
      <c r="D880" s="171"/>
      <c r="E880" s="171"/>
      <c r="F880" s="171"/>
      <c r="G880" s="173"/>
      <c r="H880" s="170"/>
      <c r="I880" s="171"/>
    </row>
    <row r="881" ht="14.25" customHeight="1">
      <c r="A881" s="171"/>
      <c r="B881" s="282"/>
      <c r="C881" s="171"/>
      <c r="D881" s="171"/>
      <c r="E881" s="171"/>
      <c r="F881" s="171"/>
      <c r="G881" s="173"/>
      <c r="H881" s="170"/>
      <c r="I881" s="171"/>
    </row>
    <row r="882" ht="14.25" customHeight="1">
      <c r="A882" s="171"/>
      <c r="B882" s="282"/>
      <c r="C882" s="171"/>
      <c r="D882" s="171"/>
      <c r="E882" s="171"/>
      <c r="F882" s="171"/>
      <c r="G882" s="173"/>
      <c r="H882" s="170"/>
      <c r="I882" s="171"/>
    </row>
    <row r="883" ht="14.25" customHeight="1">
      <c r="A883" s="171"/>
      <c r="B883" s="282"/>
      <c r="C883" s="171"/>
      <c r="D883" s="171"/>
      <c r="E883" s="171"/>
      <c r="F883" s="171"/>
      <c r="G883" s="173"/>
      <c r="H883" s="170"/>
      <c r="I883" s="171"/>
    </row>
    <row r="884" ht="14.25" customHeight="1">
      <c r="A884" s="171"/>
      <c r="B884" s="282"/>
      <c r="C884" s="171"/>
      <c r="D884" s="171"/>
      <c r="E884" s="171"/>
      <c r="F884" s="171"/>
      <c r="G884" s="173"/>
      <c r="H884" s="170"/>
      <c r="I884" s="171"/>
    </row>
    <row r="885" ht="14.25" customHeight="1">
      <c r="A885" s="171"/>
      <c r="B885" s="282"/>
      <c r="C885" s="171"/>
      <c r="D885" s="171"/>
      <c r="E885" s="171"/>
      <c r="F885" s="171"/>
      <c r="G885" s="173"/>
      <c r="H885" s="170"/>
      <c r="I885" s="171"/>
    </row>
    <row r="886" ht="14.25" customHeight="1">
      <c r="A886" s="171"/>
      <c r="B886" s="282"/>
      <c r="C886" s="171"/>
      <c r="D886" s="171"/>
      <c r="E886" s="171"/>
      <c r="F886" s="171"/>
      <c r="G886" s="173"/>
      <c r="H886" s="170"/>
      <c r="I886" s="171"/>
    </row>
    <row r="887" ht="14.25" customHeight="1">
      <c r="A887" s="171"/>
      <c r="B887" s="282"/>
      <c r="C887" s="171"/>
      <c r="D887" s="171"/>
      <c r="E887" s="171"/>
      <c r="F887" s="171"/>
      <c r="G887" s="173"/>
      <c r="H887" s="170"/>
      <c r="I887" s="171"/>
    </row>
    <row r="888" ht="14.25" customHeight="1">
      <c r="A888" s="171"/>
      <c r="B888" s="282"/>
      <c r="C888" s="171"/>
      <c r="D888" s="171"/>
      <c r="E888" s="171"/>
      <c r="F888" s="171"/>
      <c r="G888" s="173"/>
      <c r="H888" s="170"/>
      <c r="I888" s="171"/>
    </row>
    <row r="889" ht="14.25" customHeight="1">
      <c r="A889" s="171"/>
      <c r="B889" s="282"/>
      <c r="C889" s="171"/>
      <c r="D889" s="171"/>
      <c r="E889" s="171"/>
      <c r="F889" s="171"/>
      <c r="G889" s="173"/>
      <c r="H889" s="170"/>
      <c r="I889" s="171"/>
    </row>
    <row r="890" ht="14.25" customHeight="1">
      <c r="A890" s="171"/>
      <c r="B890" s="282"/>
      <c r="C890" s="171"/>
      <c r="D890" s="171"/>
      <c r="E890" s="171"/>
      <c r="F890" s="171"/>
      <c r="G890" s="173"/>
      <c r="H890" s="170"/>
      <c r="I890" s="171"/>
    </row>
    <row r="891" ht="14.25" customHeight="1">
      <c r="A891" s="171"/>
      <c r="B891" s="282"/>
      <c r="C891" s="171"/>
      <c r="D891" s="171"/>
      <c r="E891" s="171"/>
      <c r="F891" s="171"/>
      <c r="G891" s="173"/>
      <c r="H891" s="170"/>
      <c r="I891" s="171"/>
    </row>
    <row r="892" ht="14.25" customHeight="1">
      <c r="A892" s="171"/>
      <c r="B892" s="282"/>
      <c r="C892" s="171"/>
      <c r="D892" s="171"/>
      <c r="E892" s="171"/>
      <c r="F892" s="171"/>
      <c r="G892" s="173"/>
      <c r="H892" s="170"/>
      <c r="I892" s="171"/>
    </row>
    <row r="893" ht="14.25" customHeight="1">
      <c r="A893" s="171"/>
      <c r="B893" s="282"/>
      <c r="C893" s="171"/>
      <c r="D893" s="171"/>
      <c r="E893" s="171"/>
      <c r="F893" s="171"/>
      <c r="G893" s="173"/>
      <c r="H893" s="170"/>
      <c r="I893" s="171"/>
    </row>
    <row r="894" ht="14.25" customHeight="1">
      <c r="A894" s="171"/>
      <c r="B894" s="282"/>
      <c r="C894" s="171"/>
      <c r="D894" s="171"/>
      <c r="E894" s="171"/>
      <c r="F894" s="171"/>
      <c r="G894" s="173"/>
      <c r="H894" s="170"/>
      <c r="I894" s="171"/>
    </row>
    <row r="895" ht="14.25" customHeight="1">
      <c r="A895" s="171"/>
      <c r="B895" s="282"/>
      <c r="C895" s="171"/>
      <c r="D895" s="171"/>
      <c r="E895" s="171"/>
      <c r="F895" s="171"/>
      <c r="G895" s="173"/>
      <c r="H895" s="170"/>
      <c r="I895" s="171"/>
    </row>
    <row r="896" ht="14.25" customHeight="1">
      <c r="A896" s="171"/>
      <c r="B896" s="282"/>
      <c r="C896" s="171"/>
      <c r="D896" s="171"/>
      <c r="E896" s="171"/>
      <c r="F896" s="171"/>
      <c r="G896" s="173"/>
      <c r="H896" s="170"/>
      <c r="I896" s="171"/>
    </row>
    <row r="897" ht="14.25" customHeight="1">
      <c r="A897" s="171"/>
      <c r="B897" s="282"/>
      <c r="C897" s="171"/>
      <c r="D897" s="171"/>
      <c r="E897" s="171"/>
      <c r="F897" s="171"/>
      <c r="G897" s="173"/>
      <c r="H897" s="170"/>
      <c r="I897" s="171"/>
    </row>
    <row r="898" ht="14.25" customHeight="1">
      <c r="A898" s="171"/>
      <c r="B898" s="282"/>
      <c r="C898" s="171"/>
      <c r="D898" s="171"/>
      <c r="E898" s="171"/>
      <c r="F898" s="171"/>
      <c r="G898" s="173"/>
      <c r="H898" s="170"/>
      <c r="I898" s="171"/>
    </row>
    <row r="899" ht="14.25" customHeight="1">
      <c r="A899" s="171"/>
      <c r="B899" s="282"/>
      <c r="C899" s="171"/>
      <c r="D899" s="171"/>
      <c r="E899" s="171"/>
      <c r="F899" s="171"/>
      <c r="G899" s="173"/>
      <c r="H899" s="170"/>
      <c r="I899" s="171"/>
    </row>
    <row r="900" ht="14.25" customHeight="1">
      <c r="A900" s="171"/>
      <c r="B900" s="282"/>
      <c r="C900" s="171"/>
      <c r="D900" s="171"/>
      <c r="E900" s="171"/>
      <c r="F900" s="171"/>
      <c r="G900" s="173"/>
      <c r="H900" s="170"/>
      <c r="I900" s="171"/>
    </row>
    <row r="901" ht="14.25" customHeight="1">
      <c r="A901" s="171"/>
      <c r="B901" s="282"/>
      <c r="C901" s="171"/>
      <c r="D901" s="171"/>
      <c r="E901" s="171"/>
      <c r="F901" s="171"/>
      <c r="G901" s="173"/>
      <c r="H901" s="170"/>
      <c r="I901" s="171"/>
    </row>
    <row r="902" ht="14.25" customHeight="1">
      <c r="A902" s="171"/>
      <c r="B902" s="282"/>
      <c r="C902" s="171"/>
      <c r="D902" s="171"/>
      <c r="E902" s="171"/>
      <c r="F902" s="171"/>
      <c r="G902" s="173"/>
      <c r="H902" s="170"/>
      <c r="I902" s="171"/>
    </row>
    <row r="903" ht="14.25" customHeight="1">
      <c r="A903" s="171"/>
      <c r="B903" s="282"/>
      <c r="C903" s="171"/>
      <c r="D903" s="171"/>
      <c r="E903" s="171"/>
      <c r="F903" s="171"/>
      <c r="G903" s="173"/>
      <c r="H903" s="170"/>
      <c r="I903" s="171"/>
    </row>
    <row r="904" ht="14.25" customHeight="1">
      <c r="A904" s="171"/>
      <c r="B904" s="282"/>
      <c r="C904" s="171"/>
      <c r="D904" s="171"/>
      <c r="E904" s="171"/>
      <c r="F904" s="171"/>
      <c r="G904" s="173"/>
      <c r="H904" s="170"/>
      <c r="I904" s="171"/>
    </row>
    <row r="905" ht="14.25" customHeight="1">
      <c r="A905" s="171"/>
      <c r="B905" s="282"/>
      <c r="C905" s="171"/>
      <c r="D905" s="171"/>
      <c r="E905" s="171"/>
      <c r="F905" s="171"/>
      <c r="G905" s="173"/>
      <c r="H905" s="170"/>
      <c r="I905" s="171"/>
    </row>
    <row r="906" ht="14.25" customHeight="1">
      <c r="A906" s="171"/>
      <c r="B906" s="282"/>
      <c r="C906" s="171"/>
      <c r="D906" s="171"/>
      <c r="E906" s="171"/>
      <c r="F906" s="171"/>
      <c r="G906" s="173"/>
      <c r="H906" s="170"/>
      <c r="I906" s="171"/>
    </row>
    <row r="907" ht="14.25" customHeight="1">
      <c r="A907" s="171"/>
      <c r="B907" s="282"/>
      <c r="C907" s="171"/>
      <c r="D907" s="171"/>
      <c r="E907" s="171"/>
      <c r="F907" s="171"/>
      <c r="G907" s="173"/>
      <c r="H907" s="170"/>
      <c r="I907" s="171"/>
    </row>
    <row r="908" ht="14.25" customHeight="1">
      <c r="A908" s="171"/>
      <c r="B908" s="282"/>
      <c r="C908" s="171"/>
      <c r="D908" s="171"/>
      <c r="E908" s="171"/>
      <c r="F908" s="171"/>
      <c r="G908" s="173"/>
      <c r="H908" s="170"/>
      <c r="I908" s="171"/>
    </row>
    <row r="909" ht="14.25" customHeight="1">
      <c r="A909" s="171"/>
      <c r="B909" s="282"/>
      <c r="C909" s="171"/>
      <c r="D909" s="171"/>
      <c r="E909" s="171"/>
      <c r="F909" s="171"/>
      <c r="G909" s="173"/>
      <c r="H909" s="170"/>
      <c r="I909" s="171"/>
    </row>
    <row r="910" ht="14.25" customHeight="1">
      <c r="A910" s="171"/>
      <c r="B910" s="282"/>
      <c r="C910" s="171"/>
      <c r="D910" s="171"/>
      <c r="E910" s="171"/>
      <c r="F910" s="171"/>
      <c r="G910" s="173"/>
      <c r="H910" s="170"/>
      <c r="I910" s="171"/>
    </row>
    <row r="911" ht="14.25" customHeight="1">
      <c r="A911" s="171"/>
      <c r="B911" s="282"/>
      <c r="C911" s="171"/>
      <c r="D911" s="171"/>
      <c r="E911" s="171"/>
      <c r="F911" s="171"/>
      <c r="G911" s="173"/>
      <c r="H911" s="170"/>
      <c r="I911" s="171"/>
    </row>
    <row r="912" ht="14.25" customHeight="1">
      <c r="A912" s="171"/>
      <c r="B912" s="282"/>
      <c r="C912" s="171"/>
      <c r="D912" s="171"/>
      <c r="E912" s="171"/>
      <c r="F912" s="171"/>
      <c r="G912" s="173"/>
      <c r="H912" s="170"/>
      <c r="I912" s="171"/>
    </row>
    <row r="913" ht="14.25" customHeight="1">
      <c r="A913" s="171"/>
      <c r="B913" s="282"/>
      <c r="C913" s="171"/>
      <c r="D913" s="171"/>
      <c r="E913" s="171"/>
      <c r="F913" s="171"/>
      <c r="G913" s="173"/>
      <c r="H913" s="170"/>
      <c r="I913" s="171"/>
    </row>
    <row r="914" ht="14.25" customHeight="1">
      <c r="A914" s="171"/>
      <c r="B914" s="282"/>
      <c r="C914" s="171"/>
      <c r="D914" s="171"/>
      <c r="E914" s="171"/>
      <c r="F914" s="171"/>
      <c r="G914" s="173"/>
      <c r="H914" s="170"/>
      <c r="I914" s="171"/>
    </row>
    <row r="915" ht="14.25" customHeight="1">
      <c r="A915" s="171"/>
      <c r="B915" s="282"/>
      <c r="C915" s="171"/>
      <c r="D915" s="171"/>
      <c r="E915" s="171"/>
      <c r="F915" s="171"/>
      <c r="G915" s="173"/>
      <c r="H915" s="170"/>
      <c r="I915" s="171"/>
    </row>
    <row r="916" ht="14.25" customHeight="1">
      <c r="A916" s="171"/>
      <c r="B916" s="282"/>
      <c r="C916" s="171"/>
      <c r="D916" s="171"/>
      <c r="E916" s="171"/>
      <c r="F916" s="171"/>
      <c r="G916" s="173"/>
      <c r="H916" s="170"/>
      <c r="I916" s="171"/>
    </row>
    <row r="917" ht="14.25" customHeight="1">
      <c r="A917" s="171"/>
      <c r="B917" s="282"/>
      <c r="C917" s="171"/>
      <c r="D917" s="171"/>
      <c r="E917" s="171"/>
      <c r="F917" s="171"/>
      <c r="G917" s="173"/>
      <c r="H917" s="170"/>
      <c r="I917" s="171"/>
    </row>
    <row r="918" ht="14.25" customHeight="1">
      <c r="A918" s="171"/>
      <c r="B918" s="282"/>
      <c r="C918" s="171"/>
      <c r="D918" s="171"/>
      <c r="E918" s="171"/>
      <c r="F918" s="171"/>
      <c r="G918" s="173"/>
      <c r="H918" s="170"/>
      <c r="I918" s="171"/>
    </row>
    <row r="919" ht="14.25" customHeight="1">
      <c r="A919" s="171"/>
      <c r="B919" s="282"/>
      <c r="C919" s="171"/>
      <c r="D919" s="171"/>
      <c r="E919" s="171"/>
      <c r="F919" s="171"/>
      <c r="G919" s="173"/>
      <c r="H919" s="170"/>
      <c r="I919" s="171"/>
    </row>
    <row r="920" ht="14.25" customHeight="1">
      <c r="A920" s="171"/>
      <c r="B920" s="282"/>
      <c r="C920" s="171"/>
      <c r="D920" s="171"/>
      <c r="E920" s="171"/>
      <c r="F920" s="171"/>
      <c r="G920" s="173"/>
      <c r="H920" s="170"/>
      <c r="I920" s="171"/>
    </row>
    <row r="921" ht="14.25" customHeight="1">
      <c r="A921" s="171"/>
      <c r="B921" s="282"/>
      <c r="C921" s="171"/>
      <c r="D921" s="171"/>
      <c r="E921" s="171"/>
      <c r="F921" s="171"/>
      <c r="G921" s="173"/>
      <c r="H921" s="170"/>
      <c r="I921" s="171"/>
    </row>
    <row r="922" ht="14.25" customHeight="1">
      <c r="A922" s="171"/>
      <c r="B922" s="282"/>
      <c r="C922" s="171"/>
      <c r="D922" s="171"/>
      <c r="E922" s="171"/>
      <c r="F922" s="171"/>
      <c r="G922" s="173"/>
      <c r="H922" s="170"/>
      <c r="I922" s="171"/>
    </row>
    <row r="923" ht="14.25" customHeight="1">
      <c r="A923" s="171"/>
      <c r="B923" s="282"/>
      <c r="C923" s="171"/>
      <c r="D923" s="171"/>
      <c r="E923" s="171"/>
      <c r="F923" s="171"/>
      <c r="G923" s="173"/>
      <c r="H923" s="170"/>
      <c r="I923" s="171"/>
    </row>
    <row r="924" ht="14.25" customHeight="1">
      <c r="A924" s="171"/>
      <c r="B924" s="282"/>
      <c r="C924" s="171"/>
      <c r="D924" s="171"/>
      <c r="E924" s="171"/>
      <c r="F924" s="171"/>
      <c r="G924" s="173"/>
      <c r="H924" s="170"/>
      <c r="I924" s="171"/>
    </row>
    <row r="925" ht="14.25" customHeight="1">
      <c r="A925" s="171"/>
      <c r="B925" s="282"/>
      <c r="C925" s="171"/>
      <c r="D925" s="171"/>
      <c r="E925" s="171"/>
      <c r="F925" s="171"/>
      <c r="G925" s="173"/>
      <c r="H925" s="170"/>
      <c r="I925" s="171"/>
    </row>
    <row r="926" ht="14.25" customHeight="1">
      <c r="A926" s="171"/>
      <c r="B926" s="282"/>
      <c r="C926" s="171"/>
      <c r="D926" s="171"/>
      <c r="E926" s="171"/>
      <c r="F926" s="171"/>
      <c r="G926" s="173"/>
      <c r="H926" s="170"/>
      <c r="I926" s="171"/>
    </row>
    <row r="927" ht="14.25" customHeight="1">
      <c r="A927" s="171"/>
      <c r="B927" s="282"/>
      <c r="C927" s="171"/>
      <c r="D927" s="171"/>
      <c r="E927" s="171"/>
      <c r="F927" s="171"/>
      <c r="G927" s="173"/>
      <c r="H927" s="170"/>
      <c r="I927" s="171"/>
    </row>
    <row r="928" ht="14.25" customHeight="1">
      <c r="A928" s="171"/>
      <c r="B928" s="282"/>
      <c r="C928" s="171"/>
      <c r="D928" s="171"/>
      <c r="E928" s="171"/>
      <c r="F928" s="171"/>
      <c r="G928" s="173"/>
      <c r="H928" s="170"/>
      <c r="I928" s="171"/>
    </row>
    <row r="929" ht="14.25" customHeight="1">
      <c r="A929" s="171"/>
      <c r="B929" s="282"/>
      <c r="C929" s="171"/>
      <c r="D929" s="171"/>
      <c r="E929" s="171"/>
      <c r="F929" s="171"/>
      <c r="G929" s="173"/>
      <c r="H929" s="170"/>
      <c r="I929" s="171"/>
    </row>
    <row r="930" ht="14.25" customHeight="1">
      <c r="A930" s="171"/>
      <c r="B930" s="282"/>
      <c r="C930" s="171"/>
      <c r="D930" s="171"/>
      <c r="E930" s="171"/>
      <c r="F930" s="171"/>
      <c r="G930" s="173"/>
      <c r="H930" s="170"/>
      <c r="I930" s="171"/>
    </row>
    <row r="931" ht="14.25" customHeight="1">
      <c r="A931" s="171"/>
      <c r="B931" s="282"/>
      <c r="C931" s="171"/>
      <c r="D931" s="171"/>
      <c r="E931" s="171"/>
      <c r="F931" s="171"/>
      <c r="G931" s="173"/>
      <c r="H931" s="170"/>
      <c r="I931" s="171"/>
    </row>
    <row r="932" ht="14.25" customHeight="1">
      <c r="A932" s="171"/>
      <c r="B932" s="282"/>
      <c r="C932" s="171"/>
      <c r="D932" s="171"/>
      <c r="E932" s="171"/>
      <c r="F932" s="171"/>
      <c r="G932" s="173"/>
      <c r="H932" s="170"/>
      <c r="I932" s="171"/>
    </row>
    <row r="933" ht="14.25" customHeight="1">
      <c r="A933" s="171"/>
      <c r="B933" s="282"/>
      <c r="C933" s="171"/>
      <c r="D933" s="171"/>
      <c r="E933" s="171"/>
      <c r="F933" s="171"/>
      <c r="G933" s="173"/>
      <c r="H933" s="170"/>
      <c r="I933" s="171"/>
    </row>
    <row r="934" ht="14.25" customHeight="1">
      <c r="A934" s="171"/>
      <c r="B934" s="282"/>
      <c r="C934" s="171"/>
      <c r="D934" s="171"/>
      <c r="E934" s="171"/>
      <c r="F934" s="171"/>
      <c r="G934" s="173"/>
      <c r="H934" s="170"/>
      <c r="I934" s="171"/>
    </row>
    <row r="935" ht="14.25" customHeight="1">
      <c r="A935" s="171"/>
      <c r="B935" s="282"/>
      <c r="C935" s="171"/>
      <c r="D935" s="171"/>
      <c r="E935" s="171"/>
      <c r="F935" s="171"/>
      <c r="G935" s="173"/>
      <c r="H935" s="170"/>
      <c r="I935" s="171"/>
    </row>
    <row r="936" ht="14.25" customHeight="1">
      <c r="A936" s="171"/>
      <c r="B936" s="282"/>
      <c r="C936" s="171"/>
      <c r="D936" s="171"/>
      <c r="E936" s="171"/>
      <c r="F936" s="171"/>
      <c r="G936" s="173"/>
      <c r="H936" s="170"/>
      <c r="I936" s="171"/>
    </row>
    <row r="937" ht="14.25" customHeight="1">
      <c r="A937" s="171"/>
      <c r="B937" s="282"/>
      <c r="C937" s="171"/>
      <c r="D937" s="171"/>
      <c r="E937" s="171"/>
      <c r="F937" s="171"/>
      <c r="G937" s="173"/>
      <c r="H937" s="170"/>
      <c r="I937" s="171"/>
    </row>
    <row r="938" ht="14.25" customHeight="1">
      <c r="A938" s="171"/>
      <c r="B938" s="282"/>
      <c r="C938" s="171"/>
      <c r="D938" s="171"/>
      <c r="E938" s="171"/>
      <c r="F938" s="171"/>
      <c r="G938" s="173"/>
      <c r="H938" s="170"/>
      <c r="I938" s="171"/>
    </row>
    <row r="939" ht="14.25" customHeight="1">
      <c r="A939" s="171"/>
      <c r="B939" s="282"/>
      <c r="C939" s="171"/>
      <c r="D939" s="171"/>
      <c r="E939" s="171"/>
      <c r="F939" s="171"/>
      <c r="G939" s="173"/>
      <c r="H939" s="170"/>
      <c r="I939" s="171"/>
    </row>
    <row r="940" ht="14.25" customHeight="1">
      <c r="A940" s="171"/>
      <c r="B940" s="282"/>
      <c r="C940" s="171"/>
      <c r="D940" s="171"/>
      <c r="E940" s="171"/>
      <c r="F940" s="171"/>
      <c r="G940" s="173"/>
      <c r="H940" s="170"/>
      <c r="I940" s="171"/>
    </row>
    <row r="941" ht="14.25" customHeight="1">
      <c r="A941" s="171"/>
      <c r="B941" s="282"/>
      <c r="C941" s="171"/>
      <c r="D941" s="171"/>
      <c r="E941" s="171"/>
      <c r="F941" s="171"/>
      <c r="G941" s="173"/>
      <c r="H941" s="170"/>
      <c r="I941" s="171"/>
    </row>
    <row r="942" ht="14.25" customHeight="1">
      <c r="A942" s="171"/>
      <c r="B942" s="282"/>
      <c r="C942" s="171"/>
      <c r="D942" s="171"/>
      <c r="E942" s="171"/>
      <c r="F942" s="171"/>
      <c r="G942" s="173"/>
      <c r="H942" s="170"/>
      <c r="I942" s="171"/>
    </row>
    <row r="943" ht="14.25" customHeight="1">
      <c r="A943" s="171"/>
      <c r="B943" s="282"/>
      <c r="C943" s="171"/>
      <c r="D943" s="171"/>
      <c r="E943" s="171"/>
      <c r="F943" s="171"/>
      <c r="G943" s="173"/>
      <c r="H943" s="170"/>
      <c r="I943" s="171"/>
    </row>
    <row r="944" ht="14.25" customHeight="1">
      <c r="A944" s="171"/>
      <c r="B944" s="282"/>
      <c r="C944" s="171"/>
      <c r="D944" s="171"/>
      <c r="E944" s="171"/>
      <c r="F944" s="171"/>
      <c r="G944" s="173"/>
      <c r="H944" s="170"/>
      <c r="I944" s="171"/>
    </row>
    <row r="945" ht="14.25" customHeight="1">
      <c r="A945" s="171"/>
      <c r="B945" s="282"/>
      <c r="C945" s="171"/>
      <c r="D945" s="171"/>
      <c r="E945" s="171"/>
      <c r="F945" s="171"/>
      <c r="G945" s="173"/>
      <c r="H945" s="170"/>
      <c r="I945" s="171"/>
    </row>
    <row r="946" ht="14.25" customHeight="1">
      <c r="A946" s="171"/>
      <c r="B946" s="282"/>
      <c r="C946" s="171"/>
      <c r="D946" s="171"/>
      <c r="E946" s="171"/>
      <c r="F946" s="171"/>
      <c r="G946" s="173"/>
      <c r="H946" s="170"/>
      <c r="I946" s="171"/>
    </row>
    <row r="947" ht="14.25" customHeight="1">
      <c r="A947" s="171"/>
      <c r="B947" s="282"/>
      <c r="C947" s="171"/>
      <c r="D947" s="171"/>
      <c r="E947" s="171"/>
      <c r="F947" s="171"/>
      <c r="G947" s="173"/>
      <c r="H947" s="170"/>
      <c r="I947" s="171"/>
    </row>
    <row r="948" ht="14.25" customHeight="1">
      <c r="A948" s="171"/>
      <c r="B948" s="282"/>
      <c r="C948" s="171"/>
      <c r="D948" s="171"/>
      <c r="E948" s="171"/>
      <c r="F948" s="171"/>
      <c r="G948" s="173"/>
      <c r="H948" s="170"/>
      <c r="I948" s="171"/>
    </row>
    <row r="949" ht="14.25" customHeight="1">
      <c r="A949" s="171"/>
      <c r="B949" s="282"/>
      <c r="C949" s="171"/>
      <c r="D949" s="171"/>
      <c r="E949" s="171"/>
      <c r="F949" s="171"/>
      <c r="G949" s="173"/>
      <c r="H949" s="170"/>
      <c r="I949" s="171"/>
    </row>
    <row r="950" ht="14.25" customHeight="1">
      <c r="A950" s="171"/>
      <c r="B950" s="282"/>
      <c r="C950" s="171"/>
      <c r="D950" s="171"/>
      <c r="E950" s="171"/>
      <c r="F950" s="171"/>
      <c r="G950" s="173"/>
      <c r="H950" s="170"/>
      <c r="I950" s="171"/>
    </row>
    <row r="951" ht="14.25" customHeight="1">
      <c r="A951" s="171"/>
      <c r="B951" s="282"/>
      <c r="C951" s="171"/>
      <c r="D951" s="171"/>
      <c r="E951" s="171"/>
      <c r="F951" s="171"/>
      <c r="G951" s="173"/>
      <c r="H951" s="170"/>
      <c r="I951" s="171"/>
    </row>
    <row r="952" ht="14.25" customHeight="1">
      <c r="A952" s="171"/>
      <c r="B952" s="282"/>
      <c r="C952" s="171"/>
      <c r="D952" s="171"/>
      <c r="E952" s="171"/>
      <c r="F952" s="171"/>
      <c r="G952" s="173"/>
      <c r="H952" s="170"/>
      <c r="I952" s="171"/>
    </row>
    <row r="953" ht="14.25" customHeight="1">
      <c r="A953" s="171"/>
      <c r="B953" s="282"/>
      <c r="C953" s="171"/>
      <c r="D953" s="171"/>
      <c r="E953" s="171"/>
      <c r="F953" s="171"/>
      <c r="G953" s="173"/>
      <c r="H953" s="170"/>
      <c r="I953" s="171"/>
    </row>
    <row r="954" ht="14.25" customHeight="1">
      <c r="A954" s="171"/>
      <c r="B954" s="282"/>
      <c r="C954" s="171"/>
      <c r="D954" s="171"/>
      <c r="E954" s="171"/>
      <c r="F954" s="171"/>
      <c r="G954" s="173"/>
      <c r="H954" s="170"/>
      <c r="I954" s="171"/>
    </row>
    <row r="955" ht="14.25" customHeight="1">
      <c r="A955" s="171"/>
      <c r="B955" s="282"/>
      <c r="C955" s="171"/>
      <c r="D955" s="171"/>
      <c r="E955" s="171"/>
      <c r="F955" s="171"/>
      <c r="G955" s="173"/>
      <c r="H955" s="170"/>
      <c r="I955" s="171"/>
    </row>
    <row r="956" ht="14.25" customHeight="1">
      <c r="A956" s="171"/>
      <c r="B956" s="282"/>
      <c r="C956" s="171"/>
      <c r="D956" s="171"/>
      <c r="E956" s="171"/>
      <c r="F956" s="171"/>
      <c r="G956" s="173"/>
      <c r="H956" s="170"/>
      <c r="I956" s="171"/>
    </row>
    <row r="957" ht="14.25" customHeight="1">
      <c r="A957" s="171"/>
      <c r="B957" s="282"/>
      <c r="C957" s="171"/>
      <c r="D957" s="171"/>
      <c r="E957" s="171"/>
      <c r="F957" s="171"/>
      <c r="G957" s="173"/>
      <c r="H957" s="170"/>
      <c r="I957" s="171"/>
    </row>
    <row r="958" ht="14.25" customHeight="1">
      <c r="A958" s="171"/>
      <c r="B958" s="282"/>
      <c r="C958" s="171"/>
      <c r="D958" s="171"/>
      <c r="E958" s="171"/>
      <c r="F958" s="171"/>
      <c r="G958" s="173"/>
      <c r="H958" s="170"/>
      <c r="I958" s="171"/>
    </row>
    <row r="959" ht="14.25" customHeight="1">
      <c r="A959" s="171"/>
      <c r="B959" s="282"/>
      <c r="C959" s="171"/>
      <c r="D959" s="171"/>
      <c r="E959" s="171"/>
      <c r="F959" s="171"/>
      <c r="G959" s="173"/>
      <c r="H959" s="170"/>
      <c r="I959" s="171"/>
    </row>
    <row r="960" ht="14.25" customHeight="1">
      <c r="A960" s="171"/>
      <c r="B960" s="282"/>
      <c r="C960" s="171"/>
      <c r="D960" s="171"/>
      <c r="E960" s="171"/>
      <c r="F960" s="171"/>
      <c r="G960" s="173"/>
      <c r="H960" s="170"/>
      <c r="I960" s="171"/>
    </row>
    <row r="961" ht="14.25" customHeight="1">
      <c r="A961" s="171"/>
      <c r="B961" s="282"/>
      <c r="C961" s="171"/>
      <c r="D961" s="171"/>
      <c r="E961" s="171"/>
      <c r="F961" s="171"/>
      <c r="G961" s="173"/>
      <c r="H961" s="170"/>
      <c r="I961" s="171"/>
    </row>
    <row r="962" ht="14.25" customHeight="1">
      <c r="A962" s="171"/>
      <c r="B962" s="282"/>
      <c r="C962" s="171"/>
      <c r="D962" s="171"/>
      <c r="E962" s="171"/>
      <c r="F962" s="171"/>
      <c r="G962" s="173"/>
      <c r="H962" s="170"/>
      <c r="I962" s="171"/>
    </row>
    <row r="963" ht="14.25" customHeight="1">
      <c r="A963" s="171"/>
      <c r="B963" s="282"/>
      <c r="C963" s="171"/>
      <c r="D963" s="171"/>
      <c r="E963" s="171"/>
      <c r="F963" s="171"/>
      <c r="G963" s="173"/>
      <c r="H963" s="170"/>
      <c r="I963" s="171"/>
    </row>
    <row r="964" ht="14.25" customHeight="1">
      <c r="A964" s="171"/>
      <c r="B964" s="282"/>
      <c r="C964" s="171"/>
      <c r="D964" s="171"/>
      <c r="E964" s="171"/>
      <c r="F964" s="171"/>
      <c r="G964" s="173"/>
      <c r="H964" s="170"/>
      <c r="I964" s="171"/>
    </row>
    <row r="965" ht="14.25" customHeight="1">
      <c r="A965" s="171"/>
      <c r="B965" s="282"/>
      <c r="C965" s="171"/>
      <c r="D965" s="171"/>
      <c r="E965" s="171"/>
      <c r="F965" s="171"/>
      <c r="G965" s="173"/>
      <c r="H965" s="170"/>
      <c r="I965" s="171"/>
    </row>
    <row r="966" ht="14.25" customHeight="1">
      <c r="A966" s="171"/>
      <c r="B966" s="282"/>
      <c r="C966" s="171"/>
      <c r="D966" s="171"/>
      <c r="E966" s="171"/>
      <c r="F966" s="171"/>
      <c r="G966" s="173"/>
      <c r="H966" s="170"/>
      <c r="I966" s="171"/>
    </row>
    <row r="967" ht="14.25" customHeight="1">
      <c r="A967" s="171"/>
      <c r="B967" s="282"/>
      <c r="C967" s="171"/>
      <c r="D967" s="171"/>
      <c r="E967" s="171"/>
      <c r="F967" s="171"/>
      <c r="G967" s="173"/>
      <c r="H967" s="170"/>
      <c r="I967" s="171"/>
    </row>
    <row r="968" ht="14.25" customHeight="1">
      <c r="A968" s="171"/>
      <c r="B968" s="282"/>
      <c r="C968" s="171"/>
      <c r="D968" s="171"/>
      <c r="E968" s="171"/>
      <c r="F968" s="171"/>
      <c r="G968" s="173"/>
      <c r="H968" s="170"/>
      <c r="I968" s="171"/>
    </row>
    <row r="969" ht="14.25" customHeight="1">
      <c r="A969" s="171"/>
      <c r="B969" s="282"/>
      <c r="C969" s="171"/>
      <c r="D969" s="171"/>
      <c r="E969" s="171"/>
      <c r="F969" s="171"/>
      <c r="G969" s="173"/>
      <c r="H969" s="170"/>
      <c r="I969" s="171"/>
    </row>
    <row r="970" ht="14.25" customHeight="1">
      <c r="A970" s="171"/>
      <c r="B970" s="282"/>
      <c r="C970" s="171"/>
      <c r="D970" s="171"/>
      <c r="E970" s="171"/>
      <c r="F970" s="171"/>
      <c r="G970" s="173"/>
      <c r="H970" s="170"/>
      <c r="I970" s="171"/>
    </row>
    <row r="971" ht="14.25" customHeight="1">
      <c r="A971" s="171"/>
      <c r="B971" s="282"/>
      <c r="C971" s="171"/>
      <c r="D971" s="171"/>
      <c r="E971" s="171"/>
      <c r="F971" s="171"/>
      <c r="G971" s="173"/>
      <c r="H971" s="170"/>
      <c r="I971" s="171"/>
    </row>
    <row r="972" ht="14.25" customHeight="1">
      <c r="A972" s="171"/>
      <c r="B972" s="282"/>
      <c r="C972" s="171"/>
      <c r="D972" s="171"/>
      <c r="E972" s="171"/>
      <c r="F972" s="171"/>
      <c r="G972" s="173"/>
      <c r="H972" s="170"/>
      <c r="I972" s="171"/>
    </row>
    <row r="973" ht="14.25" customHeight="1">
      <c r="A973" s="171"/>
      <c r="B973" s="282"/>
      <c r="C973" s="171"/>
      <c r="D973" s="171"/>
      <c r="E973" s="171"/>
      <c r="F973" s="171"/>
      <c r="G973" s="173"/>
      <c r="H973" s="170"/>
      <c r="I973" s="171"/>
    </row>
    <row r="974" ht="14.25" customHeight="1">
      <c r="A974" s="171"/>
      <c r="B974" s="282"/>
      <c r="C974" s="171"/>
      <c r="D974" s="171"/>
      <c r="E974" s="171"/>
      <c r="F974" s="171"/>
      <c r="G974" s="173"/>
      <c r="H974" s="170"/>
      <c r="I974" s="171"/>
    </row>
    <row r="975" ht="14.25" customHeight="1">
      <c r="A975" s="171"/>
      <c r="B975" s="282"/>
      <c r="C975" s="171"/>
      <c r="D975" s="171"/>
      <c r="E975" s="171"/>
      <c r="F975" s="171"/>
      <c r="G975" s="173"/>
      <c r="H975" s="170"/>
      <c r="I975" s="171"/>
    </row>
    <row r="976" ht="14.25" customHeight="1">
      <c r="A976" s="171"/>
      <c r="B976" s="282"/>
      <c r="C976" s="171"/>
      <c r="D976" s="171"/>
      <c r="E976" s="171"/>
      <c r="F976" s="171"/>
      <c r="G976" s="173"/>
      <c r="H976" s="170"/>
      <c r="I976" s="171"/>
    </row>
    <row r="977" ht="14.25" customHeight="1">
      <c r="A977" s="171"/>
      <c r="B977" s="282"/>
      <c r="C977" s="171"/>
      <c r="D977" s="171"/>
      <c r="E977" s="171"/>
      <c r="F977" s="171"/>
      <c r="G977" s="173"/>
      <c r="H977" s="170"/>
      <c r="I977" s="171"/>
    </row>
    <row r="978" ht="14.25" customHeight="1">
      <c r="A978" s="171"/>
      <c r="B978" s="282"/>
      <c r="C978" s="171"/>
      <c r="D978" s="171"/>
      <c r="E978" s="171"/>
      <c r="F978" s="171"/>
      <c r="G978" s="173"/>
      <c r="H978" s="170"/>
      <c r="I978" s="171"/>
    </row>
    <row r="979" ht="14.25" customHeight="1">
      <c r="A979" s="171"/>
      <c r="B979" s="282"/>
      <c r="C979" s="171"/>
      <c r="D979" s="171"/>
      <c r="E979" s="171"/>
      <c r="F979" s="171"/>
      <c r="G979" s="173"/>
      <c r="H979" s="170"/>
      <c r="I979" s="171"/>
    </row>
    <row r="980" ht="14.25" customHeight="1">
      <c r="A980" s="171"/>
      <c r="B980" s="282"/>
      <c r="C980" s="171"/>
      <c r="D980" s="171"/>
      <c r="E980" s="171"/>
      <c r="F980" s="171"/>
      <c r="G980" s="173"/>
      <c r="H980" s="170"/>
      <c r="I980" s="171"/>
    </row>
    <row r="981" ht="14.25" customHeight="1">
      <c r="A981" s="171"/>
      <c r="B981" s="282"/>
      <c r="C981" s="171"/>
      <c r="D981" s="171"/>
      <c r="E981" s="171"/>
      <c r="F981" s="171"/>
      <c r="G981" s="173"/>
      <c r="H981" s="170"/>
      <c r="I981" s="171"/>
    </row>
    <row r="982" ht="14.25" customHeight="1">
      <c r="A982" s="171"/>
      <c r="B982" s="282"/>
      <c r="C982" s="171"/>
      <c r="D982" s="171"/>
      <c r="E982" s="171"/>
      <c r="F982" s="171"/>
      <c r="G982" s="173"/>
      <c r="H982" s="170"/>
      <c r="I982" s="171"/>
    </row>
    <row r="983" ht="14.25" customHeight="1">
      <c r="A983" s="171"/>
      <c r="B983" s="282"/>
      <c r="C983" s="171"/>
      <c r="D983" s="171"/>
      <c r="E983" s="171"/>
      <c r="F983" s="171"/>
      <c r="G983" s="173"/>
      <c r="H983" s="170"/>
      <c r="I983" s="171"/>
    </row>
    <row r="984" ht="14.25" customHeight="1">
      <c r="A984" s="171"/>
      <c r="B984" s="282"/>
      <c r="C984" s="171"/>
      <c r="D984" s="171"/>
      <c r="E984" s="171"/>
      <c r="F984" s="171"/>
      <c r="G984" s="173"/>
      <c r="H984" s="170"/>
      <c r="I984" s="171"/>
    </row>
    <row r="985" ht="14.25" customHeight="1">
      <c r="A985" s="171"/>
      <c r="B985" s="282"/>
      <c r="C985" s="171"/>
      <c r="D985" s="171"/>
      <c r="E985" s="171"/>
      <c r="F985" s="171"/>
      <c r="G985" s="173"/>
      <c r="H985" s="170"/>
      <c r="I985" s="171"/>
    </row>
    <row r="986" ht="14.25" customHeight="1">
      <c r="A986" s="171"/>
      <c r="B986" s="282"/>
      <c r="C986" s="171"/>
      <c r="D986" s="171"/>
      <c r="E986" s="171"/>
      <c r="F986" s="171"/>
      <c r="G986" s="173"/>
      <c r="H986" s="170"/>
      <c r="I986" s="171"/>
    </row>
    <row r="987" ht="14.25" customHeight="1">
      <c r="A987" s="171"/>
      <c r="B987" s="282"/>
      <c r="C987" s="171"/>
      <c r="D987" s="171"/>
      <c r="E987" s="171"/>
      <c r="F987" s="171"/>
      <c r="G987" s="173"/>
      <c r="H987" s="170"/>
      <c r="I987" s="171"/>
    </row>
    <row r="988" ht="14.25" customHeight="1">
      <c r="A988" s="171"/>
      <c r="B988" s="282"/>
      <c r="C988" s="171"/>
      <c r="D988" s="171"/>
      <c r="E988" s="171"/>
      <c r="F988" s="171"/>
      <c r="G988" s="173"/>
      <c r="H988" s="170"/>
      <c r="I988" s="171"/>
    </row>
    <row r="989" ht="14.25" customHeight="1">
      <c r="A989" s="171"/>
      <c r="B989" s="282"/>
      <c r="C989" s="171"/>
      <c r="D989" s="171"/>
      <c r="E989" s="171"/>
      <c r="F989" s="171"/>
      <c r="G989" s="173"/>
      <c r="H989" s="170"/>
      <c r="I989" s="171"/>
    </row>
    <row r="990" ht="14.25" customHeight="1">
      <c r="A990" s="171"/>
      <c r="B990" s="282"/>
      <c r="C990" s="171"/>
      <c r="D990" s="171"/>
      <c r="E990" s="171"/>
      <c r="F990" s="171"/>
      <c r="G990" s="173"/>
      <c r="H990" s="170"/>
      <c r="I990" s="171"/>
    </row>
    <row r="991" ht="14.25" customHeight="1">
      <c r="A991" s="171"/>
      <c r="B991" s="282"/>
      <c r="C991" s="171"/>
      <c r="D991" s="171"/>
      <c r="E991" s="171"/>
      <c r="F991" s="171"/>
      <c r="G991" s="173"/>
      <c r="H991" s="170"/>
      <c r="I991" s="171"/>
    </row>
    <row r="992" ht="14.25" customHeight="1">
      <c r="A992" s="171"/>
      <c r="B992" s="282"/>
      <c r="C992" s="171"/>
      <c r="D992" s="171"/>
      <c r="E992" s="171"/>
      <c r="F992" s="171"/>
      <c r="G992" s="173"/>
      <c r="H992" s="170"/>
      <c r="I992" s="171"/>
    </row>
    <row r="993" ht="14.25" customHeight="1">
      <c r="A993" s="171"/>
      <c r="B993" s="282"/>
      <c r="C993" s="171"/>
      <c r="D993" s="171"/>
      <c r="E993" s="171"/>
      <c r="F993" s="171"/>
      <c r="G993" s="173"/>
      <c r="H993" s="170"/>
      <c r="I993" s="171"/>
    </row>
    <row r="994" ht="14.25" customHeight="1">
      <c r="A994" s="171"/>
      <c r="B994" s="282"/>
      <c r="C994" s="171"/>
      <c r="D994" s="171"/>
      <c r="E994" s="171"/>
      <c r="F994" s="171"/>
      <c r="G994" s="173"/>
      <c r="H994" s="170"/>
      <c r="I994" s="171"/>
    </row>
    <row r="995" ht="14.25" customHeight="1">
      <c r="A995" s="171"/>
      <c r="B995" s="282"/>
      <c r="C995" s="171"/>
      <c r="D995" s="171"/>
      <c r="E995" s="171"/>
      <c r="F995" s="171"/>
      <c r="G995" s="173"/>
      <c r="H995" s="170"/>
      <c r="I995" s="171"/>
    </row>
    <row r="996" ht="14.25" customHeight="1">
      <c r="A996" s="171"/>
      <c r="B996" s="282"/>
      <c r="C996" s="171"/>
      <c r="D996" s="171"/>
      <c r="E996" s="171"/>
      <c r="F996" s="171"/>
      <c r="G996" s="173"/>
      <c r="H996" s="170"/>
      <c r="I996" s="171"/>
    </row>
  </sheetData>
  <mergeCells count="11">
    <mergeCell ref="B5:D5"/>
    <mergeCell ref="B6:D6"/>
    <mergeCell ref="F6:G6"/>
    <mergeCell ref="F36:I36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57"/>
    <col customWidth="1" min="6" max="6" width="16.86"/>
    <col customWidth="1" min="7" max="7" width="25.29"/>
    <col customWidth="1" min="8" max="8" width="12.14"/>
    <col customWidth="1" min="9" max="9" width="12.29"/>
    <col customWidth="1" min="10" max="28" width="8.71"/>
  </cols>
  <sheetData>
    <row r="1" ht="33.75" customHeight="1">
      <c r="A1" s="105" t="s">
        <v>42</v>
      </c>
      <c r="H1" s="170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 ht="31.5" customHeight="1">
      <c r="A2" s="171"/>
      <c r="B2" s="282"/>
      <c r="C2" s="106" t="s">
        <v>43</v>
      </c>
      <c r="F2" s="171"/>
      <c r="G2" s="173"/>
      <c r="H2" s="170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4.25" customHeight="1">
      <c r="A3" s="174" t="s">
        <v>44</v>
      </c>
      <c r="B3" s="283" t="s">
        <v>934</v>
      </c>
      <c r="E3" s="176" t="s">
        <v>46</v>
      </c>
      <c r="F3" s="283" t="s">
        <v>935</v>
      </c>
      <c r="H3" s="170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</row>
    <row r="4" ht="14.25" customHeight="1">
      <c r="A4" s="174" t="s">
        <v>48</v>
      </c>
      <c r="B4" s="283" t="s">
        <v>936</v>
      </c>
      <c r="E4" s="176" t="s">
        <v>105</v>
      </c>
      <c r="F4" s="283">
        <v>5.604046100305E12</v>
      </c>
      <c r="H4" s="170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</row>
    <row r="5" ht="14.25" customHeight="1">
      <c r="A5" s="174" t="s">
        <v>51</v>
      </c>
      <c r="B5" s="283" t="s">
        <v>231</v>
      </c>
      <c r="E5" s="176" t="s">
        <v>53</v>
      </c>
      <c r="F5" s="283" t="s">
        <v>936</v>
      </c>
      <c r="H5" s="170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</row>
    <row r="6" ht="14.25" customHeight="1">
      <c r="A6" s="174" t="s">
        <v>54</v>
      </c>
      <c r="B6" s="283">
        <v>287364.0</v>
      </c>
      <c r="E6" s="176" t="s">
        <v>55</v>
      </c>
      <c r="F6" s="283">
        <v>6.2009551567E10</v>
      </c>
      <c r="H6" s="170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</row>
    <row r="7" ht="14.25" customHeight="1">
      <c r="A7" s="171"/>
      <c r="B7" s="282"/>
      <c r="C7" s="171"/>
      <c r="D7" s="78"/>
      <c r="E7" s="78"/>
      <c r="F7" s="171"/>
      <c r="G7" s="173"/>
      <c r="H7" s="170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ht="14.25" customHeight="1">
      <c r="A8" s="171"/>
      <c r="B8" s="282"/>
      <c r="C8" s="171"/>
      <c r="D8" s="78"/>
      <c r="E8" s="78"/>
      <c r="F8" s="171"/>
      <c r="G8" s="173"/>
      <c r="H8" s="170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ht="14.25" customHeight="1">
      <c r="A9" s="107" t="s">
        <v>56</v>
      </c>
      <c r="B9" s="108" t="s">
        <v>107</v>
      </c>
      <c r="C9" s="177" t="s">
        <v>58</v>
      </c>
      <c r="D9" s="178" t="s">
        <v>59</v>
      </c>
      <c r="E9" s="178" t="s">
        <v>60</v>
      </c>
      <c r="F9" s="107" t="s">
        <v>61</v>
      </c>
      <c r="G9" s="110" t="s">
        <v>62</v>
      </c>
      <c r="H9" s="111" t="s">
        <v>63</v>
      </c>
      <c r="I9" s="107" t="s">
        <v>64</v>
      </c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ht="14.25" customHeight="1">
      <c r="A10" s="112" t="s">
        <v>937</v>
      </c>
      <c r="B10" s="112">
        <v>7.6384373E7</v>
      </c>
      <c r="C10" s="179" t="s">
        <v>125</v>
      </c>
      <c r="D10" s="180" t="s">
        <v>938</v>
      </c>
      <c r="E10" s="180" t="s">
        <v>939</v>
      </c>
      <c r="F10" s="116">
        <v>3.0</v>
      </c>
      <c r="G10" s="117">
        <v>3.0</v>
      </c>
      <c r="H10" s="181">
        <f t="shared" ref="H10:H35" si="1">G10*200</f>
        <v>600</v>
      </c>
      <c r="I10" s="119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 ht="14.25" customHeight="1">
      <c r="A11" s="135" t="s">
        <v>940</v>
      </c>
      <c r="B11" s="135">
        <v>7.6374865E7</v>
      </c>
      <c r="C11" s="179" t="s">
        <v>125</v>
      </c>
      <c r="D11" s="180">
        <v>0.375</v>
      </c>
      <c r="E11" s="180">
        <v>0.5381944444444444</v>
      </c>
      <c r="F11" s="121">
        <v>3.0</v>
      </c>
      <c r="G11" s="117">
        <v>3.0</v>
      </c>
      <c r="H11" s="181">
        <f t="shared" si="1"/>
        <v>600</v>
      </c>
      <c r="I11" s="119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ht="14.25" customHeight="1">
      <c r="A12" s="135" t="s">
        <v>941</v>
      </c>
      <c r="B12" s="259" t="s">
        <v>81</v>
      </c>
      <c r="C12" s="299" t="s">
        <v>125</v>
      </c>
      <c r="D12" s="180">
        <v>0.2708333333333333</v>
      </c>
      <c r="E12" s="180">
        <v>0.3541666666666667</v>
      </c>
      <c r="F12" s="121">
        <v>2.0</v>
      </c>
      <c r="G12" s="117">
        <v>2.0</v>
      </c>
      <c r="H12" s="181">
        <f t="shared" si="1"/>
        <v>400</v>
      </c>
      <c r="I12" s="119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ht="14.25" customHeight="1">
      <c r="A13" s="137" t="s">
        <v>942</v>
      </c>
      <c r="B13" s="137">
        <v>7.6361147E7</v>
      </c>
      <c r="C13" s="299" t="s">
        <v>129</v>
      </c>
      <c r="D13" s="180">
        <v>0.2916666666666667</v>
      </c>
      <c r="E13" s="180">
        <v>0.4479166666666667</v>
      </c>
      <c r="F13" s="121">
        <v>3.0</v>
      </c>
      <c r="G13" s="117">
        <v>3.0</v>
      </c>
      <c r="H13" s="181">
        <f t="shared" si="1"/>
        <v>600</v>
      </c>
      <c r="I13" s="119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ht="14.25" customHeight="1">
      <c r="A14" s="135" t="s">
        <v>943</v>
      </c>
      <c r="B14" s="135">
        <v>7.8326038E7</v>
      </c>
      <c r="C14" s="299" t="s">
        <v>129</v>
      </c>
      <c r="D14" s="180">
        <v>0.4791666666666667</v>
      </c>
      <c r="E14" s="180">
        <v>0.5625</v>
      </c>
      <c r="F14" s="121">
        <v>2.0</v>
      </c>
      <c r="G14" s="117">
        <v>2.0</v>
      </c>
      <c r="H14" s="181">
        <f t="shared" si="1"/>
        <v>400</v>
      </c>
      <c r="I14" s="119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</row>
    <row r="15" ht="14.25" customHeight="1">
      <c r="A15" s="135" t="s">
        <v>944</v>
      </c>
      <c r="B15" s="259" t="s">
        <v>81</v>
      </c>
      <c r="C15" s="299" t="s">
        <v>129</v>
      </c>
      <c r="D15" s="180">
        <v>0.5833333333333334</v>
      </c>
      <c r="E15" s="180">
        <v>0.6909722222222222</v>
      </c>
      <c r="F15" s="121">
        <v>2.0</v>
      </c>
      <c r="G15" s="117">
        <v>2.0</v>
      </c>
      <c r="H15" s="181">
        <f t="shared" si="1"/>
        <v>400</v>
      </c>
      <c r="I15" s="119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</row>
    <row r="16" ht="14.25" customHeight="1">
      <c r="A16" s="137" t="s">
        <v>945</v>
      </c>
      <c r="B16" s="137">
        <v>7.6372408E7</v>
      </c>
      <c r="C16" s="299" t="s">
        <v>361</v>
      </c>
      <c r="D16" s="180">
        <v>0.3333333333333333</v>
      </c>
      <c r="E16" s="180">
        <v>0.3888888888888889</v>
      </c>
      <c r="F16" s="126">
        <v>1.0</v>
      </c>
      <c r="G16" s="117">
        <v>1.0</v>
      </c>
      <c r="H16" s="181">
        <f t="shared" si="1"/>
        <v>200</v>
      </c>
      <c r="I16" s="119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ht="14.25" customHeight="1">
      <c r="A17" s="135" t="s">
        <v>946</v>
      </c>
      <c r="B17" s="135">
        <v>7.6909279E7</v>
      </c>
      <c r="C17" s="299" t="s">
        <v>361</v>
      </c>
      <c r="D17" s="180">
        <v>0.4166666666666667</v>
      </c>
      <c r="E17" s="183">
        <v>0.5243055555555556</v>
      </c>
      <c r="F17" s="121">
        <v>2.0</v>
      </c>
      <c r="G17" s="117">
        <v>2.0</v>
      </c>
      <c r="H17" s="181">
        <f t="shared" si="1"/>
        <v>400</v>
      </c>
      <c r="I17" s="119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ht="14.25" customHeight="1">
      <c r="A18" s="137" t="s">
        <v>947</v>
      </c>
      <c r="B18" s="136">
        <v>7.6076623E7</v>
      </c>
      <c r="C18" s="299" t="s">
        <v>361</v>
      </c>
      <c r="D18" s="180">
        <v>0.6076388888888888</v>
      </c>
      <c r="E18" s="180">
        <v>0.7013888888888888</v>
      </c>
      <c r="F18" s="121">
        <v>3.0</v>
      </c>
      <c r="G18" s="117">
        <v>3.0</v>
      </c>
      <c r="H18" s="181">
        <f t="shared" si="1"/>
        <v>600</v>
      </c>
      <c r="I18" s="119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</row>
    <row r="19" ht="14.25" customHeight="1">
      <c r="A19" s="135" t="s">
        <v>948</v>
      </c>
      <c r="B19" s="136">
        <v>7.652442E7</v>
      </c>
      <c r="C19" s="299" t="s">
        <v>361</v>
      </c>
      <c r="D19" s="180">
        <v>0.3333333333333333</v>
      </c>
      <c r="E19" s="180">
        <v>0.4479166666666667</v>
      </c>
      <c r="F19" s="121">
        <v>2.0</v>
      </c>
      <c r="G19" s="117">
        <v>2.0</v>
      </c>
      <c r="H19" s="181">
        <f t="shared" si="1"/>
        <v>400</v>
      </c>
      <c r="I19" s="119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</row>
    <row r="20" ht="14.25" customHeight="1">
      <c r="A20" s="137" t="s">
        <v>949</v>
      </c>
      <c r="B20" s="137">
        <v>7.6462477E7</v>
      </c>
      <c r="C20" s="299" t="s">
        <v>137</v>
      </c>
      <c r="D20" s="184">
        <v>0.25</v>
      </c>
      <c r="E20" s="180">
        <v>0.3541666666666667</v>
      </c>
      <c r="F20" s="126">
        <v>2.0</v>
      </c>
      <c r="G20" s="117">
        <v>2.0</v>
      </c>
      <c r="H20" s="181">
        <f t="shared" si="1"/>
        <v>400</v>
      </c>
      <c r="I20" s="119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</row>
    <row r="21" ht="14.25" customHeight="1">
      <c r="A21" s="135" t="s">
        <v>950</v>
      </c>
      <c r="B21" s="135">
        <v>7.6615098E7</v>
      </c>
      <c r="C21" s="299" t="s">
        <v>137</v>
      </c>
      <c r="D21" s="180">
        <v>0.3819444444444444</v>
      </c>
      <c r="E21" s="180">
        <v>0.4965277777777778</v>
      </c>
      <c r="F21" s="121">
        <v>2.0</v>
      </c>
      <c r="G21" s="117">
        <v>2.0</v>
      </c>
      <c r="H21" s="181">
        <f t="shared" si="1"/>
        <v>400</v>
      </c>
      <c r="I21" s="119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</row>
    <row r="22" ht="14.25" customHeight="1">
      <c r="A22" s="135" t="s">
        <v>951</v>
      </c>
      <c r="B22" s="136">
        <v>7.6681766E7</v>
      </c>
      <c r="C22" s="299" t="s">
        <v>137</v>
      </c>
      <c r="D22" s="180">
        <v>0.5416666666666666</v>
      </c>
      <c r="E22" s="180">
        <v>0.7069444444444445</v>
      </c>
      <c r="F22" s="121">
        <v>3.0</v>
      </c>
      <c r="G22" s="117">
        <v>3.0</v>
      </c>
      <c r="H22" s="181">
        <f t="shared" si="1"/>
        <v>600</v>
      </c>
      <c r="I22" s="119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</row>
    <row r="23" ht="14.25" customHeight="1">
      <c r="A23" s="135" t="s">
        <v>952</v>
      </c>
      <c r="B23" s="135">
        <v>7.6707424E7</v>
      </c>
      <c r="C23" s="299" t="s">
        <v>141</v>
      </c>
      <c r="D23" s="180">
        <v>0.2708333333333333</v>
      </c>
      <c r="E23" s="180">
        <v>0.3854166666666667</v>
      </c>
      <c r="F23" s="121">
        <v>2.0</v>
      </c>
      <c r="G23" s="117">
        <v>2.0</v>
      </c>
      <c r="H23" s="181">
        <f t="shared" si="1"/>
        <v>400</v>
      </c>
      <c r="I23" s="119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</row>
    <row r="24" ht="14.25" customHeight="1">
      <c r="A24" s="137" t="s">
        <v>944</v>
      </c>
      <c r="B24" s="259" t="s">
        <v>81</v>
      </c>
      <c r="C24" s="299" t="s">
        <v>141</v>
      </c>
      <c r="D24" s="180">
        <v>0.4131944444444444</v>
      </c>
      <c r="E24" s="180">
        <v>0.4861111111111111</v>
      </c>
      <c r="F24" s="121">
        <v>1.0</v>
      </c>
      <c r="G24" s="117">
        <v>1.0</v>
      </c>
      <c r="H24" s="181">
        <f t="shared" si="1"/>
        <v>200</v>
      </c>
      <c r="I24" s="119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</row>
    <row r="25" ht="14.25" customHeight="1">
      <c r="A25" s="137" t="s">
        <v>953</v>
      </c>
      <c r="B25" s="135">
        <v>7.6372408E7</v>
      </c>
      <c r="C25" s="299" t="s">
        <v>147</v>
      </c>
      <c r="D25" s="180">
        <v>0.22916666666666666</v>
      </c>
      <c r="E25" s="180">
        <v>0.3020833333333333</v>
      </c>
      <c r="F25" s="121">
        <v>1.0</v>
      </c>
      <c r="G25" s="117">
        <v>1.0</v>
      </c>
      <c r="H25" s="181">
        <f t="shared" si="1"/>
        <v>200</v>
      </c>
      <c r="I25" s="119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</row>
    <row r="26" ht="14.25" customHeight="1">
      <c r="A26" s="137" t="s">
        <v>947</v>
      </c>
      <c r="B26" s="135">
        <v>7.6076623E7</v>
      </c>
      <c r="C26" s="299" t="s">
        <v>147</v>
      </c>
      <c r="D26" s="180">
        <v>0.3402777777777778</v>
      </c>
      <c r="E26" s="180">
        <v>0.3854166666666667</v>
      </c>
      <c r="F26" s="121">
        <v>1.0</v>
      </c>
      <c r="G26" s="117">
        <v>1.0</v>
      </c>
      <c r="H26" s="181">
        <f t="shared" si="1"/>
        <v>200</v>
      </c>
      <c r="I26" s="119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</row>
    <row r="27" ht="14.25" customHeight="1">
      <c r="A27" s="137" t="s">
        <v>942</v>
      </c>
      <c r="B27" s="135">
        <v>7.6316447E7</v>
      </c>
      <c r="C27" s="299" t="s">
        <v>147</v>
      </c>
      <c r="D27" s="180">
        <v>0.40625</v>
      </c>
      <c r="E27" s="180">
        <v>0.45416666666666666</v>
      </c>
      <c r="F27" s="121">
        <v>1.0</v>
      </c>
      <c r="G27" s="117">
        <v>1.0</v>
      </c>
      <c r="H27" s="181">
        <f t="shared" si="1"/>
        <v>200</v>
      </c>
      <c r="I27" s="119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</row>
    <row r="28" ht="14.25" customHeight="1">
      <c r="A28" s="137" t="s">
        <v>954</v>
      </c>
      <c r="B28" s="259" t="s">
        <v>81</v>
      </c>
      <c r="C28" s="299" t="s">
        <v>955</v>
      </c>
      <c r="D28" s="180">
        <v>0.5833333333333334</v>
      </c>
      <c r="E28" s="180">
        <v>0.6388888888888888</v>
      </c>
      <c r="F28" s="121">
        <v>1.0</v>
      </c>
      <c r="G28" s="117">
        <v>1.0</v>
      </c>
      <c r="H28" s="181">
        <f t="shared" si="1"/>
        <v>200</v>
      </c>
      <c r="I28" s="119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</row>
    <row r="29" ht="14.25" customHeight="1">
      <c r="A29" s="137" t="s">
        <v>956</v>
      </c>
      <c r="B29" s="259" t="s">
        <v>81</v>
      </c>
      <c r="C29" s="299" t="s">
        <v>955</v>
      </c>
      <c r="D29" s="180">
        <v>0.6631944444444444</v>
      </c>
      <c r="E29" s="180">
        <v>0.6840277777777778</v>
      </c>
      <c r="F29" s="121">
        <v>2.0</v>
      </c>
      <c r="G29" s="117">
        <v>2.0</v>
      </c>
      <c r="H29" s="181">
        <f t="shared" si="1"/>
        <v>400</v>
      </c>
      <c r="I29" s="119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</row>
    <row r="30" ht="14.25" customHeight="1">
      <c r="A30" s="137" t="s">
        <v>957</v>
      </c>
      <c r="B30" s="259" t="s">
        <v>81</v>
      </c>
      <c r="C30" s="299" t="s">
        <v>777</v>
      </c>
      <c r="D30" s="180">
        <v>0.2847222222222222</v>
      </c>
      <c r="E30" s="180">
        <v>0.53125</v>
      </c>
      <c r="F30" s="121">
        <v>4.0</v>
      </c>
      <c r="G30" s="117">
        <v>4.0</v>
      </c>
      <c r="H30" s="181">
        <f t="shared" si="1"/>
        <v>800</v>
      </c>
      <c r="I30" s="119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</row>
    <row r="31" ht="14.25" customHeight="1">
      <c r="A31" s="137" t="s">
        <v>958</v>
      </c>
      <c r="B31" s="135">
        <v>7.6288268E7</v>
      </c>
      <c r="C31" s="299" t="s">
        <v>959</v>
      </c>
      <c r="D31" s="180">
        <v>0.23958333333333334</v>
      </c>
      <c r="E31" s="180">
        <v>0.3194444444444444</v>
      </c>
      <c r="F31" s="121">
        <v>2.0</v>
      </c>
      <c r="G31" s="117">
        <v>2.0</v>
      </c>
      <c r="H31" s="181">
        <f t="shared" si="1"/>
        <v>400</v>
      </c>
      <c r="I31" s="119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</row>
    <row r="32" ht="14.25" customHeight="1">
      <c r="A32" s="137" t="s">
        <v>960</v>
      </c>
      <c r="B32" s="135">
        <v>7.6423826E7</v>
      </c>
      <c r="C32" s="299" t="s">
        <v>959</v>
      </c>
      <c r="D32" s="180">
        <v>0.3680555555555556</v>
      </c>
      <c r="E32" s="180">
        <v>0.4270833333333333</v>
      </c>
      <c r="F32" s="121">
        <v>1.0</v>
      </c>
      <c r="G32" s="117">
        <v>1.0</v>
      </c>
      <c r="H32" s="181">
        <f t="shared" si="1"/>
        <v>200</v>
      </c>
      <c r="I32" s="119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</row>
    <row r="33" ht="14.25" customHeight="1">
      <c r="A33" s="137" t="s">
        <v>961</v>
      </c>
      <c r="B33" s="135">
        <v>7.6374865E7</v>
      </c>
      <c r="C33" s="299" t="s">
        <v>959</v>
      </c>
      <c r="D33" s="180">
        <v>0.5</v>
      </c>
      <c r="E33" s="180">
        <v>0.6111111111111112</v>
      </c>
      <c r="F33" s="121">
        <v>2.0</v>
      </c>
      <c r="G33" s="117">
        <v>2.0</v>
      </c>
      <c r="H33" s="181">
        <f t="shared" si="1"/>
        <v>400</v>
      </c>
      <c r="I33" s="119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</row>
    <row r="34" ht="14.25" customHeight="1">
      <c r="A34" s="137" t="s">
        <v>962</v>
      </c>
      <c r="B34" s="259" t="s">
        <v>81</v>
      </c>
      <c r="C34" s="299" t="s">
        <v>532</v>
      </c>
      <c r="D34" s="180">
        <v>0.4583333333333333</v>
      </c>
      <c r="E34" s="180">
        <v>0.5208333333333334</v>
      </c>
      <c r="F34" s="121">
        <v>1.0</v>
      </c>
      <c r="G34" s="117">
        <v>1.0</v>
      </c>
      <c r="H34" s="181">
        <f t="shared" si="1"/>
        <v>200</v>
      </c>
      <c r="I34" s="119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</row>
    <row r="35" ht="14.25" customHeight="1">
      <c r="A35" s="137" t="s">
        <v>963</v>
      </c>
      <c r="B35" s="259" t="s">
        <v>81</v>
      </c>
      <c r="C35" s="299" t="s">
        <v>532</v>
      </c>
      <c r="D35" s="180">
        <v>0.5590277777777778</v>
      </c>
      <c r="E35" s="180">
        <v>0.6215277777777778</v>
      </c>
      <c r="F35" s="121">
        <v>1.0</v>
      </c>
      <c r="G35" s="117">
        <v>1.0</v>
      </c>
      <c r="H35" s="181">
        <f t="shared" si="1"/>
        <v>200</v>
      </c>
      <c r="I35" s="119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</row>
    <row r="36" ht="19.5" customHeight="1">
      <c r="A36" s="185"/>
      <c r="B36" s="277"/>
      <c r="C36" s="187"/>
      <c r="D36" s="188"/>
      <c r="E36" s="189" t="s">
        <v>41</v>
      </c>
      <c r="F36" s="142">
        <f t="shared" ref="F36:H36" si="2">SUM(F9:F35)</f>
        <v>50</v>
      </c>
      <c r="G36" s="142">
        <f t="shared" si="2"/>
        <v>50</v>
      </c>
      <c r="H36" s="190">
        <f t="shared" si="2"/>
        <v>10000</v>
      </c>
      <c r="I36" s="19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</row>
    <row r="37" ht="18.0" customHeight="1">
      <c r="A37" s="141"/>
      <c r="B37" s="140"/>
      <c r="C37" s="141"/>
      <c r="D37" s="189"/>
      <c r="E37" s="192" t="s">
        <v>100</v>
      </c>
      <c r="F37" s="147">
        <f>COUNT(F10:F35)</f>
        <v>26</v>
      </c>
      <c r="G37" s="47"/>
      <c r="H37" s="47"/>
      <c r="I37" s="48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</row>
    <row r="38" ht="14.25" customHeight="1">
      <c r="A38" s="171"/>
      <c r="B38" s="282"/>
      <c r="C38" s="171"/>
      <c r="D38" s="78"/>
      <c r="E38" s="78"/>
      <c r="F38" s="171"/>
      <c r="G38" s="173"/>
      <c r="H38" s="170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</row>
    <row r="39" ht="14.25" customHeight="1">
      <c r="A39" s="171"/>
      <c r="B39" s="282"/>
      <c r="C39" s="171"/>
      <c r="D39" s="49" t="s">
        <v>101</v>
      </c>
      <c r="E39" s="50"/>
      <c r="F39" s="171"/>
      <c r="G39" s="173"/>
      <c r="H39" s="170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</row>
    <row r="40" ht="14.25" customHeight="1">
      <c r="A40" s="171"/>
      <c r="B40" s="282"/>
      <c r="C40" s="171"/>
      <c r="D40" s="51" t="s">
        <v>102</v>
      </c>
      <c r="E40" s="50"/>
      <c r="F40" s="171"/>
      <c r="G40" s="173"/>
      <c r="H40" s="170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</row>
    <row r="41" ht="14.25" customHeight="1">
      <c r="A41" s="171"/>
      <c r="B41" s="282"/>
      <c r="C41" s="171"/>
      <c r="D41" s="52" t="s">
        <v>58</v>
      </c>
      <c r="E41" s="53"/>
      <c r="F41" s="171"/>
      <c r="G41" s="173"/>
      <c r="H41" s="170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</row>
    <row r="42" ht="14.25" customHeight="1">
      <c r="A42" s="171"/>
      <c r="B42" s="282"/>
      <c r="C42" s="171"/>
      <c r="D42" s="78"/>
      <c r="E42" s="78"/>
      <c r="F42" s="171"/>
      <c r="G42" s="173"/>
      <c r="H42" s="170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</row>
    <row r="43" ht="14.25" customHeight="1">
      <c r="A43" s="171"/>
      <c r="B43" s="282"/>
      <c r="C43" s="171"/>
      <c r="D43" s="78"/>
      <c r="E43" s="78"/>
      <c r="F43" s="171"/>
      <c r="G43" s="173"/>
      <c r="H43" s="170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</row>
    <row r="44" ht="14.25" customHeight="1">
      <c r="A44" s="171"/>
      <c r="B44" s="282"/>
      <c r="C44" s="171"/>
      <c r="D44" s="78"/>
      <c r="E44" s="78"/>
      <c r="F44" s="171"/>
      <c r="G44" s="173"/>
      <c r="H44" s="170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</row>
    <row r="45" ht="14.25" customHeight="1">
      <c r="A45" s="171"/>
      <c r="B45" s="282"/>
      <c r="C45" s="171"/>
      <c r="D45" s="78"/>
      <c r="E45" s="78"/>
      <c r="F45" s="171"/>
      <c r="G45" s="173"/>
      <c r="H45" s="170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</row>
    <row r="46" ht="14.25" customHeight="1">
      <c r="A46" s="171"/>
      <c r="B46" s="282"/>
      <c r="C46" s="171"/>
      <c r="D46" s="78"/>
      <c r="E46" s="78"/>
      <c r="F46" s="171"/>
      <c r="G46" s="173"/>
      <c r="H46" s="170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</row>
    <row r="47" ht="14.25" customHeight="1">
      <c r="A47" s="171"/>
      <c r="B47" s="282"/>
      <c r="C47" s="171"/>
      <c r="D47" s="78"/>
      <c r="E47" s="78"/>
      <c r="F47" s="171"/>
      <c r="G47" s="173"/>
      <c r="H47" s="170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</row>
    <row r="48" ht="14.25" customHeight="1">
      <c r="A48" s="171"/>
      <c r="B48" s="282"/>
      <c r="C48" s="171"/>
      <c r="D48" s="78"/>
      <c r="E48" s="78"/>
      <c r="F48" s="171"/>
      <c r="G48" s="173"/>
      <c r="H48" s="170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</row>
    <row r="49" ht="14.25" customHeight="1">
      <c r="A49" s="171"/>
      <c r="B49" s="282"/>
      <c r="C49" s="171"/>
      <c r="D49" s="78"/>
      <c r="E49" s="78"/>
      <c r="F49" s="171"/>
      <c r="G49" s="173"/>
      <c r="H49" s="170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</row>
    <row r="50" ht="14.25" customHeight="1">
      <c r="A50" s="171"/>
      <c r="B50" s="282"/>
      <c r="C50" s="171"/>
      <c r="D50" s="78"/>
      <c r="E50" s="78"/>
      <c r="F50" s="171"/>
      <c r="G50" s="173"/>
      <c r="H50" s="170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</row>
    <row r="51" ht="14.25" customHeight="1">
      <c r="A51" s="171"/>
      <c r="B51" s="282"/>
      <c r="C51" s="171"/>
      <c r="D51" s="78"/>
      <c r="E51" s="78"/>
      <c r="F51" s="171"/>
      <c r="G51" s="173"/>
      <c r="H51" s="170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</row>
    <row r="52" ht="14.25" customHeight="1">
      <c r="A52" s="171"/>
      <c r="B52" s="282"/>
      <c r="C52" s="171"/>
      <c r="D52" s="78"/>
      <c r="E52" s="78"/>
      <c r="F52" s="171"/>
      <c r="G52" s="173"/>
      <c r="H52" s="170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</row>
    <row r="53" ht="14.25" customHeight="1">
      <c r="A53" s="171"/>
      <c r="B53" s="282"/>
      <c r="C53" s="171"/>
      <c r="D53" s="78"/>
      <c r="E53" s="78"/>
      <c r="F53" s="171"/>
      <c r="G53" s="173"/>
      <c r="H53" s="170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</row>
    <row r="54" ht="14.25" customHeight="1">
      <c r="A54" s="171"/>
      <c r="B54" s="282"/>
      <c r="C54" s="171"/>
      <c r="D54" s="78"/>
      <c r="E54" s="78"/>
      <c r="F54" s="171"/>
      <c r="G54" s="173"/>
      <c r="H54" s="170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</row>
    <row r="55" ht="14.25" customHeight="1">
      <c r="A55" s="171"/>
      <c r="B55" s="282"/>
      <c r="C55" s="171"/>
      <c r="D55" s="78"/>
      <c r="E55" s="78"/>
      <c r="F55" s="171"/>
      <c r="G55" s="173"/>
      <c r="H55" s="170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</row>
    <row r="56" ht="14.25" customHeight="1">
      <c r="A56" s="171"/>
      <c r="B56" s="282"/>
      <c r="C56" s="171"/>
      <c r="D56" s="78"/>
      <c r="E56" s="78"/>
      <c r="F56" s="171"/>
      <c r="G56" s="173"/>
      <c r="H56" s="170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</row>
    <row r="57" ht="14.25" customHeight="1">
      <c r="A57" s="171"/>
      <c r="B57" s="282"/>
      <c r="C57" s="171"/>
      <c r="D57" s="78"/>
      <c r="E57" s="78"/>
      <c r="F57" s="171"/>
      <c r="G57" s="173"/>
      <c r="H57" s="170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</row>
    <row r="58" ht="14.25" customHeight="1">
      <c r="A58" s="171"/>
      <c r="B58" s="282"/>
      <c r="C58" s="171"/>
      <c r="D58" s="78"/>
      <c r="E58" s="78"/>
      <c r="F58" s="171"/>
      <c r="G58" s="173"/>
      <c r="H58" s="170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 ht="14.25" customHeight="1">
      <c r="A59" s="171"/>
      <c r="B59" s="282"/>
      <c r="C59" s="171"/>
      <c r="D59" s="78"/>
      <c r="E59" s="78"/>
      <c r="F59" s="171"/>
      <c r="G59" s="173"/>
      <c r="H59" s="170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</row>
    <row r="60" ht="14.25" customHeight="1">
      <c r="A60" s="171"/>
      <c r="B60" s="282"/>
      <c r="C60" s="171"/>
      <c r="D60" s="78"/>
      <c r="E60" s="78"/>
      <c r="F60" s="171"/>
      <c r="G60" s="173"/>
      <c r="H60" s="170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</row>
    <row r="61" ht="14.25" customHeight="1">
      <c r="A61" s="171"/>
      <c r="B61" s="282"/>
      <c r="C61" s="171"/>
      <c r="D61" s="78"/>
      <c r="E61" s="78"/>
      <c r="F61" s="171"/>
      <c r="G61" s="173"/>
      <c r="H61" s="170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</row>
    <row r="62" ht="14.25" customHeight="1">
      <c r="A62" s="171"/>
      <c r="B62" s="282"/>
      <c r="C62" s="171"/>
      <c r="D62" s="78"/>
      <c r="E62" s="78"/>
      <c r="F62" s="171"/>
      <c r="G62" s="173"/>
      <c r="H62" s="170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</row>
    <row r="63" ht="14.25" customHeight="1">
      <c r="A63" s="171"/>
      <c r="B63" s="282"/>
      <c r="C63" s="171"/>
      <c r="D63" s="78"/>
      <c r="E63" s="78"/>
      <c r="F63" s="171"/>
      <c r="G63" s="173"/>
      <c r="H63" s="17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</row>
    <row r="64" ht="14.25" customHeight="1">
      <c r="A64" s="171"/>
      <c r="B64" s="282"/>
      <c r="C64" s="171"/>
      <c r="D64" s="78"/>
      <c r="E64" s="78"/>
      <c r="F64" s="171"/>
      <c r="G64" s="173"/>
      <c r="H64" s="170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</row>
    <row r="65" ht="14.25" customHeight="1">
      <c r="A65" s="171"/>
      <c r="B65" s="282"/>
      <c r="C65" s="171"/>
      <c r="D65" s="78"/>
      <c r="E65" s="78"/>
      <c r="F65" s="171"/>
      <c r="G65" s="173"/>
      <c r="H65" s="170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</row>
    <row r="66" ht="14.25" customHeight="1">
      <c r="A66" s="171"/>
      <c r="B66" s="282"/>
      <c r="C66" s="171"/>
      <c r="D66" s="78"/>
      <c r="E66" s="78"/>
      <c r="F66" s="171"/>
      <c r="G66" s="173"/>
      <c r="H66" s="170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</row>
    <row r="67" ht="14.25" customHeight="1">
      <c r="A67" s="171"/>
      <c r="B67" s="282"/>
      <c r="C67" s="171"/>
      <c r="D67" s="78"/>
      <c r="E67" s="78"/>
      <c r="F67" s="171"/>
      <c r="G67" s="173"/>
      <c r="H67" s="170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</row>
    <row r="68" ht="14.25" customHeight="1">
      <c r="A68" s="171"/>
      <c r="B68" s="282"/>
      <c r="C68" s="171"/>
      <c r="D68" s="78"/>
      <c r="E68" s="78"/>
      <c r="F68" s="171"/>
      <c r="G68" s="173"/>
      <c r="H68" s="170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</row>
    <row r="69" ht="14.25" customHeight="1">
      <c r="A69" s="171"/>
      <c r="B69" s="282"/>
      <c r="C69" s="171"/>
      <c r="D69" s="78"/>
      <c r="E69" s="78"/>
      <c r="F69" s="171"/>
      <c r="G69" s="173"/>
      <c r="H69" s="170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</row>
    <row r="70" ht="14.25" customHeight="1">
      <c r="A70" s="171"/>
      <c r="B70" s="282"/>
      <c r="C70" s="171"/>
      <c r="D70" s="78"/>
      <c r="E70" s="78"/>
      <c r="F70" s="171"/>
      <c r="G70" s="173"/>
      <c r="H70" s="170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</row>
    <row r="71" ht="14.25" customHeight="1">
      <c r="A71" s="171"/>
      <c r="B71" s="282"/>
      <c r="C71" s="171"/>
      <c r="D71" s="78"/>
      <c r="E71" s="78"/>
      <c r="F71" s="171"/>
      <c r="G71" s="173"/>
      <c r="H71" s="170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</row>
    <row r="72" ht="14.25" customHeight="1">
      <c r="A72" s="171"/>
      <c r="B72" s="282"/>
      <c r="C72" s="171"/>
      <c r="D72" s="78"/>
      <c r="E72" s="78"/>
      <c r="F72" s="171"/>
      <c r="G72" s="173"/>
      <c r="H72" s="170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</row>
    <row r="73" ht="14.25" customHeight="1">
      <c r="A73" s="171"/>
      <c r="B73" s="282"/>
      <c r="C73" s="171"/>
      <c r="D73" s="78"/>
      <c r="E73" s="78"/>
      <c r="F73" s="171"/>
      <c r="G73" s="173"/>
      <c r="H73" s="170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</row>
    <row r="74" ht="14.25" customHeight="1">
      <c r="A74" s="171"/>
      <c r="B74" s="282"/>
      <c r="C74" s="171"/>
      <c r="D74" s="78"/>
      <c r="E74" s="78"/>
      <c r="F74" s="171"/>
      <c r="G74" s="173"/>
      <c r="H74" s="170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</row>
    <row r="75" ht="14.25" customHeight="1">
      <c r="A75" s="171"/>
      <c r="B75" s="282"/>
      <c r="C75" s="171"/>
      <c r="D75" s="78"/>
      <c r="E75" s="78"/>
      <c r="F75" s="171"/>
      <c r="G75" s="173"/>
      <c r="H75" s="170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</row>
    <row r="76" ht="14.25" customHeight="1">
      <c r="A76" s="171"/>
      <c r="B76" s="282"/>
      <c r="C76" s="171"/>
      <c r="D76" s="78"/>
      <c r="E76" s="78"/>
      <c r="F76" s="171"/>
      <c r="G76" s="173"/>
      <c r="H76" s="170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</row>
    <row r="77" ht="14.25" customHeight="1">
      <c r="A77" s="171"/>
      <c r="B77" s="282"/>
      <c r="C77" s="171"/>
      <c r="D77" s="78"/>
      <c r="E77" s="78"/>
      <c r="F77" s="171"/>
      <c r="G77" s="173"/>
      <c r="H77" s="170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</row>
    <row r="78" ht="14.25" customHeight="1">
      <c r="A78" s="171"/>
      <c r="B78" s="282"/>
      <c r="C78" s="171"/>
      <c r="D78" s="78"/>
      <c r="E78" s="78"/>
      <c r="F78" s="171"/>
      <c r="G78" s="173"/>
      <c r="H78" s="170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</row>
    <row r="79" ht="14.25" customHeight="1">
      <c r="A79" s="171"/>
      <c r="B79" s="282"/>
      <c r="C79" s="171"/>
      <c r="D79" s="78"/>
      <c r="E79" s="78"/>
      <c r="F79" s="171"/>
      <c r="G79" s="173"/>
      <c r="H79" s="170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</row>
    <row r="80" ht="14.25" customHeight="1">
      <c r="A80" s="171"/>
      <c r="B80" s="282"/>
      <c r="C80" s="171"/>
      <c r="D80" s="78"/>
      <c r="E80" s="78"/>
      <c r="F80" s="171"/>
      <c r="G80" s="173"/>
      <c r="H80" s="170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</row>
    <row r="81" ht="14.25" customHeight="1">
      <c r="A81" s="171"/>
      <c r="B81" s="282"/>
      <c r="C81" s="171"/>
      <c r="D81" s="78"/>
      <c r="E81" s="78"/>
      <c r="F81" s="171"/>
      <c r="G81" s="173"/>
      <c r="H81" s="170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</row>
    <row r="82" ht="14.25" customHeight="1">
      <c r="A82" s="171"/>
      <c r="B82" s="282"/>
      <c r="C82" s="171"/>
      <c r="D82" s="78"/>
      <c r="E82" s="78"/>
      <c r="F82" s="171"/>
      <c r="G82" s="173"/>
      <c r="H82" s="170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</row>
    <row r="83" ht="14.25" customHeight="1">
      <c r="A83" s="171"/>
      <c r="B83" s="282"/>
      <c r="C83" s="171"/>
      <c r="D83" s="78"/>
      <c r="E83" s="78"/>
      <c r="F83" s="171"/>
      <c r="G83" s="173"/>
      <c r="H83" s="170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</row>
    <row r="84" ht="14.25" customHeight="1">
      <c r="A84" s="171"/>
      <c r="B84" s="282"/>
      <c r="C84" s="171"/>
      <c r="D84" s="78"/>
      <c r="E84" s="78"/>
      <c r="F84" s="171"/>
      <c r="G84" s="173"/>
      <c r="H84" s="170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</row>
    <row r="85" ht="14.25" customHeight="1">
      <c r="A85" s="171"/>
      <c r="B85" s="282"/>
      <c r="C85" s="171"/>
      <c r="D85" s="78"/>
      <c r="E85" s="78"/>
      <c r="F85" s="171"/>
      <c r="G85" s="173"/>
      <c r="H85" s="170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</row>
    <row r="86" ht="14.25" customHeight="1">
      <c r="A86" s="171"/>
      <c r="B86" s="282"/>
      <c r="C86" s="171"/>
      <c r="D86" s="78"/>
      <c r="E86" s="78"/>
      <c r="F86" s="171"/>
      <c r="G86" s="173"/>
      <c r="H86" s="170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</row>
    <row r="87" ht="14.25" customHeight="1">
      <c r="A87" s="171"/>
      <c r="B87" s="282"/>
      <c r="C87" s="171"/>
      <c r="D87" s="78"/>
      <c r="E87" s="78"/>
      <c r="F87" s="171"/>
      <c r="G87" s="173"/>
      <c r="H87" s="170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</row>
    <row r="88" ht="14.25" customHeight="1">
      <c r="A88" s="171"/>
      <c r="B88" s="282"/>
      <c r="C88" s="171"/>
      <c r="D88" s="78"/>
      <c r="E88" s="78"/>
      <c r="F88" s="171"/>
      <c r="G88" s="173"/>
      <c r="H88" s="170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</row>
    <row r="89" ht="14.25" customHeight="1">
      <c r="A89" s="171"/>
      <c r="B89" s="282"/>
      <c r="C89" s="171"/>
      <c r="D89" s="78"/>
      <c r="E89" s="78"/>
      <c r="F89" s="171"/>
      <c r="G89" s="173"/>
      <c r="H89" s="170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</row>
    <row r="90" ht="14.25" customHeight="1">
      <c r="A90" s="171"/>
      <c r="B90" s="282"/>
      <c r="C90" s="171"/>
      <c r="D90" s="78"/>
      <c r="E90" s="78"/>
      <c r="F90" s="171"/>
      <c r="G90" s="173"/>
      <c r="H90" s="170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</row>
    <row r="91" ht="14.25" customHeight="1">
      <c r="A91" s="171"/>
      <c r="B91" s="282"/>
      <c r="C91" s="171"/>
      <c r="D91" s="78"/>
      <c r="E91" s="78"/>
      <c r="F91" s="171"/>
      <c r="G91" s="173"/>
      <c r="H91" s="170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</row>
    <row r="92" ht="14.25" customHeight="1">
      <c r="A92" s="171"/>
      <c r="B92" s="282"/>
      <c r="C92" s="171"/>
      <c r="D92" s="78"/>
      <c r="E92" s="78"/>
      <c r="F92" s="171"/>
      <c r="G92" s="173"/>
      <c r="H92" s="170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</row>
    <row r="93" ht="14.25" customHeight="1">
      <c r="A93" s="171"/>
      <c r="B93" s="282"/>
      <c r="C93" s="171"/>
      <c r="D93" s="78"/>
      <c r="E93" s="78"/>
      <c r="F93" s="171"/>
      <c r="G93" s="173"/>
      <c r="H93" s="170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</row>
    <row r="94" ht="14.25" customHeight="1">
      <c r="A94" s="171"/>
      <c r="B94" s="282"/>
      <c r="C94" s="171"/>
      <c r="D94" s="78"/>
      <c r="E94" s="78"/>
      <c r="F94" s="171"/>
      <c r="G94" s="173"/>
      <c r="H94" s="170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</row>
    <row r="95" ht="14.25" customHeight="1">
      <c r="A95" s="171"/>
      <c r="B95" s="282"/>
      <c r="C95" s="171"/>
      <c r="D95" s="78"/>
      <c r="E95" s="78"/>
      <c r="F95" s="171"/>
      <c r="G95" s="173"/>
      <c r="H95" s="170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</row>
    <row r="96" ht="14.25" customHeight="1">
      <c r="A96" s="171"/>
      <c r="B96" s="282"/>
      <c r="C96" s="171"/>
      <c r="D96" s="78"/>
      <c r="E96" s="78"/>
      <c r="F96" s="171"/>
      <c r="G96" s="173"/>
      <c r="H96" s="170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</row>
    <row r="97" ht="14.25" customHeight="1">
      <c r="A97" s="171"/>
      <c r="B97" s="282"/>
      <c r="C97" s="171"/>
      <c r="D97" s="78"/>
      <c r="E97" s="78"/>
      <c r="F97" s="171"/>
      <c r="G97" s="173"/>
      <c r="H97" s="170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</row>
    <row r="98" ht="14.25" customHeight="1">
      <c r="A98" s="171"/>
      <c r="B98" s="282"/>
      <c r="C98" s="171"/>
      <c r="D98" s="78"/>
      <c r="E98" s="78"/>
      <c r="F98" s="171"/>
      <c r="G98" s="173"/>
      <c r="H98" s="170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</row>
    <row r="99" ht="14.25" customHeight="1">
      <c r="A99" s="171"/>
      <c r="B99" s="282"/>
      <c r="C99" s="171"/>
      <c r="D99" s="78"/>
      <c r="E99" s="78"/>
      <c r="F99" s="171"/>
      <c r="G99" s="173"/>
      <c r="H99" s="170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</row>
    <row r="100" ht="14.25" customHeight="1">
      <c r="A100" s="171"/>
      <c r="B100" s="282"/>
      <c r="C100" s="171"/>
      <c r="D100" s="78"/>
      <c r="E100" s="78"/>
      <c r="F100" s="171"/>
      <c r="G100" s="173"/>
      <c r="H100" s="170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</row>
    <row r="101" ht="14.25" customHeight="1">
      <c r="A101" s="171"/>
      <c r="B101" s="282"/>
      <c r="C101" s="171"/>
      <c r="D101" s="78"/>
      <c r="E101" s="78"/>
      <c r="F101" s="171"/>
      <c r="G101" s="173"/>
      <c r="H101" s="170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</row>
    <row r="102" ht="14.25" customHeight="1">
      <c r="A102" s="171"/>
      <c r="B102" s="282"/>
      <c r="C102" s="171"/>
      <c r="D102" s="78"/>
      <c r="E102" s="78"/>
      <c r="F102" s="171"/>
      <c r="G102" s="173"/>
      <c r="H102" s="170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</row>
    <row r="103" ht="14.25" customHeight="1">
      <c r="A103" s="171"/>
      <c r="B103" s="282"/>
      <c r="C103" s="171"/>
      <c r="D103" s="78"/>
      <c r="E103" s="78"/>
      <c r="F103" s="171"/>
      <c r="G103" s="173"/>
      <c r="H103" s="170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</row>
    <row r="104" ht="14.25" customHeight="1">
      <c r="A104" s="171"/>
      <c r="B104" s="282"/>
      <c r="C104" s="171"/>
      <c r="D104" s="78"/>
      <c r="E104" s="78"/>
      <c r="F104" s="171"/>
      <c r="G104" s="173"/>
      <c r="H104" s="170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</row>
    <row r="105" ht="14.25" customHeight="1">
      <c r="A105" s="171"/>
      <c r="B105" s="282"/>
      <c r="C105" s="171"/>
      <c r="D105" s="78"/>
      <c r="E105" s="78"/>
      <c r="F105" s="171"/>
      <c r="G105" s="173"/>
      <c r="H105" s="170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</row>
    <row r="106" ht="14.25" customHeight="1">
      <c r="A106" s="171"/>
      <c r="B106" s="282"/>
      <c r="C106" s="171"/>
      <c r="D106" s="78"/>
      <c r="E106" s="78"/>
      <c r="F106" s="171"/>
      <c r="G106" s="173"/>
      <c r="H106" s="170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</row>
    <row r="107" ht="14.25" customHeight="1">
      <c r="A107" s="171"/>
      <c r="B107" s="282"/>
      <c r="C107" s="171"/>
      <c r="D107" s="78"/>
      <c r="E107" s="78"/>
      <c r="F107" s="171"/>
      <c r="G107" s="173"/>
      <c r="H107" s="170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</row>
    <row r="108" ht="14.25" customHeight="1">
      <c r="A108" s="171"/>
      <c r="B108" s="282"/>
      <c r="C108" s="171"/>
      <c r="D108" s="78"/>
      <c r="E108" s="78"/>
      <c r="F108" s="171"/>
      <c r="G108" s="173"/>
      <c r="H108" s="170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</row>
    <row r="109" ht="14.25" customHeight="1">
      <c r="A109" s="171"/>
      <c r="B109" s="282"/>
      <c r="C109" s="171"/>
      <c r="D109" s="78"/>
      <c r="E109" s="78"/>
      <c r="F109" s="171"/>
      <c r="G109" s="173"/>
      <c r="H109" s="170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</row>
    <row r="110" ht="14.25" customHeight="1">
      <c r="A110" s="171"/>
      <c r="B110" s="282"/>
      <c r="C110" s="171"/>
      <c r="D110" s="78"/>
      <c r="E110" s="78"/>
      <c r="F110" s="171"/>
      <c r="G110" s="173"/>
      <c r="H110" s="170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</row>
    <row r="111" ht="14.25" customHeight="1">
      <c r="A111" s="171"/>
      <c r="B111" s="282"/>
      <c r="C111" s="171"/>
      <c r="D111" s="78"/>
      <c r="E111" s="78"/>
      <c r="F111" s="171"/>
      <c r="G111" s="173"/>
      <c r="H111" s="170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</row>
    <row r="112" ht="14.25" customHeight="1">
      <c r="A112" s="171"/>
      <c r="B112" s="282"/>
      <c r="C112" s="171"/>
      <c r="D112" s="78"/>
      <c r="E112" s="78"/>
      <c r="F112" s="171"/>
      <c r="G112" s="173"/>
      <c r="H112" s="170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</row>
    <row r="113" ht="14.25" customHeight="1">
      <c r="A113" s="171"/>
      <c r="B113" s="282"/>
      <c r="C113" s="171"/>
      <c r="D113" s="78"/>
      <c r="E113" s="78"/>
      <c r="F113" s="171"/>
      <c r="G113" s="173"/>
      <c r="H113" s="170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</row>
    <row r="114" ht="14.25" customHeight="1">
      <c r="A114" s="171"/>
      <c r="B114" s="282"/>
      <c r="C114" s="171"/>
      <c r="D114" s="78"/>
      <c r="E114" s="78"/>
      <c r="F114" s="171"/>
      <c r="G114" s="173"/>
      <c r="H114" s="170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</row>
    <row r="115" ht="14.25" customHeight="1">
      <c r="A115" s="171"/>
      <c r="B115" s="282"/>
      <c r="C115" s="171"/>
      <c r="D115" s="78"/>
      <c r="E115" s="78"/>
      <c r="F115" s="171"/>
      <c r="G115" s="173"/>
      <c r="H115" s="170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</row>
    <row r="116" ht="14.25" customHeight="1">
      <c r="A116" s="171"/>
      <c r="B116" s="282"/>
      <c r="C116" s="171"/>
      <c r="D116" s="78"/>
      <c r="E116" s="78"/>
      <c r="F116" s="171"/>
      <c r="G116" s="173"/>
      <c r="H116" s="170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</row>
    <row r="117" ht="14.25" customHeight="1">
      <c r="A117" s="171"/>
      <c r="B117" s="282"/>
      <c r="C117" s="171"/>
      <c r="D117" s="78"/>
      <c r="E117" s="78"/>
      <c r="F117" s="171"/>
      <c r="G117" s="173"/>
      <c r="H117" s="170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</row>
    <row r="118" ht="14.25" customHeight="1">
      <c r="A118" s="171"/>
      <c r="B118" s="282"/>
      <c r="C118" s="171"/>
      <c r="D118" s="78"/>
      <c r="E118" s="78"/>
      <c r="F118" s="171"/>
      <c r="G118" s="173"/>
      <c r="H118" s="170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</row>
    <row r="119" ht="14.25" customHeight="1">
      <c r="A119" s="171"/>
      <c r="B119" s="282"/>
      <c r="C119" s="171"/>
      <c r="D119" s="78"/>
      <c r="E119" s="78"/>
      <c r="F119" s="171"/>
      <c r="G119" s="173"/>
      <c r="H119" s="170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</row>
    <row r="120" ht="14.25" customHeight="1">
      <c r="A120" s="171"/>
      <c r="B120" s="282"/>
      <c r="C120" s="171"/>
      <c r="D120" s="78"/>
      <c r="E120" s="78"/>
      <c r="F120" s="171"/>
      <c r="G120" s="173"/>
      <c r="H120" s="170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</row>
    <row r="121" ht="14.25" customHeight="1">
      <c r="A121" s="171"/>
      <c r="B121" s="282"/>
      <c r="C121" s="171"/>
      <c r="D121" s="78"/>
      <c r="E121" s="78"/>
      <c r="F121" s="171"/>
      <c r="G121" s="173"/>
      <c r="H121" s="170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</row>
    <row r="122" ht="14.25" customHeight="1">
      <c r="A122" s="171"/>
      <c r="B122" s="282"/>
      <c r="C122" s="171"/>
      <c r="D122" s="78"/>
      <c r="E122" s="78"/>
      <c r="F122" s="171"/>
      <c r="G122" s="173"/>
      <c r="H122" s="170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</row>
    <row r="123" ht="14.25" customHeight="1">
      <c r="A123" s="171"/>
      <c r="B123" s="282"/>
      <c r="C123" s="171"/>
      <c r="D123" s="78"/>
      <c r="E123" s="78"/>
      <c r="F123" s="171"/>
      <c r="G123" s="173"/>
      <c r="H123" s="170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</row>
    <row r="124" ht="14.25" customHeight="1">
      <c r="A124" s="171"/>
      <c r="B124" s="282"/>
      <c r="C124" s="171"/>
      <c r="D124" s="78"/>
      <c r="E124" s="78"/>
      <c r="F124" s="171"/>
      <c r="G124" s="173"/>
      <c r="H124" s="170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</row>
    <row r="125" ht="14.25" customHeight="1">
      <c r="A125" s="171"/>
      <c r="B125" s="282"/>
      <c r="C125" s="171"/>
      <c r="D125" s="78"/>
      <c r="E125" s="78"/>
      <c r="F125" s="171"/>
      <c r="G125" s="173"/>
      <c r="H125" s="170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</row>
    <row r="126" ht="14.25" customHeight="1">
      <c r="A126" s="171"/>
      <c r="B126" s="282"/>
      <c r="C126" s="171"/>
      <c r="D126" s="78"/>
      <c r="E126" s="78"/>
      <c r="F126" s="171"/>
      <c r="G126" s="173"/>
      <c r="H126" s="170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</row>
    <row r="127" ht="14.25" customHeight="1">
      <c r="A127" s="171"/>
      <c r="B127" s="282"/>
      <c r="C127" s="171"/>
      <c r="D127" s="78"/>
      <c r="E127" s="78"/>
      <c r="F127" s="171"/>
      <c r="G127" s="173"/>
      <c r="H127" s="170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</row>
    <row r="128" ht="14.25" customHeight="1">
      <c r="A128" s="171"/>
      <c r="B128" s="282"/>
      <c r="C128" s="171"/>
      <c r="D128" s="78"/>
      <c r="E128" s="78"/>
      <c r="F128" s="171"/>
      <c r="G128" s="173"/>
      <c r="H128" s="170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</row>
    <row r="129" ht="14.25" customHeight="1">
      <c r="A129" s="171"/>
      <c r="B129" s="282"/>
      <c r="C129" s="171"/>
      <c r="D129" s="78"/>
      <c r="E129" s="78"/>
      <c r="F129" s="171"/>
      <c r="G129" s="173"/>
      <c r="H129" s="170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</row>
    <row r="130" ht="14.25" customHeight="1">
      <c r="A130" s="171"/>
      <c r="B130" s="282"/>
      <c r="C130" s="171"/>
      <c r="D130" s="78"/>
      <c r="E130" s="78"/>
      <c r="F130" s="171"/>
      <c r="G130" s="173"/>
      <c r="H130" s="170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</row>
    <row r="131" ht="14.25" customHeight="1">
      <c r="A131" s="171"/>
      <c r="B131" s="282"/>
      <c r="C131" s="171"/>
      <c r="D131" s="78"/>
      <c r="E131" s="78"/>
      <c r="F131" s="171"/>
      <c r="G131" s="173"/>
      <c r="H131" s="170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</row>
    <row r="132" ht="14.25" customHeight="1">
      <c r="A132" s="171"/>
      <c r="B132" s="282"/>
      <c r="C132" s="171"/>
      <c r="D132" s="78"/>
      <c r="E132" s="78"/>
      <c r="F132" s="171"/>
      <c r="G132" s="173"/>
      <c r="H132" s="170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</row>
    <row r="133" ht="14.25" customHeight="1">
      <c r="A133" s="171"/>
      <c r="B133" s="282"/>
      <c r="C133" s="171"/>
      <c r="D133" s="78"/>
      <c r="E133" s="78"/>
      <c r="F133" s="171"/>
      <c r="G133" s="173"/>
      <c r="H133" s="170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</row>
    <row r="134" ht="14.25" customHeight="1">
      <c r="A134" s="171"/>
      <c r="B134" s="282"/>
      <c r="C134" s="171"/>
      <c r="D134" s="78"/>
      <c r="E134" s="78"/>
      <c r="F134" s="171"/>
      <c r="G134" s="173"/>
      <c r="H134" s="170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</row>
    <row r="135" ht="14.25" customHeight="1">
      <c r="A135" s="171"/>
      <c r="B135" s="282"/>
      <c r="C135" s="171"/>
      <c r="D135" s="78"/>
      <c r="E135" s="78"/>
      <c r="F135" s="171"/>
      <c r="G135" s="173"/>
      <c r="H135" s="170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</row>
    <row r="136" ht="14.25" customHeight="1">
      <c r="A136" s="171"/>
      <c r="B136" s="282"/>
      <c r="C136" s="171"/>
      <c r="D136" s="78"/>
      <c r="E136" s="78"/>
      <c r="F136" s="171"/>
      <c r="G136" s="173"/>
      <c r="H136" s="170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</row>
    <row r="137" ht="14.25" customHeight="1">
      <c r="A137" s="171"/>
      <c r="B137" s="282"/>
      <c r="C137" s="171"/>
      <c r="D137" s="78"/>
      <c r="E137" s="78"/>
      <c r="F137" s="171"/>
      <c r="G137" s="173"/>
      <c r="H137" s="170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</row>
    <row r="138" ht="14.25" customHeight="1">
      <c r="A138" s="171"/>
      <c r="B138" s="282"/>
      <c r="C138" s="171"/>
      <c r="D138" s="78"/>
      <c r="E138" s="78"/>
      <c r="F138" s="171"/>
      <c r="G138" s="173"/>
      <c r="H138" s="170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</row>
    <row r="139" ht="14.25" customHeight="1">
      <c r="A139" s="171"/>
      <c r="B139" s="282"/>
      <c r="C139" s="171"/>
      <c r="D139" s="78"/>
      <c r="E139" s="78"/>
      <c r="F139" s="171"/>
      <c r="G139" s="173"/>
      <c r="H139" s="170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</row>
    <row r="140" ht="14.25" customHeight="1">
      <c r="A140" s="171"/>
      <c r="B140" s="282"/>
      <c r="C140" s="171"/>
      <c r="D140" s="78"/>
      <c r="E140" s="78"/>
      <c r="F140" s="171"/>
      <c r="G140" s="173"/>
      <c r="H140" s="170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</row>
    <row r="141" ht="14.25" customHeight="1">
      <c r="A141" s="171"/>
      <c r="B141" s="282"/>
      <c r="C141" s="171"/>
      <c r="D141" s="78"/>
      <c r="E141" s="78"/>
      <c r="F141" s="171"/>
      <c r="G141" s="173"/>
      <c r="H141" s="170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</row>
    <row r="142" ht="14.25" customHeight="1">
      <c r="A142" s="171"/>
      <c r="B142" s="282"/>
      <c r="C142" s="171"/>
      <c r="D142" s="78"/>
      <c r="E142" s="78"/>
      <c r="F142" s="171"/>
      <c r="G142" s="173"/>
      <c r="H142" s="170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</row>
    <row r="143" ht="14.25" customHeight="1">
      <c r="A143" s="171"/>
      <c r="B143" s="282"/>
      <c r="C143" s="171"/>
      <c r="D143" s="78"/>
      <c r="E143" s="78"/>
      <c r="F143" s="171"/>
      <c r="G143" s="173"/>
      <c r="H143" s="170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</row>
    <row r="144" ht="14.25" customHeight="1">
      <c r="A144" s="171"/>
      <c r="B144" s="282"/>
      <c r="C144" s="171"/>
      <c r="D144" s="78"/>
      <c r="E144" s="78"/>
      <c r="F144" s="171"/>
      <c r="G144" s="173"/>
      <c r="H144" s="170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</row>
    <row r="145" ht="14.25" customHeight="1">
      <c r="A145" s="171"/>
      <c r="B145" s="282"/>
      <c r="C145" s="171"/>
      <c r="D145" s="78"/>
      <c r="E145" s="78"/>
      <c r="F145" s="171"/>
      <c r="G145" s="173"/>
      <c r="H145" s="170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</row>
    <row r="146" ht="14.25" customHeight="1">
      <c r="A146" s="171"/>
      <c r="B146" s="282"/>
      <c r="C146" s="171"/>
      <c r="D146" s="78"/>
      <c r="E146" s="78"/>
      <c r="F146" s="171"/>
      <c r="G146" s="173"/>
      <c r="H146" s="170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</row>
    <row r="147" ht="14.25" customHeight="1">
      <c r="A147" s="171"/>
      <c r="B147" s="282"/>
      <c r="C147" s="171"/>
      <c r="D147" s="78"/>
      <c r="E147" s="78"/>
      <c r="F147" s="171"/>
      <c r="G147" s="173"/>
      <c r="H147" s="170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</row>
    <row r="148" ht="14.25" customHeight="1">
      <c r="A148" s="171"/>
      <c r="B148" s="282"/>
      <c r="C148" s="171"/>
      <c r="D148" s="78"/>
      <c r="E148" s="78"/>
      <c r="F148" s="171"/>
      <c r="G148" s="173"/>
      <c r="H148" s="170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</row>
    <row r="149" ht="14.25" customHeight="1">
      <c r="A149" s="171"/>
      <c r="B149" s="282"/>
      <c r="C149" s="171"/>
      <c r="D149" s="78"/>
      <c r="E149" s="78"/>
      <c r="F149" s="171"/>
      <c r="G149" s="173"/>
      <c r="H149" s="170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</row>
    <row r="150" ht="14.25" customHeight="1">
      <c r="A150" s="171"/>
      <c r="B150" s="282"/>
      <c r="C150" s="171"/>
      <c r="D150" s="78"/>
      <c r="E150" s="78"/>
      <c r="F150" s="171"/>
      <c r="G150" s="173"/>
      <c r="H150" s="170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</row>
    <row r="151" ht="14.25" customHeight="1">
      <c r="A151" s="171"/>
      <c r="B151" s="282"/>
      <c r="C151" s="171"/>
      <c r="D151" s="78"/>
      <c r="E151" s="78"/>
      <c r="F151" s="171"/>
      <c r="G151" s="173"/>
      <c r="H151" s="170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</row>
    <row r="152" ht="14.25" customHeight="1">
      <c r="A152" s="171"/>
      <c r="B152" s="282"/>
      <c r="C152" s="171"/>
      <c r="D152" s="78"/>
      <c r="E152" s="78"/>
      <c r="F152" s="171"/>
      <c r="G152" s="173"/>
      <c r="H152" s="170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</row>
    <row r="153" ht="14.25" customHeight="1">
      <c r="A153" s="171"/>
      <c r="B153" s="282"/>
      <c r="C153" s="171"/>
      <c r="D153" s="78"/>
      <c r="E153" s="78"/>
      <c r="F153" s="171"/>
      <c r="G153" s="173"/>
      <c r="H153" s="170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</row>
    <row r="154" ht="14.25" customHeight="1">
      <c r="A154" s="171"/>
      <c r="B154" s="282"/>
      <c r="C154" s="171"/>
      <c r="D154" s="78"/>
      <c r="E154" s="78"/>
      <c r="F154" s="171"/>
      <c r="G154" s="173"/>
      <c r="H154" s="170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</row>
    <row r="155" ht="14.25" customHeight="1">
      <c r="A155" s="171"/>
      <c r="B155" s="282"/>
      <c r="C155" s="171"/>
      <c r="D155" s="78"/>
      <c r="E155" s="78"/>
      <c r="F155" s="171"/>
      <c r="G155" s="173"/>
      <c r="H155" s="170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</row>
    <row r="156" ht="14.25" customHeight="1">
      <c r="A156" s="171"/>
      <c r="B156" s="282"/>
      <c r="C156" s="171"/>
      <c r="D156" s="78"/>
      <c r="E156" s="78"/>
      <c r="F156" s="171"/>
      <c r="G156" s="173"/>
      <c r="H156" s="170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</row>
    <row r="157" ht="14.25" customHeight="1">
      <c r="A157" s="171"/>
      <c r="B157" s="282"/>
      <c r="C157" s="171"/>
      <c r="D157" s="78"/>
      <c r="E157" s="78"/>
      <c r="F157" s="171"/>
      <c r="G157" s="173"/>
      <c r="H157" s="170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</row>
    <row r="158" ht="14.25" customHeight="1">
      <c r="A158" s="171"/>
      <c r="B158" s="282"/>
      <c r="C158" s="171"/>
      <c r="D158" s="78"/>
      <c r="E158" s="78"/>
      <c r="F158" s="171"/>
      <c r="G158" s="173"/>
      <c r="H158" s="170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</row>
    <row r="159" ht="14.25" customHeight="1">
      <c r="A159" s="171"/>
      <c r="B159" s="282"/>
      <c r="C159" s="171"/>
      <c r="D159" s="78"/>
      <c r="E159" s="78"/>
      <c r="F159" s="171"/>
      <c r="G159" s="173"/>
      <c r="H159" s="170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</row>
    <row r="160" ht="14.25" customHeight="1">
      <c r="A160" s="171"/>
      <c r="B160" s="282"/>
      <c r="C160" s="171"/>
      <c r="D160" s="78"/>
      <c r="E160" s="78"/>
      <c r="F160" s="171"/>
      <c r="G160" s="173"/>
      <c r="H160" s="170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</row>
    <row r="161" ht="14.25" customHeight="1">
      <c r="A161" s="171"/>
      <c r="B161" s="282"/>
      <c r="C161" s="171"/>
      <c r="D161" s="78"/>
      <c r="E161" s="78"/>
      <c r="F161" s="171"/>
      <c r="G161" s="173"/>
      <c r="H161" s="170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</row>
    <row r="162" ht="14.25" customHeight="1">
      <c r="A162" s="171"/>
      <c r="B162" s="282"/>
      <c r="C162" s="171"/>
      <c r="D162" s="78"/>
      <c r="E162" s="78"/>
      <c r="F162" s="171"/>
      <c r="G162" s="173"/>
      <c r="H162" s="170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</row>
    <row r="163" ht="14.25" customHeight="1">
      <c r="A163" s="171"/>
      <c r="B163" s="282"/>
      <c r="C163" s="171"/>
      <c r="D163" s="78"/>
      <c r="E163" s="78"/>
      <c r="F163" s="171"/>
      <c r="G163" s="173"/>
      <c r="H163" s="170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</row>
    <row r="164" ht="14.25" customHeight="1">
      <c r="A164" s="171"/>
      <c r="B164" s="282"/>
      <c r="C164" s="171"/>
      <c r="D164" s="78"/>
      <c r="E164" s="78"/>
      <c r="F164" s="171"/>
      <c r="G164" s="173"/>
      <c r="H164" s="170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</row>
    <row r="165" ht="14.25" customHeight="1">
      <c r="A165" s="171"/>
      <c r="B165" s="282"/>
      <c r="C165" s="171"/>
      <c r="D165" s="78"/>
      <c r="E165" s="78"/>
      <c r="F165" s="171"/>
      <c r="G165" s="173"/>
      <c r="H165" s="170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</row>
    <row r="166" ht="14.25" customHeight="1">
      <c r="A166" s="171"/>
      <c r="B166" s="282"/>
      <c r="C166" s="171"/>
      <c r="D166" s="78"/>
      <c r="E166" s="78"/>
      <c r="F166" s="171"/>
      <c r="G166" s="173"/>
      <c r="H166" s="170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</row>
    <row r="167" ht="14.25" customHeight="1">
      <c r="A167" s="171"/>
      <c r="B167" s="282"/>
      <c r="C167" s="171"/>
      <c r="D167" s="78"/>
      <c r="E167" s="78"/>
      <c r="F167" s="171"/>
      <c r="G167" s="173"/>
      <c r="H167" s="170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</row>
    <row r="168" ht="14.25" customHeight="1">
      <c r="A168" s="171"/>
      <c r="B168" s="282"/>
      <c r="C168" s="171"/>
      <c r="D168" s="78"/>
      <c r="E168" s="78"/>
      <c r="F168" s="171"/>
      <c r="G168" s="173"/>
      <c r="H168" s="170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</row>
    <row r="169" ht="14.25" customHeight="1">
      <c r="A169" s="171"/>
      <c r="B169" s="282"/>
      <c r="C169" s="171"/>
      <c r="D169" s="78"/>
      <c r="E169" s="78"/>
      <c r="F169" s="171"/>
      <c r="G169" s="173"/>
      <c r="H169" s="170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</row>
    <row r="170" ht="14.25" customHeight="1">
      <c r="A170" s="171"/>
      <c r="B170" s="282"/>
      <c r="C170" s="171"/>
      <c r="D170" s="78"/>
      <c r="E170" s="78"/>
      <c r="F170" s="171"/>
      <c r="G170" s="173"/>
      <c r="H170" s="170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</row>
    <row r="171" ht="14.25" customHeight="1">
      <c r="A171" s="171"/>
      <c r="B171" s="282"/>
      <c r="C171" s="171"/>
      <c r="D171" s="78"/>
      <c r="E171" s="78"/>
      <c r="F171" s="171"/>
      <c r="G171" s="173"/>
      <c r="H171" s="170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</row>
    <row r="172" ht="14.25" customHeight="1">
      <c r="A172" s="171"/>
      <c r="B172" s="282"/>
      <c r="C172" s="171"/>
      <c r="D172" s="78"/>
      <c r="E172" s="78"/>
      <c r="F172" s="171"/>
      <c r="G172" s="173"/>
      <c r="H172" s="170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</row>
    <row r="173" ht="14.25" customHeight="1">
      <c r="A173" s="171"/>
      <c r="B173" s="282"/>
      <c r="C173" s="171"/>
      <c r="D173" s="78"/>
      <c r="E173" s="78"/>
      <c r="F173" s="171"/>
      <c r="G173" s="173"/>
      <c r="H173" s="170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</row>
    <row r="174" ht="14.25" customHeight="1">
      <c r="A174" s="171"/>
      <c r="B174" s="282"/>
      <c r="C174" s="171"/>
      <c r="D174" s="78"/>
      <c r="E174" s="78"/>
      <c r="F174" s="171"/>
      <c r="G174" s="173"/>
      <c r="H174" s="170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</row>
    <row r="175" ht="14.25" customHeight="1">
      <c r="A175" s="171"/>
      <c r="B175" s="282"/>
      <c r="C175" s="171"/>
      <c r="D175" s="78"/>
      <c r="E175" s="78"/>
      <c r="F175" s="171"/>
      <c r="G175" s="173"/>
      <c r="H175" s="170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</row>
    <row r="176" ht="14.25" customHeight="1">
      <c r="A176" s="171"/>
      <c r="B176" s="282"/>
      <c r="C176" s="171"/>
      <c r="D176" s="78"/>
      <c r="E176" s="78"/>
      <c r="F176" s="171"/>
      <c r="G176" s="173"/>
      <c r="H176" s="170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</row>
    <row r="177" ht="14.25" customHeight="1">
      <c r="A177" s="171"/>
      <c r="B177" s="282"/>
      <c r="C177" s="171"/>
      <c r="D177" s="78"/>
      <c r="E177" s="78"/>
      <c r="F177" s="171"/>
      <c r="G177" s="173"/>
      <c r="H177" s="170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</row>
    <row r="178" ht="14.25" customHeight="1">
      <c r="A178" s="171"/>
      <c r="B178" s="282"/>
      <c r="C178" s="171"/>
      <c r="D178" s="78"/>
      <c r="E178" s="78"/>
      <c r="F178" s="171"/>
      <c r="G178" s="173"/>
      <c r="H178" s="170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</row>
    <row r="179" ht="14.25" customHeight="1">
      <c r="A179" s="171"/>
      <c r="B179" s="282"/>
      <c r="C179" s="171"/>
      <c r="D179" s="78"/>
      <c r="E179" s="78"/>
      <c r="F179" s="171"/>
      <c r="G179" s="173"/>
      <c r="H179" s="170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</row>
    <row r="180" ht="14.25" customHeight="1">
      <c r="A180" s="171"/>
      <c r="B180" s="282"/>
      <c r="C180" s="171"/>
      <c r="D180" s="78"/>
      <c r="E180" s="78"/>
      <c r="F180" s="171"/>
      <c r="G180" s="173"/>
      <c r="H180" s="170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</row>
    <row r="181" ht="14.25" customHeight="1">
      <c r="A181" s="171"/>
      <c r="B181" s="282"/>
      <c r="C181" s="171"/>
      <c r="D181" s="78"/>
      <c r="E181" s="78"/>
      <c r="F181" s="171"/>
      <c r="G181" s="173"/>
      <c r="H181" s="170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</row>
    <row r="182" ht="14.25" customHeight="1">
      <c r="A182" s="171"/>
      <c r="B182" s="282"/>
      <c r="C182" s="171"/>
      <c r="D182" s="78"/>
      <c r="E182" s="78"/>
      <c r="F182" s="171"/>
      <c r="G182" s="173"/>
      <c r="H182" s="170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</row>
    <row r="183" ht="14.25" customHeight="1">
      <c r="A183" s="171"/>
      <c r="B183" s="282"/>
      <c r="C183" s="171"/>
      <c r="D183" s="78"/>
      <c r="E183" s="78"/>
      <c r="F183" s="171"/>
      <c r="G183" s="173"/>
      <c r="H183" s="170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</row>
    <row r="184" ht="14.25" customHeight="1">
      <c r="A184" s="171"/>
      <c r="B184" s="282"/>
      <c r="C184" s="171"/>
      <c r="D184" s="78"/>
      <c r="E184" s="78"/>
      <c r="F184" s="171"/>
      <c r="G184" s="173"/>
      <c r="H184" s="170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</row>
    <row r="185" ht="14.25" customHeight="1">
      <c r="A185" s="171"/>
      <c r="B185" s="282"/>
      <c r="C185" s="171"/>
      <c r="D185" s="78"/>
      <c r="E185" s="78"/>
      <c r="F185" s="171"/>
      <c r="G185" s="173"/>
      <c r="H185" s="170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</row>
    <row r="186" ht="14.25" customHeight="1">
      <c r="A186" s="171"/>
      <c r="B186" s="282"/>
      <c r="C186" s="171"/>
      <c r="D186" s="78"/>
      <c r="E186" s="78"/>
      <c r="F186" s="171"/>
      <c r="G186" s="173"/>
      <c r="H186" s="170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</row>
    <row r="187" ht="14.25" customHeight="1">
      <c r="A187" s="171"/>
      <c r="B187" s="282"/>
      <c r="C187" s="171"/>
      <c r="D187" s="78"/>
      <c r="E187" s="78"/>
      <c r="F187" s="171"/>
      <c r="G187" s="173"/>
      <c r="H187" s="170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</row>
    <row r="188" ht="14.25" customHeight="1">
      <c r="A188" s="171"/>
      <c r="B188" s="282"/>
      <c r="C188" s="171"/>
      <c r="D188" s="78"/>
      <c r="E188" s="78"/>
      <c r="F188" s="171"/>
      <c r="G188" s="173"/>
      <c r="H188" s="170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</row>
    <row r="189" ht="14.25" customHeight="1">
      <c r="A189" s="171"/>
      <c r="B189" s="282"/>
      <c r="C189" s="171"/>
      <c r="D189" s="78"/>
      <c r="E189" s="78"/>
      <c r="F189" s="171"/>
      <c r="G189" s="173"/>
      <c r="H189" s="170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</row>
    <row r="190" ht="14.25" customHeight="1">
      <c r="A190" s="171"/>
      <c r="B190" s="282"/>
      <c r="C190" s="171"/>
      <c r="D190" s="78"/>
      <c r="E190" s="78"/>
      <c r="F190" s="171"/>
      <c r="G190" s="173"/>
      <c r="H190" s="170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</row>
    <row r="191" ht="14.25" customHeight="1">
      <c r="A191" s="171"/>
      <c r="B191" s="282"/>
      <c r="C191" s="171"/>
      <c r="D191" s="78"/>
      <c r="E191" s="78"/>
      <c r="F191" s="171"/>
      <c r="G191" s="173"/>
      <c r="H191" s="170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</row>
    <row r="192" ht="14.25" customHeight="1">
      <c r="A192" s="171"/>
      <c r="B192" s="282"/>
      <c r="C192" s="171"/>
      <c r="D192" s="78"/>
      <c r="E192" s="78"/>
      <c r="F192" s="171"/>
      <c r="G192" s="173"/>
      <c r="H192" s="170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</row>
    <row r="193" ht="14.25" customHeight="1">
      <c r="A193" s="171"/>
      <c r="B193" s="282"/>
      <c r="C193" s="171"/>
      <c r="D193" s="78"/>
      <c r="E193" s="78"/>
      <c r="F193" s="171"/>
      <c r="G193" s="173"/>
      <c r="H193" s="170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</row>
    <row r="194" ht="14.25" customHeight="1">
      <c r="A194" s="171"/>
      <c r="B194" s="282"/>
      <c r="C194" s="171"/>
      <c r="D194" s="78"/>
      <c r="E194" s="78"/>
      <c r="F194" s="171"/>
      <c r="G194" s="173"/>
      <c r="H194" s="170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</row>
    <row r="195" ht="14.25" customHeight="1">
      <c r="A195" s="171"/>
      <c r="B195" s="282"/>
      <c r="C195" s="171"/>
      <c r="D195" s="78"/>
      <c r="E195" s="78"/>
      <c r="F195" s="171"/>
      <c r="G195" s="173"/>
      <c r="H195" s="170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</row>
    <row r="196" ht="14.25" customHeight="1">
      <c r="A196" s="171"/>
      <c r="B196" s="282"/>
      <c r="C196" s="171"/>
      <c r="D196" s="78"/>
      <c r="E196" s="78"/>
      <c r="F196" s="171"/>
      <c r="G196" s="173"/>
      <c r="H196" s="170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</row>
    <row r="197" ht="14.25" customHeight="1">
      <c r="A197" s="171"/>
      <c r="B197" s="282"/>
      <c r="C197" s="171"/>
      <c r="D197" s="78"/>
      <c r="E197" s="78"/>
      <c r="F197" s="171"/>
      <c r="G197" s="173"/>
      <c r="H197" s="170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</row>
    <row r="198" ht="14.25" customHeight="1">
      <c r="A198" s="171"/>
      <c r="B198" s="282"/>
      <c r="C198" s="171"/>
      <c r="D198" s="78"/>
      <c r="E198" s="78"/>
      <c r="F198" s="171"/>
      <c r="G198" s="173"/>
      <c r="H198" s="170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</row>
    <row r="199" ht="14.25" customHeight="1">
      <c r="A199" s="171"/>
      <c r="B199" s="282"/>
      <c r="C199" s="171"/>
      <c r="D199" s="78"/>
      <c r="E199" s="78"/>
      <c r="F199" s="171"/>
      <c r="G199" s="173"/>
      <c r="H199" s="170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</row>
    <row r="200" ht="14.25" customHeight="1">
      <c r="A200" s="171"/>
      <c r="B200" s="282"/>
      <c r="C200" s="171"/>
      <c r="D200" s="78"/>
      <c r="E200" s="78"/>
      <c r="F200" s="171"/>
      <c r="G200" s="173"/>
      <c r="H200" s="170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</row>
    <row r="201" ht="14.25" customHeight="1">
      <c r="A201" s="171"/>
      <c r="B201" s="282"/>
      <c r="C201" s="171"/>
      <c r="D201" s="78"/>
      <c r="E201" s="78"/>
      <c r="F201" s="171"/>
      <c r="G201" s="173"/>
      <c r="H201" s="170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</row>
    <row r="202" ht="14.25" customHeight="1">
      <c r="A202" s="171"/>
      <c r="B202" s="282"/>
      <c r="C202" s="171"/>
      <c r="D202" s="78"/>
      <c r="E202" s="78"/>
      <c r="F202" s="171"/>
      <c r="G202" s="173"/>
      <c r="H202" s="170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</row>
    <row r="203" ht="14.25" customHeight="1">
      <c r="A203" s="171"/>
      <c r="B203" s="282"/>
      <c r="C203" s="171"/>
      <c r="D203" s="78"/>
      <c r="E203" s="78"/>
      <c r="F203" s="171"/>
      <c r="G203" s="173"/>
      <c r="H203" s="170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</row>
    <row r="204" ht="14.25" customHeight="1">
      <c r="A204" s="171"/>
      <c r="B204" s="282"/>
      <c r="C204" s="171"/>
      <c r="D204" s="78"/>
      <c r="E204" s="78"/>
      <c r="F204" s="171"/>
      <c r="G204" s="173"/>
      <c r="H204" s="170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</row>
    <row r="205" ht="14.25" customHeight="1">
      <c r="A205" s="171"/>
      <c r="B205" s="282"/>
      <c r="C205" s="171"/>
      <c r="D205" s="78"/>
      <c r="E205" s="78"/>
      <c r="F205" s="171"/>
      <c r="G205" s="173"/>
      <c r="H205" s="170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</row>
    <row r="206" ht="14.25" customHeight="1">
      <c r="A206" s="171"/>
      <c r="B206" s="282"/>
      <c r="C206" s="171"/>
      <c r="D206" s="78"/>
      <c r="E206" s="78"/>
      <c r="F206" s="171"/>
      <c r="G206" s="173"/>
      <c r="H206" s="170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</row>
    <row r="207" ht="14.25" customHeight="1">
      <c r="A207" s="171"/>
      <c r="B207" s="282"/>
      <c r="C207" s="171"/>
      <c r="D207" s="78"/>
      <c r="E207" s="78"/>
      <c r="F207" s="171"/>
      <c r="G207" s="173"/>
      <c r="H207" s="170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</row>
    <row r="208" ht="14.25" customHeight="1">
      <c r="A208" s="171"/>
      <c r="B208" s="282"/>
      <c r="C208" s="171"/>
      <c r="D208" s="78"/>
      <c r="E208" s="78"/>
      <c r="F208" s="171"/>
      <c r="G208" s="173"/>
      <c r="H208" s="170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</row>
    <row r="209" ht="14.25" customHeight="1">
      <c r="A209" s="171"/>
      <c r="B209" s="282"/>
      <c r="C209" s="171"/>
      <c r="D209" s="78"/>
      <c r="E209" s="78"/>
      <c r="F209" s="171"/>
      <c r="G209" s="173"/>
      <c r="H209" s="170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</row>
    <row r="210" ht="14.25" customHeight="1">
      <c r="A210" s="171"/>
      <c r="B210" s="282"/>
      <c r="C210" s="171"/>
      <c r="D210" s="78"/>
      <c r="E210" s="78"/>
      <c r="F210" s="171"/>
      <c r="G210" s="173"/>
      <c r="H210" s="170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</row>
    <row r="211" ht="14.25" customHeight="1">
      <c r="A211" s="171"/>
      <c r="B211" s="282"/>
      <c r="C211" s="171"/>
      <c r="D211" s="78"/>
      <c r="E211" s="78"/>
      <c r="F211" s="171"/>
      <c r="G211" s="173"/>
      <c r="H211" s="170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</row>
    <row r="212" ht="14.25" customHeight="1">
      <c r="A212" s="171"/>
      <c r="B212" s="282"/>
      <c r="C212" s="171"/>
      <c r="D212" s="78"/>
      <c r="E212" s="78"/>
      <c r="F212" s="171"/>
      <c r="G212" s="173"/>
      <c r="H212" s="170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</row>
    <row r="213" ht="14.25" customHeight="1">
      <c r="A213" s="171"/>
      <c r="B213" s="282"/>
      <c r="C213" s="171"/>
      <c r="D213" s="78"/>
      <c r="E213" s="78"/>
      <c r="F213" s="171"/>
      <c r="G213" s="173"/>
      <c r="H213" s="170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</row>
    <row r="214" ht="14.25" customHeight="1">
      <c r="A214" s="171"/>
      <c r="B214" s="282"/>
      <c r="C214" s="171"/>
      <c r="D214" s="78"/>
      <c r="E214" s="78"/>
      <c r="F214" s="171"/>
      <c r="G214" s="173"/>
      <c r="H214" s="170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</row>
    <row r="215" ht="14.25" customHeight="1">
      <c r="A215" s="171"/>
      <c r="B215" s="282"/>
      <c r="C215" s="171"/>
      <c r="D215" s="78"/>
      <c r="E215" s="78"/>
      <c r="F215" s="171"/>
      <c r="G215" s="173"/>
      <c r="H215" s="170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</row>
    <row r="216" ht="14.25" customHeight="1">
      <c r="A216" s="171"/>
      <c r="B216" s="282"/>
      <c r="C216" s="171"/>
      <c r="D216" s="78"/>
      <c r="E216" s="78"/>
      <c r="F216" s="171"/>
      <c r="G216" s="173"/>
      <c r="H216" s="170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</row>
    <row r="217" ht="14.25" customHeight="1">
      <c r="A217" s="171"/>
      <c r="B217" s="282"/>
      <c r="C217" s="171"/>
      <c r="D217" s="78"/>
      <c r="E217" s="78"/>
      <c r="F217" s="171"/>
      <c r="G217" s="173"/>
      <c r="H217" s="170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</row>
    <row r="218" ht="14.25" customHeight="1">
      <c r="A218" s="171"/>
      <c r="B218" s="282"/>
      <c r="C218" s="171"/>
      <c r="D218" s="78"/>
      <c r="E218" s="78"/>
      <c r="F218" s="171"/>
      <c r="G218" s="173"/>
      <c r="H218" s="170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</row>
    <row r="219" ht="14.25" customHeight="1">
      <c r="A219" s="171"/>
      <c r="B219" s="282"/>
      <c r="C219" s="171"/>
      <c r="D219" s="78"/>
      <c r="E219" s="78"/>
      <c r="F219" s="171"/>
      <c r="G219" s="173"/>
      <c r="H219" s="170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</row>
    <row r="220" ht="14.25" customHeight="1">
      <c r="A220" s="171"/>
      <c r="B220" s="282"/>
      <c r="C220" s="171"/>
      <c r="D220" s="78"/>
      <c r="E220" s="78"/>
      <c r="F220" s="171"/>
      <c r="G220" s="173"/>
      <c r="H220" s="170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</row>
    <row r="221" ht="14.25" customHeight="1">
      <c r="A221" s="171"/>
      <c r="B221" s="282"/>
      <c r="C221" s="171"/>
      <c r="D221" s="78"/>
      <c r="E221" s="78"/>
      <c r="F221" s="171"/>
      <c r="G221" s="173"/>
      <c r="H221" s="170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</row>
    <row r="222" ht="14.25" customHeight="1">
      <c r="A222" s="171"/>
      <c r="B222" s="282"/>
      <c r="C222" s="171"/>
      <c r="D222" s="78"/>
      <c r="E222" s="78"/>
      <c r="F222" s="171"/>
      <c r="G222" s="173"/>
      <c r="H222" s="170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</row>
    <row r="223" ht="14.25" customHeight="1">
      <c r="A223" s="171"/>
      <c r="B223" s="282"/>
      <c r="C223" s="171"/>
      <c r="D223" s="78"/>
      <c r="E223" s="78"/>
      <c r="F223" s="171"/>
      <c r="G223" s="173"/>
      <c r="H223" s="170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</row>
    <row r="224" ht="14.25" customHeight="1">
      <c r="A224" s="171"/>
      <c r="B224" s="282"/>
      <c r="C224" s="171"/>
      <c r="D224" s="78"/>
      <c r="E224" s="78"/>
      <c r="F224" s="171"/>
      <c r="G224" s="173"/>
      <c r="H224" s="170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</row>
    <row r="225" ht="14.25" customHeight="1">
      <c r="A225" s="171"/>
      <c r="B225" s="282"/>
      <c r="C225" s="171"/>
      <c r="D225" s="78"/>
      <c r="E225" s="78"/>
      <c r="F225" s="171"/>
      <c r="G225" s="173"/>
      <c r="H225" s="170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</row>
    <row r="226" ht="14.25" customHeight="1">
      <c r="A226" s="171"/>
      <c r="B226" s="282"/>
      <c r="C226" s="171"/>
      <c r="D226" s="78"/>
      <c r="E226" s="78"/>
      <c r="F226" s="171"/>
      <c r="G226" s="173"/>
      <c r="H226" s="170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</row>
    <row r="227" ht="14.25" customHeight="1">
      <c r="A227" s="171"/>
      <c r="B227" s="282"/>
      <c r="C227" s="171"/>
      <c r="D227" s="78"/>
      <c r="E227" s="78"/>
      <c r="F227" s="171"/>
      <c r="G227" s="173"/>
      <c r="H227" s="170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</row>
    <row r="228" ht="14.25" customHeight="1">
      <c r="A228" s="171"/>
      <c r="B228" s="282"/>
      <c r="C228" s="171"/>
      <c r="D228" s="78"/>
      <c r="E228" s="78"/>
      <c r="F228" s="171"/>
      <c r="G228" s="173"/>
      <c r="H228" s="170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</row>
    <row r="229" ht="14.25" customHeight="1">
      <c r="A229" s="171"/>
      <c r="B229" s="282"/>
      <c r="C229" s="171"/>
      <c r="D229" s="78"/>
      <c r="E229" s="78"/>
      <c r="F229" s="171"/>
      <c r="G229" s="173"/>
      <c r="H229" s="170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</row>
    <row r="230" ht="14.25" customHeight="1">
      <c r="A230" s="171"/>
      <c r="B230" s="282"/>
      <c r="C230" s="171"/>
      <c r="D230" s="78"/>
      <c r="E230" s="78"/>
      <c r="F230" s="171"/>
      <c r="G230" s="173"/>
      <c r="H230" s="170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</row>
    <row r="231" ht="14.25" customHeight="1">
      <c r="A231" s="171"/>
      <c r="B231" s="282"/>
      <c r="C231" s="171"/>
      <c r="D231" s="78"/>
      <c r="E231" s="78"/>
      <c r="F231" s="171"/>
      <c r="G231" s="173"/>
      <c r="H231" s="170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</row>
    <row r="232" ht="14.25" customHeight="1">
      <c r="A232" s="171"/>
      <c r="B232" s="282"/>
      <c r="C232" s="171"/>
      <c r="D232" s="78"/>
      <c r="E232" s="78"/>
      <c r="F232" s="171"/>
      <c r="G232" s="173"/>
      <c r="H232" s="170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</row>
    <row r="233" ht="14.25" customHeight="1">
      <c r="A233" s="171"/>
      <c r="B233" s="282"/>
      <c r="C233" s="171"/>
      <c r="D233" s="78"/>
      <c r="E233" s="78"/>
      <c r="F233" s="171"/>
      <c r="G233" s="173"/>
      <c r="H233" s="170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</row>
    <row r="234" ht="14.25" customHeight="1">
      <c r="A234" s="171"/>
      <c r="B234" s="282"/>
      <c r="C234" s="171"/>
      <c r="D234" s="78"/>
      <c r="E234" s="78"/>
      <c r="F234" s="171"/>
      <c r="G234" s="173"/>
      <c r="H234" s="170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</row>
    <row r="235" ht="14.25" customHeight="1">
      <c r="A235" s="171"/>
      <c r="B235" s="282"/>
      <c r="C235" s="171"/>
      <c r="D235" s="78"/>
      <c r="E235" s="78"/>
      <c r="F235" s="171"/>
      <c r="G235" s="173"/>
      <c r="H235" s="170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</row>
    <row r="236" ht="14.25" customHeight="1">
      <c r="A236" s="171"/>
      <c r="B236" s="282"/>
      <c r="C236" s="171"/>
      <c r="D236" s="78"/>
      <c r="E236" s="78"/>
      <c r="F236" s="171"/>
      <c r="G236" s="173"/>
      <c r="H236" s="170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</row>
    <row r="237" ht="14.25" customHeight="1">
      <c r="A237" s="171"/>
      <c r="B237" s="282"/>
      <c r="C237" s="171"/>
      <c r="D237" s="78"/>
      <c r="E237" s="78"/>
      <c r="F237" s="171"/>
      <c r="G237" s="173"/>
      <c r="H237" s="170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</row>
    <row r="238" ht="14.25" customHeight="1">
      <c r="A238" s="171"/>
      <c r="B238" s="282"/>
      <c r="C238" s="171"/>
      <c r="D238" s="78"/>
      <c r="E238" s="78"/>
      <c r="F238" s="171"/>
      <c r="G238" s="173"/>
      <c r="H238" s="170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</row>
    <row r="239" ht="14.25" customHeight="1">
      <c r="A239" s="171"/>
      <c r="B239" s="282"/>
      <c r="C239" s="171"/>
      <c r="D239" s="78"/>
      <c r="E239" s="78"/>
      <c r="F239" s="171"/>
      <c r="G239" s="173"/>
      <c r="H239" s="170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</row>
    <row r="240" ht="14.25" customHeight="1">
      <c r="A240" s="171"/>
      <c r="B240" s="282"/>
      <c r="C240" s="171"/>
      <c r="D240" s="78"/>
      <c r="E240" s="78"/>
      <c r="F240" s="171"/>
      <c r="G240" s="173"/>
      <c r="H240" s="170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</row>
    <row r="241" ht="14.25" customHeight="1">
      <c r="A241" s="171"/>
      <c r="B241" s="282"/>
      <c r="C241" s="171"/>
      <c r="D241" s="78"/>
      <c r="E241" s="78"/>
      <c r="F241" s="171"/>
      <c r="G241" s="173"/>
      <c r="H241" s="170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</row>
    <row r="242" ht="14.25" customHeight="1">
      <c r="A242" s="171"/>
      <c r="B242" s="282"/>
      <c r="C242" s="171"/>
      <c r="D242" s="78"/>
      <c r="E242" s="78"/>
      <c r="F242" s="171"/>
      <c r="G242" s="173"/>
      <c r="H242" s="170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</row>
    <row r="243" ht="14.25" customHeight="1">
      <c r="A243" s="171"/>
      <c r="B243" s="282"/>
      <c r="C243" s="171"/>
      <c r="D243" s="78"/>
      <c r="E243" s="78"/>
      <c r="F243" s="171"/>
      <c r="G243" s="173"/>
      <c r="H243" s="170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</row>
    <row r="244" ht="14.25" customHeight="1">
      <c r="A244" s="171"/>
      <c r="B244" s="282"/>
      <c r="C244" s="171"/>
      <c r="D244" s="78"/>
      <c r="E244" s="78"/>
      <c r="F244" s="171"/>
      <c r="G244" s="173"/>
      <c r="H244" s="170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</row>
    <row r="245" ht="14.25" customHeight="1">
      <c r="A245" s="171"/>
      <c r="B245" s="282"/>
      <c r="C245" s="171"/>
      <c r="D245" s="78"/>
      <c r="E245" s="78"/>
      <c r="F245" s="171"/>
      <c r="G245" s="173"/>
      <c r="H245" s="170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</row>
    <row r="246" ht="14.25" customHeight="1">
      <c r="A246" s="171"/>
      <c r="B246" s="282"/>
      <c r="C246" s="171"/>
      <c r="D246" s="78"/>
      <c r="E246" s="78"/>
      <c r="F246" s="171"/>
      <c r="G246" s="173"/>
      <c r="H246" s="170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</row>
    <row r="247" ht="14.25" customHeight="1">
      <c r="A247" s="171"/>
      <c r="B247" s="282"/>
      <c r="C247" s="171"/>
      <c r="D247" s="78"/>
      <c r="E247" s="78"/>
      <c r="F247" s="171"/>
      <c r="G247" s="173"/>
      <c r="H247" s="170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</row>
    <row r="248" ht="14.25" customHeight="1">
      <c r="A248" s="171"/>
      <c r="B248" s="282"/>
      <c r="C248" s="171"/>
      <c r="D248" s="78"/>
      <c r="E248" s="78"/>
      <c r="F248" s="171"/>
      <c r="G248" s="173"/>
      <c r="H248" s="170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</row>
    <row r="249" ht="14.25" customHeight="1">
      <c r="A249" s="171"/>
      <c r="B249" s="282"/>
      <c r="C249" s="171"/>
      <c r="D249" s="78"/>
      <c r="E249" s="78"/>
      <c r="F249" s="171"/>
      <c r="G249" s="173"/>
      <c r="H249" s="170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</row>
    <row r="250" ht="14.25" customHeight="1">
      <c r="A250" s="171"/>
      <c r="B250" s="282"/>
      <c r="C250" s="171"/>
      <c r="D250" s="78"/>
      <c r="E250" s="78"/>
      <c r="F250" s="171"/>
      <c r="G250" s="173"/>
      <c r="H250" s="170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</row>
    <row r="251" ht="14.25" customHeight="1">
      <c r="A251" s="171"/>
      <c r="B251" s="282"/>
      <c r="C251" s="171"/>
      <c r="D251" s="78"/>
      <c r="E251" s="78"/>
      <c r="F251" s="171"/>
      <c r="G251" s="173"/>
      <c r="H251" s="170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</row>
    <row r="252" ht="14.25" customHeight="1">
      <c r="A252" s="171"/>
      <c r="B252" s="282"/>
      <c r="C252" s="171"/>
      <c r="D252" s="78"/>
      <c r="E252" s="78"/>
      <c r="F252" s="171"/>
      <c r="G252" s="173"/>
      <c r="H252" s="170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</row>
    <row r="253" ht="14.25" customHeight="1">
      <c r="A253" s="171"/>
      <c r="B253" s="282"/>
      <c r="C253" s="171"/>
      <c r="D253" s="78"/>
      <c r="E253" s="78"/>
      <c r="F253" s="171"/>
      <c r="G253" s="173"/>
      <c r="H253" s="170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</row>
    <row r="254" ht="14.25" customHeight="1">
      <c r="A254" s="171"/>
      <c r="B254" s="282"/>
      <c r="C254" s="171"/>
      <c r="D254" s="78"/>
      <c r="E254" s="78"/>
      <c r="F254" s="171"/>
      <c r="G254" s="173"/>
      <c r="H254" s="170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</row>
    <row r="255" ht="14.25" customHeight="1">
      <c r="A255" s="171"/>
      <c r="B255" s="282"/>
      <c r="C255" s="171"/>
      <c r="D255" s="78"/>
      <c r="E255" s="78"/>
      <c r="F255" s="171"/>
      <c r="G255" s="173"/>
      <c r="H255" s="170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</row>
    <row r="256" ht="14.25" customHeight="1">
      <c r="A256" s="171"/>
      <c r="B256" s="282"/>
      <c r="C256" s="171"/>
      <c r="D256" s="78"/>
      <c r="E256" s="78"/>
      <c r="F256" s="171"/>
      <c r="G256" s="173"/>
      <c r="H256" s="170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</row>
    <row r="257" ht="14.25" customHeight="1">
      <c r="A257" s="171"/>
      <c r="B257" s="282"/>
      <c r="C257" s="171"/>
      <c r="D257" s="78"/>
      <c r="E257" s="78"/>
      <c r="F257" s="171"/>
      <c r="G257" s="173"/>
      <c r="H257" s="170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</row>
    <row r="258" ht="14.25" customHeight="1">
      <c r="A258" s="171"/>
      <c r="B258" s="282"/>
      <c r="C258" s="171"/>
      <c r="D258" s="78"/>
      <c r="E258" s="78"/>
      <c r="F258" s="171"/>
      <c r="G258" s="173"/>
      <c r="H258" s="170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</row>
    <row r="259" ht="14.25" customHeight="1">
      <c r="A259" s="171"/>
      <c r="B259" s="282"/>
      <c r="C259" s="171"/>
      <c r="D259" s="78"/>
      <c r="E259" s="78"/>
      <c r="F259" s="171"/>
      <c r="G259" s="173"/>
      <c r="H259" s="170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</row>
    <row r="260" ht="14.25" customHeight="1">
      <c r="A260" s="171"/>
      <c r="B260" s="282"/>
      <c r="C260" s="171"/>
      <c r="D260" s="78"/>
      <c r="E260" s="78"/>
      <c r="F260" s="171"/>
      <c r="G260" s="173"/>
      <c r="H260" s="170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</row>
    <row r="261" ht="14.25" customHeight="1">
      <c r="A261" s="171"/>
      <c r="B261" s="282"/>
      <c r="C261" s="171"/>
      <c r="D261" s="78"/>
      <c r="E261" s="78"/>
      <c r="F261" s="171"/>
      <c r="G261" s="173"/>
      <c r="H261" s="170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</row>
    <row r="262" ht="14.25" customHeight="1">
      <c r="A262" s="171"/>
      <c r="B262" s="282"/>
      <c r="C262" s="171"/>
      <c r="D262" s="78"/>
      <c r="E262" s="78"/>
      <c r="F262" s="171"/>
      <c r="G262" s="173"/>
      <c r="H262" s="170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</row>
    <row r="263" ht="14.25" customHeight="1">
      <c r="A263" s="171"/>
      <c r="B263" s="282"/>
      <c r="C263" s="171"/>
      <c r="D263" s="78"/>
      <c r="E263" s="78"/>
      <c r="F263" s="171"/>
      <c r="G263" s="173"/>
      <c r="H263" s="170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</row>
    <row r="264" ht="14.25" customHeight="1">
      <c r="A264" s="171"/>
      <c r="B264" s="282"/>
      <c r="C264" s="171"/>
      <c r="D264" s="78"/>
      <c r="E264" s="78"/>
      <c r="F264" s="171"/>
      <c r="G264" s="173"/>
      <c r="H264" s="170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</row>
    <row r="265" ht="14.25" customHeight="1">
      <c r="A265" s="171"/>
      <c r="B265" s="282"/>
      <c r="C265" s="171"/>
      <c r="D265" s="78"/>
      <c r="E265" s="78"/>
      <c r="F265" s="171"/>
      <c r="G265" s="173"/>
      <c r="H265" s="170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</row>
    <row r="266" ht="14.25" customHeight="1">
      <c r="A266" s="171"/>
      <c r="B266" s="282"/>
      <c r="C266" s="171"/>
      <c r="D266" s="78"/>
      <c r="E266" s="78"/>
      <c r="F266" s="171"/>
      <c r="G266" s="173"/>
      <c r="H266" s="170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</row>
    <row r="267" ht="14.25" customHeight="1">
      <c r="A267" s="171"/>
      <c r="B267" s="282"/>
      <c r="C267" s="171"/>
      <c r="D267" s="78"/>
      <c r="E267" s="78"/>
      <c r="F267" s="171"/>
      <c r="G267" s="173"/>
      <c r="H267" s="170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</row>
    <row r="268" ht="14.25" customHeight="1">
      <c r="A268" s="171"/>
      <c r="B268" s="282"/>
      <c r="C268" s="171"/>
      <c r="D268" s="78"/>
      <c r="E268" s="78"/>
      <c r="F268" s="171"/>
      <c r="G268" s="173"/>
      <c r="H268" s="170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</row>
    <row r="269" ht="14.25" customHeight="1">
      <c r="A269" s="171"/>
      <c r="B269" s="282"/>
      <c r="C269" s="171"/>
      <c r="D269" s="78"/>
      <c r="E269" s="78"/>
      <c r="F269" s="171"/>
      <c r="G269" s="173"/>
      <c r="H269" s="170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</row>
    <row r="270" ht="14.25" customHeight="1">
      <c r="A270" s="171"/>
      <c r="B270" s="282"/>
      <c r="C270" s="171"/>
      <c r="D270" s="78"/>
      <c r="E270" s="78"/>
      <c r="F270" s="171"/>
      <c r="G270" s="173"/>
      <c r="H270" s="170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</row>
    <row r="271" ht="14.25" customHeight="1">
      <c r="A271" s="171"/>
      <c r="B271" s="282"/>
      <c r="C271" s="171"/>
      <c r="D271" s="78"/>
      <c r="E271" s="78"/>
      <c r="F271" s="171"/>
      <c r="G271" s="173"/>
      <c r="H271" s="170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</row>
    <row r="272" ht="14.25" customHeight="1">
      <c r="A272" s="171"/>
      <c r="B272" s="282"/>
      <c r="C272" s="171"/>
      <c r="D272" s="78"/>
      <c r="E272" s="78"/>
      <c r="F272" s="171"/>
      <c r="G272" s="173"/>
      <c r="H272" s="170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</row>
    <row r="273" ht="14.25" customHeight="1">
      <c r="A273" s="171"/>
      <c r="B273" s="282"/>
      <c r="C273" s="171"/>
      <c r="D273" s="78"/>
      <c r="E273" s="78"/>
      <c r="F273" s="171"/>
      <c r="G273" s="173"/>
      <c r="H273" s="170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</row>
    <row r="274" ht="14.25" customHeight="1">
      <c r="A274" s="171"/>
      <c r="B274" s="282"/>
      <c r="C274" s="171"/>
      <c r="D274" s="78"/>
      <c r="E274" s="78"/>
      <c r="F274" s="171"/>
      <c r="G274" s="173"/>
      <c r="H274" s="170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</row>
    <row r="275" ht="14.25" customHeight="1">
      <c r="A275" s="171"/>
      <c r="B275" s="282"/>
      <c r="C275" s="171"/>
      <c r="D275" s="78"/>
      <c r="E275" s="78"/>
      <c r="F275" s="171"/>
      <c r="G275" s="173"/>
      <c r="H275" s="170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</row>
    <row r="276" ht="14.25" customHeight="1">
      <c r="A276" s="171"/>
      <c r="B276" s="282"/>
      <c r="C276" s="171"/>
      <c r="D276" s="78"/>
      <c r="E276" s="78"/>
      <c r="F276" s="171"/>
      <c r="G276" s="173"/>
      <c r="H276" s="170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</row>
    <row r="277" ht="14.25" customHeight="1">
      <c r="A277" s="171"/>
      <c r="B277" s="282"/>
      <c r="C277" s="171"/>
      <c r="D277" s="78"/>
      <c r="E277" s="78"/>
      <c r="F277" s="171"/>
      <c r="G277" s="173"/>
      <c r="H277" s="170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</row>
    <row r="278" ht="14.25" customHeight="1">
      <c r="A278" s="171"/>
      <c r="B278" s="282"/>
      <c r="C278" s="171"/>
      <c r="D278" s="78"/>
      <c r="E278" s="78"/>
      <c r="F278" s="171"/>
      <c r="G278" s="173"/>
      <c r="H278" s="170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</row>
    <row r="279" ht="14.25" customHeight="1">
      <c r="A279" s="171"/>
      <c r="B279" s="282"/>
      <c r="C279" s="171"/>
      <c r="D279" s="78"/>
      <c r="E279" s="78"/>
      <c r="F279" s="171"/>
      <c r="G279" s="173"/>
      <c r="H279" s="170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</row>
    <row r="280" ht="14.25" customHeight="1">
      <c r="A280" s="171"/>
      <c r="B280" s="282"/>
      <c r="C280" s="171"/>
      <c r="D280" s="78"/>
      <c r="E280" s="78"/>
      <c r="F280" s="171"/>
      <c r="G280" s="173"/>
      <c r="H280" s="170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</row>
    <row r="281" ht="14.25" customHeight="1">
      <c r="A281" s="171"/>
      <c r="B281" s="282"/>
      <c r="C281" s="171"/>
      <c r="D281" s="78"/>
      <c r="E281" s="78"/>
      <c r="F281" s="171"/>
      <c r="G281" s="173"/>
      <c r="H281" s="170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</row>
    <row r="282" ht="14.25" customHeight="1">
      <c r="A282" s="171"/>
      <c r="B282" s="282"/>
      <c r="C282" s="171"/>
      <c r="D282" s="78"/>
      <c r="E282" s="78"/>
      <c r="F282" s="171"/>
      <c r="G282" s="173"/>
      <c r="H282" s="170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</row>
    <row r="283" ht="14.25" customHeight="1">
      <c r="A283" s="171"/>
      <c r="B283" s="282"/>
      <c r="C283" s="171"/>
      <c r="D283" s="78"/>
      <c r="E283" s="78"/>
      <c r="F283" s="171"/>
      <c r="G283" s="173"/>
      <c r="H283" s="170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</row>
    <row r="284" ht="14.25" customHeight="1">
      <c r="A284" s="171"/>
      <c r="B284" s="282"/>
      <c r="C284" s="171"/>
      <c r="D284" s="78"/>
      <c r="E284" s="78"/>
      <c r="F284" s="171"/>
      <c r="G284" s="173"/>
      <c r="H284" s="170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</row>
    <row r="285" ht="14.25" customHeight="1">
      <c r="A285" s="171"/>
      <c r="B285" s="282"/>
      <c r="C285" s="171"/>
      <c r="D285" s="78"/>
      <c r="E285" s="78"/>
      <c r="F285" s="171"/>
      <c r="G285" s="173"/>
      <c r="H285" s="170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</row>
    <row r="286" ht="14.25" customHeight="1">
      <c r="A286" s="171"/>
      <c r="B286" s="282"/>
      <c r="C286" s="171"/>
      <c r="D286" s="78"/>
      <c r="E286" s="78"/>
      <c r="F286" s="171"/>
      <c r="G286" s="173"/>
      <c r="H286" s="170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</row>
    <row r="287" ht="14.25" customHeight="1">
      <c r="A287" s="171"/>
      <c r="B287" s="282"/>
      <c r="C287" s="171"/>
      <c r="D287" s="78"/>
      <c r="E287" s="78"/>
      <c r="F287" s="171"/>
      <c r="G287" s="173"/>
      <c r="H287" s="170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</row>
    <row r="288" ht="14.25" customHeight="1">
      <c r="A288" s="171"/>
      <c r="B288" s="282"/>
      <c r="C288" s="171"/>
      <c r="D288" s="78"/>
      <c r="E288" s="78"/>
      <c r="F288" s="171"/>
      <c r="G288" s="173"/>
      <c r="H288" s="170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</row>
    <row r="289" ht="14.25" customHeight="1">
      <c r="A289" s="171"/>
      <c r="B289" s="282"/>
      <c r="C289" s="171"/>
      <c r="D289" s="78"/>
      <c r="E289" s="78"/>
      <c r="F289" s="171"/>
      <c r="G289" s="173"/>
      <c r="H289" s="170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</row>
    <row r="290" ht="14.25" customHeight="1">
      <c r="A290" s="171"/>
      <c r="B290" s="282"/>
      <c r="C290" s="171"/>
      <c r="D290" s="78"/>
      <c r="E290" s="78"/>
      <c r="F290" s="171"/>
      <c r="G290" s="173"/>
      <c r="H290" s="170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</row>
    <row r="291" ht="14.25" customHeight="1">
      <c r="A291" s="171"/>
      <c r="B291" s="282"/>
      <c r="C291" s="171"/>
      <c r="D291" s="78"/>
      <c r="E291" s="78"/>
      <c r="F291" s="171"/>
      <c r="G291" s="173"/>
      <c r="H291" s="170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</row>
    <row r="292" ht="14.25" customHeight="1">
      <c r="A292" s="171"/>
      <c r="B292" s="282"/>
      <c r="C292" s="171"/>
      <c r="D292" s="78"/>
      <c r="E292" s="78"/>
      <c r="F292" s="171"/>
      <c r="G292" s="173"/>
      <c r="H292" s="170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</row>
    <row r="293" ht="14.25" customHeight="1">
      <c r="A293" s="171"/>
      <c r="B293" s="282"/>
      <c r="C293" s="171"/>
      <c r="D293" s="78"/>
      <c r="E293" s="78"/>
      <c r="F293" s="171"/>
      <c r="G293" s="173"/>
      <c r="H293" s="170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</row>
    <row r="294" ht="14.25" customHeight="1">
      <c r="A294" s="171"/>
      <c r="B294" s="282"/>
      <c r="C294" s="171"/>
      <c r="D294" s="78"/>
      <c r="E294" s="78"/>
      <c r="F294" s="171"/>
      <c r="G294" s="173"/>
      <c r="H294" s="170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</row>
    <row r="295" ht="14.25" customHeight="1">
      <c r="A295" s="171"/>
      <c r="B295" s="282"/>
      <c r="C295" s="171"/>
      <c r="D295" s="78"/>
      <c r="E295" s="78"/>
      <c r="F295" s="171"/>
      <c r="G295" s="173"/>
      <c r="H295" s="170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</row>
    <row r="296" ht="14.25" customHeight="1">
      <c r="A296" s="171"/>
      <c r="B296" s="282"/>
      <c r="C296" s="171"/>
      <c r="D296" s="78"/>
      <c r="E296" s="78"/>
      <c r="F296" s="171"/>
      <c r="G296" s="173"/>
      <c r="H296" s="170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</row>
    <row r="297" ht="14.25" customHeight="1">
      <c r="A297" s="171"/>
      <c r="B297" s="282"/>
      <c r="C297" s="171"/>
      <c r="D297" s="78"/>
      <c r="E297" s="78"/>
      <c r="F297" s="171"/>
      <c r="G297" s="173"/>
      <c r="H297" s="170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</row>
    <row r="298" ht="14.25" customHeight="1">
      <c r="A298" s="171"/>
      <c r="B298" s="282"/>
      <c r="C298" s="171"/>
      <c r="D298" s="78"/>
      <c r="E298" s="78"/>
      <c r="F298" s="171"/>
      <c r="G298" s="173"/>
      <c r="H298" s="170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</row>
    <row r="299" ht="14.25" customHeight="1">
      <c r="A299" s="171"/>
      <c r="B299" s="282"/>
      <c r="C299" s="171"/>
      <c r="D299" s="78"/>
      <c r="E299" s="78"/>
      <c r="F299" s="171"/>
      <c r="G299" s="173"/>
      <c r="H299" s="170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</row>
    <row r="300" ht="14.25" customHeight="1">
      <c r="A300" s="171"/>
      <c r="B300" s="282"/>
      <c r="C300" s="171"/>
      <c r="D300" s="78"/>
      <c r="E300" s="78"/>
      <c r="F300" s="171"/>
      <c r="G300" s="173"/>
      <c r="H300" s="170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</row>
    <row r="301" ht="14.25" customHeight="1">
      <c r="A301" s="171"/>
      <c r="B301" s="282"/>
      <c r="C301" s="171"/>
      <c r="D301" s="78"/>
      <c r="E301" s="78"/>
      <c r="F301" s="171"/>
      <c r="G301" s="173"/>
      <c r="H301" s="170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</row>
    <row r="302" ht="14.25" customHeight="1">
      <c r="A302" s="171"/>
      <c r="B302" s="282"/>
      <c r="C302" s="171"/>
      <c r="D302" s="78"/>
      <c r="E302" s="78"/>
      <c r="F302" s="171"/>
      <c r="G302" s="173"/>
      <c r="H302" s="170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</row>
    <row r="303" ht="14.25" customHeight="1">
      <c r="A303" s="171"/>
      <c r="B303" s="282"/>
      <c r="C303" s="171"/>
      <c r="D303" s="78"/>
      <c r="E303" s="78"/>
      <c r="F303" s="171"/>
      <c r="G303" s="173"/>
      <c r="H303" s="170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</row>
    <row r="304" ht="14.25" customHeight="1">
      <c r="A304" s="171"/>
      <c r="B304" s="282"/>
      <c r="C304" s="171"/>
      <c r="D304" s="78"/>
      <c r="E304" s="78"/>
      <c r="F304" s="171"/>
      <c r="G304" s="173"/>
      <c r="H304" s="170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</row>
    <row r="305" ht="14.25" customHeight="1">
      <c r="A305" s="171"/>
      <c r="B305" s="282"/>
      <c r="C305" s="171"/>
      <c r="D305" s="78"/>
      <c r="E305" s="78"/>
      <c r="F305" s="171"/>
      <c r="G305" s="173"/>
      <c r="H305" s="170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</row>
    <row r="306" ht="14.25" customHeight="1">
      <c r="A306" s="171"/>
      <c r="B306" s="282"/>
      <c r="C306" s="171"/>
      <c r="D306" s="78"/>
      <c r="E306" s="78"/>
      <c r="F306" s="171"/>
      <c r="G306" s="173"/>
      <c r="H306" s="170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</row>
    <row r="307" ht="14.25" customHeight="1">
      <c r="A307" s="171"/>
      <c r="B307" s="282"/>
      <c r="C307" s="171"/>
      <c r="D307" s="78"/>
      <c r="E307" s="78"/>
      <c r="F307" s="171"/>
      <c r="G307" s="173"/>
      <c r="H307" s="170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</row>
    <row r="308" ht="14.25" customHeight="1">
      <c r="A308" s="171"/>
      <c r="B308" s="282"/>
      <c r="C308" s="171"/>
      <c r="D308" s="78"/>
      <c r="E308" s="78"/>
      <c r="F308" s="171"/>
      <c r="G308" s="173"/>
      <c r="H308" s="170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</row>
    <row r="309" ht="14.25" customHeight="1">
      <c r="A309" s="171"/>
      <c r="B309" s="282"/>
      <c r="C309" s="171"/>
      <c r="D309" s="78"/>
      <c r="E309" s="78"/>
      <c r="F309" s="171"/>
      <c r="G309" s="173"/>
      <c r="H309" s="170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</row>
    <row r="310" ht="14.25" customHeight="1">
      <c r="A310" s="171"/>
      <c r="B310" s="282"/>
      <c r="C310" s="171"/>
      <c r="D310" s="78"/>
      <c r="E310" s="78"/>
      <c r="F310" s="171"/>
      <c r="G310" s="173"/>
      <c r="H310" s="170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</row>
    <row r="311" ht="14.25" customHeight="1">
      <c r="A311" s="171"/>
      <c r="B311" s="282"/>
      <c r="C311" s="171"/>
      <c r="D311" s="78"/>
      <c r="E311" s="78"/>
      <c r="F311" s="171"/>
      <c r="G311" s="173"/>
      <c r="H311" s="170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</row>
    <row r="312" ht="14.25" customHeight="1">
      <c r="A312" s="171"/>
      <c r="B312" s="282"/>
      <c r="C312" s="171"/>
      <c r="D312" s="78"/>
      <c r="E312" s="78"/>
      <c r="F312" s="171"/>
      <c r="G312" s="173"/>
      <c r="H312" s="170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</row>
    <row r="313" ht="14.25" customHeight="1">
      <c r="A313" s="171"/>
      <c r="B313" s="282"/>
      <c r="C313" s="171"/>
      <c r="D313" s="78"/>
      <c r="E313" s="78"/>
      <c r="F313" s="171"/>
      <c r="G313" s="173"/>
      <c r="H313" s="170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</row>
    <row r="314" ht="14.25" customHeight="1">
      <c r="A314" s="171"/>
      <c r="B314" s="282"/>
      <c r="C314" s="171"/>
      <c r="D314" s="78"/>
      <c r="E314" s="78"/>
      <c r="F314" s="171"/>
      <c r="G314" s="173"/>
      <c r="H314" s="170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</row>
    <row r="315" ht="14.25" customHeight="1">
      <c r="A315" s="171"/>
      <c r="B315" s="282"/>
      <c r="C315" s="171"/>
      <c r="D315" s="78"/>
      <c r="E315" s="78"/>
      <c r="F315" s="171"/>
      <c r="G315" s="173"/>
      <c r="H315" s="170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</row>
    <row r="316" ht="14.25" customHeight="1">
      <c r="A316" s="171"/>
      <c r="B316" s="282"/>
      <c r="C316" s="171"/>
      <c r="D316" s="78"/>
      <c r="E316" s="78"/>
      <c r="F316" s="171"/>
      <c r="G316" s="173"/>
      <c r="H316" s="170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</row>
    <row r="317" ht="14.25" customHeight="1">
      <c r="A317" s="171"/>
      <c r="B317" s="282"/>
      <c r="C317" s="171"/>
      <c r="D317" s="78"/>
      <c r="E317" s="78"/>
      <c r="F317" s="171"/>
      <c r="G317" s="173"/>
      <c r="H317" s="170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</row>
    <row r="318" ht="14.25" customHeight="1">
      <c r="A318" s="171"/>
      <c r="B318" s="282"/>
      <c r="C318" s="171"/>
      <c r="D318" s="78"/>
      <c r="E318" s="78"/>
      <c r="F318" s="171"/>
      <c r="G318" s="173"/>
      <c r="H318" s="170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</row>
    <row r="319" ht="14.25" customHeight="1">
      <c r="A319" s="171"/>
      <c r="B319" s="282"/>
      <c r="C319" s="171"/>
      <c r="D319" s="78"/>
      <c r="E319" s="78"/>
      <c r="F319" s="171"/>
      <c r="G319" s="173"/>
      <c r="H319" s="170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</row>
    <row r="320" ht="14.25" customHeight="1">
      <c r="A320" s="171"/>
      <c r="B320" s="282"/>
      <c r="C320" s="171"/>
      <c r="D320" s="78"/>
      <c r="E320" s="78"/>
      <c r="F320" s="171"/>
      <c r="G320" s="173"/>
      <c r="H320" s="170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</row>
    <row r="321" ht="14.25" customHeight="1">
      <c r="A321" s="171"/>
      <c r="B321" s="282"/>
      <c r="C321" s="171"/>
      <c r="D321" s="78"/>
      <c r="E321" s="78"/>
      <c r="F321" s="171"/>
      <c r="G321" s="173"/>
      <c r="H321" s="170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</row>
    <row r="322" ht="14.25" customHeight="1">
      <c r="A322" s="171"/>
      <c r="B322" s="282"/>
      <c r="C322" s="171"/>
      <c r="D322" s="78"/>
      <c r="E322" s="78"/>
      <c r="F322" s="171"/>
      <c r="G322" s="173"/>
      <c r="H322" s="170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</row>
    <row r="323" ht="14.25" customHeight="1">
      <c r="A323" s="171"/>
      <c r="B323" s="282"/>
      <c r="C323" s="171"/>
      <c r="D323" s="78"/>
      <c r="E323" s="78"/>
      <c r="F323" s="171"/>
      <c r="G323" s="173"/>
      <c r="H323" s="170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</row>
    <row r="324" ht="14.25" customHeight="1">
      <c r="A324" s="171"/>
      <c r="B324" s="282"/>
      <c r="C324" s="171"/>
      <c r="D324" s="78"/>
      <c r="E324" s="78"/>
      <c r="F324" s="171"/>
      <c r="G324" s="173"/>
      <c r="H324" s="170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</row>
    <row r="325" ht="14.25" customHeight="1">
      <c r="A325" s="171"/>
      <c r="B325" s="282"/>
      <c r="C325" s="171"/>
      <c r="D325" s="78"/>
      <c r="E325" s="78"/>
      <c r="F325" s="171"/>
      <c r="G325" s="173"/>
      <c r="H325" s="170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</row>
    <row r="326" ht="14.25" customHeight="1">
      <c r="A326" s="171"/>
      <c r="B326" s="282"/>
      <c r="C326" s="171"/>
      <c r="D326" s="78"/>
      <c r="E326" s="78"/>
      <c r="F326" s="171"/>
      <c r="G326" s="173"/>
      <c r="H326" s="170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</row>
    <row r="327" ht="14.25" customHeight="1">
      <c r="A327" s="171"/>
      <c r="B327" s="282"/>
      <c r="C327" s="171"/>
      <c r="D327" s="78"/>
      <c r="E327" s="78"/>
      <c r="F327" s="171"/>
      <c r="G327" s="173"/>
      <c r="H327" s="170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</row>
    <row r="328" ht="14.25" customHeight="1">
      <c r="A328" s="171"/>
      <c r="B328" s="282"/>
      <c r="C328" s="171"/>
      <c r="D328" s="78"/>
      <c r="E328" s="78"/>
      <c r="F328" s="171"/>
      <c r="G328" s="173"/>
      <c r="H328" s="170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</row>
    <row r="329" ht="14.25" customHeight="1">
      <c r="A329" s="171"/>
      <c r="B329" s="282"/>
      <c r="C329" s="171"/>
      <c r="D329" s="78"/>
      <c r="E329" s="78"/>
      <c r="F329" s="171"/>
      <c r="G329" s="173"/>
      <c r="H329" s="170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</row>
    <row r="330" ht="14.25" customHeight="1">
      <c r="A330" s="171"/>
      <c r="B330" s="282"/>
      <c r="C330" s="171"/>
      <c r="D330" s="78"/>
      <c r="E330" s="78"/>
      <c r="F330" s="171"/>
      <c r="G330" s="173"/>
      <c r="H330" s="170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</row>
    <row r="331" ht="14.25" customHeight="1">
      <c r="A331" s="171"/>
      <c r="B331" s="282"/>
      <c r="C331" s="171"/>
      <c r="D331" s="78"/>
      <c r="E331" s="78"/>
      <c r="F331" s="171"/>
      <c r="G331" s="173"/>
      <c r="H331" s="170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</row>
    <row r="332" ht="14.25" customHeight="1">
      <c r="A332" s="171"/>
      <c r="B332" s="282"/>
      <c r="C332" s="171"/>
      <c r="D332" s="78"/>
      <c r="E332" s="78"/>
      <c r="F332" s="171"/>
      <c r="G332" s="173"/>
      <c r="H332" s="170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</row>
    <row r="333" ht="14.25" customHeight="1">
      <c r="A333" s="171"/>
      <c r="B333" s="282"/>
      <c r="C333" s="171"/>
      <c r="D333" s="78"/>
      <c r="E333" s="78"/>
      <c r="F333" s="171"/>
      <c r="G333" s="173"/>
      <c r="H333" s="170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</row>
    <row r="334" ht="14.25" customHeight="1">
      <c r="A334" s="171"/>
      <c r="B334" s="282"/>
      <c r="C334" s="171"/>
      <c r="D334" s="78"/>
      <c r="E334" s="78"/>
      <c r="F334" s="171"/>
      <c r="G334" s="173"/>
      <c r="H334" s="170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</row>
    <row r="335" ht="14.25" customHeight="1">
      <c r="A335" s="171"/>
      <c r="B335" s="282"/>
      <c r="C335" s="171"/>
      <c r="D335" s="78"/>
      <c r="E335" s="78"/>
      <c r="F335" s="171"/>
      <c r="G335" s="173"/>
      <c r="H335" s="170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</row>
    <row r="336" ht="14.25" customHeight="1">
      <c r="A336" s="171"/>
      <c r="B336" s="282"/>
      <c r="C336" s="171"/>
      <c r="D336" s="78"/>
      <c r="E336" s="78"/>
      <c r="F336" s="171"/>
      <c r="G336" s="173"/>
      <c r="H336" s="170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</row>
    <row r="337" ht="14.25" customHeight="1">
      <c r="A337" s="171"/>
      <c r="B337" s="282"/>
      <c r="C337" s="171"/>
      <c r="D337" s="78"/>
      <c r="E337" s="78"/>
      <c r="F337" s="171"/>
      <c r="G337" s="173"/>
      <c r="H337" s="170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</row>
    <row r="338" ht="14.25" customHeight="1">
      <c r="A338" s="171"/>
      <c r="B338" s="282"/>
      <c r="C338" s="171"/>
      <c r="D338" s="78"/>
      <c r="E338" s="78"/>
      <c r="F338" s="171"/>
      <c r="G338" s="173"/>
      <c r="H338" s="170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</row>
    <row r="339" ht="14.25" customHeight="1">
      <c r="A339" s="171"/>
      <c r="B339" s="282"/>
      <c r="C339" s="171"/>
      <c r="D339" s="78"/>
      <c r="E339" s="78"/>
      <c r="F339" s="171"/>
      <c r="G339" s="173"/>
      <c r="H339" s="170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</row>
    <row r="340" ht="14.25" customHeight="1">
      <c r="A340" s="171"/>
      <c r="B340" s="282"/>
      <c r="C340" s="171"/>
      <c r="D340" s="78"/>
      <c r="E340" s="78"/>
      <c r="F340" s="171"/>
      <c r="G340" s="173"/>
      <c r="H340" s="170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</row>
    <row r="341" ht="14.25" customHeight="1">
      <c r="A341" s="171"/>
      <c r="B341" s="282"/>
      <c r="C341" s="171"/>
      <c r="D341" s="78"/>
      <c r="E341" s="78"/>
      <c r="F341" s="171"/>
      <c r="G341" s="173"/>
      <c r="H341" s="170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</row>
    <row r="342" ht="14.25" customHeight="1">
      <c r="A342" s="171"/>
      <c r="B342" s="282"/>
      <c r="C342" s="171"/>
      <c r="D342" s="78"/>
      <c r="E342" s="78"/>
      <c r="F342" s="171"/>
      <c r="G342" s="173"/>
      <c r="H342" s="170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</row>
    <row r="343" ht="14.25" customHeight="1">
      <c r="A343" s="171"/>
      <c r="B343" s="282"/>
      <c r="C343" s="171"/>
      <c r="D343" s="78"/>
      <c r="E343" s="78"/>
      <c r="F343" s="171"/>
      <c r="G343" s="173"/>
      <c r="H343" s="170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</row>
    <row r="344" ht="14.25" customHeight="1">
      <c r="A344" s="171"/>
      <c r="B344" s="282"/>
      <c r="C344" s="171"/>
      <c r="D344" s="78"/>
      <c r="E344" s="78"/>
      <c r="F344" s="171"/>
      <c r="G344" s="173"/>
      <c r="H344" s="170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</row>
    <row r="345" ht="14.25" customHeight="1">
      <c r="A345" s="171"/>
      <c r="B345" s="282"/>
      <c r="C345" s="171"/>
      <c r="D345" s="78"/>
      <c r="E345" s="78"/>
      <c r="F345" s="171"/>
      <c r="G345" s="173"/>
      <c r="H345" s="170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</row>
    <row r="346" ht="14.25" customHeight="1">
      <c r="A346" s="171"/>
      <c r="B346" s="282"/>
      <c r="C346" s="171"/>
      <c r="D346" s="78"/>
      <c r="E346" s="78"/>
      <c r="F346" s="171"/>
      <c r="G346" s="173"/>
      <c r="H346" s="170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</row>
    <row r="347" ht="14.25" customHeight="1">
      <c r="A347" s="171"/>
      <c r="B347" s="282"/>
      <c r="C347" s="171"/>
      <c r="D347" s="78"/>
      <c r="E347" s="78"/>
      <c r="F347" s="171"/>
      <c r="G347" s="173"/>
      <c r="H347" s="170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</row>
    <row r="348" ht="14.25" customHeight="1">
      <c r="A348" s="171"/>
      <c r="B348" s="282"/>
      <c r="C348" s="171"/>
      <c r="D348" s="78"/>
      <c r="E348" s="78"/>
      <c r="F348" s="171"/>
      <c r="G348" s="173"/>
      <c r="H348" s="170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</row>
    <row r="349" ht="14.25" customHeight="1">
      <c r="A349" s="171"/>
      <c r="B349" s="282"/>
      <c r="C349" s="171"/>
      <c r="D349" s="78"/>
      <c r="E349" s="78"/>
      <c r="F349" s="171"/>
      <c r="G349" s="173"/>
      <c r="H349" s="170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</row>
    <row r="350" ht="14.25" customHeight="1">
      <c r="A350" s="171"/>
      <c r="B350" s="282"/>
      <c r="C350" s="171"/>
      <c r="D350" s="78"/>
      <c r="E350" s="78"/>
      <c r="F350" s="171"/>
      <c r="G350" s="173"/>
      <c r="H350" s="170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</row>
    <row r="351" ht="14.25" customHeight="1">
      <c r="A351" s="171"/>
      <c r="B351" s="282"/>
      <c r="C351" s="171"/>
      <c r="D351" s="78"/>
      <c r="E351" s="78"/>
      <c r="F351" s="171"/>
      <c r="G351" s="173"/>
      <c r="H351" s="170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</row>
    <row r="352" ht="14.25" customHeight="1">
      <c r="A352" s="171"/>
      <c r="B352" s="282"/>
      <c r="C352" s="171"/>
      <c r="D352" s="78"/>
      <c r="E352" s="78"/>
      <c r="F352" s="171"/>
      <c r="G352" s="173"/>
      <c r="H352" s="170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</row>
    <row r="353" ht="14.25" customHeight="1">
      <c r="A353" s="171"/>
      <c r="B353" s="282"/>
      <c r="C353" s="171"/>
      <c r="D353" s="78"/>
      <c r="E353" s="78"/>
      <c r="F353" s="171"/>
      <c r="G353" s="173"/>
      <c r="H353" s="170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</row>
    <row r="354" ht="14.25" customHeight="1">
      <c r="A354" s="171"/>
      <c r="B354" s="282"/>
      <c r="C354" s="171"/>
      <c r="D354" s="78"/>
      <c r="E354" s="78"/>
      <c r="F354" s="171"/>
      <c r="G354" s="173"/>
      <c r="H354" s="170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</row>
    <row r="355" ht="14.25" customHeight="1">
      <c r="A355" s="171"/>
      <c r="B355" s="282"/>
      <c r="C355" s="171"/>
      <c r="D355" s="78"/>
      <c r="E355" s="78"/>
      <c r="F355" s="171"/>
      <c r="G355" s="173"/>
      <c r="H355" s="170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</row>
    <row r="356" ht="14.25" customHeight="1">
      <c r="A356" s="171"/>
      <c r="B356" s="282"/>
      <c r="C356" s="171"/>
      <c r="D356" s="78"/>
      <c r="E356" s="78"/>
      <c r="F356" s="171"/>
      <c r="G356" s="173"/>
      <c r="H356" s="170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</row>
    <row r="357" ht="14.25" customHeight="1">
      <c r="A357" s="171"/>
      <c r="B357" s="282"/>
      <c r="C357" s="171"/>
      <c r="D357" s="78"/>
      <c r="E357" s="78"/>
      <c r="F357" s="171"/>
      <c r="G357" s="173"/>
      <c r="H357" s="170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</row>
    <row r="358" ht="14.25" customHeight="1">
      <c r="A358" s="171"/>
      <c r="B358" s="282"/>
      <c r="C358" s="171"/>
      <c r="D358" s="78"/>
      <c r="E358" s="78"/>
      <c r="F358" s="171"/>
      <c r="G358" s="173"/>
      <c r="H358" s="170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</row>
    <row r="359" ht="14.25" customHeight="1">
      <c r="A359" s="171"/>
      <c r="B359" s="282"/>
      <c r="C359" s="171"/>
      <c r="D359" s="78"/>
      <c r="E359" s="78"/>
      <c r="F359" s="171"/>
      <c r="G359" s="173"/>
      <c r="H359" s="170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</row>
    <row r="360" ht="14.25" customHeight="1">
      <c r="A360" s="171"/>
      <c r="B360" s="282"/>
      <c r="C360" s="171"/>
      <c r="D360" s="78"/>
      <c r="E360" s="78"/>
      <c r="F360" s="171"/>
      <c r="G360" s="173"/>
      <c r="H360" s="170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</row>
    <row r="361" ht="14.25" customHeight="1">
      <c r="A361" s="171"/>
      <c r="B361" s="282"/>
      <c r="C361" s="171"/>
      <c r="D361" s="78"/>
      <c r="E361" s="78"/>
      <c r="F361" s="171"/>
      <c r="G361" s="173"/>
      <c r="H361" s="170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</row>
    <row r="362" ht="14.25" customHeight="1">
      <c r="A362" s="171"/>
      <c r="B362" s="282"/>
      <c r="C362" s="171"/>
      <c r="D362" s="78"/>
      <c r="E362" s="78"/>
      <c r="F362" s="171"/>
      <c r="G362" s="173"/>
      <c r="H362" s="170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</row>
    <row r="363" ht="14.25" customHeight="1">
      <c r="A363" s="171"/>
      <c r="B363" s="282"/>
      <c r="C363" s="171"/>
      <c r="D363" s="78"/>
      <c r="E363" s="78"/>
      <c r="F363" s="171"/>
      <c r="G363" s="173"/>
      <c r="H363" s="170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</row>
    <row r="364" ht="14.25" customHeight="1">
      <c r="A364" s="171"/>
      <c r="B364" s="282"/>
      <c r="C364" s="171"/>
      <c r="D364" s="78"/>
      <c r="E364" s="78"/>
      <c r="F364" s="171"/>
      <c r="G364" s="173"/>
      <c r="H364" s="170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</row>
    <row r="365" ht="14.25" customHeight="1">
      <c r="A365" s="171"/>
      <c r="B365" s="282"/>
      <c r="C365" s="171"/>
      <c r="D365" s="78"/>
      <c r="E365" s="78"/>
      <c r="F365" s="171"/>
      <c r="G365" s="173"/>
      <c r="H365" s="170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</row>
    <row r="366" ht="14.25" customHeight="1">
      <c r="A366" s="171"/>
      <c r="B366" s="282"/>
      <c r="C366" s="171"/>
      <c r="D366" s="78"/>
      <c r="E366" s="78"/>
      <c r="F366" s="171"/>
      <c r="G366" s="173"/>
      <c r="H366" s="170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</row>
    <row r="367" ht="14.25" customHeight="1">
      <c r="A367" s="171"/>
      <c r="B367" s="282"/>
      <c r="C367" s="171"/>
      <c r="D367" s="78"/>
      <c r="E367" s="78"/>
      <c r="F367" s="171"/>
      <c r="G367" s="173"/>
      <c r="H367" s="170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</row>
    <row r="368" ht="14.25" customHeight="1">
      <c r="A368" s="171"/>
      <c r="B368" s="282"/>
      <c r="C368" s="171"/>
      <c r="D368" s="78"/>
      <c r="E368" s="78"/>
      <c r="F368" s="171"/>
      <c r="G368" s="173"/>
      <c r="H368" s="170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</row>
    <row r="369" ht="14.25" customHeight="1">
      <c r="A369" s="171"/>
      <c r="B369" s="282"/>
      <c r="C369" s="171"/>
      <c r="D369" s="78"/>
      <c r="E369" s="78"/>
      <c r="F369" s="171"/>
      <c r="G369" s="173"/>
      <c r="H369" s="170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</row>
    <row r="370" ht="14.25" customHeight="1">
      <c r="A370" s="171"/>
      <c r="B370" s="282"/>
      <c r="C370" s="171"/>
      <c r="D370" s="78"/>
      <c r="E370" s="78"/>
      <c r="F370" s="171"/>
      <c r="G370" s="173"/>
      <c r="H370" s="170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</row>
    <row r="371" ht="14.25" customHeight="1">
      <c r="A371" s="171"/>
      <c r="B371" s="282"/>
      <c r="C371" s="171"/>
      <c r="D371" s="78"/>
      <c r="E371" s="78"/>
      <c r="F371" s="171"/>
      <c r="G371" s="173"/>
      <c r="H371" s="170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</row>
    <row r="372" ht="14.25" customHeight="1">
      <c r="A372" s="171"/>
      <c r="B372" s="282"/>
      <c r="C372" s="171"/>
      <c r="D372" s="78"/>
      <c r="E372" s="78"/>
      <c r="F372" s="171"/>
      <c r="G372" s="173"/>
      <c r="H372" s="170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</row>
    <row r="373" ht="14.25" customHeight="1">
      <c r="A373" s="171"/>
      <c r="B373" s="282"/>
      <c r="C373" s="171"/>
      <c r="D373" s="78"/>
      <c r="E373" s="78"/>
      <c r="F373" s="171"/>
      <c r="G373" s="173"/>
      <c r="H373" s="170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</row>
    <row r="374" ht="14.25" customHeight="1">
      <c r="A374" s="171"/>
      <c r="B374" s="282"/>
      <c r="C374" s="171"/>
      <c r="D374" s="78"/>
      <c r="E374" s="78"/>
      <c r="F374" s="171"/>
      <c r="G374" s="173"/>
      <c r="H374" s="170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</row>
    <row r="375" ht="14.25" customHeight="1">
      <c r="A375" s="171"/>
      <c r="B375" s="282"/>
      <c r="C375" s="171"/>
      <c r="D375" s="78"/>
      <c r="E375" s="78"/>
      <c r="F375" s="171"/>
      <c r="G375" s="173"/>
      <c r="H375" s="170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</row>
    <row r="376" ht="14.25" customHeight="1">
      <c r="A376" s="171"/>
      <c r="B376" s="282"/>
      <c r="C376" s="171"/>
      <c r="D376" s="78"/>
      <c r="E376" s="78"/>
      <c r="F376" s="171"/>
      <c r="G376" s="173"/>
      <c r="H376" s="170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</row>
    <row r="377" ht="14.25" customHeight="1">
      <c r="A377" s="171"/>
      <c r="B377" s="282"/>
      <c r="C377" s="171"/>
      <c r="D377" s="78"/>
      <c r="E377" s="78"/>
      <c r="F377" s="171"/>
      <c r="G377" s="173"/>
      <c r="H377" s="170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</row>
    <row r="378" ht="14.25" customHeight="1">
      <c r="A378" s="171"/>
      <c r="B378" s="282"/>
      <c r="C378" s="171"/>
      <c r="D378" s="78"/>
      <c r="E378" s="78"/>
      <c r="F378" s="171"/>
      <c r="G378" s="173"/>
      <c r="H378" s="170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</row>
    <row r="379" ht="14.25" customHeight="1">
      <c r="A379" s="171"/>
      <c r="B379" s="282"/>
      <c r="C379" s="171"/>
      <c r="D379" s="78"/>
      <c r="E379" s="78"/>
      <c r="F379" s="171"/>
      <c r="G379" s="173"/>
      <c r="H379" s="170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</row>
    <row r="380" ht="14.25" customHeight="1">
      <c r="A380" s="171"/>
      <c r="B380" s="282"/>
      <c r="C380" s="171"/>
      <c r="D380" s="78"/>
      <c r="E380" s="78"/>
      <c r="F380" s="171"/>
      <c r="G380" s="173"/>
      <c r="H380" s="170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</row>
    <row r="381" ht="14.25" customHeight="1">
      <c r="A381" s="171"/>
      <c r="B381" s="282"/>
      <c r="C381" s="171"/>
      <c r="D381" s="78"/>
      <c r="E381" s="78"/>
      <c r="F381" s="171"/>
      <c r="G381" s="173"/>
      <c r="H381" s="170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</row>
    <row r="382" ht="14.25" customHeight="1">
      <c r="A382" s="171"/>
      <c r="B382" s="282"/>
      <c r="C382" s="171"/>
      <c r="D382" s="78"/>
      <c r="E382" s="78"/>
      <c r="F382" s="171"/>
      <c r="G382" s="173"/>
      <c r="H382" s="170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</row>
    <row r="383" ht="14.25" customHeight="1">
      <c r="A383" s="171"/>
      <c r="B383" s="282"/>
      <c r="C383" s="171"/>
      <c r="D383" s="78"/>
      <c r="E383" s="78"/>
      <c r="F383" s="171"/>
      <c r="G383" s="173"/>
      <c r="H383" s="170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</row>
    <row r="384" ht="14.25" customHeight="1">
      <c r="A384" s="171"/>
      <c r="B384" s="282"/>
      <c r="C384" s="171"/>
      <c r="D384" s="78"/>
      <c r="E384" s="78"/>
      <c r="F384" s="171"/>
      <c r="G384" s="173"/>
      <c r="H384" s="170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</row>
    <row r="385" ht="14.25" customHeight="1">
      <c r="A385" s="171"/>
      <c r="B385" s="282"/>
      <c r="C385" s="171"/>
      <c r="D385" s="78"/>
      <c r="E385" s="78"/>
      <c r="F385" s="171"/>
      <c r="G385" s="173"/>
      <c r="H385" s="170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</row>
    <row r="386" ht="14.25" customHeight="1">
      <c r="A386" s="171"/>
      <c r="B386" s="282"/>
      <c r="C386" s="171"/>
      <c r="D386" s="78"/>
      <c r="E386" s="78"/>
      <c r="F386" s="171"/>
      <c r="G386" s="173"/>
      <c r="H386" s="170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</row>
    <row r="387" ht="14.25" customHeight="1">
      <c r="A387" s="171"/>
      <c r="B387" s="282"/>
      <c r="C387" s="171"/>
      <c r="D387" s="78"/>
      <c r="E387" s="78"/>
      <c r="F387" s="171"/>
      <c r="G387" s="173"/>
      <c r="H387" s="170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</row>
    <row r="388" ht="14.25" customHeight="1">
      <c r="A388" s="171"/>
      <c r="B388" s="282"/>
      <c r="C388" s="171"/>
      <c r="D388" s="78"/>
      <c r="E388" s="78"/>
      <c r="F388" s="171"/>
      <c r="G388" s="173"/>
      <c r="H388" s="170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</row>
    <row r="389" ht="14.25" customHeight="1">
      <c r="A389" s="171"/>
      <c r="B389" s="282"/>
      <c r="C389" s="171"/>
      <c r="D389" s="78"/>
      <c r="E389" s="78"/>
      <c r="F389" s="171"/>
      <c r="G389" s="173"/>
      <c r="H389" s="170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</row>
    <row r="390" ht="14.25" customHeight="1">
      <c r="A390" s="171"/>
      <c r="B390" s="282"/>
      <c r="C390" s="171"/>
      <c r="D390" s="78"/>
      <c r="E390" s="78"/>
      <c r="F390" s="171"/>
      <c r="G390" s="173"/>
      <c r="H390" s="170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</row>
    <row r="391" ht="14.25" customHeight="1">
      <c r="A391" s="171"/>
      <c r="B391" s="282"/>
      <c r="C391" s="171"/>
      <c r="D391" s="78"/>
      <c r="E391" s="78"/>
      <c r="F391" s="171"/>
      <c r="G391" s="173"/>
      <c r="H391" s="170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</row>
    <row r="392" ht="14.25" customHeight="1">
      <c r="A392" s="171"/>
      <c r="B392" s="282"/>
      <c r="C392" s="171"/>
      <c r="D392" s="78"/>
      <c r="E392" s="78"/>
      <c r="F392" s="171"/>
      <c r="G392" s="173"/>
      <c r="H392" s="170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</row>
    <row r="393" ht="14.25" customHeight="1">
      <c r="A393" s="171"/>
      <c r="B393" s="282"/>
      <c r="C393" s="171"/>
      <c r="D393" s="78"/>
      <c r="E393" s="78"/>
      <c r="F393" s="171"/>
      <c r="G393" s="173"/>
      <c r="H393" s="170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</row>
    <row r="394" ht="14.25" customHeight="1">
      <c r="A394" s="171"/>
      <c r="B394" s="282"/>
      <c r="C394" s="171"/>
      <c r="D394" s="78"/>
      <c r="E394" s="78"/>
      <c r="F394" s="171"/>
      <c r="G394" s="173"/>
      <c r="H394" s="170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</row>
    <row r="395" ht="14.25" customHeight="1">
      <c r="A395" s="171"/>
      <c r="B395" s="282"/>
      <c r="C395" s="171"/>
      <c r="D395" s="78"/>
      <c r="E395" s="78"/>
      <c r="F395" s="171"/>
      <c r="G395" s="173"/>
      <c r="H395" s="170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</row>
    <row r="396" ht="14.25" customHeight="1">
      <c r="A396" s="171"/>
      <c r="B396" s="282"/>
      <c r="C396" s="171"/>
      <c r="D396" s="78"/>
      <c r="E396" s="78"/>
      <c r="F396" s="171"/>
      <c r="G396" s="173"/>
      <c r="H396" s="170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</row>
    <row r="397" ht="14.25" customHeight="1">
      <c r="A397" s="171"/>
      <c r="B397" s="282"/>
      <c r="C397" s="171"/>
      <c r="D397" s="78"/>
      <c r="E397" s="78"/>
      <c r="F397" s="171"/>
      <c r="G397" s="173"/>
      <c r="H397" s="170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</row>
    <row r="398" ht="14.25" customHeight="1">
      <c r="A398" s="171"/>
      <c r="B398" s="282"/>
      <c r="C398" s="171"/>
      <c r="D398" s="78"/>
      <c r="E398" s="78"/>
      <c r="F398" s="171"/>
      <c r="G398" s="173"/>
      <c r="H398" s="170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</row>
    <row r="399" ht="14.25" customHeight="1">
      <c r="A399" s="171"/>
      <c r="B399" s="282"/>
      <c r="C399" s="171"/>
      <c r="D399" s="78"/>
      <c r="E399" s="78"/>
      <c r="F399" s="171"/>
      <c r="G399" s="173"/>
      <c r="H399" s="170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</row>
    <row r="400" ht="14.25" customHeight="1">
      <c r="A400" s="171"/>
      <c r="B400" s="282"/>
      <c r="C400" s="171"/>
      <c r="D400" s="78"/>
      <c r="E400" s="78"/>
      <c r="F400" s="171"/>
      <c r="G400" s="173"/>
      <c r="H400" s="170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</row>
    <row r="401" ht="14.25" customHeight="1">
      <c r="A401" s="171"/>
      <c r="B401" s="282"/>
      <c r="C401" s="171"/>
      <c r="D401" s="78"/>
      <c r="E401" s="78"/>
      <c r="F401" s="171"/>
      <c r="G401" s="173"/>
      <c r="H401" s="170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</row>
    <row r="402" ht="14.25" customHeight="1">
      <c r="A402" s="171"/>
      <c r="B402" s="282"/>
      <c r="C402" s="171"/>
      <c r="D402" s="78"/>
      <c r="E402" s="78"/>
      <c r="F402" s="171"/>
      <c r="G402" s="173"/>
      <c r="H402" s="170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</row>
    <row r="403" ht="14.25" customHeight="1">
      <c r="A403" s="171"/>
      <c r="B403" s="282"/>
      <c r="C403" s="171"/>
      <c r="D403" s="78"/>
      <c r="E403" s="78"/>
      <c r="F403" s="171"/>
      <c r="G403" s="173"/>
      <c r="H403" s="170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</row>
    <row r="404" ht="14.25" customHeight="1">
      <c r="A404" s="171"/>
      <c r="B404" s="282"/>
      <c r="C404" s="171"/>
      <c r="D404" s="78"/>
      <c r="E404" s="78"/>
      <c r="F404" s="171"/>
      <c r="G404" s="173"/>
      <c r="H404" s="170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</row>
    <row r="405" ht="14.25" customHeight="1">
      <c r="A405" s="171"/>
      <c r="B405" s="282"/>
      <c r="C405" s="171"/>
      <c r="D405" s="78"/>
      <c r="E405" s="78"/>
      <c r="F405" s="171"/>
      <c r="G405" s="173"/>
      <c r="H405" s="170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</row>
    <row r="406" ht="14.25" customHeight="1">
      <c r="A406" s="171"/>
      <c r="B406" s="282"/>
      <c r="C406" s="171"/>
      <c r="D406" s="78"/>
      <c r="E406" s="78"/>
      <c r="F406" s="171"/>
      <c r="G406" s="173"/>
      <c r="H406" s="170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</row>
    <row r="407" ht="14.25" customHeight="1">
      <c r="A407" s="171"/>
      <c r="B407" s="282"/>
      <c r="C407" s="171"/>
      <c r="D407" s="78"/>
      <c r="E407" s="78"/>
      <c r="F407" s="171"/>
      <c r="G407" s="173"/>
      <c r="H407" s="170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</row>
    <row r="408" ht="14.25" customHeight="1">
      <c r="A408" s="171"/>
      <c r="B408" s="282"/>
      <c r="C408" s="171"/>
      <c r="D408" s="78"/>
      <c r="E408" s="78"/>
      <c r="F408" s="171"/>
      <c r="G408" s="173"/>
      <c r="H408" s="170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</row>
    <row r="409" ht="14.25" customHeight="1">
      <c r="A409" s="171"/>
      <c r="B409" s="282"/>
      <c r="C409" s="171"/>
      <c r="D409" s="78"/>
      <c r="E409" s="78"/>
      <c r="F409" s="171"/>
      <c r="G409" s="173"/>
      <c r="H409" s="170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</row>
    <row r="410" ht="14.25" customHeight="1">
      <c r="A410" s="171"/>
      <c r="B410" s="282"/>
      <c r="C410" s="171"/>
      <c r="D410" s="78"/>
      <c r="E410" s="78"/>
      <c r="F410" s="171"/>
      <c r="G410" s="173"/>
      <c r="H410" s="170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</row>
    <row r="411" ht="14.25" customHeight="1">
      <c r="A411" s="171"/>
      <c r="B411" s="282"/>
      <c r="C411" s="171"/>
      <c r="D411" s="78"/>
      <c r="E411" s="78"/>
      <c r="F411" s="171"/>
      <c r="G411" s="173"/>
      <c r="H411" s="170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</row>
    <row r="412" ht="14.25" customHeight="1">
      <c r="A412" s="171"/>
      <c r="B412" s="282"/>
      <c r="C412" s="171"/>
      <c r="D412" s="78"/>
      <c r="E412" s="78"/>
      <c r="F412" s="171"/>
      <c r="G412" s="173"/>
      <c r="H412" s="170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</row>
    <row r="413" ht="14.25" customHeight="1">
      <c r="A413" s="171"/>
      <c r="B413" s="282"/>
      <c r="C413" s="171"/>
      <c r="D413" s="78"/>
      <c r="E413" s="78"/>
      <c r="F413" s="171"/>
      <c r="G413" s="173"/>
      <c r="H413" s="170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</row>
    <row r="414" ht="14.25" customHeight="1">
      <c r="A414" s="171"/>
      <c r="B414" s="282"/>
      <c r="C414" s="171"/>
      <c r="D414" s="78"/>
      <c r="E414" s="78"/>
      <c r="F414" s="171"/>
      <c r="G414" s="173"/>
      <c r="H414" s="170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</row>
    <row r="415" ht="14.25" customHeight="1">
      <c r="A415" s="171"/>
      <c r="B415" s="282"/>
      <c r="C415" s="171"/>
      <c r="D415" s="78"/>
      <c r="E415" s="78"/>
      <c r="F415" s="171"/>
      <c r="G415" s="173"/>
      <c r="H415" s="170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</row>
    <row r="416" ht="14.25" customHeight="1">
      <c r="A416" s="171"/>
      <c r="B416" s="282"/>
      <c r="C416" s="171"/>
      <c r="D416" s="78"/>
      <c r="E416" s="78"/>
      <c r="F416" s="171"/>
      <c r="G416" s="173"/>
      <c r="H416" s="170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</row>
    <row r="417" ht="14.25" customHeight="1">
      <c r="A417" s="171"/>
      <c r="B417" s="282"/>
      <c r="C417" s="171"/>
      <c r="D417" s="78"/>
      <c r="E417" s="78"/>
      <c r="F417" s="171"/>
      <c r="G417" s="173"/>
      <c r="H417" s="170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</row>
    <row r="418" ht="14.25" customHeight="1">
      <c r="A418" s="171"/>
      <c r="B418" s="282"/>
      <c r="C418" s="171"/>
      <c r="D418" s="78"/>
      <c r="E418" s="78"/>
      <c r="F418" s="171"/>
      <c r="G418" s="173"/>
      <c r="H418" s="170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</row>
    <row r="419" ht="14.25" customHeight="1">
      <c r="A419" s="171"/>
      <c r="B419" s="282"/>
      <c r="C419" s="171"/>
      <c r="D419" s="78"/>
      <c r="E419" s="78"/>
      <c r="F419" s="171"/>
      <c r="G419" s="173"/>
      <c r="H419" s="170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</row>
    <row r="420" ht="14.25" customHeight="1">
      <c r="A420" s="171"/>
      <c r="B420" s="282"/>
      <c r="C420" s="171"/>
      <c r="D420" s="78"/>
      <c r="E420" s="78"/>
      <c r="F420" s="171"/>
      <c r="G420" s="173"/>
      <c r="H420" s="170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</row>
    <row r="421" ht="14.25" customHeight="1">
      <c r="A421" s="171"/>
      <c r="B421" s="282"/>
      <c r="C421" s="171"/>
      <c r="D421" s="78"/>
      <c r="E421" s="78"/>
      <c r="F421" s="171"/>
      <c r="G421" s="173"/>
      <c r="H421" s="170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</row>
    <row r="422" ht="14.25" customHeight="1">
      <c r="A422" s="171"/>
      <c r="B422" s="282"/>
      <c r="C422" s="171"/>
      <c r="D422" s="78"/>
      <c r="E422" s="78"/>
      <c r="F422" s="171"/>
      <c r="G422" s="173"/>
      <c r="H422" s="170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</row>
    <row r="423" ht="14.25" customHeight="1">
      <c r="A423" s="171"/>
      <c r="B423" s="282"/>
      <c r="C423" s="171"/>
      <c r="D423" s="78"/>
      <c r="E423" s="78"/>
      <c r="F423" s="171"/>
      <c r="G423" s="173"/>
      <c r="H423" s="170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</row>
    <row r="424" ht="14.25" customHeight="1">
      <c r="A424" s="171"/>
      <c r="B424" s="282"/>
      <c r="C424" s="171"/>
      <c r="D424" s="78"/>
      <c r="E424" s="78"/>
      <c r="F424" s="171"/>
      <c r="G424" s="173"/>
      <c r="H424" s="170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</row>
    <row r="425" ht="14.25" customHeight="1">
      <c r="A425" s="171"/>
      <c r="B425" s="282"/>
      <c r="C425" s="171"/>
      <c r="D425" s="78"/>
      <c r="E425" s="78"/>
      <c r="F425" s="171"/>
      <c r="G425" s="173"/>
      <c r="H425" s="170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</row>
    <row r="426" ht="14.25" customHeight="1">
      <c r="A426" s="171"/>
      <c r="B426" s="282"/>
      <c r="C426" s="171"/>
      <c r="D426" s="78"/>
      <c r="E426" s="78"/>
      <c r="F426" s="171"/>
      <c r="G426" s="173"/>
      <c r="H426" s="170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</row>
    <row r="427" ht="14.25" customHeight="1">
      <c r="A427" s="171"/>
      <c r="B427" s="282"/>
      <c r="C427" s="171"/>
      <c r="D427" s="78"/>
      <c r="E427" s="78"/>
      <c r="F427" s="171"/>
      <c r="G427" s="173"/>
      <c r="H427" s="170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</row>
    <row r="428" ht="14.25" customHeight="1">
      <c r="A428" s="171"/>
      <c r="B428" s="282"/>
      <c r="C428" s="171"/>
      <c r="D428" s="78"/>
      <c r="E428" s="78"/>
      <c r="F428" s="171"/>
      <c r="G428" s="173"/>
      <c r="H428" s="170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</row>
    <row r="429" ht="14.25" customHeight="1">
      <c r="A429" s="171"/>
      <c r="B429" s="282"/>
      <c r="C429" s="171"/>
      <c r="D429" s="78"/>
      <c r="E429" s="78"/>
      <c r="F429" s="171"/>
      <c r="G429" s="173"/>
      <c r="H429" s="170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</row>
    <row r="430" ht="14.25" customHeight="1">
      <c r="A430" s="171"/>
      <c r="B430" s="282"/>
      <c r="C430" s="171"/>
      <c r="D430" s="78"/>
      <c r="E430" s="78"/>
      <c r="F430" s="171"/>
      <c r="G430" s="173"/>
      <c r="H430" s="170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</row>
    <row r="431" ht="14.25" customHeight="1">
      <c r="A431" s="171"/>
      <c r="B431" s="282"/>
      <c r="C431" s="171"/>
      <c r="D431" s="78"/>
      <c r="E431" s="78"/>
      <c r="F431" s="171"/>
      <c r="G431" s="173"/>
      <c r="H431" s="170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</row>
    <row r="432" ht="14.25" customHeight="1">
      <c r="A432" s="171"/>
      <c r="B432" s="282"/>
      <c r="C432" s="171"/>
      <c r="D432" s="78"/>
      <c r="E432" s="78"/>
      <c r="F432" s="171"/>
      <c r="G432" s="173"/>
      <c r="H432" s="170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</row>
    <row r="433" ht="14.25" customHeight="1">
      <c r="A433" s="171"/>
      <c r="B433" s="282"/>
      <c r="C433" s="171"/>
      <c r="D433" s="78"/>
      <c r="E433" s="78"/>
      <c r="F433" s="171"/>
      <c r="G433" s="173"/>
      <c r="H433" s="170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</row>
    <row r="434" ht="14.25" customHeight="1">
      <c r="A434" s="171"/>
      <c r="B434" s="282"/>
      <c r="C434" s="171"/>
      <c r="D434" s="78"/>
      <c r="E434" s="78"/>
      <c r="F434" s="171"/>
      <c r="G434" s="173"/>
      <c r="H434" s="170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</row>
    <row r="435" ht="14.25" customHeight="1">
      <c r="A435" s="171"/>
      <c r="B435" s="282"/>
      <c r="C435" s="171"/>
      <c r="D435" s="78"/>
      <c r="E435" s="78"/>
      <c r="F435" s="171"/>
      <c r="G435" s="173"/>
      <c r="H435" s="170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</row>
    <row r="436" ht="14.25" customHeight="1">
      <c r="A436" s="171"/>
      <c r="B436" s="282"/>
      <c r="C436" s="171"/>
      <c r="D436" s="78"/>
      <c r="E436" s="78"/>
      <c r="F436" s="171"/>
      <c r="G436" s="173"/>
      <c r="H436" s="170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</row>
    <row r="437" ht="14.25" customHeight="1">
      <c r="A437" s="171"/>
      <c r="B437" s="282"/>
      <c r="C437" s="171"/>
      <c r="D437" s="78"/>
      <c r="E437" s="78"/>
      <c r="F437" s="171"/>
      <c r="G437" s="173"/>
      <c r="H437" s="170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</row>
    <row r="438" ht="14.25" customHeight="1">
      <c r="A438" s="171"/>
      <c r="B438" s="282"/>
      <c r="C438" s="171"/>
      <c r="D438" s="78"/>
      <c r="E438" s="78"/>
      <c r="F438" s="171"/>
      <c r="G438" s="173"/>
      <c r="H438" s="170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</row>
    <row r="439" ht="14.25" customHeight="1">
      <c r="A439" s="171"/>
      <c r="B439" s="282"/>
      <c r="C439" s="171"/>
      <c r="D439" s="78"/>
      <c r="E439" s="78"/>
      <c r="F439" s="171"/>
      <c r="G439" s="173"/>
      <c r="H439" s="170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</row>
    <row r="440" ht="14.25" customHeight="1">
      <c r="A440" s="171"/>
      <c r="B440" s="282"/>
      <c r="C440" s="171"/>
      <c r="D440" s="78"/>
      <c r="E440" s="78"/>
      <c r="F440" s="171"/>
      <c r="G440" s="173"/>
      <c r="H440" s="170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</row>
    <row r="441" ht="14.25" customHeight="1">
      <c r="A441" s="171"/>
      <c r="B441" s="282"/>
      <c r="C441" s="171"/>
      <c r="D441" s="78"/>
      <c r="E441" s="78"/>
      <c r="F441" s="171"/>
      <c r="G441" s="173"/>
      <c r="H441" s="170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</row>
    <row r="442" ht="14.25" customHeight="1">
      <c r="A442" s="171"/>
      <c r="B442" s="282"/>
      <c r="C442" s="171"/>
      <c r="D442" s="78"/>
      <c r="E442" s="78"/>
      <c r="F442" s="171"/>
      <c r="G442" s="173"/>
      <c r="H442" s="170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</row>
    <row r="443" ht="14.25" customHeight="1">
      <c r="A443" s="171"/>
      <c r="B443" s="282"/>
      <c r="C443" s="171"/>
      <c r="D443" s="78"/>
      <c r="E443" s="78"/>
      <c r="F443" s="171"/>
      <c r="G443" s="173"/>
      <c r="H443" s="170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</row>
    <row r="444" ht="14.25" customHeight="1">
      <c r="A444" s="171"/>
      <c r="B444" s="282"/>
      <c r="C444" s="171"/>
      <c r="D444" s="78"/>
      <c r="E444" s="78"/>
      <c r="F444" s="171"/>
      <c r="G444" s="173"/>
      <c r="H444" s="170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</row>
    <row r="445" ht="14.25" customHeight="1">
      <c r="A445" s="171"/>
      <c r="B445" s="282"/>
      <c r="C445" s="171"/>
      <c r="D445" s="78"/>
      <c r="E445" s="78"/>
      <c r="F445" s="171"/>
      <c r="G445" s="173"/>
      <c r="H445" s="170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</row>
    <row r="446" ht="14.25" customHeight="1">
      <c r="A446" s="171"/>
      <c r="B446" s="282"/>
      <c r="C446" s="171"/>
      <c r="D446" s="78"/>
      <c r="E446" s="78"/>
      <c r="F446" s="171"/>
      <c r="G446" s="173"/>
      <c r="H446" s="170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</row>
    <row r="447" ht="14.25" customHeight="1">
      <c r="A447" s="171"/>
      <c r="B447" s="282"/>
      <c r="C447" s="171"/>
      <c r="D447" s="78"/>
      <c r="E447" s="78"/>
      <c r="F447" s="171"/>
      <c r="G447" s="173"/>
      <c r="H447" s="170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</row>
    <row r="448" ht="14.25" customHeight="1">
      <c r="A448" s="171"/>
      <c r="B448" s="282"/>
      <c r="C448" s="171"/>
      <c r="D448" s="78"/>
      <c r="E448" s="78"/>
      <c r="F448" s="171"/>
      <c r="G448" s="173"/>
      <c r="H448" s="170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</row>
    <row r="449" ht="14.25" customHeight="1">
      <c r="A449" s="171"/>
      <c r="B449" s="282"/>
      <c r="C449" s="171"/>
      <c r="D449" s="78"/>
      <c r="E449" s="78"/>
      <c r="F449" s="171"/>
      <c r="G449" s="173"/>
      <c r="H449" s="170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</row>
    <row r="450" ht="14.25" customHeight="1">
      <c r="A450" s="171"/>
      <c r="B450" s="282"/>
      <c r="C450" s="171"/>
      <c r="D450" s="78"/>
      <c r="E450" s="78"/>
      <c r="F450" s="171"/>
      <c r="G450" s="173"/>
      <c r="H450" s="170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</row>
    <row r="451" ht="14.25" customHeight="1">
      <c r="A451" s="171"/>
      <c r="B451" s="282"/>
      <c r="C451" s="171"/>
      <c r="D451" s="78"/>
      <c r="E451" s="78"/>
      <c r="F451" s="171"/>
      <c r="G451" s="173"/>
      <c r="H451" s="170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</row>
    <row r="452" ht="14.25" customHeight="1">
      <c r="A452" s="171"/>
      <c r="B452" s="282"/>
      <c r="C452" s="171"/>
      <c r="D452" s="78"/>
      <c r="E452" s="78"/>
      <c r="F452" s="171"/>
      <c r="G452" s="173"/>
      <c r="H452" s="170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</row>
    <row r="453" ht="14.25" customHeight="1">
      <c r="A453" s="171"/>
      <c r="B453" s="282"/>
      <c r="C453" s="171"/>
      <c r="D453" s="78"/>
      <c r="E453" s="78"/>
      <c r="F453" s="171"/>
      <c r="G453" s="173"/>
      <c r="H453" s="170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</row>
    <row r="454" ht="14.25" customHeight="1">
      <c r="A454" s="171"/>
      <c r="B454" s="282"/>
      <c r="C454" s="171"/>
      <c r="D454" s="78"/>
      <c r="E454" s="78"/>
      <c r="F454" s="171"/>
      <c r="G454" s="173"/>
      <c r="H454" s="170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</row>
    <row r="455" ht="14.25" customHeight="1">
      <c r="A455" s="171"/>
      <c r="B455" s="282"/>
      <c r="C455" s="171"/>
      <c r="D455" s="78"/>
      <c r="E455" s="78"/>
      <c r="F455" s="171"/>
      <c r="G455" s="173"/>
      <c r="H455" s="170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</row>
    <row r="456" ht="14.25" customHeight="1">
      <c r="A456" s="171"/>
      <c r="B456" s="282"/>
      <c r="C456" s="171"/>
      <c r="D456" s="78"/>
      <c r="E456" s="78"/>
      <c r="F456" s="171"/>
      <c r="G456" s="173"/>
      <c r="H456" s="170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</row>
    <row r="457" ht="14.25" customHeight="1">
      <c r="A457" s="171"/>
      <c r="B457" s="282"/>
      <c r="C457" s="171"/>
      <c r="D457" s="78"/>
      <c r="E457" s="78"/>
      <c r="F457" s="171"/>
      <c r="G457" s="173"/>
      <c r="H457" s="170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</row>
    <row r="458" ht="14.25" customHeight="1">
      <c r="A458" s="171"/>
      <c r="B458" s="282"/>
      <c r="C458" s="171"/>
      <c r="D458" s="78"/>
      <c r="E458" s="78"/>
      <c r="F458" s="171"/>
      <c r="G458" s="173"/>
      <c r="H458" s="170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</row>
    <row r="459" ht="14.25" customHeight="1">
      <c r="A459" s="171"/>
      <c r="B459" s="282"/>
      <c r="C459" s="171"/>
      <c r="D459" s="78"/>
      <c r="E459" s="78"/>
      <c r="F459" s="171"/>
      <c r="G459" s="173"/>
      <c r="H459" s="170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</row>
    <row r="460" ht="14.25" customHeight="1">
      <c r="A460" s="171"/>
      <c r="B460" s="282"/>
      <c r="C460" s="171"/>
      <c r="D460" s="78"/>
      <c r="E460" s="78"/>
      <c r="F460" s="171"/>
      <c r="G460" s="173"/>
      <c r="H460" s="170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</row>
    <row r="461" ht="14.25" customHeight="1">
      <c r="A461" s="171"/>
      <c r="B461" s="282"/>
      <c r="C461" s="171"/>
      <c r="D461" s="78"/>
      <c r="E461" s="78"/>
      <c r="F461" s="171"/>
      <c r="G461" s="173"/>
      <c r="H461" s="170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</row>
    <row r="462" ht="14.25" customHeight="1">
      <c r="A462" s="171"/>
      <c r="B462" s="282"/>
      <c r="C462" s="171"/>
      <c r="D462" s="78"/>
      <c r="E462" s="78"/>
      <c r="F462" s="171"/>
      <c r="G462" s="173"/>
      <c r="H462" s="170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</row>
    <row r="463" ht="14.25" customHeight="1">
      <c r="A463" s="171"/>
      <c r="B463" s="282"/>
      <c r="C463" s="171"/>
      <c r="D463" s="78"/>
      <c r="E463" s="78"/>
      <c r="F463" s="171"/>
      <c r="G463" s="173"/>
      <c r="H463" s="170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</row>
    <row r="464" ht="14.25" customHeight="1">
      <c r="A464" s="171"/>
      <c r="B464" s="282"/>
      <c r="C464" s="171"/>
      <c r="D464" s="78"/>
      <c r="E464" s="78"/>
      <c r="F464" s="171"/>
      <c r="G464" s="173"/>
      <c r="H464" s="170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</row>
    <row r="465" ht="14.25" customHeight="1">
      <c r="A465" s="171"/>
      <c r="B465" s="282"/>
      <c r="C465" s="171"/>
      <c r="D465" s="78"/>
      <c r="E465" s="78"/>
      <c r="F465" s="171"/>
      <c r="G465" s="173"/>
      <c r="H465" s="170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</row>
    <row r="466" ht="14.25" customHeight="1">
      <c r="A466" s="171"/>
      <c r="B466" s="282"/>
      <c r="C466" s="171"/>
      <c r="D466" s="78"/>
      <c r="E466" s="78"/>
      <c r="F466" s="171"/>
      <c r="G466" s="173"/>
      <c r="H466" s="170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</row>
    <row r="467" ht="14.25" customHeight="1">
      <c r="A467" s="171"/>
      <c r="B467" s="282"/>
      <c r="C467" s="171"/>
      <c r="D467" s="78"/>
      <c r="E467" s="78"/>
      <c r="F467" s="171"/>
      <c r="G467" s="173"/>
      <c r="H467" s="170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</row>
    <row r="468" ht="14.25" customHeight="1">
      <c r="A468" s="171"/>
      <c r="B468" s="282"/>
      <c r="C468" s="171"/>
      <c r="D468" s="78"/>
      <c r="E468" s="78"/>
      <c r="F468" s="171"/>
      <c r="G468" s="173"/>
      <c r="H468" s="170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</row>
    <row r="469" ht="14.25" customHeight="1">
      <c r="A469" s="171"/>
      <c r="B469" s="282"/>
      <c r="C469" s="171"/>
      <c r="D469" s="78"/>
      <c r="E469" s="78"/>
      <c r="F469" s="171"/>
      <c r="G469" s="173"/>
      <c r="H469" s="170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</row>
    <row r="470" ht="14.25" customHeight="1">
      <c r="A470" s="171"/>
      <c r="B470" s="282"/>
      <c r="C470" s="171"/>
      <c r="D470" s="78"/>
      <c r="E470" s="78"/>
      <c r="F470" s="171"/>
      <c r="G470" s="173"/>
      <c r="H470" s="170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</row>
    <row r="471" ht="14.25" customHeight="1">
      <c r="A471" s="171"/>
      <c r="B471" s="282"/>
      <c r="C471" s="171"/>
      <c r="D471" s="78"/>
      <c r="E471" s="78"/>
      <c r="F471" s="171"/>
      <c r="G471" s="173"/>
      <c r="H471" s="170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</row>
    <row r="472" ht="14.25" customHeight="1">
      <c r="A472" s="171"/>
      <c r="B472" s="282"/>
      <c r="C472" s="171"/>
      <c r="D472" s="78"/>
      <c r="E472" s="78"/>
      <c r="F472" s="171"/>
      <c r="G472" s="173"/>
      <c r="H472" s="170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</row>
    <row r="473" ht="14.25" customHeight="1">
      <c r="A473" s="171"/>
      <c r="B473" s="282"/>
      <c r="C473" s="171"/>
      <c r="D473" s="78"/>
      <c r="E473" s="78"/>
      <c r="F473" s="171"/>
      <c r="G473" s="173"/>
      <c r="H473" s="170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</row>
    <row r="474" ht="14.25" customHeight="1">
      <c r="A474" s="171"/>
      <c r="B474" s="282"/>
      <c r="C474" s="171"/>
      <c r="D474" s="78"/>
      <c r="E474" s="78"/>
      <c r="F474" s="171"/>
      <c r="G474" s="173"/>
      <c r="H474" s="170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</row>
    <row r="475" ht="14.25" customHeight="1">
      <c r="A475" s="171"/>
      <c r="B475" s="282"/>
      <c r="C475" s="171"/>
      <c r="D475" s="78"/>
      <c r="E475" s="78"/>
      <c r="F475" s="171"/>
      <c r="G475" s="173"/>
      <c r="H475" s="170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</row>
    <row r="476" ht="14.25" customHeight="1">
      <c r="A476" s="171"/>
      <c r="B476" s="282"/>
      <c r="C476" s="171"/>
      <c r="D476" s="78"/>
      <c r="E476" s="78"/>
      <c r="F476" s="171"/>
      <c r="G476" s="173"/>
      <c r="H476" s="170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</row>
    <row r="477" ht="14.25" customHeight="1">
      <c r="A477" s="171"/>
      <c r="B477" s="282"/>
      <c r="C477" s="171"/>
      <c r="D477" s="78"/>
      <c r="E477" s="78"/>
      <c r="F477" s="171"/>
      <c r="G477" s="173"/>
      <c r="H477" s="170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</row>
    <row r="478" ht="14.25" customHeight="1">
      <c r="A478" s="171"/>
      <c r="B478" s="282"/>
      <c r="C478" s="171"/>
      <c r="D478" s="78"/>
      <c r="E478" s="78"/>
      <c r="F478" s="171"/>
      <c r="G478" s="173"/>
      <c r="H478" s="170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</row>
    <row r="479" ht="14.25" customHeight="1">
      <c r="A479" s="171"/>
      <c r="B479" s="282"/>
      <c r="C479" s="171"/>
      <c r="D479" s="78"/>
      <c r="E479" s="78"/>
      <c r="F479" s="171"/>
      <c r="G479" s="173"/>
      <c r="H479" s="170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</row>
    <row r="480" ht="14.25" customHeight="1">
      <c r="A480" s="171"/>
      <c r="B480" s="282"/>
      <c r="C480" s="171"/>
      <c r="D480" s="78"/>
      <c r="E480" s="78"/>
      <c r="F480" s="171"/>
      <c r="G480" s="173"/>
      <c r="H480" s="170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</row>
    <row r="481" ht="14.25" customHeight="1">
      <c r="A481" s="171"/>
      <c r="B481" s="282"/>
      <c r="C481" s="171"/>
      <c r="D481" s="78"/>
      <c r="E481" s="78"/>
      <c r="F481" s="171"/>
      <c r="G481" s="173"/>
      <c r="H481" s="170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</row>
    <row r="482" ht="14.25" customHeight="1">
      <c r="A482" s="171"/>
      <c r="B482" s="282"/>
      <c r="C482" s="171"/>
      <c r="D482" s="78"/>
      <c r="E482" s="78"/>
      <c r="F482" s="171"/>
      <c r="G482" s="173"/>
      <c r="H482" s="170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</row>
    <row r="483" ht="14.25" customHeight="1">
      <c r="A483" s="171"/>
      <c r="B483" s="282"/>
      <c r="C483" s="171"/>
      <c r="D483" s="78"/>
      <c r="E483" s="78"/>
      <c r="F483" s="171"/>
      <c r="G483" s="173"/>
      <c r="H483" s="170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</row>
    <row r="484" ht="14.25" customHeight="1">
      <c r="A484" s="171"/>
      <c r="B484" s="282"/>
      <c r="C484" s="171"/>
      <c r="D484" s="78"/>
      <c r="E484" s="78"/>
      <c r="F484" s="171"/>
      <c r="G484" s="173"/>
      <c r="H484" s="170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</row>
    <row r="485" ht="14.25" customHeight="1">
      <c r="A485" s="171"/>
      <c r="B485" s="282"/>
      <c r="C485" s="171"/>
      <c r="D485" s="78"/>
      <c r="E485" s="78"/>
      <c r="F485" s="171"/>
      <c r="G485" s="173"/>
      <c r="H485" s="170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</row>
    <row r="486" ht="14.25" customHeight="1">
      <c r="A486" s="171"/>
      <c r="B486" s="282"/>
      <c r="C486" s="171"/>
      <c r="D486" s="78"/>
      <c r="E486" s="78"/>
      <c r="F486" s="171"/>
      <c r="G486" s="173"/>
      <c r="H486" s="170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</row>
    <row r="487" ht="14.25" customHeight="1">
      <c r="A487" s="171"/>
      <c r="B487" s="282"/>
      <c r="C487" s="171"/>
      <c r="D487" s="78"/>
      <c r="E487" s="78"/>
      <c r="F487" s="171"/>
      <c r="G487" s="173"/>
      <c r="H487" s="170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</row>
    <row r="488" ht="14.25" customHeight="1">
      <c r="A488" s="171"/>
      <c r="B488" s="282"/>
      <c r="C488" s="171"/>
      <c r="D488" s="78"/>
      <c r="E488" s="78"/>
      <c r="F488" s="171"/>
      <c r="G488" s="173"/>
      <c r="H488" s="170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</row>
    <row r="489" ht="14.25" customHeight="1">
      <c r="A489" s="171"/>
      <c r="B489" s="282"/>
      <c r="C489" s="171"/>
      <c r="D489" s="78"/>
      <c r="E489" s="78"/>
      <c r="F489" s="171"/>
      <c r="G489" s="173"/>
      <c r="H489" s="170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</row>
    <row r="490" ht="14.25" customHeight="1">
      <c r="A490" s="171"/>
      <c r="B490" s="282"/>
      <c r="C490" s="171"/>
      <c r="D490" s="78"/>
      <c r="E490" s="78"/>
      <c r="F490" s="171"/>
      <c r="G490" s="173"/>
      <c r="H490" s="170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</row>
    <row r="491" ht="14.25" customHeight="1">
      <c r="A491" s="171"/>
      <c r="B491" s="282"/>
      <c r="C491" s="171"/>
      <c r="D491" s="78"/>
      <c r="E491" s="78"/>
      <c r="F491" s="171"/>
      <c r="G491" s="173"/>
      <c r="H491" s="170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</row>
    <row r="492" ht="14.25" customHeight="1">
      <c r="A492" s="171"/>
      <c r="B492" s="282"/>
      <c r="C492" s="171"/>
      <c r="D492" s="78"/>
      <c r="E492" s="78"/>
      <c r="F492" s="171"/>
      <c r="G492" s="173"/>
      <c r="H492" s="170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</row>
    <row r="493" ht="14.25" customHeight="1">
      <c r="A493" s="171"/>
      <c r="B493" s="282"/>
      <c r="C493" s="171"/>
      <c r="D493" s="78"/>
      <c r="E493" s="78"/>
      <c r="F493" s="171"/>
      <c r="G493" s="173"/>
      <c r="H493" s="170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</row>
    <row r="494" ht="14.25" customHeight="1">
      <c r="A494" s="171"/>
      <c r="B494" s="282"/>
      <c r="C494" s="171"/>
      <c r="D494" s="78"/>
      <c r="E494" s="78"/>
      <c r="F494" s="171"/>
      <c r="G494" s="173"/>
      <c r="H494" s="170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</row>
    <row r="495" ht="14.25" customHeight="1">
      <c r="A495" s="171"/>
      <c r="B495" s="282"/>
      <c r="C495" s="171"/>
      <c r="D495" s="78"/>
      <c r="E495" s="78"/>
      <c r="F495" s="171"/>
      <c r="G495" s="173"/>
      <c r="H495" s="170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</row>
    <row r="496" ht="14.25" customHeight="1">
      <c r="A496" s="171"/>
      <c r="B496" s="282"/>
      <c r="C496" s="171"/>
      <c r="D496" s="78"/>
      <c r="E496" s="78"/>
      <c r="F496" s="171"/>
      <c r="G496" s="173"/>
      <c r="H496" s="170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</row>
    <row r="497" ht="14.25" customHeight="1">
      <c r="A497" s="171"/>
      <c r="B497" s="282"/>
      <c r="C497" s="171"/>
      <c r="D497" s="78"/>
      <c r="E497" s="78"/>
      <c r="F497" s="171"/>
      <c r="G497" s="173"/>
      <c r="H497" s="170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</row>
    <row r="498" ht="14.25" customHeight="1">
      <c r="A498" s="171"/>
      <c r="B498" s="282"/>
      <c r="C498" s="171"/>
      <c r="D498" s="78"/>
      <c r="E498" s="78"/>
      <c r="F498" s="171"/>
      <c r="G498" s="173"/>
      <c r="H498" s="170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</row>
    <row r="499" ht="14.25" customHeight="1">
      <c r="A499" s="171"/>
      <c r="B499" s="282"/>
      <c r="C499" s="171"/>
      <c r="D499" s="78"/>
      <c r="E499" s="78"/>
      <c r="F499" s="171"/>
      <c r="G499" s="173"/>
      <c r="H499" s="170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</row>
    <row r="500" ht="14.25" customHeight="1">
      <c r="A500" s="171"/>
      <c r="B500" s="282"/>
      <c r="C500" s="171"/>
      <c r="D500" s="78"/>
      <c r="E500" s="78"/>
      <c r="F500" s="171"/>
      <c r="G500" s="173"/>
      <c r="H500" s="170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</row>
    <row r="501" ht="14.25" customHeight="1">
      <c r="A501" s="171"/>
      <c r="B501" s="282"/>
      <c r="C501" s="171"/>
      <c r="D501" s="78"/>
      <c r="E501" s="78"/>
      <c r="F501" s="171"/>
      <c r="G501" s="173"/>
      <c r="H501" s="170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</row>
    <row r="502" ht="14.25" customHeight="1">
      <c r="A502" s="171"/>
      <c r="B502" s="282"/>
      <c r="C502" s="171"/>
      <c r="D502" s="78"/>
      <c r="E502" s="78"/>
      <c r="F502" s="171"/>
      <c r="G502" s="173"/>
      <c r="H502" s="170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</row>
    <row r="503" ht="14.25" customHeight="1">
      <c r="A503" s="171"/>
      <c r="B503" s="282"/>
      <c r="C503" s="171"/>
      <c r="D503" s="78"/>
      <c r="E503" s="78"/>
      <c r="F503" s="171"/>
      <c r="G503" s="173"/>
      <c r="H503" s="170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</row>
    <row r="504" ht="14.25" customHeight="1">
      <c r="A504" s="171"/>
      <c r="B504" s="282"/>
      <c r="C504" s="171"/>
      <c r="D504" s="78"/>
      <c r="E504" s="78"/>
      <c r="F504" s="171"/>
      <c r="G504" s="173"/>
      <c r="H504" s="170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</row>
    <row r="505" ht="14.25" customHeight="1">
      <c r="A505" s="171"/>
      <c r="B505" s="282"/>
      <c r="C505" s="171"/>
      <c r="D505" s="78"/>
      <c r="E505" s="78"/>
      <c r="F505" s="171"/>
      <c r="G505" s="173"/>
      <c r="H505" s="170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</row>
    <row r="506" ht="14.25" customHeight="1">
      <c r="A506" s="171"/>
      <c r="B506" s="282"/>
      <c r="C506" s="171"/>
      <c r="D506" s="78"/>
      <c r="E506" s="78"/>
      <c r="F506" s="171"/>
      <c r="G506" s="173"/>
      <c r="H506" s="170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</row>
    <row r="507" ht="14.25" customHeight="1">
      <c r="A507" s="171"/>
      <c r="B507" s="282"/>
      <c r="C507" s="171"/>
      <c r="D507" s="78"/>
      <c r="E507" s="78"/>
      <c r="F507" s="171"/>
      <c r="G507" s="173"/>
      <c r="H507" s="170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</row>
    <row r="508" ht="14.25" customHeight="1">
      <c r="A508" s="171"/>
      <c r="B508" s="282"/>
      <c r="C508" s="171"/>
      <c r="D508" s="78"/>
      <c r="E508" s="78"/>
      <c r="F508" s="171"/>
      <c r="G508" s="173"/>
      <c r="H508" s="170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</row>
    <row r="509" ht="14.25" customHeight="1">
      <c r="A509" s="171"/>
      <c r="B509" s="282"/>
      <c r="C509" s="171"/>
      <c r="D509" s="78"/>
      <c r="E509" s="78"/>
      <c r="F509" s="171"/>
      <c r="G509" s="173"/>
      <c r="H509" s="170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</row>
    <row r="510" ht="14.25" customHeight="1">
      <c r="A510" s="171"/>
      <c r="B510" s="282"/>
      <c r="C510" s="171"/>
      <c r="D510" s="78"/>
      <c r="E510" s="78"/>
      <c r="F510" s="171"/>
      <c r="G510" s="173"/>
      <c r="H510" s="170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</row>
    <row r="511" ht="14.25" customHeight="1">
      <c r="A511" s="171"/>
      <c r="B511" s="282"/>
      <c r="C511" s="171"/>
      <c r="D511" s="78"/>
      <c r="E511" s="78"/>
      <c r="F511" s="171"/>
      <c r="G511" s="173"/>
      <c r="H511" s="170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</row>
    <row r="512" ht="14.25" customHeight="1">
      <c r="A512" s="171"/>
      <c r="B512" s="282"/>
      <c r="C512" s="171"/>
      <c r="D512" s="78"/>
      <c r="E512" s="78"/>
      <c r="F512" s="171"/>
      <c r="G512" s="173"/>
      <c r="H512" s="170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</row>
    <row r="513" ht="14.25" customHeight="1">
      <c r="A513" s="171"/>
      <c r="B513" s="282"/>
      <c r="C513" s="171"/>
      <c r="D513" s="78"/>
      <c r="E513" s="78"/>
      <c r="F513" s="171"/>
      <c r="G513" s="173"/>
      <c r="H513" s="170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</row>
    <row r="514" ht="14.25" customHeight="1">
      <c r="A514" s="171"/>
      <c r="B514" s="282"/>
      <c r="C514" s="171"/>
      <c r="D514" s="78"/>
      <c r="E514" s="78"/>
      <c r="F514" s="171"/>
      <c r="G514" s="173"/>
      <c r="H514" s="170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</row>
    <row r="515" ht="14.25" customHeight="1">
      <c r="A515" s="171"/>
      <c r="B515" s="282"/>
      <c r="C515" s="171"/>
      <c r="D515" s="78"/>
      <c r="E515" s="78"/>
      <c r="F515" s="171"/>
      <c r="G515" s="173"/>
      <c r="H515" s="170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</row>
    <row r="516" ht="14.25" customHeight="1">
      <c r="A516" s="171"/>
      <c r="B516" s="282"/>
      <c r="C516" s="171"/>
      <c r="D516" s="78"/>
      <c r="E516" s="78"/>
      <c r="F516" s="171"/>
      <c r="G516" s="173"/>
      <c r="H516" s="170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</row>
    <row r="517" ht="14.25" customHeight="1">
      <c r="A517" s="171"/>
      <c r="B517" s="282"/>
      <c r="C517" s="171"/>
      <c r="D517" s="78"/>
      <c r="E517" s="78"/>
      <c r="F517" s="171"/>
      <c r="G517" s="173"/>
      <c r="H517" s="170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</row>
    <row r="518" ht="14.25" customHeight="1">
      <c r="A518" s="171"/>
      <c r="B518" s="282"/>
      <c r="C518" s="171"/>
      <c r="D518" s="78"/>
      <c r="E518" s="78"/>
      <c r="F518" s="171"/>
      <c r="G518" s="173"/>
      <c r="H518" s="170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</row>
    <row r="519" ht="14.25" customHeight="1">
      <c r="A519" s="171"/>
      <c r="B519" s="282"/>
      <c r="C519" s="171"/>
      <c r="D519" s="78"/>
      <c r="E519" s="78"/>
      <c r="F519" s="171"/>
      <c r="G519" s="173"/>
      <c r="H519" s="170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</row>
    <row r="520" ht="14.25" customHeight="1">
      <c r="A520" s="171"/>
      <c r="B520" s="282"/>
      <c r="C520" s="171"/>
      <c r="D520" s="78"/>
      <c r="E520" s="78"/>
      <c r="F520" s="171"/>
      <c r="G520" s="173"/>
      <c r="H520" s="170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</row>
    <row r="521" ht="14.25" customHeight="1">
      <c r="A521" s="171"/>
      <c r="B521" s="282"/>
      <c r="C521" s="171"/>
      <c r="D521" s="78"/>
      <c r="E521" s="78"/>
      <c r="F521" s="171"/>
      <c r="G521" s="173"/>
      <c r="H521" s="170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</row>
    <row r="522" ht="14.25" customHeight="1">
      <c r="A522" s="171"/>
      <c r="B522" s="282"/>
      <c r="C522" s="171"/>
      <c r="D522" s="78"/>
      <c r="E522" s="78"/>
      <c r="F522" s="171"/>
      <c r="G522" s="173"/>
      <c r="H522" s="170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</row>
    <row r="523" ht="14.25" customHeight="1">
      <c r="A523" s="171"/>
      <c r="B523" s="282"/>
      <c r="C523" s="171"/>
      <c r="D523" s="78"/>
      <c r="E523" s="78"/>
      <c r="F523" s="171"/>
      <c r="G523" s="173"/>
      <c r="H523" s="170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</row>
    <row r="524" ht="14.25" customHeight="1">
      <c r="A524" s="171"/>
      <c r="B524" s="282"/>
      <c r="C524" s="171"/>
      <c r="D524" s="78"/>
      <c r="E524" s="78"/>
      <c r="F524" s="171"/>
      <c r="G524" s="173"/>
      <c r="H524" s="170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</row>
    <row r="525" ht="14.25" customHeight="1">
      <c r="A525" s="171"/>
      <c r="B525" s="282"/>
      <c r="C525" s="171"/>
      <c r="D525" s="78"/>
      <c r="E525" s="78"/>
      <c r="F525" s="171"/>
      <c r="G525" s="173"/>
      <c r="H525" s="170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</row>
    <row r="526" ht="14.25" customHeight="1">
      <c r="A526" s="171"/>
      <c r="B526" s="282"/>
      <c r="C526" s="171"/>
      <c r="D526" s="78"/>
      <c r="E526" s="78"/>
      <c r="F526" s="171"/>
      <c r="G526" s="173"/>
      <c r="H526" s="170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</row>
    <row r="527" ht="14.25" customHeight="1">
      <c r="A527" s="171"/>
      <c r="B527" s="282"/>
      <c r="C527" s="171"/>
      <c r="D527" s="78"/>
      <c r="E527" s="78"/>
      <c r="F527" s="171"/>
      <c r="G527" s="173"/>
      <c r="H527" s="170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</row>
    <row r="528" ht="14.25" customHeight="1">
      <c r="A528" s="171"/>
      <c r="B528" s="282"/>
      <c r="C528" s="171"/>
      <c r="D528" s="78"/>
      <c r="E528" s="78"/>
      <c r="F528" s="171"/>
      <c r="G528" s="173"/>
      <c r="H528" s="170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</row>
    <row r="529" ht="14.25" customHeight="1">
      <c r="A529" s="171"/>
      <c r="B529" s="282"/>
      <c r="C529" s="171"/>
      <c r="D529" s="78"/>
      <c r="E529" s="78"/>
      <c r="F529" s="171"/>
      <c r="G529" s="173"/>
      <c r="H529" s="170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</row>
    <row r="530" ht="14.25" customHeight="1">
      <c r="A530" s="171"/>
      <c r="B530" s="282"/>
      <c r="C530" s="171"/>
      <c r="D530" s="78"/>
      <c r="E530" s="78"/>
      <c r="F530" s="171"/>
      <c r="G530" s="173"/>
      <c r="H530" s="170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</row>
    <row r="531" ht="14.25" customHeight="1">
      <c r="A531" s="171"/>
      <c r="B531" s="282"/>
      <c r="C531" s="171"/>
      <c r="D531" s="78"/>
      <c r="E531" s="78"/>
      <c r="F531" s="171"/>
      <c r="G531" s="173"/>
      <c r="H531" s="170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</row>
    <row r="532" ht="14.25" customHeight="1">
      <c r="A532" s="171"/>
      <c r="B532" s="282"/>
      <c r="C532" s="171"/>
      <c r="D532" s="78"/>
      <c r="E532" s="78"/>
      <c r="F532" s="171"/>
      <c r="G532" s="173"/>
      <c r="H532" s="170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</row>
    <row r="533" ht="14.25" customHeight="1">
      <c r="A533" s="171"/>
      <c r="B533" s="282"/>
      <c r="C533" s="171"/>
      <c r="D533" s="78"/>
      <c r="E533" s="78"/>
      <c r="F533" s="171"/>
      <c r="G533" s="173"/>
      <c r="H533" s="170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</row>
    <row r="534" ht="14.25" customHeight="1">
      <c r="A534" s="171"/>
      <c r="B534" s="282"/>
      <c r="C534" s="171"/>
      <c r="D534" s="78"/>
      <c r="E534" s="78"/>
      <c r="F534" s="171"/>
      <c r="G534" s="173"/>
      <c r="H534" s="170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</row>
    <row r="535" ht="14.25" customHeight="1">
      <c r="A535" s="171"/>
      <c r="B535" s="282"/>
      <c r="C535" s="171"/>
      <c r="D535" s="78"/>
      <c r="E535" s="78"/>
      <c r="F535" s="171"/>
      <c r="G535" s="173"/>
      <c r="H535" s="170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</row>
    <row r="536" ht="14.25" customHeight="1">
      <c r="A536" s="171"/>
      <c r="B536" s="282"/>
      <c r="C536" s="171"/>
      <c r="D536" s="78"/>
      <c r="E536" s="78"/>
      <c r="F536" s="171"/>
      <c r="G536" s="173"/>
      <c r="H536" s="170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</row>
    <row r="537" ht="14.25" customHeight="1">
      <c r="A537" s="171"/>
      <c r="B537" s="282"/>
      <c r="C537" s="171"/>
      <c r="D537" s="78"/>
      <c r="E537" s="78"/>
      <c r="F537" s="171"/>
      <c r="G537" s="173"/>
      <c r="H537" s="170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</row>
    <row r="538" ht="14.25" customHeight="1">
      <c r="A538" s="171"/>
      <c r="B538" s="282"/>
      <c r="C538" s="171"/>
      <c r="D538" s="78"/>
      <c r="E538" s="78"/>
      <c r="F538" s="171"/>
      <c r="G538" s="173"/>
      <c r="H538" s="170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</row>
    <row r="539" ht="14.25" customHeight="1">
      <c r="A539" s="171"/>
      <c r="B539" s="282"/>
      <c r="C539" s="171"/>
      <c r="D539" s="78"/>
      <c r="E539" s="78"/>
      <c r="F539" s="171"/>
      <c r="G539" s="173"/>
      <c r="H539" s="170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</row>
    <row r="540" ht="14.25" customHeight="1">
      <c r="A540" s="171"/>
      <c r="B540" s="282"/>
      <c r="C540" s="171"/>
      <c r="D540" s="78"/>
      <c r="E540" s="78"/>
      <c r="F540" s="171"/>
      <c r="G540" s="173"/>
      <c r="H540" s="170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</row>
    <row r="541" ht="14.25" customHeight="1">
      <c r="A541" s="171"/>
      <c r="B541" s="282"/>
      <c r="C541" s="171"/>
      <c r="D541" s="78"/>
      <c r="E541" s="78"/>
      <c r="F541" s="171"/>
      <c r="G541" s="173"/>
      <c r="H541" s="170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</row>
    <row r="542" ht="14.25" customHeight="1">
      <c r="A542" s="171"/>
      <c r="B542" s="282"/>
      <c r="C542" s="171"/>
      <c r="D542" s="78"/>
      <c r="E542" s="78"/>
      <c r="F542" s="171"/>
      <c r="G542" s="173"/>
      <c r="H542" s="170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</row>
    <row r="543" ht="14.25" customHeight="1">
      <c r="A543" s="171"/>
      <c r="B543" s="282"/>
      <c r="C543" s="171"/>
      <c r="D543" s="78"/>
      <c r="E543" s="78"/>
      <c r="F543" s="171"/>
      <c r="G543" s="173"/>
      <c r="H543" s="170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</row>
    <row r="544" ht="14.25" customHeight="1">
      <c r="A544" s="171"/>
      <c r="B544" s="282"/>
      <c r="C544" s="171"/>
      <c r="D544" s="78"/>
      <c r="E544" s="78"/>
      <c r="F544" s="171"/>
      <c r="G544" s="173"/>
      <c r="H544" s="170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</row>
    <row r="545" ht="14.25" customHeight="1">
      <c r="A545" s="171"/>
      <c r="B545" s="282"/>
      <c r="C545" s="171"/>
      <c r="D545" s="78"/>
      <c r="E545" s="78"/>
      <c r="F545" s="171"/>
      <c r="G545" s="173"/>
      <c r="H545" s="170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</row>
    <row r="546" ht="14.25" customHeight="1">
      <c r="A546" s="171"/>
      <c r="B546" s="282"/>
      <c r="C546" s="171"/>
      <c r="D546" s="78"/>
      <c r="E546" s="78"/>
      <c r="F546" s="171"/>
      <c r="G546" s="173"/>
      <c r="H546" s="170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</row>
    <row r="547" ht="14.25" customHeight="1">
      <c r="A547" s="171"/>
      <c r="B547" s="282"/>
      <c r="C547" s="171"/>
      <c r="D547" s="78"/>
      <c r="E547" s="78"/>
      <c r="F547" s="171"/>
      <c r="G547" s="173"/>
      <c r="H547" s="170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</row>
    <row r="548" ht="14.25" customHeight="1">
      <c r="A548" s="171"/>
      <c r="B548" s="282"/>
      <c r="C548" s="171"/>
      <c r="D548" s="78"/>
      <c r="E548" s="78"/>
      <c r="F548" s="171"/>
      <c r="G548" s="173"/>
      <c r="H548" s="170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</row>
    <row r="549" ht="14.25" customHeight="1">
      <c r="A549" s="171"/>
      <c r="B549" s="282"/>
      <c r="C549" s="171"/>
      <c r="D549" s="78"/>
      <c r="E549" s="78"/>
      <c r="F549" s="171"/>
      <c r="G549" s="173"/>
      <c r="H549" s="170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</row>
    <row r="550" ht="14.25" customHeight="1">
      <c r="A550" s="171"/>
      <c r="B550" s="282"/>
      <c r="C550" s="171"/>
      <c r="D550" s="78"/>
      <c r="E550" s="78"/>
      <c r="F550" s="171"/>
      <c r="G550" s="173"/>
      <c r="H550" s="170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</row>
    <row r="551" ht="14.25" customHeight="1">
      <c r="A551" s="171"/>
      <c r="B551" s="282"/>
      <c r="C551" s="171"/>
      <c r="D551" s="78"/>
      <c r="E551" s="78"/>
      <c r="F551" s="171"/>
      <c r="G551" s="173"/>
      <c r="H551" s="170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</row>
    <row r="552" ht="14.25" customHeight="1">
      <c r="A552" s="171"/>
      <c r="B552" s="282"/>
      <c r="C552" s="171"/>
      <c r="D552" s="78"/>
      <c r="E552" s="78"/>
      <c r="F552" s="171"/>
      <c r="G552" s="173"/>
      <c r="H552" s="170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</row>
    <row r="553" ht="14.25" customHeight="1">
      <c r="A553" s="171"/>
      <c r="B553" s="282"/>
      <c r="C553" s="171"/>
      <c r="D553" s="78"/>
      <c r="E553" s="78"/>
      <c r="F553" s="171"/>
      <c r="G553" s="173"/>
      <c r="H553" s="170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</row>
    <row r="554" ht="14.25" customHeight="1">
      <c r="A554" s="171"/>
      <c r="B554" s="282"/>
      <c r="C554" s="171"/>
      <c r="D554" s="78"/>
      <c r="E554" s="78"/>
      <c r="F554" s="171"/>
      <c r="G554" s="173"/>
      <c r="H554" s="170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</row>
    <row r="555" ht="14.25" customHeight="1">
      <c r="A555" s="171"/>
      <c r="B555" s="282"/>
      <c r="C555" s="171"/>
      <c r="D555" s="78"/>
      <c r="E555" s="78"/>
      <c r="F555" s="171"/>
      <c r="G555" s="173"/>
      <c r="H555" s="170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</row>
    <row r="556" ht="14.25" customHeight="1">
      <c r="A556" s="171"/>
      <c r="B556" s="282"/>
      <c r="C556" s="171"/>
      <c r="D556" s="78"/>
      <c r="E556" s="78"/>
      <c r="F556" s="171"/>
      <c r="G556" s="173"/>
      <c r="H556" s="170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</row>
    <row r="557" ht="14.25" customHeight="1">
      <c r="A557" s="171"/>
      <c r="B557" s="282"/>
      <c r="C557" s="171"/>
      <c r="D557" s="78"/>
      <c r="E557" s="78"/>
      <c r="F557" s="171"/>
      <c r="G557" s="173"/>
      <c r="H557" s="170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</row>
    <row r="558" ht="14.25" customHeight="1">
      <c r="A558" s="171"/>
      <c r="B558" s="282"/>
      <c r="C558" s="171"/>
      <c r="D558" s="78"/>
      <c r="E558" s="78"/>
      <c r="F558" s="171"/>
      <c r="G558" s="173"/>
      <c r="H558" s="170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</row>
    <row r="559" ht="14.25" customHeight="1">
      <c r="A559" s="171"/>
      <c r="B559" s="282"/>
      <c r="C559" s="171"/>
      <c r="D559" s="78"/>
      <c r="E559" s="78"/>
      <c r="F559" s="171"/>
      <c r="G559" s="173"/>
      <c r="H559" s="170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</row>
    <row r="560" ht="14.25" customHeight="1">
      <c r="A560" s="171"/>
      <c r="B560" s="282"/>
      <c r="C560" s="171"/>
      <c r="D560" s="78"/>
      <c r="E560" s="78"/>
      <c r="F560" s="171"/>
      <c r="G560" s="173"/>
      <c r="H560" s="170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</row>
    <row r="561" ht="14.25" customHeight="1">
      <c r="A561" s="171"/>
      <c r="B561" s="282"/>
      <c r="C561" s="171"/>
      <c r="D561" s="78"/>
      <c r="E561" s="78"/>
      <c r="F561" s="171"/>
      <c r="G561" s="173"/>
      <c r="H561" s="170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</row>
    <row r="562" ht="14.25" customHeight="1">
      <c r="A562" s="171"/>
      <c r="B562" s="282"/>
      <c r="C562" s="171"/>
      <c r="D562" s="78"/>
      <c r="E562" s="78"/>
      <c r="F562" s="171"/>
      <c r="G562" s="173"/>
      <c r="H562" s="170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</row>
    <row r="563" ht="14.25" customHeight="1">
      <c r="A563" s="171"/>
      <c r="B563" s="282"/>
      <c r="C563" s="171"/>
      <c r="D563" s="78"/>
      <c r="E563" s="78"/>
      <c r="F563" s="171"/>
      <c r="G563" s="173"/>
      <c r="H563" s="170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</row>
    <row r="564" ht="14.25" customHeight="1">
      <c r="A564" s="171"/>
      <c r="B564" s="282"/>
      <c r="C564" s="171"/>
      <c r="D564" s="78"/>
      <c r="E564" s="78"/>
      <c r="F564" s="171"/>
      <c r="G564" s="173"/>
      <c r="H564" s="170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</row>
    <row r="565" ht="14.25" customHeight="1">
      <c r="A565" s="171"/>
      <c r="B565" s="282"/>
      <c r="C565" s="171"/>
      <c r="D565" s="78"/>
      <c r="E565" s="78"/>
      <c r="F565" s="171"/>
      <c r="G565" s="173"/>
      <c r="H565" s="170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</row>
    <row r="566" ht="14.25" customHeight="1">
      <c r="A566" s="171"/>
      <c r="B566" s="282"/>
      <c r="C566" s="171"/>
      <c r="D566" s="78"/>
      <c r="E566" s="78"/>
      <c r="F566" s="171"/>
      <c r="G566" s="173"/>
      <c r="H566" s="170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</row>
    <row r="567" ht="14.25" customHeight="1">
      <c r="A567" s="171"/>
      <c r="B567" s="282"/>
      <c r="C567" s="171"/>
      <c r="D567" s="78"/>
      <c r="E567" s="78"/>
      <c r="F567" s="171"/>
      <c r="G567" s="173"/>
      <c r="H567" s="170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</row>
    <row r="568" ht="14.25" customHeight="1">
      <c r="A568" s="171"/>
      <c r="B568" s="282"/>
      <c r="C568" s="171"/>
      <c r="D568" s="78"/>
      <c r="E568" s="78"/>
      <c r="F568" s="171"/>
      <c r="G568" s="173"/>
      <c r="H568" s="170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</row>
    <row r="569" ht="14.25" customHeight="1">
      <c r="A569" s="171"/>
      <c r="B569" s="282"/>
      <c r="C569" s="171"/>
      <c r="D569" s="78"/>
      <c r="E569" s="78"/>
      <c r="F569" s="171"/>
      <c r="G569" s="173"/>
      <c r="H569" s="170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</row>
    <row r="570" ht="14.25" customHeight="1">
      <c r="A570" s="171"/>
      <c r="B570" s="282"/>
      <c r="C570" s="171"/>
      <c r="D570" s="78"/>
      <c r="E570" s="78"/>
      <c r="F570" s="171"/>
      <c r="G570" s="173"/>
      <c r="H570" s="170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</row>
    <row r="571" ht="14.25" customHeight="1">
      <c r="A571" s="171"/>
      <c r="B571" s="282"/>
      <c r="C571" s="171"/>
      <c r="D571" s="78"/>
      <c r="E571" s="78"/>
      <c r="F571" s="171"/>
      <c r="G571" s="173"/>
      <c r="H571" s="170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</row>
    <row r="572" ht="14.25" customHeight="1">
      <c r="A572" s="171"/>
      <c r="B572" s="282"/>
      <c r="C572" s="171"/>
      <c r="D572" s="78"/>
      <c r="E572" s="78"/>
      <c r="F572" s="171"/>
      <c r="G572" s="173"/>
      <c r="H572" s="170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</row>
    <row r="573" ht="14.25" customHeight="1">
      <c r="A573" s="171"/>
      <c r="B573" s="282"/>
      <c r="C573" s="171"/>
      <c r="D573" s="78"/>
      <c r="E573" s="78"/>
      <c r="F573" s="171"/>
      <c r="G573" s="173"/>
      <c r="H573" s="170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</row>
    <row r="574" ht="14.25" customHeight="1">
      <c r="A574" s="171"/>
      <c r="B574" s="282"/>
      <c r="C574" s="171"/>
      <c r="D574" s="78"/>
      <c r="E574" s="78"/>
      <c r="F574" s="171"/>
      <c r="G574" s="173"/>
      <c r="H574" s="170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</row>
    <row r="575" ht="14.25" customHeight="1">
      <c r="A575" s="171"/>
      <c r="B575" s="282"/>
      <c r="C575" s="171"/>
      <c r="D575" s="78"/>
      <c r="E575" s="78"/>
      <c r="F575" s="171"/>
      <c r="G575" s="173"/>
      <c r="H575" s="170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</row>
    <row r="576" ht="14.25" customHeight="1">
      <c r="A576" s="171"/>
      <c r="B576" s="282"/>
      <c r="C576" s="171"/>
      <c r="D576" s="78"/>
      <c r="E576" s="78"/>
      <c r="F576" s="171"/>
      <c r="G576" s="173"/>
      <c r="H576" s="170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</row>
    <row r="577" ht="14.25" customHeight="1">
      <c r="A577" s="171"/>
      <c r="B577" s="282"/>
      <c r="C577" s="171"/>
      <c r="D577" s="78"/>
      <c r="E577" s="78"/>
      <c r="F577" s="171"/>
      <c r="G577" s="173"/>
      <c r="H577" s="170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</row>
    <row r="578" ht="14.25" customHeight="1">
      <c r="A578" s="171"/>
      <c r="B578" s="282"/>
      <c r="C578" s="171"/>
      <c r="D578" s="78"/>
      <c r="E578" s="78"/>
      <c r="F578" s="171"/>
      <c r="G578" s="173"/>
      <c r="H578" s="170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</row>
    <row r="579" ht="14.25" customHeight="1">
      <c r="A579" s="171"/>
      <c r="B579" s="282"/>
      <c r="C579" s="171"/>
      <c r="D579" s="78"/>
      <c r="E579" s="78"/>
      <c r="F579" s="171"/>
      <c r="G579" s="173"/>
      <c r="H579" s="170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</row>
    <row r="580" ht="14.25" customHeight="1">
      <c r="A580" s="171"/>
      <c r="B580" s="282"/>
      <c r="C580" s="171"/>
      <c r="D580" s="78"/>
      <c r="E580" s="78"/>
      <c r="F580" s="171"/>
      <c r="G580" s="173"/>
      <c r="H580" s="170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</row>
    <row r="581" ht="14.25" customHeight="1">
      <c r="A581" s="171"/>
      <c r="B581" s="282"/>
      <c r="C581" s="171"/>
      <c r="D581" s="78"/>
      <c r="E581" s="78"/>
      <c r="F581" s="171"/>
      <c r="G581" s="173"/>
      <c r="H581" s="170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</row>
    <row r="582" ht="14.25" customHeight="1">
      <c r="A582" s="171"/>
      <c r="B582" s="282"/>
      <c r="C582" s="171"/>
      <c r="D582" s="78"/>
      <c r="E582" s="78"/>
      <c r="F582" s="171"/>
      <c r="G582" s="173"/>
      <c r="H582" s="170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</row>
    <row r="583" ht="14.25" customHeight="1">
      <c r="A583" s="171"/>
      <c r="B583" s="282"/>
      <c r="C583" s="171"/>
      <c r="D583" s="78"/>
      <c r="E583" s="78"/>
      <c r="F583" s="171"/>
      <c r="G583" s="173"/>
      <c r="H583" s="170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</row>
    <row r="584" ht="14.25" customHeight="1">
      <c r="A584" s="171"/>
      <c r="B584" s="282"/>
      <c r="C584" s="171"/>
      <c r="D584" s="78"/>
      <c r="E584" s="78"/>
      <c r="F584" s="171"/>
      <c r="G584" s="173"/>
      <c r="H584" s="170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</row>
    <row r="585" ht="14.25" customHeight="1">
      <c r="A585" s="171"/>
      <c r="B585" s="282"/>
      <c r="C585" s="171"/>
      <c r="D585" s="78"/>
      <c r="E585" s="78"/>
      <c r="F585" s="171"/>
      <c r="G585" s="173"/>
      <c r="H585" s="170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</row>
    <row r="586" ht="14.25" customHeight="1">
      <c r="A586" s="171"/>
      <c r="B586" s="282"/>
      <c r="C586" s="171"/>
      <c r="D586" s="78"/>
      <c r="E586" s="78"/>
      <c r="F586" s="171"/>
      <c r="G586" s="173"/>
      <c r="H586" s="170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</row>
    <row r="587" ht="14.25" customHeight="1">
      <c r="A587" s="171"/>
      <c r="B587" s="282"/>
      <c r="C587" s="171"/>
      <c r="D587" s="78"/>
      <c r="E587" s="78"/>
      <c r="F587" s="171"/>
      <c r="G587" s="173"/>
      <c r="H587" s="170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</row>
    <row r="588" ht="14.25" customHeight="1">
      <c r="A588" s="171"/>
      <c r="B588" s="282"/>
      <c r="C588" s="171"/>
      <c r="D588" s="78"/>
      <c r="E588" s="78"/>
      <c r="F588" s="171"/>
      <c r="G588" s="173"/>
      <c r="H588" s="170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</row>
    <row r="589" ht="14.25" customHeight="1">
      <c r="A589" s="171"/>
      <c r="B589" s="282"/>
      <c r="C589" s="171"/>
      <c r="D589" s="78"/>
      <c r="E589" s="78"/>
      <c r="F589" s="171"/>
      <c r="G589" s="173"/>
      <c r="H589" s="170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</row>
    <row r="590" ht="14.25" customHeight="1">
      <c r="A590" s="171"/>
      <c r="B590" s="282"/>
      <c r="C590" s="171"/>
      <c r="D590" s="78"/>
      <c r="E590" s="78"/>
      <c r="F590" s="171"/>
      <c r="G590" s="173"/>
      <c r="H590" s="170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</row>
    <row r="591" ht="14.25" customHeight="1">
      <c r="A591" s="171"/>
      <c r="B591" s="282"/>
      <c r="C591" s="171"/>
      <c r="D591" s="78"/>
      <c r="E591" s="78"/>
      <c r="F591" s="171"/>
      <c r="G591" s="173"/>
      <c r="H591" s="170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</row>
    <row r="592" ht="14.25" customHeight="1">
      <c r="A592" s="171"/>
      <c r="B592" s="282"/>
      <c r="C592" s="171"/>
      <c r="D592" s="78"/>
      <c r="E592" s="78"/>
      <c r="F592" s="171"/>
      <c r="G592" s="173"/>
      <c r="H592" s="170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</row>
    <row r="593" ht="14.25" customHeight="1">
      <c r="A593" s="171"/>
      <c r="B593" s="282"/>
      <c r="C593" s="171"/>
      <c r="D593" s="78"/>
      <c r="E593" s="78"/>
      <c r="F593" s="171"/>
      <c r="G593" s="173"/>
      <c r="H593" s="170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</row>
    <row r="594" ht="14.25" customHeight="1">
      <c r="A594" s="171"/>
      <c r="B594" s="282"/>
      <c r="C594" s="171"/>
      <c r="D594" s="78"/>
      <c r="E594" s="78"/>
      <c r="F594" s="171"/>
      <c r="G594" s="173"/>
      <c r="H594" s="170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</row>
    <row r="595" ht="14.25" customHeight="1">
      <c r="A595" s="171"/>
      <c r="B595" s="282"/>
      <c r="C595" s="171"/>
      <c r="D595" s="78"/>
      <c r="E595" s="78"/>
      <c r="F595" s="171"/>
      <c r="G595" s="173"/>
      <c r="H595" s="170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</row>
    <row r="596" ht="14.25" customHeight="1">
      <c r="A596" s="171"/>
      <c r="B596" s="282"/>
      <c r="C596" s="171"/>
      <c r="D596" s="78"/>
      <c r="E596" s="78"/>
      <c r="F596" s="171"/>
      <c r="G596" s="173"/>
      <c r="H596" s="170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</row>
    <row r="597" ht="14.25" customHeight="1">
      <c r="A597" s="171"/>
      <c r="B597" s="282"/>
      <c r="C597" s="171"/>
      <c r="D597" s="78"/>
      <c r="E597" s="78"/>
      <c r="F597" s="171"/>
      <c r="G597" s="173"/>
      <c r="H597" s="170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</row>
    <row r="598" ht="14.25" customHeight="1">
      <c r="A598" s="171"/>
      <c r="B598" s="282"/>
      <c r="C598" s="171"/>
      <c r="D598" s="78"/>
      <c r="E598" s="78"/>
      <c r="F598" s="171"/>
      <c r="G598" s="173"/>
      <c r="H598" s="170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</row>
    <row r="599" ht="14.25" customHeight="1">
      <c r="A599" s="171"/>
      <c r="B599" s="282"/>
      <c r="C599" s="171"/>
      <c r="D599" s="78"/>
      <c r="E599" s="78"/>
      <c r="F599" s="171"/>
      <c r="G599" s="173"/>
      <c r="H599" s="170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</row>
    <row r="600" ht="14.25" customHeight="1">
      <c r="A600" s="171"/>
      <c r="B600" s="282"/>
      <c r="C600" s="171"/>
      <c r="D600" s="78"/>
      <c r="E600" s="78"/>
      <c r="F600" s="171"/>
      <c r="G600" s="173"/>
      <c r="H600" s="170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</row>
    <row r="601" ht="14.25" customHeight="1">
      <c r="A601" s="171"/>
      <c r="B601" s="282"/>
      <c r="C601" s="171"/>
      <c r="D601" s="78"/>
      <c r="E601" s="78"/>
      <c r="F601" s="171"/>
      <c r="G601" s="173"/>
      <c r="H601" s="170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</row>
    <row r="602" ht="14.25" customHeight="1">
      <c r="A602" s="171"/>
      <c r="B602" s="282"/>
      <c r="C602" s="171"/>
      <c r="D602" s="78"/>
      <c r="E602" s="78"/>
      <c r="F602" s="171"/>
      <c r="G602" s="173"/>
      <c r="H602" s="170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</row>
    <row r="603" ht="14.25" customHeight="1">
      <c r="A603" s="171"/>
      <c r="B603" s="282"/>
      <c r="C603" s="171"/>
      <c r="D603" s="78"/>
      <c r="E603" s="78"/>
      <c r="F603" s="171"/>
      <c r="G603" s="173"/>
      <c r="H603" s="170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</row>
    <row r="604" ht="14.25" customHeight="1">
      <c r="A604" s="171"/>
      <c r="B604" s="282"/>
      <c r="C604" s="171"/>
      <c r="D604" s="78"/>
      <c r="E604" s="78"/>
      <c r="F604" s="171"/>
      <c r="G604" s="173"/>
      <c r="H604" s="170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</row>
    <row r="605" ht="14.25" customHeight="1">
      <c r="A605" s="171"/>
      <c r="B605" s="282"/>
      <c r="C605" s="171"/>
      <c r="D605" s="78"/>
      <c r="E605" s="78"/>
      <c r="F605" s="171"/>
      <c r="G605" s="173"/>
      <c r="H605" s="170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</row>
    <row r="606" ht="14.25" customHeight="1">
      <c r="A606" s="171"/>
      <c r="B606" s="282"/>
      <c r="C606" s="171"/>
      <c r="D606" s="78"/>
      <c r="E606" s="78"/>
      <c r="F606" s="171"/>
      <c r="G606" s="173"/>
      <c r="H606" s="170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</row>
    <row r="607" ht="14.25" customHeight="1">
      <c r="A607" s="171"/>
      <c r="B607" s="282"/>
      <c r="C607" s="171"/>
      <c r="D607" s="78"/>
      <c r="E607" s="78"/>
      <c r="F607" s="171"/>
      <c r="G607" s="173"/>
      <c r="H607" s="170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</row>
    <row r="608" ht="14.25" customHeight="1">
      <c r="A608" s="171"/>
      <c r="B608" s="282"/>
      <c r="C608" s="171"/>
      <c r="D608" s="78"/>
      <c r="E608" s="78"/>
      <c r="F608" s="171"/>
      <c r="G608" s="173"/>
      <c r="H608" s="170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</row>
    <row r="609" ht="14.25" customHeight="1">
      <c r="A609" s="171"/>
      <c r="B609" s="282"/>
      <c r="C609" s="171"/>
      <c r="D609" s="78"/>
      <c r="E609" s="78"/>
      <c r="F609" s="171"/>
      <c r="G609" s="173"/>
      <c r="H609" s="170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</row>
    <row r="610" ht="14.25" customHeight="1">
      <c r="A610" s="171"/>
      <c r="B610" s="282"/>
      <c r="C610" s="171"/>
      <c r="D610" s="78"/>
      <c r="E610" s="78"/>
      <c r="F610" s="171"/>
      <c r="G610" s="173"/>
      <c r="H610" s="170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</row>
    <row r="611" ht="14.25" customHeight="1">
      <c r="A611" s="171"/>
      <c r="B611" s="282"/>
      <c r="C611" s="171"/>
      <c r="D611" s="78"/>
      <c r="E611" s="78"/>
      <c r="F611" s="171"/>
      <c r="G611" s="173"/>
      <c r="H611" s="170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</row>
    <row r="612" ht="14.25" customHeight="1">
      <c r="A612" s="171"/>
      <c r="B612" s="282"/>
      <c r="C612" s="171"/>
      <c r="D612" s="78"/>
      <c r="E612" s="78"/>
      <c r="F612" s="171"/>
      <c r="G612" s="173"/>
      <c r="H612" s="170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</row>
    <row r="613" ht="14.25" customHeight="1">
      <c r="A613" s="171"/>
      <c r="B613" s="282"/>
      <c r="C613" s="171"/>
      <c r="D613" s="78"/>
      <c r="E613" s="78"/>
      <c r="F613" s="171"/>
      <c r="G613" s="173"/>
      <c r="H613" s="170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</row>
    <row r="614" ht="14.25" customHeight="1">
      <c r="A614" s="171"/>
      <c r="B614" s="282"/>
      <c r="C614" s="171"/>
      <c r="D614" s="78"/>
      <c r="E614" s="78"/>
      <c r="F614" s="171"/>
      <c r="G614" s="173"/>
      <c r="H614" s="170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</row>
    <row r="615" ht="14.25" customHeight="1">
      <c r="A615" s="171"/>
      <c r="B615" s="282"/>
      <c r="C615" s="171"/>
      <c r="D615" s="78"/>
      <c r="E615" s="78"/>
      <c r="F615" s="171"/>
      <c r="G615" s="173"/>
      <c r="H615" s="170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</row>
    <row r="616" ht="14.25" customHeight="1">
      <c r="A616" s="171"/>
      <c r="B616" s="282"/>
      <c r="C616" s="171"/>
      <c r="D616" s="78"/>
      <c r="E616" s="78"/>
      <c r="F616" s="171"/>
      <c r="G616" s="173"/>
      <c r="H616" s="170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</row>
    <row r="617" ht="14.25" customHeight="1">
      <c r="A617" s="171"/>
      <c r="B617" s="282"/>
      <c r="C617" s="171"/>
      <c r="D617" s="78"/>
      <c r="E617" s="78"/>
      <c r="F617" s="171"/>
      <c r="G617" s="173"/>
      <c r="H617" s="170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</row>
    <row r="618" ht="14.25" customHeight="1">
      <c r="A618" s="171"/>
      <c r="B618" s="282"/>
      <c r="C618" s="171"/>
      <c r="D618" s="78"/>
      <c r="E618" s="78"/>
      <c r="F618" s="171"/>
      <c r="G618" s="173"/>
      <c r="H618" s="170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</row>
    <row r="619" ht="14.25" customHeight="1">
      <c r="A619" s="171"/>
      <c r="B619" s="282"/>
      <c r="C619" s="171"/>
      <c r="D619" s="78"/>
      <c r="E619" s="78"/>
      <c r="F619" s="171"/>
      <c r="G619" s="173"/>
      <c r="H619" s="170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</row>
    <row r="620" ht="14.25" customHeight="1">
      <c r="A620" s="171"/>
      <c r="B620" s="282"/>
      <c r="C620" s="171"/>
      <c r="D620" s="78"/>
      <c r="E620" s="78"/>
      <c r="F620" s="171"/>
      <c r="G620" s="173"/>
      <c r="H620" s="170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</row>
    <row r="621" ht="14.25" customHeight="1">
      <c r="A621" s="171"/>
      <c r="B621" s="282"/>
      <c r="C621" s="171"/>
      <c r="D621" s="78"/>
      <c r="E621" s="78"/>
      <c r="F621" s="171"/>
      <c r="G621" s="173"/>
      <c r="H621" s="170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</row>
    <row r="622" ht="14.25" customHeight="1">
      <c r="A622" s="171"/>
      <c r="B622" s="282"/>
      <c r="C622" s="171"/>
      <c r="D622" s="78"/>
      <c r="E622" s="78"/>
      <c r="F622" s="171"/>
      <c r="G622" s="173"/>
      <c r="H622" s="170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</row>
    <row r="623" ht="14.25" customHeight="1">
      <c r="A623" s="171"/>
      <c r="B623" s="282"/>
      <c r="C623" s="171"/>
      <c r="D623" s="78"/>
      <c r="E623" s="78"/>
      <c r="F623" s="171"/>
      <c r="G623" s="173"/>
      <c r="H623" s="170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</row>
    <row r="624" ht="14.25" customHeight="1">
      <c r="A624" s="171"/>
      <c r="B624" s="282"/>
      <c r="C624" s="171"/>
      <c r="D624" s="78"/>
      <c r="E624" s="78"/>
      <c r="F624" s="171"/>
      <c r="G624" s="173"/>
      <c r="H624" s="170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</row>
    <row r="625" ht="14.25" customHeight="1">
      <c r="A625" s="171"/>
      <c r="B625" s="282"/>
      <c r="C625" s="171"/>
      <c r="D625" s="78"/>
      <c r="E625" s="78"/>
      <c r="F625" s="171"/>
      <c r="G625" s="173"/>
      <c r="H625" s="170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</row>
    <row r="626" ht="14.25" customHeight="1">
      <c r="A626" s="171"/>
      <c r="B626" s="282"/>
      <c r="C626" s="171"/>
      <c r="D626" s="78"/>
      <c r="E626" s="78"/>
      <c r="F626" s="171"/>
      <c r="G626" s="173"/>
      <c r="H626" s="170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</row>
    <row r="627" ht="14.25" customHeight="1">
      <c r="A627" s="171"/>
      <c r="B627" s="282"/>
      <c r="C627" s="171"/>
      <c r="D627" s="78"/>
      <c r="E627" s="78"/>
      <c r="F627" s="171"/>
      <c r="G627" s="173"/>
      <c r="H627" s="170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</row>
    <row r="628" ht="14.25" customHeight="1">
      <c r="A628" s="171"/>
      <c r="B628" s="282"/>
      <c r="C628" s="171"/>
      <c r="D628" s="78"/>
      <c r="E628" s="78"/>
      <c r="F628" s="171"/>
      <c r="G628" s="173"/>
      <c r="H628" s="170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</row>
    <row r="629" ht="14.25" customHeight="1">
      <c r="A629" s="171"/>
      <c r="B629" s="282"/>
      <c r="C629" s="171"/>
      <c r="D629" s="78"/>
      <c r="E629" s="78"/>
      <c r="F629" s="171"/>
      <c r="G629" s="173"/>
      <c r="H629" s="170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</row>
    <row r="630" ht="14.25" customHeight="1">
      <c r="A630" s="171"/>
      <c r="B630" s="282"/>
      <c r="C630" s="171"/>
      <c r="D630" s="78"/>
      <c r="E630" s="78"/>
      <c r="F630" s="171"/>
      <c r="G630" s="173"/>
      <c r="H630" s="170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</row>
    <row r="631" ht="14.25" customHeight="1">
      <c r="A631" s="171"/>
      <c r="B631" s="282"/>
      <c r="C631" s="171"/>
      <c r="D631" s="78"/>
      <c r="E631" s="78"/>
      <c r="F631" s="171"/>
      <c r="G631" s="173"/>
      <c r="H631" s="170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</row>
    <row r="632" ht="14.25" customHeight="1">
      <c r="A632" s="171"/>
      <c r="B632" s="282"/>
      <c r="C632" s="171"/>
      <c r="D632" s="78"/>
      <c r="E632" s="78"/>
      <c r="F632" s="171"/>
      <c r="G632" s="173"/>
      <c r="H632" s="170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</row>
    <row r="633" ht="14.25" customHeight="1">
      <c r="A633" s="171"/>
      <c r="B633" s="282"/>
      <c r="C633" s="171"/>
      <c r="D633" s="78"/>
      <c r="E633" s="78"/>
      <c r="F633" s="171"/>
      <c r="G633" s="173"/>
      <c r="H633" s="170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</row>
    <row r="634" ht="14.25" customHeight="1">
      <c r="A634" s="171"/>
      <c r="B634" s="282"/>
      <c r="C634" s="171"/>
      <c r="D634" s="78"/>
      <c r="E634" s="78"/>
      <c r="F634" s="171"/>
      <c r="G634" s="173"/>
      <c r="H634" s="170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</row>
    <row r="635" ht="14.25" customHeight="1">
      <c r="A635" s="171"/>
      <c r="B635" s="282"/>
      <c r="C635" s="171"/>
      <c r="D635" s="78"/>
      <c r="E635" s="78"/>
      <c r="F635" s="171"/>
      <c r="G635" s="173"/>
      <c r="H635" s="170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</row>
    <row r="636" ht="14.25" customHeight="1">
      <c r="A636" s="171"/>
      <c r="B636" s="282"/>
      <c r="C636" s="171"/>
      <c r="D636" s="78"/>
      <c r="E636" s="78"/>
      <c r="F636" s="171"/>
      <c r="G636" s="173"/>
      <c r="H636" s="170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</row>
    <row r="637" ht="14.25" customHeight="1">
      <c r="A637" s="171"/>
      <c r="B637" s="282"/>
      <c r="C637" s="171"/>
      <c r="D637" s="78"/>
      <c r="E637" s="78"/>
      <c r="F637" s="171"/>
      <c r="G637" s="173"/>
      <c r="H637" s="170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</row>
    <row r="638" ht="14.25" customHeight="1">
      <c r="A638" s="171"/>
      <c r="B638" s="282"/>
      <c r="C638" s="171"/>
      <c r="D638" s="78"/>
      <c r="E638" s="78"/>
      <c r="F638" s="171"/>
      <c r="G638" s="173"/>
      <c r="H638" s="170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</row>
    <row r="639" ht="14.25" customHeight="1">
      <c r="A639" s="171"/>
      <c r="B639" s="282"/>
      <c r="C639" s="171"/>
      <c r="D639" s="78"/>
      <c r="E639" s="78"/>
      <c r="F639" s="171"/>
      <c r="G639" s="173"/>
      <c r="H639" s="170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</row>
    <row r="640" ht="14.25" customHeight="1">
      <c r="A640" s="171"/>
      <c r="B640" s="282"/>
      <c r="C640" s="171"/>
      <c r="D640" s="78"/>
      <c r="E640" s="78"/>
      <c r="F640" s="171"/>
      <c r="G640" s="173"/>
      <c r="H640" s="170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</row>
    <row r="641" ht="14.25" customHeight="1">
      <c r="A641" s="171"/>
      <c r="B641" s="282"/>
      <c r="C641" s="171"/>
      <c r="D641" s="78"/>
      <c r="E641" s="78"/>
      <c r="F641" s="171"/>
      <c r="G641" s="173"/>
      <c r="H641" s="170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</row>
    <row r="642" ht="14.25" customHeight="1">
      <c r="A642" s="171"/>
      <c r="B642" s="282"/>
      <c r="C642" s="171"/>
      <c r="D642" s="78"/>
      <c r="E642" s="78"/>
      <c r="F642" s="171"/>
      <c r="G642" s="173"/>
      <c r="H642" s="170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</row>
    <row r="643" ht="14.25" customHeight="1">
      <c r="A643" s="171"/>
      <c r="B643" s="282"/>
      <c r="C643" s="171"/>
      <c r="D643" s="78"/>
      <c r="E643" s="78"/>
      <c r="F643" s="171"/>
      <c r="G643" s="173"/>
      <c r="H643" s="170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</row>
    <row r="644" ht="14.25" customHeight="1">
      <c r="A644" s="171"/>
      <c r="B644" s="282"/>
      <c r="C644" s="171"/>
      <c r="D644" s="78"/>
      <c r="E644" s="78"/>
      <c r="F644" s="171"/>
      <c r="G644" s="173"/>
      <c r="H644" s="170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</row>
    <row r="645" ht="14.25" customHeight="1">
      <c r="A645" s="171"/>
      <c r="B645" s="282"/>
      <c r="C645" s="171"/>
      <c r="D645" s="78"/>
      <c r="E645" s="78"/>
      <c r="F645" s="171"/>
      <c r="G645" s="173"/>
      <c r="H645" s="170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</row>
    <row r="646" ht="14.25" customHeight="1">
      <c r="A646" s="171"/>
      <c r="B646" s="282"/>
      <c r="C646" s="171"/>
      <c r="D646" s="78"/>
      <c r="E646" s="78"/>
      <c r="F646" s="171"/>
      <c r="G646" s="173"/>
      <c r="H646" s="170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</row>
    <row r="647" ht="14.25" customHeight="1">
      <c r="A647" s="171"/>
      <c r="B647" s="282"/>
      <c r="C647" s="171"/>
      <c r="D647" s="78"/>
      <c r="E647" s="78"/>
      <c r="F647" s="171"/>
      <c r="G647" s="173"/>
      <c r="H647" s="170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</row>
    <row r="648" ht="14.25" customHeight="1">
      <c r="A648" s="171"/>
      <c r="B648" s="282"/>
      <c r="C648" s="171"/>
      <c r="D648" s="78"/>
      <c r="E648" s="78"/>
      <c r="F648" s="171"/>
      <c r="G648" s="173"/>
      <c r="H648" s="170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</row>
    <row r="649" ht="14.25" customHeight="1">
      <c r="A649" s="171"/>
      <c r="B649" s="282"/>
      <c r="C649" s="171"/>
      <c r="D649" s="78"/>
      <c r="E649" s="78"/>
      <c r="F649" s="171"/>
      <c r="G649" s="173"/>
      <c r="H649" s="170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</row>
    <row r="650" ht="14.25" customHeight="1">
      <c r="A650" s="171"/>
      <c r="B650" s="282"/>
      <c r="C650" s="171"/>
      <c r="D650" s="78"/>
      <c r="E650" s="78"/>
      <c r="F650" s="171"/>
      <c r="G650" s="173"/>
      <c r="H650" s="170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</row>
    <row r="651" ht="14.25" customHeight="1">
      <c r="A651" s="171"/>
      <c r="B651" s="282"/>
      <c r="C651" s="171"/>
      <c r="D651" s="78"/>
      <c r="E651" s="78"/>
      <c r="F651" s="171"/>
      <c r="G651" s="173"/>
      <c r="H651" s="170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</row>
    <row r="652" ht="14.25" customHeight="1">
      <c r="A652" s="171"/>
      <c r="B652" s="282"/>
      <c r="C652" s="171"/>
      <c r="D652" s="78"/>
      <c r="E652" s="78"/>
      <c r="F652" s="171"/>
      <c r="G652" s="173"/>
      <c r="H652" s="170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</row>
    <row r="653" ht="14.25" customHeight="1">
      <c r="A653" s="171"/>
      <c r="B653" s="282"/>
      <c r="C653" s="171"/>
      <c r="D653" s="78"/>
      <c r="E653" s="78"/>
      <c r="F653" s="171"/>
      <c r="G653" s="173"/>
      <c r="H653" s="170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</row>
    <row r="654" ht="14.25" customHeight="1">
      <c r="A654" s="171"/>
      <c r="B654" s="282"/>
      <c r="C654" s="171"/>
      <c r="D654" s="78"/>
      <c r="E654" s="78"/>
      <c r="F654" s="171"/>
      <c r="G654" s="173"/>
      <c r="H654" s="170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</row>
    <row r="655" ht="14.25" customHeight="1">
      <c r="A655" s="171"/>
      <c r="B655" s="282"/>
      <c r="C655" s="171"/>
      <c r="D655" s="78"/>
      <c r="E655" s="78"/>
      <c r="F655" s="171"/>
      <c r="G655" s="173"/>
      <c r="H655" s="170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</row>
    <row r="656" ht="14.25" customHeight="1">
      <c r="A656" s="171"/>
      <c r="B656" s="282"/>
      <c r="C656" s="171"/>
      <c r="D656" s="78"/>
      <c r="E656" s="78"/>
      <c r="F656" s="171"/>
      <c r="G656" s="173"/>
      <c r="H656" s="170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</row>
    <row r="657" ht="14.25" customHeight="1">
      <c r="A657" s="171"/>
      <c r="B657" s="282"/>
      <c r="C657" s="171"/>
      <c r="D657" s="78"/>
      <c r="E657" s="78"/>
      <c r="F657" s="171"/>
      <c r="G657" s="173"/>
      <c r="H657" s="170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</row>
    <row r="658" ht="14.25" customHeight="1">
      <c r="A658" s="171"/>
      <c r="B658" s="282"/>
      <c r="C658" s="171"/>
      <c r="D658" s="78"/>
      <c r="E658" s="78"/>
      <c r="F658" s="171"/>
      <c r="G658" s="173"/>
      <c r="H658" s="170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</row>
    <row r="659" ht="14.25" customHeight="1">
      <c r="A659" s="171"/>
      <c r="B659" s="282"/>
      <c r="C659" s="171"/>
      <c r="D659" s="78"/>
      <c r="E659" s="78"/>
      <c r="F659" s="171"/>
      <c r="G659" s="173"/>
      <c r="H659" s="170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</row>
    <row r="660" ht="14.25" customHeight="1">
      <c r="A660" s="171"/>
      <c r="B660" s="282"/>
      <c r="C660" s="171"/>
      <c r="D660" s="78"/>
      <c r="E660" s="78"/>
      <c r="F660" s="171"/>
      <c r="G660" s="173"/>
      <c r="H660" s="170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</row>
    <row r="661" ht="14.25" customHeight="1">
      <c r="A661" s="171"/>
      <c r="B661" s="282"/>
      <c r="C661" s="171"/>
      <c r="D661" s="78"/>
      <c r="E661" s="78"/>
      <c r="F661" s="171"/>
      <c r="G661" s="173"/>
      <c r="H661" s="170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</row>
    <row r="662" ht="14.25" customHeight="1">
      <c r="A662" s="171"/>
      <c r="B662" s="282"/>
      <c r="C662" s="171"/>
      <c r="D662" s="78"/>
      <c r="E662" s="78"/>
      <c r="F662" s="171"/>
      <c r="G662" s="173"/>
      <c r="H662" s="170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</row>
    <row r="663" ht="14.25" customHeight="1">
      <c r="A663" s="171"/>
      <c r="B663" s="282"/>
      <c r="C663" s="171"/>
      <c r="D663" s="78"/>
      <c r="E663" s="78"/>
      <c r="F663" s="171"/>
      <c r="G663" s="173"/>
      <c r="H663" s="170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</row>
    <row r="664" ht="14.25" customHeight="1">
      <c r="A664" s="171"/>
      <c r="B664" s="282"/>
      <c r="C664" s="171"/>
      <c r="D664" s="78"/>
      <c r="E664" s="78"/>
      <c r="F664" s="171"/>
      <c r="G664" s="173"/>
      <c r="H664" s="170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</row>
    <row r="665" ht="14.25" customHeight="1">
      <c r="A665" s="171"/>
      <c r="B665" s="282"/>
      <c r="C665" s="171"/>
      <c r="D665" s="78"/>
      <c r="E665" s="78"/>
      <c r="F665" s="171"/>
      <c r="G665" s="173"/>
      <c r="H665" s="170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</row>
    <row r="666" ht="14.25" customHeight="1">
      <c r="A666" s="171"/>
      <c r="B666" s="282"/>
      <c r="C666" s="171"/>
      <c r="D666" s="78"/>
      <c r="E666" s="78"/>
      <c r="F666" s="171"/>
      <c r="G666" s="173"/>
      <c r="H666" s="170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</row>
    <row r="667" ht="14.25" customHeight="1">
      <c r="A667" s="171"/>
      <c r="B667" s="282"/>
      <c r="C667" s="171"/>
      <c r="D667" s="78"/>
      <c r="E667" s="78"/>
      <c r="F667" s="171"/>
      <c r="G667" s="173"/>
      <c r="H667" s="170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</row>
    <row r="668" ht="14.25" customHeight="1">
      <c r="A668" s="171"/>
      <c r="B668" s="282"/>
      <c r="C668" s="171"/>
      <c r="D668" s="78"/>
      <c r="E668" s="78"/>
      <c r="F668" s="171"/>
      <c r="G668" s="173"/>
      <c r="H668" s="170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</row>
    <row r="669" ht="14.25" customHeight="1">
      <c r="A669" s="171"/>
      <c r="B669" s="282"/>
      <c r="C669" s="171"/>
      <c r="D669" s="78"/>
      <c r="E669" s="78"/>
      <c r="F669" s="171"/>
      <c r="G669" s="173"/>
      <c r="H669" s="170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</row>
    <row r="670" ht="14.25" customHeight="1">
      <c r="A670" s="171"/>
      <c r="B670" s="282"/>
      <c r="C670" s="171"/>
      <c r="D670" s="78"/>
      <c r="E670" s="78"/>
      <c r="F670" s="171"/>
      <c r="G670" s="173"/>
      <c r="H670" s="170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</row>
    <row r="671" ht="14.25" customHeight="1">
      <c r="A671" s="171"/>
      <c r="B671" s="282"/>
      <c r="C671" s="171"/>
      <c r="D671" s="78"/>
      <c r="E671" s="78"/>
      <c r="F671" s="171"/>
      <c r="G671" s="173"/>
      <c r="H671" s="170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</row>
    <row r="672" ht="14.25" customHeight="1">
      <c r="A672" s="171"/>
      <c r="B672" s="282"/>
      <c r="C672" s="171"/>
      <c r="D672" s="78"/>
      <c r="E672" s="78"/>
      <c r="F672" s="171"/>
      <c r="G672" s="173"/>
      <c r="H672" s="170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</row>
    <row r="673" ht="14.25" customHeight="1">
      <c r="A673" s="171"/>
      <c r="B673" s="282"/>
      <c r="C673" s="171"/>
      <c r="D673" s="78"/>
      <c r="E673" s="78"/>
      <c r="F673" s="171"/>
      <c r="G673" s="173"/>
      <c r="H673" s="170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</row>
    <row r="674" ht="14.25" customHeight="1">
      <c r="A674" s="171"/>
      <c r="B674" s="282"/>
      <c r="C674" s="171"/>
      <c r="D674" s="78"/>
      <c r="E674" s="78"/>
      <c r="F674" s="171"/>
      <c r="G674" s="173"/>
      <c r="H674" s="170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</row>
    <row r="675" ht="14.25" customHeight="1">
      <c r="A675" s="171"/>
      <c r="B675" s="282"/>
      <c r="C675" s="171"/>
      <c r="D675" s="78"/>
      <c r="E675" s="78"/>
      <c r="F675" s="171"/>
      <c r="G675" s="173"/>
      <c r="H675" s="170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</row>
    <row r="676" ht="14.25" customHeight="1">
      <c r="A676" s="171"/>
      <c r="B676" s="282"/>
      <c r="C676" s="171"/>
      <c r="D676" s="78"/>
      <c r="E676" s="78"/>
      <c r="F676" s="171"/>
      <c r="G676" s="173"/>
      <c r="H676" s="170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</row>
    <row r="677" ht="14.25" customHeight="1">
      <c r="A677" s="171"/>
      <c r="B677" s="282"/>
      <c r="C677" s="171"/>
      <c r="D677" s="78"/>
      <c r="E677" s="78"/>
      <c r="F677" s="171"/>
      <c r="G677" s="173"/>
      <c r="H677" s="170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</row>
    <row r="678" ht="14.25" customHeight="1">
      <c r="A678" s="171"/>
      <c r="B678" s="282"/>
      <c r="C678" s="171"/>
      <c r="D678" s="78"/>
      <c r="E678" s="78"/>
      <c r="F678" s="171"/>
      <c r="G678" s="173"/>
      <c r="H678" s="170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</row>
    <row r="679" ht="14.25" customHeight="1">
      <c r="A679" s="171"/>
      <c r="B679" s="282"/>
      <c r="C679" s="171"/>
      <c r="D679" s="78"/>
      <c r="E679" s="78"/>
      <c r="F679" s="171"/>
      <c r="G679" s="173"/>
      <c r="H679" s="170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</row>
    <row r="680" ht="14.25" customHeight="1">
      <c r="A680" s="171"/>
      <c r="B680" s="282"/>
      <c r="C680" s="171"/>
      <c r="D680" s="78"/>
      <c r="E680" s="78"/>
      <c r="F680" s="171"/>
      <c r="G680" s="173"/>
      <c r="H680" s="170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</row>
    <row r="681" ht="14.25" customHeight="1">
      <c r="A681" s="171"/>
      <c r="B681" s="282"/>
      <c r="C681" s="171"/>
      <c r="D681" s="78"/>
      <c r="E681" s="78"/>
      <c r="F681" s="171"/>
      <c r="G681" s="173"/>
      <c r="H681" s="170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</row>
    <row r="682" ht="14.25" customHeight="1">
      <c r="A682" s="171"/>
      <c r="B682" s="282"/>
      <c r="C682" s="171"/>
      <c r="D682" s="78"/>
      <c r="E682" s="78"/>
      <c r="F682" s="171"/>
      <c r="G682" s="173"/>
      <c r="H682" s="170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</row>
    <row r="683" ht="14.25" customHeight="1">
      <c r="A683" s="171"/>
      <c r="B683" s="282"/>
      <c r="C683" s="171"/>
      <c r="D683" s="78"/>
      <c r="E683" s="78"/>
      <c r="F683" s="171"/>
      <c r="G683" s="173"/>
      <c r="H683" s="170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</row>
    <row r="684" ht="14.25" customHeight="1">
      <c r="A684" s="171"/>
      <c r="B684" s="282"/>
      <c r="C684" s="171"/>
      <c r="D684" s="78"/>
      <c r="E684" s="78"/>
      <c r="F684" s="171"/>
      <c r="G684" s="173"/>
      <c r="H684" s="170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</row>
    <row r="685" ht="14.25" customHeight="1">
      <c r="A685" s="171"/>
      <c r="B685" s="282"/>
      <c r="C685" s="171"/>
      <c r="D685" s="78"/>
      <c r="E685" s="78"/>
      <c r="F685" s="171"/>
      <c r="G685" s="173"/>
      <c r="H685" s="170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</row>
    <row r="686" ht="14.25" customHeight="1">
      <c r="A686" s="171"/>
      <c r="B686" s="282"/>
      <c r="C686" s="171"/>
      <c r="D686" s="78"/>
      <c r="E686" s="78"/>
      <c r="F686" s="171"/>
      <c r="G686" s="173"/>
      <c r="H686" s="170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</row>
    <row r="687" ht="14.25" customHeight="1">
      <c r="A687" s="171"/>
      <c r="B687" s="282"/>
      <c r="C687" s="171"/>
      <c r="D687" s="78"/>
      <c r="E687" s="78"/>
      <c r="F687" s="171"/>
      <c r="G687" s="173"/>
      <c r="H687" s="170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</row>
    <row r="688" ht="14.25" customHeight="1">
      <c r="A688" s="171"/>
      <c r="B688" s="282"/>
      <c r="C688" s="171"/>
      <c r="D688" s="78"/>
      <c r="E688" s="78"/>
      <c r="F688" s="171"/>
      <c r="G688" s="173"/>
      <c r="H688" s="170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</row>
    <row r="689" ht="14.25" customHeight="1">
      <c r="A689" s="171"/>
      <c r="B689" s="282"/>
      <c r="C689" s="171"/>
      <c r="D689" s="78"/>
      <c r="E689" s="78"/>
      <c r="F689" s="171"/>
      <c r="G689" s="173"/>
      <c r="H689" s="170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</row>
    <row r="690" ht="14.25" customHeight="1">
      <c r="A690" s="171"/>
      <c r="B690" s="282"/>
      <c r="C690" s="171"/>
      <c r="D690" s="78"/>
      <c r="E690" s="78"/>
      <c r="F690" s="171"/>
      <c r="G690" s="173"/>
      <c r="H690" s="170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</row>
    <row r="691" ht="14.25" customHeight="1">
      <c r="A691" s="171"/>
      <c r="B691" s="282"/>
      <c r="C691" s="171"/>
      <c r="D691" s="78"/>
      <c r="E691" s="78"/>
      <c r="F691" s="171"/>
      <c r="G691" s="173"/>
      <c r="H691" s="170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</row>
    <row r="692" ht="14.25" customHeight="1">
      <c r="A692" s="171"/>
      <c r="B692" s="282"/>
      <c r="C692" s="171"/>
      <c r="D692" s="78"/>
      <c r="E692" s="78"/>
      <c r="F692" s="171"/>
      <c r="G692" s="173"/>
      <c r="H692" s="170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</row>
    <row r="693" ht="14.25" customHeight="1">
      <c r="A693" s="171"/>
      <c r="B693" s="282"/>
      <c r="C693" s="171"/>
      <c r="D693" s="78"/>
      <c r="E693" s="78"/>
      <c r="F693" s="171"/>
      <c r="G693" s="173"/>
      <c r="H693" s="170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</row>
    <row r="694" ht="14.25" customHeight="1">
      <c r="A694" s="171"/>
      <c r="B694" s="282"/>
      <c r="C694" s="171"/>
      <c r="D694" s="78"/>
      <c r="E694" s="78"/>
      <c r="F694" s="171"/>
      <c r="G694" s="173"/>
      <c r="H694" s="170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</row>
    <row r="695" ht="14.25" customHeight="1">
      <c r="A695" s="171"/>
      <c r="B695" s="282"/>
      <c r="C695" s="171"/>
      <c r="D695" s="78"/>
      <c r="E695" s="78"/>
      <c r="F695" s="171"/>
      <c r="G695" s="173"/>
      <c r="H695" s="170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</row>
    <row r="696" ht="14.25" customHeight="1">
      <c r="A696" s="171"/>
      <c r="B696" s="282"/>
      <c r="C696" s="171"/>
      <c r="D696" s="78"/>
      <c r="E696" s="78"/>
      <c r="F696" s="171"/>
      <c r="G696" s="173"/>
      <c r="H696" s="170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</row>
    <row r="697" ht="14.25" customHeight="1">
      <c r="A697" s="171"/>
      <c r="B697" s="282"/>
      <c r="C697" s="171"/>
      <c r="D697" s="78"/>
      <c r="E697" s="78"/>
      <c r="F697" s="171"/>
      <c r="G697" s="173"/>
      <c r="H697" s="170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</row>
    <row r="698" ht="14.25" customHeight="1">
      <c r="A698" s="171"/>
      <c r="B698" s="282"/>
      <c r="C698" s="171"/>
      <c r="D698" s="78"/>
      <c r="E698" s="78"/>
      <c r="F698" s="171"/>
      <c r="G698" s="173"/>
      <c r="H698" s="170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</row>
    <row r="699" ht="14.25" customHeight="1">
      <c r="A699" s="171"/>
      <c r="B699" s="282"/>
      <c r="C699" s="171"/>
      <c r="D699" s="78"/>
      <c r="E699" s="78"/>
      <c r="F699" s="171"/>
      <c r="G699" s="173"/>
      <c r="H699" s="170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</row>
    <row r="700" ht="14.25" customHeight="1">
      <c r="A700" s="171"/>
      <c r="B700" s="282"/>
      <c r="C700" s="171"/>
      <c r="D700" s="78"/>
      <c r="E700" s="78"/>
      <c r="F700" s="171"/>
      <c r="G700" s="173"/>
      <c r="H700" s="170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</row>
    <row r="701" ht="14.25" customHeight="1">
      <c r="A701" s="171"/>
      <c r="B701" s="282"/>
      <c r="C701" s="171"/>
      <c r="D701" s="78"/>
      <c r="E701" s="78"/>
      <c r="F701" s="171"/>
      <c r="G701" s="173"/>
      <c r="H701" s="170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</row>
    <row r="702" ht="14.25" customHeight="1">
      <c r="A702" s="171"/>
      <c r="B702" s="282"/>
      <c r="C702" s="171"/>
      <c r="D702" s="78"/>
      <c r="E702" s="78"/>
      <c r="F702" s="171"/>
      <c r="G702" s="173"/>
      <c r="H702" s="170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</row>
    <row r="703" ht="14.25" customHeight="1">
      <c r="A703" s="171"/>
      <c r="B703" s="282"/>
      <c r="C703" s="171"/>
      <c r="D703" s="78"/>
      <c r="E703" s="78"/>
      <c r="F703" s="171"/>
      <c r="G703" s="173"/>
      <c r="H703" s="170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</row>
    <row r="704" ht="14.25" customHeight="1">
      <c r="A704" s="171"/>
      <c r="B704" s="282"/>
      <c r="C704" s="171"/>
      <c r="D704" s="78"/>
      <c r="E704" s="78"/>
      <c r="F704" s="171"/>
      <c r="G704" s="173"/>
      <c r="H704" s="170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</row>
    <row r="705" ht="14.25" customHeight="1">
      <c r="A705" s="171"/>
      <c r="B705" s="282"/>
      <c r="C705" s="171"/>
      <c r="D705" s="78"/>
      <c r="E705" s="78"/>
      <c r="F705" s="171"/>
      <c r="G705" s="173"/>
      <c r="H705" s="170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</row>
    <row r="706" ht="14.25" customHeight="1">
      <c r="A706" s="171"/>
      <c r="B706" s="282"/>
      <c r="C706" s="171"/>
      <c r="D706" s="78"/>
      <c r="E706" s="78"/>
      <c r="F706" s="171"/>
      <c r="G706" s="173"/>
      <c r="H706" s="170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</row>
    <row r="707" ht="14.25" customHeight="1">
      <c r="A707" s="171"/>
      <c r="B707" s="282"/>
      <c r="C707" s="171"/>
      <c r="D707" s="78"/>
      <c r="E707" s="78"/>
      <c r="F707" s="171"/>
      <c r="G707" s="173"/>
      <c r="H707" s="170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</row>
    <row r="708" ht="14.25" customHeight="1">
      <c r="A708" s="171"/>
      <c r="B708" s="282"/>
      <c r="C708" s="171"/>
      <c r="D708" s="78"/>
      <c r="E708" s="78"/>
      <c r="F708" s="171"/>
      <c r="G708" s="173"/>
      <c r="H708" s="170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</row>
    <row r="709" ht="14.25" customHeight="1">
      <c r="A709" s="171"/>
      <c r="B709" s="282"/>
      <c r="C709" s="171"/>
      <c r="D709" s="78"/>
      <c r="E709" s="78"/>
      <c r="F709" s="171"/>
      <c r="G709" s="173"/>
      <c r="H709" s="170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</row>
    <row r="710" ht="14.25" customHeight="1">
      <c r="A710" s="171"/>
      <c r="B710" s="282"/>
      <c r="C710" s="171"/>
      <c r="D710" s="78"/>
      <c r="E710" s="78"/>
      <c r="F710" s="171"/>
      <c r="G710" s="173"/>
      <c r="H710" s="170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</row>
    <row r="711" ht="14.25" customHeight="1">
      <c r="A711" s="171"/>
      <c r="B711" s="282"/>
      <c r="C711" s="171"/>
      <c r="D711" s="78"/>
      <c r="E711" s="78"/>
      <c r="F711" s="171"/>
      <c r="G711" s="173"/>
      <c r="H711" s="170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</row>
    <row r="712" ht="14.25" customHeight="1">
      <c r="A712" s="171"/>
      <c r="B712" s="282"/>
      <c r="C712" s="171"/>
      <c r="D712" s="78"/>
      <c r="E712" s="78"/>
      <c r="F712" s="171"/>
      <c r="G712" s="173"/>
      <c r="H712" s="170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</row>
    <row r="713" ht="14.25" customHeight="1">
      <c r="A713" s="171"/>
      <c r="B713" s="282"/>
      <c r="C713" s="171"/>
      <c r="D713" s="78"/>
      <c r="E713" s="78"/>
      <c r="F713" s="171"/>
      <c r="G713" s="173"/>
      <c r="H713" s="170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</row>
    <row r="714" ht="14.25" customHeight="1">
      <c r="A714" s="171"/>
      <c r="B714" s="282"/>
      <c r="C714" s="171"/>
      <c r="D714" s="78"/>
      <c r="E714" s="78"/>
      <c r="F714" s="171"/>
      <c r="G714" s="173"/>
      <c r="H714" s="170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</row>
    <row r="715" ht="14.25" customHeight="1">
      <c r="A715" s="171"/>
      <c r="B715" s="282"/>
      <c r="C715" s="171"/>
      <c r="D715" s="78"/>
      <c r="E715" s="78"/>
      <c r="F715" s="171"/>
      <c r="G715" s="173"/>
      <c r="H715" s="170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</row>
    <row r="716" ht="14.25" customHeight="1">
      <c r="A716" s="171"/>
      <c r="B716" s="282"/>
      <c r="C716" s="171"/>
      <c r="D716" s="78"/>
      <c r="E716" s="78"/>
      <c r="F716" s="171"/>
      <c r="G716" s="173"/>
      <c r="H716" s="170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</row>
    <row r="717" ht="14.25" customHeight="1">
      <c r="A717" s="171"/>
      <c r="B717" s="282"/>
      <c r="C717" s="171"/>
      <c r="D717" s="78"/>
      <c r="E717" s="78"/>
      <c r="F717" s="171"/>
      <c r="G717" s="173"/>
      <c r="H717" s="170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</row>
    <row r="718" ht="14.25" customHeight="1">
      <c r="A718" s="171"/>
      <c r="B718" s="282"/>
      <c r="C718" s="171"/>
      <c r="D718" s="78"/>
      <c r="E718" s="78"/>
      <c r="F718" s="171"/>
      <c r="G718" s="173"/>
      <c r="H718" s="170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</row>
    <row r="719" ht="14.25" customHeight="1">
      <c r="A719" s="171"/>
      <c r="B719" s="282"/>
      <c r="C719" s="171"/>
      <c r="D719" s="78"/>
      <c r="E719" s="78"/>
      <c r="F719" s="171"/>
      <c r="G719" s="173"/>
      <c r="H719" s="170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</row>
    <row r="720" ht="14.25" customHeight="1">
      <c r="A720" s="171"/>
      <c r="B720" s="282"/>
      <c r="C720" s="171"/>
      <c r="D720" s="78"/>
      <c r="E720" s="78"/>
      <c r="F720" s="171"/>
      <c r="G720" s="173"/>
      <c r="H720" s="170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</row>
    <row r="721" ht="14.25" customHeight="1">
      <c r="A721" s="171"/>
      <c r="B721" s="282"/>
      <c r="C721" s="171"/>
      <c r="D721" s="78"/>
      <c r="E721" s="78"/>
      <c r="F721" s="171"/>
      <c r="G721" s="173"/>
      <c r="H721" s="170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</row>
    <row r="722" ht="14.25" customHeight="1">
      <c r="A722" s="171"/>
      <c r="B722" s="282"/>
      <c r="C722" s="171"/>
      <c r="D722" s="78"/>
      <c r="E722" s="78"/>
      <c r="F722" s="171"/>
      <c r="G722" s="173"/>
      <c r="H722" s="170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</row>
    <row r="723" ht="14.25" customHeight="1">
      <c r="A723" s="171"/>
      <c r="B723" s="282"/>
      <c r="C723" s="171"/>
      <c r="D723" s="78"/>
      <c r="E723" s="78"/>
      <c r="F723" s="171"/>
      <c r="G723" s="173"/>
      <c r="H723" s="170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</row>
    <row r="724" ht="14.25" customHeight="1">
      <c r="A724" s="171"/>
      <c r="B724" s="282"/>
      <c r="C724" s="171"/>
      <c r="D724" s="78"/>
      <c r="E724" s="78"/>
      <c r="F724" s="171"/>
      <c r="G724" s="173"/>
      <c r="H724" s="170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</row>
    <row r="725" ht="14.25" customHeight="1">
      <c r="A725" s="171"/>
      <c r="B725" s="282"/>
      <c r="C725" s="171"/>
      <c r="D725" s="78"/>
      <c r="E725" s="78"/>
      <c r="F725" s="171"/>
      <c r="G725" s="173"/>
      <c r="H725" s="170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</row>
    <row r="726" ht="14.25" customHeight="1">
      <c r="A726" s="171"/>
      <c r="B726" s="282"/>
      <c r="C726" s="171"/>
      <c r="D726" s="78"/>
      <c r="E726" s="78"/>
      <c r="F726" s="171"/>
      <c r="G726" s="173"/>
      <c r="H726" s="170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</row>
    <row r="727" ht="14.25" customHeight="1">
      <c r="A727" s="171"/>
      <c r="B727" s="282"/>
      <c r="C727" s="171"/>
      <c r="D727" s="78"/>
      <c r="E727" s="78"/>
      <c r="F727" s="171"/>
      <c r="G727" s="173"/>
      <c r="H727" s="170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</row>
    <row r="728" ht="14.25" customHeight="1">
      <c r="A728" s="171"/>
      <c r="B728" s="282"/>
      <c r="C728" s="171"/>
      <c r="D728" s="78"/>
      <c r="E728" s="78"/>
      <c r="F728" s="171"/>
      <c r="G728" s="173"/>
      <c r="H728" s="170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</row>
    <row r="729" ht="14.25" customHeight="1">
      <c r="A729" s="171"/>
      <c r="B729" s="282"/>
      <c r="C729" s="171"/>
      <c r="D729" s="78"/>
      <c r="E729" s="78"/>
      <c r="F729" s="171"/>
      <c r="G729" s="173"/>
      <c r="H729" s="170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</row>
    <row r="730" ht="14.25" customHeight="1">
      <c r="A730" s="171"/>
      <c r="B730" s="282"/>
      <c r="C730" s="171"/>
      <c r="D730" s="78"/>
      <c r="E730" s="78"/>
      <c r="F730" s="171"/>
      <c r="G730" s="173"/>
      <c r="H730" s="170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</row>
    <row r="731" ht="14.25" customHeight="1">
      <c r="A731" s="171"/>
      <c r="B731" s="282"/>
      <c r="C731" s="171"/>
      <c r="D731" s="78"/>
      <c r="E731" s="78"/>
      <c r="F731" s="171"/>
      <c r="G731" s="173"/>
      <c r="H731" s="170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</row>
    <row r="732" ht="14.25" customHeight="1">
      <c r="A732" s="171"/>
      <c r="B732" s="282"/>
      <c r="C732" s="171"/>
      <c r="D732" s="78"/>
      <c r="E732" s="78"/>
      <c r="F732" s="171"/>
      <c r="G732" s="173"/>
      <c r="H732" s="170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</row>
    <row r="733" ht="14.25" customHeight="1">
      <c r="A733" s="171"/>
      <c r="B733" s="282"/>
      <c r="C733" s="171"/>
      <c r="D733" s="78"/>
      <c r="E733" s="78"/>
      <c r="F733" s="171"/>
      <c r="G733" s="173"/>
      <c r="H733" s="170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</row>
    <row r="734" ht="14.25" customHeight="1">
      <c r="A734" s="171"/>
      <c r="B734" s="282"/>
      <c r="C734" s="171"/>
      <c r="D734" s="78"/>
      <c r="E734" s="78"/>
      <c r="F734" s="171"/>
      <c r="G734" s="173"/>
      <c r="H734" s="170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</row>
    <row r="735" ht="14.25" customHeight="1">
      <c r="A735" s="171"/>
      <c r="B735" s="282"/>
      <c r="C735" s="171"/>
      <c r="D735" s="78"/>
      <c r="E735" s="78"/>
      <c r="F735" s="171"/>
      <c r="G735" s="173"/>
      <c r="H735" s="170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</row>
    <row r="736" ht="14.25" customHeight="1">
      <c r="A736" s="171"/>
      <c r="B736" s="282"/>
      <c r="C736" s="171"/>
      <c r="D736" s="78"/>
      <c r="E736" s="78"/>
      <c r="F736" s="171"/>
      <c r="G736" s="173"/>
      <c r="H736" s="170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</row>
    <row r="737" ht="14.25" customHeight="1">
      <c r="A737" s="171"/>
      <c r="B737" s="282"/>
      <c r="C737" s="171"/>
      <c r="D737" s="78"/>
      <c r="E737" s="78"/>
      <c r="F737" s="171"/>
      <c r="G737" s="173"/>
      <c r="H737" s="170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</row>
    <row r="738" ht="14.25" customHeight="1">
      <c r="A738" s="171"/>
      <c r="B738" s="282"/>
      <c r="C738" s="171"/>
      <c r="D738" s="78"/>
      <c r="E738" s="78"/>
      <c r="F738" s="171"/>
      <c r="G738" s="173"/>
      <c r="H738" s="170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</row>
    <row r="739" ht="14.25" customHeight="1">
      <c r="A739" s="171"/>
      <c r="B739" s="282"/>
      <c r="C739" s="171"/>
      <c r="D739" s="78"/>
      <c r="E739" s="78"/>
      <c r="F739" s="171"/>
      <c r="G739" s="173"/>
      <c r="H739" s="170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</row>
    <row r="740" ht="14.25" customHeight="1">
      <c r="A740" s="171"/>
      <c r="B740" s="282"/>
      <c r="C740" s="171"/>
      <c r="D740" s="78"/>
      <c r="E740" s="78"/>
      <c r="F740" s="171"/>
      <c r="G740" s="173"/>
      <c r="H740" s="170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</row>
    <row r="741" ht="14.25" customHeight="1">
      <c r="A741" s="171"/>
      <c r="B741" s="282"/>
      <c r="C741" s="171"/>
      <c r="D741" s="78"/>
      <c r="E741" s="78"/>
      <c r="F741" s="171"/>
      <c r="G741" s="173"/>
      <c r="H741" s="170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</row>
    <row r="742" ht="14.25" customHeight="1">
      <c r="A742" s="171"/>
      <c r="B742" s="282"/>
      <c r="C742" s="171"/>
      <c r="D742" s="78"/>
      <c r="E742" s="78"/>
      <c r="F742" s="171"/>
      <c r="G742" s="173"/>
      <c r="H742" s="170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</row>
    <row r="743" ht="14.25" customHeight="1">
      <c r="A743" s="171"/>
      <c r="B743" s="282"/>
      <c r="C743" s="171"/>
      <c r="D743" s="78"/>
      <c r="E743" s="78"/>
      <c r="F743" s="171"/>
      <c r="G743" s="173"/>
      <c r="H743" s="170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</row>
    <row r="744" ht="14.25" customHeight="1">
      <c r="A744" s="171"/>
      <c r="B744" s="282"/>
      <c r="C744" s="171"/>
      <c r="D744" s="78"/>
      <c r="E744" s="78"/>
      <c r="F744" s="171"/>
      <c r="G744" s="173"/>
      <c r="H744" s="170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</row>
    <row r="745" ht="14.25" customHeight="1">
      <c r="A745" s="171"/>
      <c r="B745" s="282"/>
      <c r="C745" s="171"/>
      <c r="D745" s="78"/>
      <c r="E745" s="78"/>
      <c r="F745" s="171"/>
      <c r="G745" s="173"/>
      <c r="H745" s="170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</row>
    <row r="746" ht="14.25" customHeight="1">
      <c r="A746" s="171"/>
      <c r="B746" s="282"/>
      <c r="C746" s="171"/>
      <c r="D746" s="78"/>
      <c r="E746" s="78"/>
      <c r="F746" s="171"/>
      <c r="G746" s="173"/>
      <c r="H746" s="170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</row>
    <row r="747" ht="14.25" customHeight="1">
      <c r="A747" s="171"/>
      <c r="B747" s="282"/>
      <c r="C747" s="171"/>
      <c r="D747" s="78"/>
      <c r="E747" s="78"/>
      <c r="F747" s="171"/>
      <c r="G747" s="173"/>
      <c r="H747" s="170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</row>
    <row r="748" ht="14.25" customHeight="1">
      <c r="A748" s="171"/>
      <c r="B748" s="282"/>
      <c r="C748" s="171"/>
      <c r="D748" s="78"/>
      <c r="E748" s="78"/>
      <c r="F748" s="171"/>
      <c r="G748" s="173"/>
      <c r="H748" s="170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</row>
    <row r="749" ht="14.25" customHeight="1">
      <c r="A749" s="171"/>
      <c r="B749" s="282"/>
      <c r="C749" s="171"/>
      <c r="D749" s="78"/>
      <c r="E749" s="78"/>
      <c r="F749" s="171"/>
      <c r="G749" s="173"/>
      <c r="H749" s="170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</row>
    <row r="750" ht="14.25" customHeight="1">
      <c r="A750" s="171"/>
      <c r="B750" s="282"/>
      <c r="C750" s="171"/>
      <c r="D750" s="78"/>
      <c r="E750" s="78"/>
      <c r="F750" s="171"/>
      <c r="G750" s="173"/>
      <c r="H750" s="170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</row>
    <row r="751" ht="14.25" customHeight="1">
      <c r="A751" s="171"/>
      <c r="B751" s="282"/>
      <c r="C751" s="171"/>
      <c r="D751" s="78"/>
      <c r="E751" s="78"/>
      <c r="F751" s="171"/>
      <c r="G751" s="173"/>
      <c r="H751" s="170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</row>
    <row r="752" ht="14.25" customHeight="1">
      <c r="A752" s="171"/>
      <c r="B752" s="282"/>
      <c r="C752" s="171"/>
      <c r="D752" s="78"/>
      <c r="E752" s="78"/>
      <c r="F752" s="171"/>
      <c r="G752" s="173"/>
      <c r="H752" s="170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</row>
    <row r="753" ht="14.25" customHeight="1">
      <c r="A753" s="171"/>
      <c r="B753" s="282"/>
      <c r="C753" s="171"/>
      <c r="D753" s="78"/>
      <c r="E753" s="78"/>
      <c r="F753" s="171"/>
      <c r="G753" s="173"/>
      <c r="H753" s="170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</row>
    <row r="754" ht="14.25" customHeight="1">
      <c r="A754" s="171"/>
      <c r="B754" s="282"/>
      <c r="C754" s="171"/>
      <c r="D754" s="78"/>
      <c r="E754" s="78"/>
      <c r="F754" s="171"/>
      <c r="G754" s="173"/>
      <c r="H754" s="170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</row>
    <row r="755" ht="14.25" customHeight="1">
      <c r="A755" s="171"/>
      <c r="B755" s="282"/>
      <c r="C755" s="171"/>
      <c r="D755" s="78"/>
      <c r="E755" s="78"/>
      <c r="F755" s="171"/>
      <c r="G755" s="173"/>
      <c r="H755" s="170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</row>
    <row r="756" ht="14.25" customHeight="1">
      <c r="A756" s="171"/>
      <c r="B756" s="282"/>
      <c r="C756" s="171"/>
      <c r="D756" s="78"/>
      <c r="E756" s="78"/>
      <c r="F756" s="171"/>
      <c r="G756" s="173"/>
      <c r="H756" s="170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</row>
    <row r="757" ht="14.25" customHeight="1">
      <c r="A757" s="171"/>
      <c r="B757" s="282"/>
      <c r="C757" s="171"/>
      <c r="D757" s="78"/>
      <c r="E757" s="78"/>
      <c r="F757" s="171"/>
      <c r="G757" s="173"/>
      <c r="H757" s="170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</row>
    <row r="758" ht="14.25" customHeight="1">
      <c r="A758" s="171"/>
      <c r="B758" s="282"/>
      <c r="C758" s="171"/>
      <c r="D758" s="78"/>
      <c r="E758" s="78"/>
      <c r="F758" s="171"/>
      <c r="G758" s="173"/>
      <c r="H758" s="170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</row>
    <row r="759" ht="14.25" customHeight="1">
      <c r="A759" s="171"/>
      <c r="B759" s="282"/>
      <c r="C759" s="171"/>
      <c r="D759" s="78"/>
      <c r="E759" s="78"/>
      <c r="F759" s="171"/>
      <c r="G759" s="173"/>
      <c r="H759" s="170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</row>
    <row r="760" ht="14.25" customHeight="1">
      <c r="A760" s="171"/>
      <c r="B760" s="282"/>
      <c r="C760" s="171"/>
      <c r="D760" s="78"/>
      <c r="E760" s="78"/>
      <c r="F760" s="171"/>
      <c r="G760" s="173"/>
      <c r="H760" s="170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</row>
    <row r="761" ht="14.25" customHeight="1">
      <c r="A761" s="171"/>
      <c r="B761" s="282"/>
      <c r="C761" s="171"/>
      <c r="D761" s="78"/>
      <c r="E761" s="78"/>
      <c r="F761" s="171"/>
      <c r="G761" s="173"/>
      <c r="H761" s="170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</row>
    <row r="762" ht="14.25" customHeight="1">
      <c r="A762" s="171"/>
      <c r="B762" s="282"/>
      <c r="C762" s="171"/>
      <c r="D762" s="78"/>
      <c r="E762" s="78"/>
      <c r="F762" s="171"/>
      <c r="G762" s="173"/>
      <c r="H762" s="170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</row>
    <row r="763" ht="14.25" customHeight="1">
      <c r="A763" s="171"/>
      <c r="B763" s="282"/>
      <c r="C763" s="171"/>
      <c r="D763" s="78"/>
      <c r="E763" s="78"/>
      <c r="F763" s="171"/>
      <c r="G763" s="173"/>
      <c r="H763" s="170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</row>
    <row r="764" ht="14.25" customHeight="1">
      <c r="A764" s="171"/>
      <c r="B764" s="282"/>
      <c r="C764" s="171"/>
      <c r="D764" s="78"/>
      <c r="E764" s="78"/>
      <c r="F764" s="171"/>
      <c r="G764" s="173"/>
      <c r="H764" s="170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</row>
    <row r="765" ht="14.25" customHeight="1">
      <c r="A765" s="171"/>
      <c r="B765" s="282"/>
      <c r="C765" s="171"/>
      <c r="D765" s="78"/>
      <c r="E765" s="78"/>
      <c r="F765" s="171"/>
      <c r="G765" s="173"/>
      <c r="H765" s="170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</row>
    <row r="766" ht="14.25" customHeight="1">
      <c r="A766" s="171"/>
      <c r="B766" s="282"/>
      <c r="C766" s="171"/>
      <c r="D766" s="78"/>
      <c r="E766" s="78"/>
      <c r="F766" s="171"/>
      <c r="G766" s="173"/>
      <c r="H766" s="170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</row>
    <row r="767" ht="14.25" customHeight="1">
      <c r="A767" s="171"/>
      <c r="B767" s="282"/>
      <c r="C767" s="171"/>
      <c r="D767" s="78"/>
      <c r="E767" s="78"/>
      <c r="F767" s="171"/>
      <c r="G767" s="173"/>
      <c r="H767" s="170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</row>
    <row r="768" ht="14.25" customHeight="1">
      <c r="A768" s="171"/>
      <c r="B768" s="282"/>
      <c r="C768" s="171"/>
      <c r="D768" s="78"/>
      <c r="E768" s="78"/>
      <c r="F768" s="171"/>
      <c r="G768" s="173"/>
      <c r="H768" s="170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</row>
    <row r="769" ht="14.25" customHeight="1">
      <c r="A769" s="171"/>
      <c r="B769" s="282"/>
      <c r="C769" s="171"/>
      <c r="D769" s="78"/>
      <c r="E769" s="78"/>
      <c r="F769" s="171"/>
      <c r="G769" s="173"/>
      <c r="H769" s="170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</row>
    <row r="770" ht="14.25" customHeight="1">
      <c r="A770" s="171"/>
      <c r="B770" s="282"/>
      <c r="C770" s="171"/>
      <c r="D770" s="78"/>
      <c r="E770" s="78"/>
      <c r="F770" s="171"/>
      <c r="G770" s="173"/>
      <c r="H770" s="170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</row>
    <row r="771" ht="14.25" customHeight="1">
      <c r="A771" s="171"/>
      <c r="B771" s="282"/>
      <c r="C771" s="171"/>
      <c r="D771" s="78"/>
      <c r="E771" s="78"/>
      <c r="F771" s="171"/>
      <c r="G771" s="173"/>
      <c r="H771" s="170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</row>
    <row r="772" ht="14.25" customHeight="1">
      <c r="A772" s="171"/>
      <c r="B772" s="282"/>
      <c r="C772" s="171"/>
      <c r="D772" s="78"/>
      <c r="E772" s="78"/>
      <c r="F772" s="171"/>
      <c r="G772" s="173"/>
      <c r="H772" s="170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</row>
    <row r="773" ht="14.25" customHeight="1">
      <c r="A773" s="171"/>
      <c r="B773" s="282"/>
      <c r="C773" s="171"/>
      <c r="D773" s="78"/>
      <c r="E773" s="78"/>
      <c r="F773" s="171"/>
      <c r="G773" s="173"/>
      <c r="H773" s="170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</row>
    <row r="774" ht="14.25" customHeight="1">
      <c r="A774" s="171"/>
      <c r="B774" s="282"/>
      <c r="C774" s="171"/>
      <c r="D774" s="78"/>
      <c r="E774" s="78"/>
      <c r="F774" s="171"/>
      <c r="G774" s="173"/>
      <c r="H774" s="170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</row>
    <row r="775" ht="14.25" customHeight="1">
      <c r="A775" s="171"/>
      <c r="B775" s="282"/>
      <c r="C775" s="171"/>
      <c r="D775" s="78"/>
      <c r="E775" s="78"/>
      <c r="F775" s="171"/>
      <c r="G775" s="173"/>
      <c r="H775" s="170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</row>
    <row r="776" ht="14.25" customHeight="1">
      <c r="A776" s="171"/>
      <c r="B776" s="282"/>
      <c r="C776" s="171"/>
      <c r="D776" s="78"/>
      <c r="E776" s="78"/>
      <c r="F776" s="171"/>
      <c r="G776" s="173"/>
      <c r="H776" s="170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</row>
    <row r="777" ht="14.25" customHeight="1">
      <c r="A777" s="171"/>
      <c r="B777" s="282"/>
      <c r="C777" s="171"/>
      <c r="D777" s="78"/>
      <c r="E777" s="78"/>
      <c r="F777" s="171"/>
      <c r="G777" s="173"/>
      <c r="H777" s="170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</row>
    <row r="778" ht="14.25" customHeight="1">
      <c r="A778" s="171"/>
      <c r="B778" s="282"/>
      <c r="C778" s="171"/>
      <c r="D778" s="78"/>
      <c r="E778" s="78"/>
      <c r="F778" s="171"/>
      <c r="G778" s="173"/>
      <c r="H778" s="170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</row>
    <row r="779" ht="14.25" customHeight="1">
      <c r="A779" s="171"/>
      <c r="B779" s="282"/>
      <c r="C779" s="171"/>
      <c r="D779" s="78"/>
      <c r="E779" s="78"/>
      <c r="F779" s="171"/>
      <c r="G779" s="173"/>
      <c r="H779" s="170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</row>
    <row r="780" ht="14.25" customHeight="1">
      <c r="A780" s="171"/>
      <c r="B780" s="282"/>
      <c r="C780" s="171"/>
      <c r="D780" s="78"/>
      <c r="E780" s="78"/>
      <c r="F780" s="171"/>
      <c r="G780" s="173"/>
      <c r="H780" s="170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</row>
    <row r="781" ht="14.25" customHeight="1">
      <c r="A781" s="171"/>
      <c r="B781" s="282"/>
      <c r="C781" s="171"/>
      <c r="D781" s="78"/>
      <c r="E781" s="78"/>
      <c r="F781" s="171"/>
      <c r="G781" s="173"/>
      <c r="H781" s="170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</row>
    <row r="782" ht="14.25" customHeight="1">
      <c r="A782" s="171"/>
      <c r="B782" s="282"/>
      <c r="C782" s="171"/>
      <c r="D782" s="78"/>
      <c r="E782" s="78"/>
      <c r="F782" s="171"/>
      <c r="G782" s="173"/>
      <c r="H782" s="170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</row>
    <row r="783" ht="14.25" customHeight="1">
      <c r="A783" s="171"/>
      <c r="B783" s="282"/>
      <c r="C783" s="171"/>
      <c r="D783" s="78"/>
      <c r="E783" s="78"/>
      <c r="F783" s="171"/>
      <c r="G783" s="173"/>
      <c r="H783" s="170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</row>
    <row r="784" ht="14.25" customHeight="1">
      <c r="A784" s="171"/>
      <c r="B784" s="282"/>
      <c r="C784" s="171"/>
      <c r="D784" s="78"/>
      <c r="E784" s="78"/>
      <c r="F784" s="171"/>
      <c r="G784" s="173"/>
      <c r="H784" s="170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</row>
    <row r="785" ht="14.25" customHeight="1">
      <c r="A785" s="171"/>
      <c r="B785" s="282"/>
      <c r="C785" s="171"/>
      <c r="D785" s="78"/>
      <c r="E785" s="78"/>
      <c r="F785" s="171"/>
      <c r="G785" s="173"/>
      <c r="H785" s="170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</row>
    <row r="786" ht="14.25" customHeight="1">
      <c r="A786" s="171"/>
      <c r="B786" s="282"/>
      <c r="C786" s="171"/>
      <c r="D786" s="78"/>
      <c r="E786" s="78"/>
      <c r="F786" s="171"/>
      <c r="G786" s="173"/>
      <c r="H786" s="170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</row>
    <row r="787" ht="14.25" customHeight="1">
      <c r="A787" s="171"/>
      <c r="B787" s="282"/>
      <c r="C787" s="171"/>
      <c r="D787" s="78"/>
      <c r="E787" s="78"/>
      <c r="F787" s="171"/>
      <c r="G787" s="173"/>
      <c r="H787" s="170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</row>
    <row r="788" ht="14.25" customHeight="1">
      <c r="A788" s="171"/>
      <c r="B788" s="282"/>
      <c r="C788" s="171"/>
      <c r="D788" s="78"/>
      <c r="E788" s="78"/>
      <c r="F788" s="171"/>
      <c r="G788" s="173"/>
      <c r="H788" s="170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</row>
    <row r="789" ht="14.25" customHeight="1">
      <c r="A789" s="171"/>
      <c r="B789" s="282"/>
      <c r="C789" s="171"/>
      <c r="D789" s="78"/>
      <c r="E789" s="78"/>
      <c r="F789" s="171"/>
      <c r="G789" s="173"/>
      <c r="H789" s="170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</row>
    <row r="790" ht="14.25" customHeight="1">
      <c r="A790" s="171"/>
      <c r="B790" s="282"/>
      <c r="C790" s="171"/>
      <c r="D790" s="78"/>
      <c r="E790" s="78"/>
      <c r="F790" s="171"/>
      <c r="G790" s="173"/>
      <c r="H790" s="170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</row>
    <row r="791" ht="14.25" customHeight="1">
      <c r="A791" s="171"/>
      <c r="B791" s="282"/>
      <c r="C791" s="171"/>
      <c r="D791" s="78"/>
      <c r="E791" s="78"/>
      <c r="F791" s="171"/>
      <c r="G791" s="173"/>
      <c r="H791" s="170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</row>
    <row r="792" ht="14.25" customHeight="1">
      <c r="A792" s="171"/>
      <c r="B792" s="282"/>
      <c r="C792" s="171"/>
      <c r="D792" s="78"/>
      <c r="E792" s="78"/>
      <c r="F792" s="171"/>
      <c r="G792" s="173"/>
      <c r="H792" s="170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</row>
    <row r="793" ht="14.25" customHeight="1">
      <c r="A793" s="171"/>
      <c r="B793" s="282"/>
      <c r="C793" s="171"/>
      <c r="D793" s="78"/>
      <c r="E793" s="78"/>
      <c r="F793" s="171"/>
      <c r="G793" s="173"/>
      <c r="H793" s="170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</row>
    <row r="794" ht="14.25" customHeight="1">
      <c r="A794" s="171"/>
      <c r="B794" s="282"/>
      <c r="C794" s="171"/>
      <c r="D794" s="78"/>
      <c r="E794" s="78"/>
      <c r="F794" s="171"/>
      <c r="G794" s="173"/>
      <c r="H794" s="170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</row>
    <row r="795" ht="14.25" customHeight="1">
      <c r="A795" s="171"/>
      <c r="B795" s="282"/>
      <c r="C795" s="171"/>
      <c r="D795" s="78"/>
      <c r="E795" s="78"/>
      <c r="F795" s="171"/>
      <c r="G795" s="173"/>
      <c r="H795" s="170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</row>
    <row r="796" ht="14.25" customHeight="1">
      <c r="A796" s="171"/>
      <c r="B796" s="282"/>
      <c r="C796" s="171"/>
      <c r="D796" s="78"/>
      <c r="E796" s="78"/>
      <c r="F796" s="171"/>
      <c r="G796" s="173"/>
      <c r="H796" s="170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</row>
    <row r="797" ht="14.25" customHeight="1">
      <c r="A797" s="171"/>
      <c r="B797" s="282"/>
      <c r="C797" s="171"/>
      <c r="D797" s="78"/>
      <c r="E797" s="78"/>
      <c r="F797" s="171"/>
      <c r="G797" s="173"/>
      <c r="H797" s="170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</row>
    <row r="798" ht="14.25" customHeight="1">
      <c r="A798" s="171"/>
      <c r="B798" s="282"/>
      <c r="C798" s="171"/>
      <c r="D798" s="78"/>
      <c r="E798" s="78"/>
      <c r="F798" s="171"/>
      <c r="G798" s="173"/>
      <c r="H798" s="170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</row>
    <row r="799" ht="14.25" customHeight="1">
      <c r="A799" s="171"/>
      <c r="B799" s="282"/>
      <c r="C799" s="171"/>
      <c r="D799" s="78"/>
      <c r="E799" s="78"/>
      <c r="F799" s="171"/>
      <c r="G799" s="173"/>
      <c r="H799" s="170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</row>
    <row r="800" ht="14.25" customHeight="1">
      <c r="A800" s="171"/>
      <c r="B800" s="282"/>
      <c r="C800" s="171"/>
      <c r="D800" s="78"/>
      <c r="E800" s="78"/>
      <c r="F800" s="171"/>
      <c r="G800" s="173"/>
      <c r="H800" s="170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</row>
    <row r="801" ht="14.25" customHeight="1">
      <c r="A801" s="171"/>
      <c r="B801" s="282"/>
      <c r="C801" s="171"/>
      <c r="D801" s="78"/>
      <c r="E801" s="78"/>
      <c r="F801" s="171"/>
      <c r="G801" s="173"/>
      <c r="H801" s="170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</row>
    <row r="802" ht="14.25" customHeight="1">
      <c r="A802" s="171"/>
      <c r="B802" s="282"/>
      <c r="C802" s="171"/>
      <c r="D802" s="78"/>
      <c r="E802" s="78"/>
      <c r="F802" s="171"/>
      <c r="G802" s="173"/>
      <c r="H802" s="170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</row>
    <row r="803" ht="14.25" customHeight="1">
      <c r="A803" s="171"/>
      <c r="B803" s="282"/>
      <c r="C803" s="171"/>
      <c r="D803" s="78"/>
      <c r="E803" s="78"/>
      <c r="F803" s="171"/>
      <c r="G803" s="173"/>
      <c r="H803" s="170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</row>
    <row r="804" ht="14.25" customHeight="1">
      <c r="A804" s="171"/>
      <c r="B804" s="282"/>
      <c r="C804" s="171"/>
      <c r="D804" s="78"/>
      <c r="E804" s="78"/>
      <c r="F804" s="171"/>
      <c r="G804" s="173"/>
      <c r="H804" s="170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</row>
    <row r="805" ht="14.25" customHeight="1">
      <c r="A805" s="171"/>
      <c r="B805" s="282"/>
      <c r="C805" s="171"/>
      <c r="D805" s="78"/>
      <c r="E805" s="78"/>
      <c r="F805" s="171"/>
      <c r="G805" s="173"/>
      <c r="H805" s="170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</row>
    <row r="806" ht="14.25" customHeight="1">
      <c r="A806" s="171"/>
      <c r="B806" s="282"/>
      <c r="C806" s="171"/>
      <c r="D806" s="78"/>
      <c r="E806" s="78"/>
      <c r="F806" s="171"/>
      <c r="G806" s="173"/>
      <c r="H806" s="170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</row>
    <row r="807" ht="14.25" customHeight="1">
      <c r="A807" s="171"/>
      <c r="B807" s="282"/>
      <c r="C807" s="171"/>
      <c r="D807" s="78"/>
      <c r="E807" s="78"/>
      <c r="F807" s="171"/>
      <c r="G807" s="173"/>
      <c r="H807" s="170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</row>
    <row r="808" ht="14.25" customHeight="1">
      <c r="A808" s="171"/>
      <c r="B808" s="282"/>
      <c r="C808" s="171"/>
      <c r="D808" s="78"/>
      <c r="E808" s="78"/>
      <c r="F808" s="171"/>
      <c r="G808" s="173"/>
      <c r="H808" s="170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</row>
    <row r="809" ht="14.25" customHeight="1">
      <c r="A809" s="171"/>
      <c r="B809" s="282"/>
      <c r="C809" s="171"/>
      <c r="D809" s="78"/>
      <c r="E809" s="78"/>
      <c r="F809" s="171"/>
      <c r="G809" s="173"/>
      <c r="H809" s="170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</row>
    <row r="810" ht="14.25" customHeight="1">
      <c r="A810" s="171"/>
      <c r="B810" s="282"/>
      <c r="C810" s="171"/>
      <c r="D810" s="78"/>
      <c r="E810" s="78"/>
      <c r="F810" s="171"/>
      <c r="G810" s="173"/>
      <c r="H810" s="170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</row>
    <row r="811" ht="14.25" customHeight="1">
      <c r="A811" s="171"/>
      <c r="B811" s="282"/>
      <c r="C811" s="171"/>
      <c r="D811" s="78"/>
      <c r="E811" s="78"/>
      <c r="F811" s="171"/>
      <c r="G811" s="173"/>
      <c r="H811" s="170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</row>
    <row r="812" ht="14.25" customHeight="1">
      <c r="A812" s="171"/>
      <c r="B812" s="282"/>
      <c r="C812" s="171"/>
      <c r="D812" s="78"/>
      <c r="E812" s="78"/>
      <c r="F812" s="171"/>
      <c r="G812" s="173"/>
      <c r="H812" s="170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</row>
    <row r="813" ht="14.25" customHeight="1">
      <c r="A813" s="171"/>
      <c r="B813" s="282"/>
      <c r="C813" s="171"/>
      <c r="D813" s="78"/>
      <c r="E813" s="78"/>
      <c r="F813" s="171"/>
      <c r="G813" s="173"/>
      <c r="H813" s="170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</row>
    <row r="814" ht="14.25" customHeight="1">
      <c r="A814" s="171"/>
      <c r="B814" s="282"/>
      <c r="C814" s="171"/>
      <c r="D814" s="78"/>
      <c r="E814" s="78"/>
      <c r="F814" s="171"/>
      <c r="G814" s="173"/>
      <c r="H814" s="170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</row>
    <row r="815" ht="14.25" customHeight="1">
      <c r="A815" s="171"/>
      <c r="B815" s="282"/>
      <c r="C815" s="171"/>
      <c r="D815" s="78"/>
      <c r="E815" s="78"/>
      <c r="F815" s="171"/>
      <c r="G815" s="173"/>
      <c r="H815" s="170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</row>
    <row r="816" ht="14.25" customHeight="1">
      <c r="A816" s="171"/>
      <c r="B816" s="282"/>
      <c r="C816" s="171"/>
      <c r="D816" s="78"/>
      <c r="E816" s="78"/>
      <c r="F816" s="171"/>
      <c r="G816" s="173"/>
      <c r="H816" s="170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</row>
    <row r="817" ht="14.25" customHeight="1">
      <c r="A817" s="171"/>
      <c r="B817" s="282"/>
      <c r="C817" s="171"/>
      <c r="D817" s="78"/>
      <c r="E817" s="78"/>
      <c r="F817" s="171"/>
      <c r="G817" s="173"/>
      <c r="H817" s="170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</row>
    <row r="818" ht="14.25" customHeight="1">
      <c r="A818" s="171"/>
      <c r="B818" s="282"/>
      <c r="C818" s="171"/>
      <c r="D818" s="78"/>
      <c r="E818" s="78"/>
      <c r="F818" s="171"/>
      <c r="G818" s="173"/>
      <c r="H818" s="170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</row>
    <row r="819" ht="14.25" customHeight="1">
      <c r="A819" s="171"/>
      <c r="B819" s="282"/>
      <c r="C819" s="171"/>
      <c r="D819" s="78"/>
      <c r="E819" s="78"/>
      <c r="F819" s="171"/>
      <c r="G819" s="173"/>
      <c r="H819" s="170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</row>
    <row r="820" ht="14.25" customHeight="1">
      <c r="A820" s="171"/>
      <c r="B820" s="282"/>
      <c r="C820" s="171"/>
      <c r="D820" s="78"/>
      <c r="E820" s="78"/>
      <c r="F820" s="171"/>
      <c r="G820" s="173"/>
      <c r="H820" s="170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</row>
    <row r="821" ht="14.25" customHeight="1">
      <c r="A821" s="171"/>
      <c r="B821" s="282"/>
      <c r="C821" s="171"/>
      <c r="D821" s="78"/>
      <c r="E821" s="78"/>
      <c r="F821" s="171"/>
      <c r="G821" s="173"/>
      <c r="H821" s="170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</row>
    <row r="822" ht="14.25" customHeight="1">
      <c r="A822" s="171"/>
      <c r="B822" s="282"/>
      <c r="C822" s="171"/>
      <c r="D822" s="78"/>
      <c r="E822" s="78"/>
      <c r="F822" s="171"/>
      <c r="G822" s="173"/>
      <c r="H822" s="170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</row>
    <row r="823" ht="14.25" customHeight="1">
      <c r="A823" s="171"/>
      <c r="B823" s="282"/>
      <c r="C823" s="171"/>
      <c r="D823" s="78"/>
      <c r="E823" s="78"/>
      <c r="F823" s="171"/>
      <c r="G823" s="173"/>
      <c r="H823" s="170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</row>
    <row r="824" ht="14.25" customHeight="1">
      <c r="A824" s="171"/>
      <c r="B824" s="282"/>
      <c r="C824" s="171"/>
      <c r="D824" s="78"/>
      <c r="E824" s="78"/>
      <c r="F824" s="171"/>
      <c r="G824" s="173"/>
      <c r="H824" s="170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</row>
    <row r="825" ht="14.25" customHeight="1">
      <c r="A825" s="171"/>
      <c r="B825" s="282"/>
      <c r="C825" s="171"/>
      <c r="D825" s="78"/>
      <c r="E825" s="78"/>
      <c r="F825" s="171"/>
      <c r="G825" s="173"/>
      <c r="H825" s="170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</row>
    <row r="826" ht="14.25" customHeight="1">
      <c r="A826" s="171"/>
      <c r="B826" s="282"/>
      <c r="C826" s="171"/>
      <c r="D826" s="78"/>
      <c r="E826" s="78"/>
      <c r="F826" s="171"/>
      <c r="G826" s="173"/>
      <c r="H826" s="170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</row>
    <row r="827" ht="14.25" customHeight="1">
      <c r="A827" s="171"/>
      <c r="B827" s="282"/>
      <c r="C827" s="171"/>
      <c r="D827" s="78"/>
      <c r="E827" s="78"/>
      <c r="F827" s="171"/>
      <c r="G827" s="173"/>
      <c r="H827" s="170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</row>
    <row r="828" ht="14.25" customHeight="1">
      <c r="A828" s="171"/>
      <c r="B828" s="282"/>
      <c r="C828" s="171"/>
      <c r="D828" s="78"/>
      <c r="E828" s="78"/>
      <c r="F828" s="171"/>
      <c r="G828" s="173"/>
      <c r="H828" s="170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</row>
    <row r="829" ht="14.25" customHeight="1">
      <c r="A829" s="171"/>
      <c r="B829" s="282"/>
      <c r="C829" s="171"/>
      <c r="D829" s="78"/>
      <c r="E829" s="78"/>
      <c r="F829" s="171"/>
      <c r="G829" s="173"/>
      <c r="H829" s="170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</row>
    <row r="830" ht="14.25" customHeight="1">
      <c r="A830" s="171"/>
      <c r="B830" s="282"/>
      <c r="C830" s="171"/>
      <c r="D830" s="78"/>
      <c r="E830" s="78"/>
      <c r="F830" s="171"/>
      <c r="G830" s="173"/>
      <c r="H830" s="170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</row>
    <row r="831" ht="14.25" customHeight="1">
      <c r="A831" s="171"/>
      <c r="B831" s="282"/>
      <c r="C831" s="171"/>
      <c r="D831" s="78"/>
      <c r="E831" s="78"/>
      <c r="F831" s="171"/>
      <c r="G831" s="173"/>
      <c r="H831" s="170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</row>
    <row r="832" ht="14.25" customHeight="1">
      <c r="A832" s="171"/>
      <c r="B832" s="282"/>
      <c r="C832" s="171"/>
      <c r="D832" s="78"/>
      <c r="E832" s="78"/>
      <c r="F832" s="171"/>
      <c r="G832" s="173"/>
      <c r="H832" s="170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</row>
    <row r="833" ht="14.25" customHeight="1">
      <c r="A833" s="171"/>
      <c r="B833" s="282"/>
      <c r="C833" s="171"/>
      <c r="D833" s="78"/>
      <c r="E833" s="78"/>
      <c r="F833" s="171"/>
      <c r="G833" s="173"/>
      <c r="H833" s="170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</row>
    <row r="834" ht="14.25" customHeight="1">
      <c r="A834" s="171"/>
      <c r="B834" s="282"/>
      <c r="C834" s="171"/>
      <c r="D834" s="78"/>
      <c r="E834" s="78"/>
      <c r="F834" s="171"/>
      <c r="G834" s="173"/>
      <c r="H834" s="170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</row>
    <row r="835" ht="14.25" customHeight="1">
      <c r="A835" s="171"/>
      <c r="B835" s="282"/>
      <c r="C835" s="171"/>
      <c r="D835" s="78"/>
      <c r="E835" s="78"/>
      <c r="F835" s="171"/>
      <c r="G835" s="173"/>
      <c r="H835" s="170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</row>
    <row r="836" ht="14.25" customHeight="1">
      <c r="A836" s="171"/>
      <c r="B836" s="282"/>
      <c r="C836" s="171"/>
      <c r="D836" s="78"/>
      <c r="E836" s="78"/>
      <c r="F836" s="171"/>
      <c r="G836" s="173"/>
      <c r="H836" s="170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</row>
    <row r="837" ht="14.25" customHeight="1">
      <c r="A837" s="171"/>
      <c r="B837" s="282"/>
      <c r="C837" s="171"/>
      <c r="D837" s="78"/>
      <c r="E837" s="78"/>
      <c r="F837" s="171"/>
      <c r="G837" s="173"/>
      <c r="H837" s="170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</row>
    <row r="838" ht="14.25" customHeight="1">
      <c r="A838" s="171"/>
      <c r="B838" s="282"/>
      <c r="C838" s="171"/>
      <c r="D838" s="78"/>
      <c r="E838" s="78"/>
      <c r="F838" s="171"/>
      <c r="G838" s="173"/>
      <c r="H838" s="170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</row>
    <row r="839" ht="14.25" customHeight="1">
      <c r="A839" s="171"/>
      <c r="B839" s="282"/>
      <c r="C839" s="171"/>
      <c r="D839" s="78"/>
      <c r="E839" s="78"/>
      <c r="F839" s="171"/>
      <c r="G839" s="173"/>
      <c r="H839" s="170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</row>
    <row r="840" ht="14.25" customHeight="1">
      <c r="A840" s="171"/>
      <c r="B840" s="282"/>
      <c r="C840" s="171"/>
      <c r="D840" s="78"/>
      <c r="E840" s="78"/>
      <c r="F840" s="171"/>
      <c r="G840" s="173"/>
      <c r="H840" s="170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</row>
    <row r="841" ht="14.25" customHeight="1">
      <c r="A841" s="171"/>
      <c r="B841" s="282"/>
      <c r="C841" s="171"/>
      <c r="D841" s="78"/>
      <c r="E841" s="78"/>
      <c r="F841" s="171"/>
      <c r="G841" s="173"/>
      <c r="H841" s="170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</row>
    <row r="842" ht="14.25" customHeight="1">
      <c r="A842" s="171"/>
      <c r="B842" s="282"/>
      <c r="C842" s="171"/>
      <c r="D842" s="78"/>
      <c r="E842" s="78"/>
      <c r="F842" s="171"/>
      <c r="G842" s="173"/>
      <c r="H842" s="170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</row>
    <row r="843" ht="14.25" customHeight="1">
      <c r="A843" s="171"/>
      <c r="B843" s="282"/>
      <c r="C843" s="171"/>
      <c r="D843" s="78"/>
      <c r="E843" s="78"/>
      <c r="F843" s="171"/>
      <c r="G843" s="173"/>
      <c r="H843" s="170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</row>
    <row r="844" ht="14.25" customHeight="1">
      <c r="A844" s="171"/>
      <c r="B844" s="282"/>
      <c r="C844" s="171"/>
      <c r="D844" s="78"/>
      <c r="E844" s="78"/>
      <c r="F844" s="171"/>
      <c r="G844" s="173"/>
      <c r="H844" s="170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</row>
    <row r="845" ht="14.25" customHeight="1">
      <c r="A845" s="171"/>
      <c r="B845" s="282"/>
      <c r="C845" s="171"/>
      <c r="D845" s="78"/>
      <c r="E845" s="78"/>
      <c r="F845" s="171"/>
      <c r="G845" s="173"/>
      <c r="H845" s="170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</row>
    <row r="846" ht="14.25" customHeight="1">
      <c r="A846" s="171"/>
      <c r="B846" s="282"/>
      <c r="C846" s="171"/>
      <c r="D846" s="78"/>
      <c r="E846" s="78"/>
      <c r="F846" s="171"/>
      <c r="G846" s="173"/>
      <c r="H846" s="170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</row>
    <row r="847" ht="14.25" customHeight="1">
      <c r="A847" s="171"/>
      <c r="B847" s="282"/>
      <c r="C847" s="171"/>
      <c r="D847" s="78"/>
      <c r="E847" s="78"/>
      <c r="F847" s="171"/>
      <c r="G847" s="173"/>
      <c r="H847" s="170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</row>
    <row r="848" ht="14.25" customHeight="1">
      <c r="A848" s="171"/>
      <c r="B848" s="282"/>
      <c r="C848" s="171"/>
      <c r="D848" s="78"/>
      <c r="E848" s="78"/>
      <c r="F848" s="171"/>
      <c r="G848" s="173"/>
      <c r="H848" s="170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</row>
    <row r="849" ht="14.25" customHeight="1">
      <c r="A849" s="171"/>
      <c r="B849" s="282"/>
      <c r="C849" s="171"/>
      <c r="D849" s="78"/>
      <c r="E849" s="78"/>
      <c r="F849" s="171"/>
      <c r="G849" s="173"/>
      <c r="H849" s="170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</row>
    <row r="850" ht="14.25" customHeight="1">
      <c r="A850" s="171"/>
      <c r="B850" s="282"/>
      <c r="C850" s="171"/>
      <c r="D850" s="78"/>
      <c r="E850" s="78"/>
      <c r="F850" s="171"/>
      <c r="G850" s="173"/>
      <c r="H850" s="170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</row>
    <row r="851" ht="14.25" customHeight="1">
      <c r="A851" s="171"/>
      <c r="B851" s="282"/>
      <c r="C851" s="171"/>
      <c r="D851" s="78"/>
      <c r="E851" s="78"/>
      <c r="F851" s="171"/>
      <c r="G851" s="173"/>
      <c r="H851" s="170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</row>
    <row r="852" ht="14.25" customHeight="1">
      <c r="A852" s="171"/>
      <c r="B852" s="282"/>
      <c r="C852" s="171"/>
      <c r="D852" s="78"/>
      <c r="E852" s="78"/>
      <c r="F852" s="171"/>
      <c r="G852" s="173"/>
      <c r="H852" s="170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</row>
    <row r="853" ht="14.25" customHeight="1">
      <c r="A853" s="171"/>
      <c r="B853" s="282"/>
      <c r="C853" s="171"/>
      <c r="D853" s="78"/>
      <c r="E853" s="78"/>
      <c r="F853" s="171"/>
      <c r="G853" s="173"/>
      <c r="H853" s="170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</row>
    <row r="854" ht="14.25" customHeight="1">
      <c r="A854" s="171"/>
      <c r="B854" s="282"/>
      <c r="C854" s="171"/>
      <c r="D854" s="78"/>
      <c r="E854" s="78"/>
      <c r="F854" s="171"/>
      <c r="G854" s="173"/>
      <c r="H854" s="170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</row>
    <row r="855" ht="14.25" customHeight="1">
      <c r="A855" s="171"/>
      <c r="B855" s="282"/>
      <c r="C855" s="171"/>
      <c r="D855" s="78"/>
      <c r="E855" s="78"/>
      <c r="F855" s="171"/>
      <c r="G855" s="173"/>
      <c r="H855" s="170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</row>
    <row r="856" ht="14.25" customHeight="1">
      <c r="A856" s="171"/>
      <c r="B856" s="282"/>
      <c r="C856" s="171"/>
      <c r="D856" s="78"/>
      <c r="E856" s="78"/>
      <c r="F856" s="171"/>
      <c r="G856" s="173"/>
      <c r="H856" s="170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</row>
    <row r="857" ht="14.25" customHeight="1">
      <c r="A857" s="171"/>
      <c r="B857" s="282"/>
      <c r="C857" s="171"/>
      <c r="D857" s="78"/>
      <c r="E857" s="78"/>
      <c r="F857" s="171"/>
      <c r="G857" s="173"/>
      <c r="H857" s="170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</row>
    <row r="858" ht="14.25" customHeight="1">
      <c r="A858" s="171"/>
      <c r="B858" s="282"/>
      <c r="C858" s="171"/>
      <c r="D858" s="78"/>
      <c r="E858" s="78"/>
      <c r="F858" s="171"/>
      <c r="G858" s="173"/>
      <c r="H858" s="170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</row>
    <row r="859" ht="14.25" customHeight="1">
      <c r="A859" s="171"/>
      <c r="B859" s="282"/>
      <c r="C859" s="171"/>
      <c r="D859" s="78"/>
      <c r="E859" s="78"/>
      <c r="F859" s="171"/>
      <c r="G859" s="173"/>
      <c r="H859" s="170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</row>
    <row r="860" ht="14.25" customHeight="1">
      <c r="A860" s="171"/>
      <c r="B860" s="282"/>
      <c r="C860" s="171"/>
      <c r="D860" s="78"/>
      <c r="E860" s="78"/>
      <c r="F860" s="171"/>
      <c r="G860" s="173"/>
      <c r="H860" s="170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</row>
    <row r="861" ht="14.25" customHeight="1">
      <c r="A861" s="171"/>
      <c r="B861" s="282"/>
      <c r="C861" s="171"/>
      <c r="D861" s="78"/>
      <c r="E861" s="78"/>
      <c r="F861" s="171"/>
      <c r="G861" s="173"/>
      <c r="H861" s="170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</row>
    <row r="862" ht="14.25" customHeight="1">
      <c r="A862" s="171"/>
      <c r="B862" s="282"/>
      <c r="C862" s="171"/>
      <c r="D862" s="78"/>
      <c r="E862" s="78"/>
      <c r="F862" s="171"/>
      <c r="G862" s="173"/>
      <c r="H862" s="170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</row>
    <row r="863" ht="14.25" customHeight="1">
      <c r="A863" s="171"/>
      <c r="B863" s="282"/>
      <c r="C863" s="171"/>
      <c r="D863" s="78"/>
      <c r="E863" s="78"/>
      <c r="F863" s="171"/>
      <c r="G863" s="173"/>
      <c r="H863" s="170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</row>
    <row r="864" ht="14.25" customHeight="1">
      <c r="A864" s="171"/>
      <c r="B864" s="282"/>
      <c r="C864" s="171"/>
      <c r="D864" s="78"/>
      <c r="E864" s="78"/>
      <c r="F864" s="171"/>
      <c r="G864" s="173"/>
      <c r="H864" s="170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</row>
    <row r="865" ht="14.25" customHeight="1">
      <c r="A865" s="171"/>
      <c r="B865" s="282"/>
      <c r="C865" s="171"/>
      <c r="D865" s="78"/>
      <c r="E865" s="78"/>
      <c r="F865" s="171"/>
      <c r="G865" s="173"/>
      <c r="H865" s="170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</row>
    <row r="866" ht="14.25" customHeight="1">
      <c r="A866" s="171"/>
      <c r="B866" s="282"/>
      <c r="C866" s="171"/>
      <c r="D866" s="78"/>
      <c r="E866" s="78"/>
      <c r="F866" s="171"/>
      <c r="G866" s="173"/>
      <c r="H866" s="170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</row>
    <row r="867" ht="14.25" customHeight="1">
      <c r="A867" s="171"/>
      <c r="B867" s="282"/>
      <c r="C867" s="171"/>
      <c r="D867" s="78"/>
      <c r="E867" s="78"/>
      <c r="F867" s="171"/>
      <c r="G867" s="173"/>
      <c r="H867" s="170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</row>
    <row r="868" ht="14.25" customHeight="1">
      <c r="A868" s="171"/>
      <c r="B868" s="282"/>
      <c r="C868" s="171"/>
      <c r="D868" s="78"/>
      <c r="E868" s="78"/>
      <c r="F868" s="171"/>
      <c r="G868" s="173"/>
      <c r="H868" s="170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</row>
    <row r="869" ht="14.25" customHeight="1">
      <c r="A869" s="171"/>
      <c r="B869" s="282"/>
      <c r="C869" s="171"/>
      <c r="D869" s="78"/>
      <c r="E869" s="78"/>
      <c r="F869" s="171"/>
      <c r="G869" s="173"/>
      <c r="H869" s="170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</row>
    <row r="870" ht="14.25" customHeight="1">
      <c r="A870" s="171"/>
      <c r="B870" s="282"/>
      <c r="C870" s="171"/>
      <c r="D870" s="78"/>
      <c r="E870" s="78"/>
      <c r="F870" s="171"/>
      <c r="G870" s="173"/>
      <c r="H870" s="170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</row>
    <row r="871" ht="14.25" customHeight="1">
      <c r="A871" s="171"/>
      <c r="B871" s="282"/>
      <c r="C871" s="171"/>
      <c r="D871" s="78"/>
      <c r="E871" s="78"/>
      <c r="F871" s="171"/>
      <c r="G871" s="173"/>
      <c r="H871" s="170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</row>
    <row r="872" ht="14.25" customHeight="1">
      <c r="A872" s="171"/>
      <c r="B872" s="282"/>
      <c r="C872" s="171"/>
      <c r="D872" s="78"/>
      <c r="E872" s="78"/>
      <c r="F872" s="171"/>
      <c r="G872" s="173"/>
      <c r="H872" s="170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</row>
    <row r="873" ht="14.25" customHeight="1">
      <c r="A873" s="171"/>
      <c r="B873" s="282"/>
      <c r="C873" s="171"/>
      <c r="D873" s="78"/>
      <c r="E873" s="78"/>
      <c r="F873" s="171"/>
      <c r="G873" s="173"/>
      <c r="H873" s="170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</row>
    <row r="874" ht="14.25" customHeight="1">
      <c r="A874" s="171"/>
      <c r="B874" s="282"/>
      <c r="C874" s="171"/>
      <c r="D874" s="78"/>
      <c r="E874" s="78"/>
      <c r="F874" s="171"/>
      <c r="G874" s="173"/>
      <c r="H874" s="170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</row>
    <row r="875" ht="14.25" customHeight="1">
      <c r="A875" s="171"/>
      <c r="B875" s="282"/>
      <c r="C875" s="171"/>
      <c r="D875" s="78"/>
      <c r="E875" s="78"/>
      <c r="F875" s="171"/>
      <c r="G875" s="173"/>
      <c r="H875" s="170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</row>
    <row r="876" ht="14.25" customHeight="1">
      <c r="A876" s="171"/>
      <c r="B876" s="282"/>
      <c r="C876" s="171"/>
      <c r="D876" s="78"/>
      <c r="E876" s="78"/>
      <c r="F876" s="171"/>
      <c r="G876" s="173"/>
      <c r="H876" s="170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</row>
    <row r="877" ht="14.25" customHeight="1">
      <c r="A877" s="171"/>
      <c r="B877" s="282"/>
      <c r="C877" s="171"/>
      <c r="D877" s="78"/>
      <c r="E877" s="78"/>
      <c r="F877" s="171"/>
      <c r="G877" s="173"/>
      <c r="H877" s="170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</row>
    <row r="878" ht="14.25" customHeight="1">
      <c r="A878" s="171"/>
      <c r="B878" s="282"/>
      <c r="C878" s="171"/>
      <c r="D878" s="78"/>
      <c r="E878" s="78"/>
      <c r="F878" s="171"/>
      <c r="G878" s="173"/>
      <c r="H878" s="170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</row>
    <row r="879" ht="14.25" customHeight="1">
      <c r="A879" s="171"/>
      <c r="B879" s="282"/>
      <c r="C879" s="171"/>
      <c r="D879" s="78"/>
      <c r="E879" s="78"/>
      <c r="F879" s="171"/>
      <c r="G879" s="173"/>
      <c r="H879" s="170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</row>
    <row r="880" ht="14.25" customHeight="1">
      <c r="A880" s="171"/>
      <c r="B880" s="282"/>
      <c r="C880" s="171"/>
      <c r="D880" s="78"/>
      <c r="E880" s="78"/>
      <c r="F880" s="171"/>
      <c r="G880" s="173"/>
      <c r="H880" s="170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</row>
    <row r="881" ht="14.25" customHeight="1">
      <c r="A881" s="171"/>
      <c r="B881" s="282"/>
      <c r="C881" s="171"/>
      <c r="D881" s="78"/>
      <c r="E881" s="78"/>
      <c r="F881" s="171"/>
      <c r="G881" s="173"/>
      <c r="H881" s="170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</row>
    <row r="882" ht="14.25" customHeight="1">
      <c r="A882" s="171"/>
      <c r="B882" s="282"/>
      <c r="C882" s="171"/>
      <c r="D882" s="78"/>
      <c r="E882" s="78"/>
      <c r="F882" s="171"/>
      <c r="G882" s="173"/>
      <c r="H882" s="170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</row>
    <row r="883" ht="14.25" customHeight="1">
      <c r="A883" s="171"/>
      <c r="B883" s="282"/>
      <c r="C883" s="171"/>
      <c r="D883" s="78"/>
      <c r="E883" s="78"/>
      <c r="F883" s="171"/>
      <c r="G883" s="173"/>
      <c r="H883" s="170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</row>
    <row r="884" ht="14.25" customHeight="1">
      <c r="A884" s="171"/>
      <c r="B884" s="282"/>
      <c r="C884" s="171"/>
      <c r="D884" s="78"/>
      <c r="E884" s="78"/>
      <c r="F884" s="171"/>
      <c r="G884" s="173"/>
      <c r="H884" s="170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</row>
    <row r="885" ht="14.25" customHeight="1">
      <c r="A885" s="171"/>
      <c r="B885" s="282"/>
      <c r="C885" s="171"/>
      <c r="D885" s="78"/>
      <c r="E885" s="78"/>
      <c r="F885" s="171"/>
      <c r="G885" s="173"/>
      <c r="H885" s="170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</row>
    <row r="886" ht="14.25" customHeight="1">
      <c r="A886" s="171"/>
      <c r="B886" s="282"/>
      <c r="C886" s="171"/>
      <c r="D886" s="78"/>
      <c r="E886" s="78"/>
      <c r="F886" s="171"/>
      <c r="G886" s="173"/>
      <c r="H886" s="170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</row>
    <row r="887" ht="14.25" customHeight="1">
      <c r="A887" s="171"/>
      <c r="B887" s="282"/>
      <c r="C887" s="171"/>
      <c r="D887" s="78"/>
      <c r="E887" s="78"/>
      <c r="F887" s="171"/>
      <c r="G887" s="173"/>
      <c r="H887" s="170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</row>
    <row r="888" ht="14.25" customHeight="1">
      <c r="A888" s="171"/>
      <c r="B888" s="282"/>
      <c r="C888" s="171"/>
      <c r="D888" s="78"/>
      <c r="E888" s="78"/>
      <c r="F888" s="171"/>
      <c r="G888" s="173"/>
      <c r="H888" s="170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</row>
    <row r="889" ht="14.25" customHeight="1">
      <c r="A889" s="171"/>
      <c r="B889" s="282"/>
      <c r="C889" s="171"/>
      <c r="D889" s="78"/>
      <c r="E889" s="78"/>
      <c r="F889" s="171"/>
      <c r="G889" s="173"/>
      <c r="H889" s="170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</row>
    <row r="890" ht="14.25" customHeight="1">
      <c r="A890" s="171"/>
      <c r="B890" s="282"/>
      <c r="C890" s="171"/>
      <c r="D890" s="78"/>
      <c r="E890" s="78"/>
      <c r="F890" s="171"/>
      <c r="G890" s="173"/>
      <c r="H890" s="170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</row>
    <row r="891" ht="14.25" customHeight="1">
      <c r="A891" s="171"/>
      <c r="B891" s="282"/>
      <c r="C891" s="171"/>
      <c r="D891" s="78"/>
      <c r="E891" s="78"/>
      <c r="F891" s="171"/>
      <c r="G891" s="173"/>
      <c r="H891" s="170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</row>
    <row r="892" ht="14.25" customHeight="1">
      <c r="A892" s="171"/>
      <c r="B892" s="282"/>
      <c r="C892" s="171"/>
      <c r="D892" s="78"/>
      <c r="E892" s="78"/>
      <c r="F892" s="171"/>
      <c r="G892" s="173"/>
      <c r="H892" s="170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</row>
    <row r="893" ht="14.25" customHeight="1">
      <c r="A893" s="171"/>
      <c r="B893" s="282"/>
      <c r="C893" s="171"/>
      <c r="D893" s="78"/>
      <c r="E893" s="78"/>
      <c r="F893" s="171"/>
      <c r="G893" s="173"/>
      <c r="H893" s="170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</row>
    <row r="894" ht="14.25" customHeight="1">
      <c r="A894" s="171"/>
      <c r="B894" s="282"/>
      <c r="C894" s="171"/>
      <c r="D894" s="78"/>
      <c r="E894" s="78"/>
      <c r="F894" s="171"/>
      <c r="G894" s="173"/>
      <c r="H894" s="170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</row>
    <row r="895" ht="14.25" customHeight="1">
      <c r="A895" s="171"/>
      <c r="B895" s="282"/>
      <c r="C895" s="171"/>
      <c r="D895" s="78"/>
      <c r="E895" s="78"/>
      <c r="F895" s="171"/>
      <c r="G895" s="173"/>
      <c r="H895" s="170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</row>
    <row r="896" ht="14.25" customHeight="1">
      <c r="A896" s="171"/>
      <c r="B896" s="282"/>
      <c r="C896" s="171"/>
      <c r="D896" s="78"/>
      <c r="E896" s="78"/>
      <c r="F896" s="171"/>
      <c r="G896" s="173"/>
      <c r="H896" s="170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</row>
    <row r="897" ht="14.25" customHeight="1">
      <c r="A897" s="171"/>
      <c r="B897" s="282"/>
      <c r="C897" s="171"/>
      <c r="D897" s="78"/>
      <c r="E897" s="78"/>
      <c r="F897" s="171"/>
      <c r="G897" s="173"/>
      <c r="H897" s="170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</row>
    <row r="898" ht="14.25" customHeight="1">
      <c r="A898" s="171"/>
      <c r="B898" s="282"/>
      <c r="C898" s="171"/>
      <c r="D898" s="78"/>
      <c r="E898" s="78"/>
      <c r="F898" s="171"/>
      <c r="G898" s="173"/>
      <c r="H898" s="170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</row>
    <row r="899" ht="14.25" customHeight="1">
      <c r="A899" s="171"/>
      <c r="B899" s="282"/>
      <c r="C899" s="171"/>
      <c r="D899" s="78"/>
      <c r="E899" s="78"/>
      <c r="F899" s="171"/>
      <c r="G899" s="173"/>
      <c r="H899" s="170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</row>
    <row r="900" ht="14.25" customHeight="1">
      <c r="A900" s="171"/>
      <c r="B900" s="282"/>
      <c r="C900" s="171"/>
      <c r="D900" s="78"/>
      <c r="E900" s="78"/>
      <c r="F900" s="171"/>
      <c r="G900" s="173"/>
      <c r="H900" s="170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</row>
    <row r="901" ht="14.25" customHeight="1">
      <c r="A901" s="171"/>
      <c r="B901" s="282"/>
      <c r="C901" s="171"/>
      <c r="D901" s="78"/>
      <c r="E901" s="78"/>
      <c r="F901" s="171"/>
      <c r="G901" s="173"/>
      <c r="H901" s="170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</row>
    <row r="902" ht="14.25" customHeight="1">
      <c r="A902" s="171"/>
      <c r="B902" s="282"/>
      <c r="C902" s="171"/>
      <c r="D902" s="78"/>
      <c r="E902" s="78"/>
      <c r="F902" s="171"/>
      <c r="G902" s="173"/>
      <c r="H902" s="170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</row>
    <row r="903" ht="14.25" customHeight="1">
      <c r="A903" s="171"/>
      <c r="B903" s="282"/>
      <c r="C903" s="171"/>
      <c r="D903" s="78"/>
      <c r="E903" s="78"/>
      <c r="F903" s="171"/>
      <c r="G903" s="173"/>
      <c r="H903" s="170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</row>
    <row r="904" ht="14.25" customHeight="1">
      <c r="A904" s="171"/>
      <c r="B904" s="282"/>
      <c r="C904" s="171"/>
      <c r="D904" s="78"/>
      <c r="E904" s="78"/>
      <c r="F904" s="171"/>
      <c r="G904" s="173"/>
      <c r="H904" s="170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</row>
    <row r="905" ht="14.25" customHeight="1">
      <c r="A905" s="171"/>
      <c r="B905" s="282"/>
      <c r="C905" s="171"/>
      <c r="D905" s="78"/>
      <c r="E905" s="78"/>
      <c r="F905" s="171"/>
      <c r="G905" s="173"/>
      <c r="H905" s="170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</row>
    <row r="906" ht="14.25" customHeight="1">
      <c r="A906" s="171"/>
      <c r="B906" s="282"/>
      <c r="C906" s="171"/>
      <c r="D906" s="78"/>
      <c r="E906" s="78"/>
      <c r="F906" s="171"/>
      <c r="G906" s="173"/>
      <c r="H906" s="170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</row>
    <row r="907" ht="14.25" customHeight="1">
      <c r="A907" s="171"/>
      <c r="B907" s="282"/>
      <c r="C907" s="171"/>
      <c r="D907" s="78"/>
      <c r="E907" s="78"/>
      <c r="F907" s="171"/>
      <c r="G907" s="173"/>
      <c r="H907" s="170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</row>
    <row r="908" ht="14.25" customHeight="1">
      <c r="A908" s="171"/>
      <c r="B908" s="282"/>
      <c r="C908" s="171"/>
      <c r="D908" s="78"/>
      <c r="E908" s="78"/>
      <c r="F908" s="171"/>
      <c r="G908" s="173"/>
      <c r="H908" s="170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</row>
    <row r="909" ht="14.25" customHeight="1">
      <c r="A909" s="171"/>
      <c r="B909" s="282"/>
      <c r="C909" s="171"/>
      <c r="D909" s="78"/>
      <c r="E909" s="78"/>
      <c r="F909" s="171"/>
      <c r="G909" s="173"/>
      <c r="H909" s="170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</row>
    <row r="910" ht="14.25" customHeight="1">
      <c r="A910" s="171"/>
      <c r="B910" s="282"/>
      <c r="C910" s="171"/>
      <c r="D910" s="78"/>
      <c r="E910" s="78"/>
      <c r="F910" s="171"/>
      <c r="G910" s="173"/>
      <c r="H910" s="170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</row>
    <row r="911" ht="14.25" customHeight="1">
      <c r="A911" s="171"/>
      <c r="B911" s="282"/>
      <c r="C911" s="171"/>
      <c r="D911" s="78"/>
      <c r="E911" s="78"/>
      <c r="F911" s="171"/>
      <c r="G911" s="173"/>
      <c r="H911" s="170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</row>
    <row r="912" ht="14.25" customHeight="1">
      <c r="A912" s="171"/>
      <c r="B912" s="282"/>
      <c r="C912" s="171"/>
      <c r="D912" s="78"/>
      <c r="E912" s="78"/>
      <c r="F912" s="171"/>
      <c r="G912" s="173"/>
      <c r="H912" s="170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</row>
    <row r="913" ht="14.25" customHeight="1">
      <c r="A913" s="171"/>
      <c r="B913" s="282"/>
      <c r="C913" s="171"/>
      <c r="D913" s="78"/>
      <c r="E913" s="78"/>
      <c r="F913" s="171"/>
      <c r="G913" s="173"/>
      <c r="H913" s="170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</row>
    <row r="914" ht="14.25" customHeight="1">
      <c r="A914" s="171"/>
      <c r="B914" s="282"/>
      <c r="C914" s="171"/>
      <c r="D914" s="78"/>
      <c r="E914" s="78"/>
      <c r="F914" s="171"/>
      <c r="G914" s="173"/>
      <c r="H914" s="170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</row>
    <row r="915" ht="14.25" customHeight="1">
      <c r="A915" s="171"/>
      <c r="B915" s="282"/>
      <c r="C915" s="171"/>
      <c r="D915" s="78"/>
      <c r="E915" s="78"/>
      <c r="F915" s="171"/>
      <c r="G915" s="173"/>
      <c r="H915" s="170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</row>
    <row r="916" ht="14.25" customHeight="1">
      <c r="A916" s="171"/>
      <c r="B916" s="282"/>
      <c r="C916" s="171"/>
      <c r="D916" s="78"/>
      <c r="E916" s="78"/>
      <c r="F916" s="171"/>
      <c r="G916" s="173"/>
      <c r="H916" s="170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</row>
    <row r="917" ht="14.25" customHeight="1">
      <c r="A917" s="171"/>
      <c r="B917" s="282"/>
      <c r="C917" s="171"/>
      <c r="D917" s="78"/>
      <c r="E917" s="78"/>
      <c r="F917" s="171"/>
      <c r="G917" s="173"/>
      <c r="H917" s="170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</row>
    <row r="918" ht="14.25" customHeight="1">
      <c r="A918" s="171"/>
      <c r="B918" s="282"/>
      <c r="C918" s="171"/>
      <c r="D918" s="78"/>
      <c r="E918" s="78"/>
      <c r="F918" s="171"/>
      <c r="G918" s="173"/>
      <c r="H918" s="170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</row>
    <row r="919" ht="14.25" customHeight="1">
      <c r="A919" s="171"/>
      <c r="B919" s="282"/>
      <c r="C919" s="171"/>
      <c r="D919" s="78"/>
      <c r="E919" s="78"/>
      <c r="F919" s="171"/>
      <c r="G919" s="173"/>
      <c r="H919" s="170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</row>
    <row r="920" ht="14.25" customHeight="1">
      <c r="A920" s="171"/>
      <c r="B920" s="282"/>
      <c r="C920" s="171"/>
      <c r="D920" s="78"/>
      <c r="E920" s="78"/>
      <c r="F920" s="171"/>
      <c r="G920" s="173"/>
      <c r="H920" s="170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</row>
    <row r="921" ht="14.25" customHeight="1">
      <c r="A921" s="171"/>
      <c r="B921" s="282"/>
      <c r="C921" s="171"/>
      <c r="D921" s="78"/>
      <c r="E921" s="78"/>
      <c r="F921" s="171"/>
      <c r="G921" s="173"/>
      <c r="H921" s="170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</row>
    <row r="922" ht="14.25" customHeight="1">
      <c r="A922" s="171"/>
      <c r="B922" s="282"/>
      <c r="C922" s="171"/>
      <c r="D922" s="78"/>
      <c r="E922" s="78"/>
      <c r="F922" s="171"/>
      <c r="G922" s="173"/>
      <c r="H922" s="170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</row>
    <row r="923" ht="14.25" customHeight="1">
      <c r="A923" s="171"/>
      <c r="B923" s="282"/>
      <c r="C923" s="171"/>
      <c r="D923" s="78"/>
      <c r="E923" s="78"/>
      <c r="F923" s="171"/>
      <c r="G923" s="173"/>
      <c r="H923" s="170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</row>
    <row r="924" ht="14.25" customHeight="1">
      <c r="A924" s="171"/>
      <c r="B924" s="282"/>
      <c r="C924" s="171"/>
      <c r="D924" s="78"/>
      <c r="E924" s="78"/>
      <c r="F924" s="171"/>
      <c r="G924" s="173"/>
      <c r="H924" s="170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</row>
    <row r="925" ht="14.25" customHeight="1">
      <c r="A925" s="171"/>
      <c r="B925" s="282"/>
      <c r="C925" s="171"/>
      <c r="D925" s="78"/>
      <c r="E925" s="78"/>
      <c r="F925" s="171"/>
      <c r="G925" s="173"/>
      <c r="H925" s="170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</row>
    <row r="926" ht="14.25" customHeight="1">
      <c r="A926" s="171"/>
      <c r="B926" s="282"/>
      <c r="C926" s="171"/>
      <c r="D926" s="78"/>
      <c r="E926" s="78"/>
      <c r="F926" s="171"/>
      <c r="G926" s="173"/>
      <c r="H926" s="170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</row>
    <row r="927" ht="14.25" customHeight="1">
      <c r="A927" s="171"/>
      <c r="B927" s="282"/>
      <c r="C927" s="171"/>
      <c r="D927" s="78"/>
      <c r="E927" s="78"/>
      <c r="F927" s="171"/>
      <c r="G927" s="173"/>
      <c r="H927" s="170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</row>
    <row r="928" ht="14.25" customHeight="1">
      <c r="A928" s="171"/>
      <c r="B928" s="282"/>
      <c r="C928" s="171"/>
      <c r="D928" s="78"/>
      <c r="E928" s="78"/>
      <c r="F928" s="171"/>
      <c r="G928" s="173"/>
      <c r="H928" s="170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</row>
    <row r="929" ht="14.25" customHeight="1">
      <c r="A929" s="171"/>
      <c r="B929" s="282"/>
      <c r="C929" s="171"/>
      <c r="D929" s="78"/>
      <c r="E929" s="78"/>
      <c r="F929" s="171"/>
      <c r="G929" s="173"/>
      <c r="H929" s="170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</row>
    <row r="930" ht="14.25" customHeight="1">
      <c r="A930" s="171"/>
      <c r="B930" s="282"/>
      <c r="C930" s="171"/>
      <c r="D930" s="78"/>
      <c r="E930" s="78"/>
      <c r="F930" s="171"/>
      <c r="G930" s="173"/>
      <c r="H930" s="170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</row>
    <row r="931" ht="14.25" customHeight="1">
      <c r="A931" s="171"/>
      <c r="B931" s="282"/>
      <c r="C931" s="171"/>
      <c r="D931" s="78"/>
      <c r="E931" s="78"/>
      <c r="F931" s="171"/>
      <c r="G931" s="173"/>
      <c r="H931" s="170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</row>
    <row r="932" ht="14.25" customHeight="1">
      <c r="A932" s="171"/>
      <c r="B932" s="282"/>
      <c r="C932" s="171"/>
      <c r="D932" s="78"/>
      <c r="E932" s="78"/>
      <c r="F932" s="171"/>
      <c r="G932" s="173"/>
      <c r="H932" s="170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</row>
    <row r="933" ht="14.25" customHeight="1">
      <c r="A933" s="171"/>
      <c r="B933" s="282"/>
      <c r="C933" s="171"/>
      <c r="D933" s="78"/>
      <c r="E933" s="78"/>
      <c r="F933" s="171"/>
      <c r="G933" s="173"/>
      <c r="H933" s="170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</row>
    <row r="934" ht="14.25" customHeight="1">
      <c r="A934" s="171"/>
      <c r="B934" s="282"/>
      <c r="C934" s="171"/>
      <c r="D934" s="78"/>
      <c r="E934" s="78"/>
      <c r="F934" s="171"/>
      <c r="G934" s="173"/>
      <c r="H934" s="170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</row>
    <row r="935" ht="14.25" customHeight="1">
      <c r="A935" s="171"/>
      <c r="B935" s="282"/>
      <c r="C935" s="171"/>
      <c r="D935" s="78"/>
      <c r="E935" s="78"/>
      <c r="F935" s="171"/>
      <c r="G935" s="173"/>
      <c r="H935" s="170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</row>
    <row r="936" ht="14.25" customHeight="1">
      <c r="A936" s="171"/>
      <c r="B936" s="282"/>
      <c r="C936" s="171"/>
      <c r="D936" s="78"/>
      <c r="E936" s="78"/>
      <c r="F936" s="171"/>
      <c r="G936" s="173"/>
      <c r="H936" s="170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</row>
    <row r="937" ht="14.25" customHeight="1">
      <c r="A937" s="171"/>
      <c r="B937" s="282"/>
      <c r="C937" s="171"/>
      <c r="D937" s="78"/>
      <c r="E937" s="78"/>
      <c r="F937" s="171"/>
      <c r="G937" s="173"/>
      <c r="H937" s="170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</row>
    <row r="938" ht="14.25" customHeight="1">
      <c r="A938" s="171"/>
      <c r="B938" s="282"/>
      <c r="C938" s="171"/>
      <c r="D938" s="78"/>
      <c r="E938" s="78"/>
      <c r="F938" s="171"/>
      <c r="G938" s="173"/>
      <c r="H938" s="170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</row>
    <row r="939" ht="14.25" customHeight="1">
      <c r="A939" s="171"/>
      <c r="B939" s="282"/>
      <c r="C939" s="171"/>
      <c r="D939" s="78"/>
      <c r="E939" s="78"/>
      <c r="F939" s="171"/>
      <c r="G939" s="173"/>
      <c r="H939" s="170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</row>
    <row r="940" ht="14.25" customHeight="1">
      <c r="A940" s="171"/>
      <c r="B940" s="282"/>
      <c r="C940" s="171"/>
      <c r="D940" s="78"/>
      <c r="E940" s="78"/>
      <c r="F940" s="171"/>
      <c r="G940" s="173"/>
      <c r="H940" s="170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</row>
    <row r="941" ht="14.25" customHeight="1">
      <c r="A941" s="171"/>
      <c r="B941" s="282"/>
      <c r="C941" s="171"/>
      <c r="D941" s="78"/>
      <c r="E941" s="78"/>
      <c r="F941" s="171"/>
      <c r="G941" s="173"/>
      <c r="H941" s="170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</row>
    <row r="942" ht="14.25" customHeight="1">
      <c r="A942" s="171"/>
      <c r="B942" s="282"/>
      <c r="C942" s="171"/>
      <c r="D942" s="78"/>
      <c r="E942" s="78"/>
      <c r="F942" s="171"/>
      <c r="G942" s="173"/>
      <c r="H942" s="170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</row>
    <row r="943" ht="14.25" customHeight="1">
      <c r="A943" s="171"/>
      <c r="B943" s="282"/>
      <c r="C943" s="171"/>
      <c r="D943" s="78"/>
      <c r="E943" s="78"/>
      <c r="F943" s="171"/>
      <c r="G943" s="173"/>
      <c r="H943" s="170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</row>
    <row r="944" ht="14.25" customHeight="1">
      <c r="A944" s="171"/>
      <c r="B944" s="282"/>
      <c r="C944" s="171"/>
      <c r="D944" s="78"/>
      <c r="E944" s="78"/>
      <c r="F944" s="171"/>
      <c r="G944" s="173"/>
      <c r="H944" s="170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</row>
    <row r="945" ht="14.25" customHeight="1">
      <c r="A945" s="171"/>
      <c r="B945" s="282"/>
      <c r="C945" s="171"/>
      <c r="D945" s="78"/>
      <c r="E945" s="78"/>
      <c r="F945" s="171"/>
      <c r="G945" s="173"/>
      <c r="H945" s="170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</row>
    <row r="946" ht="14.25" customHeight="1">
      <c r="A946" s="171"/>
      <c r="B946" s="282"/>
      <c r="C946" s="171"/>
      <c r="D946" s="78"/>
      <c r="E946" s="78"/>
      <c r="F946" s="171"/>
      <c r="G946" s="173"/>
      <c r="H946" s="170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</row>
    <row r="947" ht="14.25" customHeight="1">
      <c r="A947" s="171"/>
      <c r="B947" s="282"/>
      <c r="C947" s="171"/>
      <c r="D947" s="78"/>
      <c r="E947" s="78"/>
      <c r="F947" s="171"/>
      <c r="G947" s="173"/>
      <c r="H947" s="170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</row>
    <row r="948" ht="14.25" customHeight="1">
      <c r="A948" s="171"/>
      <c r="B948" s="282"/>
      <c r="C948" s="171"/>
      <c r="D948" s="78"/>
      <c r="E948" s="78"/>
      <c r="F948" s="171"/>
      <c r="G948" s="173"/>
      <c r="H948" s="170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</row>
    <row r="949" ht="14.25" customHeight="1">
      <c r="A949" s="171"/>
      <c r="B949" s="282"/>
      <c r="C949" s="171"/>
      <c r="D949" s="78"/>
      <c r="E949" s="78"/>
      <c r="F949" s="171"/>
      <c r="G949" s="173"/>
      <c r="H949" s="170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</row>
    <row r="950" ht="14.25" customHeight="1">
      <c r="A950" s="171"/>
      <c r="B950" s="282"/>
      <c r="C950" s="171"/>
      <c r="D950" s="78"/>
      <c r="E950" s="78"/>
      <c r="F950" s="171"/>
      <c r="G950" s="173"/>
      <c r="H950" s="170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</row>
    <row r="951" ht="14.25" customHeight="1">
      <c r="A951" s="171"/>
      <c r="B951" s="282"/>
      <c r="C951" s="171"/>
      <c r="D951" s="78"/>
      <c r="E951" s="78"/>
      <c r="F951" s="171"/>
      <c r="G951" s="173"/>
      <c r="H951" s="170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</row>
    <row r="952" ht="14.25" customHeight="1">
      <c r="A952" s="171"/>
      <c r="B952" s="282"/>
      <c r="C952" s="171"/>
      <c r="D952" s="78"/>
      <c r="E952" s="78"/>
      <c r="F952" s="171"/>
      <c r="G952" s="173"/>
      <c r="H952" s="170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</row>
    <row r="953" ht="14.25" customHeight="1">
      <c r="A953" s="171"/>
      <c r="B953" s="282"/>
      <c r="C953" s="171"/>
      <c r="D953" s="78"/>
      <c r="E953" s="78"/>
      <c r="F953" s="171"/>
      <c r="G953" s="173"/>
      <c r="H953" s="170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</row>
    <row r="954" ht="14.25" customHeight="1">
      <c r="A954" s="171"/>
      <c r="B954" s="282"/>
      <c r="C954" s="171"/>
      <c r="D954" s="78"/>
      <c r="E954" s="78"/>
      <c r="F954" s="171"/>
      <c r="G954" s="173"/>
      <c r="H954" s="170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</row>
    <row r="955" ht="14.25" customHeight="1">
      <c r="A955" s="171"/>
      <c r="B955" s="282"/>
      <c r="C955" s="171"/>
      <c r="D955" s="78"/>
      <c r="E955" s="78"/>
      <c r="F955" s="171"/>
      <c r="G955" s="173"/>
      <c r="H955" s="170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</row>
    <row r="956" ht="14.25" customHeight="1">
      <c r="A956" s="171"/>
      <c r="B956" s="282"/>
      <c r="C956" s="171"/>
      <c r="D956" s="78"/>
      <c r="E956" s="78"/>
      <c r="F956" s="171"/>
      <c r="G956" s="173"/>
      <c r="H956" s="170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</row>
    <row r="957" ht="14.25" customHeight="1">
      <c r="A957" s="171"/>
      <c r="B957" s="282"/>
      <c r="C957" s="171"/>
      <c r="D957" s="78"/>
      <c r="E957" s="78"/>
      <c r="F957" s="171"/>
      <c r="G957" s="173"/>
      <c r="H957" s="170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</row>
    <row r="958" ht="14.25" customHeight="1">
      <c r="A958" s="171"/>
      <c r="B958" s="282"/>
      <c r="C958" s="171"/>
      <c r="D958" s="78"/>
      <c r="E958" s="78"/>
      <c r="F958" s="171"/>
      <c r="G958" s="173"/>
      <c r="H958" s="170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</row>
    <row r="959" ht="14.25" customHeight="1">
      <c r="A959" s="171"/>
      <c r="B959" s="282"/>
      <c r="C959" s="171"/>
      <c r="D959" s="78"/>
      <c r="E959" s="78"/>
      <c r="F959" s="171"/>
      <c r="G959" s="173"/>
      <c r="H959" s="170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</row>
    <row r="960" ht="14.25" customHeight="1">
      <c r="A960" s="171"/>
      <c r="B960" s="282"/>
      <c r="C960" s="171"/>
      <c r="D960" s="78"/>
      <c r="E960" s="78"/>
      <c r="F960" s="171"/>
      <c r="G960" s="173"/>
      <c r="H960" s="170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</row>
    <row r="961" ht="14.25" customHeight="1">
      <c r="A961" s="171"/>
      <c r="B961" s="282"/>
      <c r="C961" s="171"/>
      <c r="D961" s="78"/>
      <c r="E961" s="78"/>
      <c r="F961" s="171"/>
      <c r="G961" s="173"/>
      <c r="H961" s="170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</row>
    <row r="962" ht="14.25" customHeight="1">
      <c r="A962" s="171"/>
      <c r="B962" s="282"/>
      <c r="C962" s="171"/>
      <c r="D962" s="78"/>
      <c r="E962" s="78"/>
      <c r="F962" s="171"/>
      <c r="G962" s="173"/>
      <c r="H962" s="170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</row>
    <row r="963" ht="14.25" customHeight="1">
      <c r="A963" s="171"/>
      <c r="B963" s="282"/>
      <c r="C963" s="171"/>
      <c r="D963" s="78"/>
      <c r="E963" s="78"/>
      <c r="F963" s="171"/>
      <c r="G963" s="173"/>
      <c r="H963" s="170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</row>
    <row r="964" ht="14.25" customHeight="1">
      <c r="A964" s="171"/>
      <c r="B964" s="282"/>
      <c r="C964" s="171"/>
      <c r="D964" s="78"/>
      <c r="E964" s="78"/>
      <c r="F964" s="171"/>
      <c r="G964" s="173"/>
      <c r="H964" s="170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</row>
    <row r="965" ht="14.25" customHeight="1">
      <c r="A965" s="171"/>
      <c r="B965" s="282"/>
      <c r="C965" s="171"/>
      <c r="D965" s="78"/>
      <c r="E965" s="78"/>
      <c r="F965" s="171"/>
      <c r="G965" s="173"/>
      <c r="H965" s="170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</row>
    <row r="966" ht="14.25" customHeight="1">
      <c r="A966" s="171"/>
      <c r="B966" s="282"/>
      <c r="C966" s="171"/>
      <c r="D966" s="78"/>
      <c r="E966" s="78"/>
      <c r="F966" s="171"/>
      <c r="G966" s="173"/>
      <c r="H966" s="170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</row>
    <row r="967" ht="14.25" customHeight="1">
      <c r="A967" s="171"/>
      <c r="B967" s="282"/>
      <c r="C967" s="171"/>
      <c r="D967" s="78"/>
      <c r="E967" s="78"/>
      <c r="F967" s="171"/>
      <c r="G967" s="173"/>
      <c r="H967" s="170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</row>
    <row r="968" ht="14.25" customHeight="1">
      <c r="A968" s="171"/>
      <c r="B968" s="282"/>
      <c r="C968" s="171"/>
      <c r="D968" s="78"/>
      <c r="E968" s="78"/>
      <c r="F968" s="171"/>
      <c r="G968" s="173"/>
      <c r="H968" s="170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</row>
    <row r="969" ht="14.25" customHeight="1">
      <c r="A969" s="171"/>
      <c r="B969" s="282"/>
      <c r="C969" s="171"/>
      <c r="D969" s="78"/>
      <c r="E969" s="78"/>
      <c r="F969" s="171"/>
      <c r="G969" s="173"/>
      <c r="H969" s="170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</row>
    <row r="970" ht="14.25" customHeight="1">
      <c r="A970" s="171"/>
      <c r="B970" s="282"/>
      <c r="C970" s="171"/>
      <c r="D970" s="78"/>
      <c r="E970" s="78"/>
      <c r="F970" s="171"/>
      <c r="G970" s="173"/>
      <c r="H970" s="170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</row>
    <row r="971" ht="14.25" customHeight="1">
      <c r="A971" s="171"/>
      <c r="B971" s="282"/>
      <c r="C971" s="171"/>
      <c r="D971" s="78"/>
      <c r="E971" s="78"/>
      <c r="F971" s="171"/>
      <c r="G971" s="173"/>
      <c r="H971" s="170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</row>
    <row r="972" ht="14.25" customHeight="1">
      <c r="A972" s="171"/>
      <c r="B972" s="282"/>
      <c r="C972" s="171"/>
      <c r="D972" s="78"/>
      <c r="E972" s="78"/>
      <c r="F972" s="171"/>
      <c r="G972" s="173"/>
      <c r="H972" s="170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</row>
    <row r="973" ht="14.25" customHeight="1">
      <c r="A973" s="171"/>
      <c r="B973" s="282"/>
      <c r="C973" s="171"/>
      <c r="D973" s="78"/>
      <c r="E973" s="78"/>
      <c r="F973" s="171"/>
      <c r="G973" s="173"/>
      <c r="H973" s="170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</row>
    <row r="974" ht="14.25" customHeight="1">
      <c r="A974" s="171"/>
      <c r="B974" s="282"/>
      <c r="C974" s="171"/>
      <c r="D974" s="78"/>
      <c r="E974" s="78"/>
      <c r="F974" s="171"/>
      <c r="G974" s="173"/>
      <c r="H974" s="170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</row>
    <row r="975" ht="14.25" customHeight="1">
      <c r="A975" s="171"/>
      <c r="B975" s="282"/>
      <c r="C975" s="171"/>
      <c r="D975" s="78"/>
      <c r="E975" s="78"/>
      <c r="F975" s="171"/>
      <c r="G975" s="173"/>
      <c r="H975" s="170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</row>
    <row r="976" ht="14.25" customHeight="1">
      <c r="A976" s="171"/>
      <c r="B976" s="282"/>
      <c r="C976" s="171"/>
      <c r="D976" s="78"/>
      <c r="E976" s="78"/>
      <c r="F976" s="171"/>
      <c r="G976" s="173"/>
      <c r="H976" s="170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</row>
    <row r="977" ht="14.25" customHeight="1">
      <c r="A977" s="171"/>
      <c r="B977" s="282"/>
      <c r="C977" s="171"/>
      <c r="D977" s="78"/>
      <c r="E977" s="78"/>
      <c r="F977" s="171"/>
      <c r="G977" s="173"/>
      <c r="H977" s="170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</row>
    <row r="978" ht="14.25" customHeight="1">
      <c r="A978" s="171"/>
      <c r="B978" s="282"/>
      <c r="C978" s="171"/>
      <c r="D978" s="78"/>
      <c r="E978" s="78"/>
      <c r="F978" s="171"/>
      <c r="G978" s="173"/>
      <c r="H978" s="170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</row>
    <row r="979" ht="14.25" customHeight="1">
      <c r="A979" s="171"/>
      <c r="B979" s="282"/>
      <c r="C979" s="171"/>
      <c r="D979" s="78"/>
      <c r="E979" s="78"/>
      <c r="F979" s="171"/>
      <c r="G979" s="173"/>
      <c r="H979" s="170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</row>
    <row r="980" ht="14.25" customHeight="1">
      <c r="A980" s="171"/>
      <c r="B980" s="282"/>
      <c r="C980" s="171"/>
      <c r="D980" s="78"/>
      <c r="E980" s="78"/>
      <c r="F980" s="171"/>
      <c r="G980" s="173"/>
      <c r="H980" s="170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</row>
    <row r="981" ht="14.25" customHeight="1">
      <c r="A981" s="171"/>
      <c r="B981" s="282"/>
      <c r="C981" s="171"/>
      <c r="D981" s="78"/>
      <c r="E981" s="78"/>
      <c r="F981" s="171"/>
      <c r="G981" s="173"/>
      <c r="H981" s="170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</row>
    <row r="982" ht="14.25" customHeight="1">
      <c r="A982" s="171"/>
      <c r="B982" s="282"/>
      <c r="C982" s="171"/>
      <c r="D982" s="78"/>
      <c r="E982" s="78"/>
      <c r="F982" s="171"/>
      <c r="G982" s="173"/>
      <c r="H982" s="170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</row>
    <row r="983" ht="14.25" customHeight="1">
      <c r="A983" s="171"/>
      <c r="B983" s="282"/>
      <c r="C983" s="171"/>
      <c r="D983" s="78"/>
      <c r="E983" s="78"/>
      <c r="F983" s="171"/>
      <c r="G983" s="173"/>
      <c r="H983" s="170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</row>
    <row r="984" ht="14.25" customHeight="1">
      <c r="A984" s="171"/>
      <c r="B984" s="282"/>
      <c r="C984" s="171"/>
      <c r="D984" s="78"/>
      <c r="E984" s="78"/>
      <c r="F984" s="171"/>
      <c r="G984" s="173"/>
      <c r="H984" s="170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</row>
    <row r="985" ht="14.25" customHeight="1">
      <c r="A985" s="171"/>
      <c r="B985" s="282"/>
      <c r="C985" s="171"/>
      <c r="D985" s="78"/>
      <c r="E985" s="78"/>
      <c r="F985" s="171"/>
      <c r="G985" s="173"/>
      <c r="H985" s="170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</row>
    <row r="986" ht="14.25" customHeight="1">
      <c r="A986" s="171"/>
      <c r="B986" s="282"/>
      <c r="C986" s="171"/>
      <c r="D986" s="78"/>
      <c r="E986" s="78"/>
      <c r="F986" s="171"/>
      <c r="G986" s="173"/>
      <c r="H986" s="170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</row>
    <row r="987" ht="14.25" customHeight="1">
      <c r="A987" s="171"/>
      <c r="B987" s="282"/>
      <c r="C987" s="171"/>
      <c r="D987" s="78"/>
      <c r="E987" s="78"/>
      <c r="F987" s="171"/>
      <c r="G987" s="173"/>
      <c r="H987" s="170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</row>
    <row r="988" ht="14.25" customHeight="1">
      <c r="A988" s="171"/>
      <c r="B988" s="282"/>
      <c r="C988" s="171"/>
      <c r="D988" s="78"/>
      <c r="E988" s="78"/>
      <c r="F988" s="171"/>
      <c r="G988" s="173"/>
      <c r="H988" s="170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</row>
    <row r="989" ht="14.25" customHeight="1">
      <c r="A989" s="171"/>
      <c r="B989" s="282"/>
      <c r="C989" s="171"/>
      <c r="D989" s="78"/>
      <c r="E989" s="78"/>
      <c r="F989" s="171"/>
      <c r="G989" s="173"/>
      <c r="H989" s="170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</row>
    <row r="990" ht="14.25" customHeight="1">
      <c r="A990" s="171"/>
      <c r="B990" s="282"/>
      <c r="C990" s="171"/>
      <c r="D990" s="78"/>
      <c r="E990" s="78"/>
      <c r="F990" s="171"/>
      <c r="G990" s="173"/>
      <c r="H990" s="170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</row>
    <row r="991" ht="14.25" customHeight="1">
      <c r="A991" s="171"/>
      <c r="B991" s="282"/>
      <c r="C991" s="171"/>
      <c r="D991" s="78"/>
      <c r="E991" s="78"/>
      <c r="F991" s="171"/>
      <c r="G991" s="173"/>
      <c r="H991" s="170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</row>
    <row r="992" ht="14.25" customHeight="1">
      <c r="A992" s="171"/>
      <c r="B992" s="282"/>
      <c r="C992" s="171"/>
      <c r="D992" s="78"/>
      <c r="E992" s="78"/>
      <c r="F992" s="171"/>
      <c r="G992" s="173"/>
      <c r="H992" s="170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</row>
    <row r="993" ht="14.25" customHeight="1">
      <c r="A993" s="171"/>
      <c r="B993" s="282"/>
      <c r="C993" s="171"/>
      <c r="D993" s="78"/>
      <c r="E993" s="78"/>
      <c r="F993" s="171"/>
      <c r="G993" s="173"/>
      <c r="H993" s="170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</row>
    <row r="994" ht="14.25" customHeight="1">
      <c r="A994" s="171"/>
      <c r="B994" s="282"/>
      <c r="C994" s="171"/>
      <c r="D994" s="78"/>
      <c r="E994" s="78"/>
      <c r="F994" s="171"/>
      <c r="G994" s="173"/>
      <c r="H994" s="170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</row>
    <row r="995" ht="14.25" customHeight="1">
      <c r="A995" s="171"/>
      <c r="B995" s="282"/>
      <c r="C995" s="171"/>
      <c r="D995" s="78"/>
      <c r="E995" s="78"/>
      <c r="F995" s="171"/>
      <c r="G995" s="173"/>
      <c r="H995" s="170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</row>
    <row r="996" ht="14.25" customHeight="1">
      <c r="A996" s="171"/>
      <c r="B996" s="282"/>
      <c r="C996" s="171"/>
      <c r="D996" s="78"/>
      <c r="E996" s="78"/>
      <c r="F996" s="171"/>
      <c r="G996" s="173"/>
      <c r="H996" s="170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</row>
  </sheetData>
  <mergeCells count="11">
    <mergeCell ref="B5:D5"/>
    <mergeCell ref="B6:D6"/>
    <mergeCell ref="F6:G6"/>
    <mergeCell ref="F37:I37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57"/>
    <col customWidth="1" min="6" max="6" width="16.86"/>
    <col customWidth="1" min="7" max="7" width="25.29"/>
    <col customWidth="1" min="8" max="8" width="14.86"/>
    <col customWidth="1" min="9" max="9" width="12.29"/>
    <col customWidth="1" min="10" max="28" width="8.71"/>
  </cols>
  <sheetData>
    <row r="1" ht="33.75" customHeight="1">
      <c r="A1" s="105" t="s">
        <v>42</v>
      </c>
      <c r="H1" s="170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 ht="31.5" customHeight="1">
      <c r="A2" s="171"/>
      <c r="B2" s="282"/>
      <c r="C2" s="106" t="s">
        <v>43</v>
      </c>
      <c r="F2" s="171"/>
      <c r="G2" s="173"/>
      <c r="H2" s="170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4.25" customHeight="1">
      <c r="A3" s="174" t="s">
        <v>44</v>
      </c>
      <c r="B3" s="175" t="s">
        <v>964</v>
      </c>
      <c r="E3" s="176" t="s">
        <v>46</v>
      </c>
      <c r="F3" s="175" t="s">
        <v>161</v>
      </c>
      <c r="H3" s="170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</row>
    <row r="4" ht="14.25" customHeight="1">
      <c r="A4" s="174" t="s">
        <v>48</v>
      </c>
      <c r="B4" s="175" t="s">
        <v>965</v>
      </c>
      <c r="E4" s="176" t="s">
        <v>105</v>
      </c>
      <c r="F4" s="175">
        <v>9.702246100574E12</v>
      </c>
      <c r="H4" s="170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</row>
    <row r="5" ht="14.25" customHeight="1">
      <c r="A5" s="174" t="s">
        <v>51</v>
      </c>
      <c r="B5" s="175" t="s">
        <v>231</v>
      </c>
      <c r="E5" s="176" t="s">
        <v>53</v>
      </c>
      <c r="F5" s="175" t="s">
        <v>965</v>
      </c>
      <c r="H5" s="170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</row>
    <row r="6" ht="14.25" customHeight="1">
      <c r="A6" s="174" t="s">
        <v>54</v>
      </c>
      <c r="B6" s="283"/>
      <c r="E6" s="176" t="s">
        <v>55</v>
      </c>
      <c r="F6" s="175" t="s">
        <v>966</v>
      </c>
      <c r="H6" s="170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</row>
    <row r="7" ht="14.25" customHeight="1">
      <c r="A7" s="171"/>
      <c r="B7" s="282"/>
      <c r="C7" s="171"/>
      <c r="D7" s="78"/>
      <c r="E7" s="78"/>
      <c r="F7" s="171"/>
      <c r="G7" s="173"/>
      <c r="H7" s="170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ht="14.25" customHeight="1">
      <c r="A8" s="171"/>
      <c r="B8" s="282"/>
      <c r="C8" s="171"/>
      <c r="D8" s="78"/>
      <c r="E8" s="78"/>
      <c r="F8" s="171"/>
      <c r="G8" s="173"/>
      <c r="H8" s="170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ht="14.25" customHeight="1">
      <c r="A9" s="107" t="s">
        <v>56</v>
      </c>
      <c r="B9" s="108" t="s">
        <v>107</v>
      </c>
      <c r="C9" s="177" t="s">
        <v>58</v>
      </c>
      <c r="D9" s="178" t="s">
        <v>59</v>
      </c>
      <c r="E9" s="178" t="s">
        <v>60</v>
      </c>
      <c r="F9" s="107" t="s">
        <v>61</v>
      </c>
      <c r="G9" s="110" t="s">
        <v>62</v>
      </c>
      <c r="H9" s="111" t="s">
        <v>63</v>
      </c>
      <c r="I9" s="107" t="s">
        <v>64</v>
      </c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ht="14.25" customHeight="1">
      <c r="A10" s="112" t="s">
        <v>967</v>
      </c>
      <c r="B10" s="112">
        <v>7.6275218E7</v>
      </c>
      <c r="C10" s="302">
        <v>45253.0</v>
      </c>
      <c r="D10" s="180"/>
      <c r="E10" s="180"/>
      <c r="F10" s="116">
        <v>3.0</v>
      </c>
      <c r="G10" s="117">
        <v>3.0</v>
      </c>
      <c r="H10" s="181">
        <f t="shared" ref="H10:H39" si="1">G10*200</f>
        <v>600</v>
      </c>
      <c r="I10" s="119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 ht="14.25" customHeight="1">
      <c r="A11" s="135" t="s">
        <v>968</v>
      </c>
      <c r="B11" s="135">
        <v>7.62973E7</v>
      </c>
      <c r="C11" s="302">
        <v>45253.0</v>
      </c>
      <c r="D11" s="180"/>
      <c r="E11" s="180"/>
      <c r="F11" s="121">
        <v>2.0</v>
      </c>
      <c r="G11" s="117">
        <v>2.0</v>
      </c>
      <c r="H11" s="181">
        <f t="shared" si="1"/>
        <v>400</v>
      </c>
      <c r="I11" s="119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ht="14.25" customHeight="1">
      <c r="A12" s="135" t="s">
        <v>969</v>
      </c>
      <c r="B12" s="135">
        <v>7.6485981E7</v>
      </c>
      <c r="C12" s="302">
        <v>45253.0</v>
      </c>
      <c r="D12" s="180"/>
      <c r="E12" s="180"/>
      <c r="F12" s="121">
        <v>2.0</v>
      </c>
      <c r="G12" s="117">
        <v>2.0</v>
      </c>
      <c r="H12" s="181">
        <f t="shared" si="1"/>
        <v>400</v>
      </c>
      <c r="I12" s="119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ht="14.25" customHeight="1">
      <c r="A13" s="137" t="s">
        <v>970</v>
      </c>
      <c r="B13" s="137">
        <v>7.6436636E7</v>
      </c>
      <c r="C13" s="302">
        <v>45253.0</v>
      </c>
      <c r="D13" s="180"/>
      <c r="E13" s="180"/>
      <c r="F13" s="121">
        <v>2.0</v>
      </c>
      <c r="G13" s="117">
        <v>2.0</v>
      </c>
      <c r="H13" s="181">
        <f t="shared" si="1"/>
        <v>400</v>
      </c>
      <c r="I13" s="119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ht="14.25" customHeight="1">
      <c r="A14" s="135" t="s">
        <v>971</v>
      </c>
      <c r="B14" s="135">
        <v>7.6919056E7</v>
      </c>
      <c r="C14" s="302">
        <v>45253.0</v>
      </c>
      <c r="D14" s="180"/>
      <c r="E14" s="180"/>
      <c r="F14" s="121">
        <v>2.0</v>
      </c>
      <c r="G14" s="117">
        <v>2.0</v>
      </c>
      <c r="H14" s="181">
        <f t="shared" si="1"/>
        <v>400</v>
      </c>
      <c r="I14" s="119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</row>
    <row r="15" ht="14.25" customHeight="1">
      <c r="A15" s="135" t="s">
        <v>972</v>
      </c>
      <c r="B15" s="32" t="s">
        <v>81</v>
      </c>
      <c r="C15" s="302">
        <v>45253.0</v>
      </c>
      <c r="D15" s="180"/>
      <c r="E15" s="180"/>
      <c r="F15" s="121">
        <v>3.0</v>
      </c>
      <c r="G15" s="117">
        <v>3.0</v>
      </c>
      <c r="H15" s="181">
        <f t="shared" si="1"/>
        <v>600</v>
      </c>
      <c r="I15" s="119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</row>
    <row r="16" ht="14.25" customHeight="1">
      <c r="A16" s="135" t="s">
        <v>973</v>
      </c>
      <c r="B16" s="32" t="s">
        <v>81</v>
      </c>
      <c r="C16" s="302">
        <v>45253.0</v>
      </c>
      <c r="D16" s="180"/>
      <c r="E16" s="180"/>
      <c r="F16" s="121">
        <v>2.0</v>
      </c>
      <c r="G16" s="117">
        <v>2.0</v>
      </c>
      <c r="H16" s="181">
        <f t="shared" si="1"/>
        <v>400</v>
      </c>
      <c r="I16" s="119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ht="14.25" customHeight="1">
      <c r="A17" s="137" t="s">
        <v>974</v>
      </c>
      <c r="B17" s="32" t="s">
        <v>81</v>
      </c>
      <c r="C17" s="302">
        <v>45253.0</v>
      </c>
      <c r="D17" s="180"/>
      <c r="E17" s="180"/>
      <c r="F17" s="126">
        <v>2.0</v>
      </c>
      <c r="G17" s="117">
        <v>2.0</v>
      </c>
      <c r="H17" s="181">
        <f t="shared" si="1"/>
        <v>400</v>
      </c>
      <c r="I17" s="119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ht="14.25" customHeight="1">
      <c r="A18" s="135" t="s">
        <v>975</v>
      </c>
      <c r="B18" s="32" t="s">
        <v>81</v>
      </c>
      <c r="C18" s="302">
        <v>45253.0</v>
      </c>
      <c r="D18" s="180"/>
      <c r="E18" s="182"/>
      <c r="F18" s="121">
        <v>1.0</v>
      </c>
      <c r="G18" s="117">
        <v>1.0</v>
      </c>
      <c r="H18" s="181">
        <f t="shared" si="1"/>
        <v>200</v>
      </c>
      <c r="I18" s="119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</row>
    <row r="19" ht="14.25" customHeight="1">
      <c r="A19" s="135" t="s">
        <v>976</v>
      </c>
      <c r="B19" s="135">
        <v>7.6465812E7</v>
      </c>
      <c r="C19" s="302">
        <v>45253.0</v>
      </c>
      <c r="D19" s="180"/>
      <c r="E19" s="183"/>
      <c r="F19" s="121">
        <v>3.0</v>
      </c>
      <c r="G19" s="117">
        <v>3.0</v>
      </c>
      <c r="H19" s="181">
        <f t="shared" si="1"/>
        <v>600</v>
      </c>
      <c r="I19" s="119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</row>
    <row r="20" ht="14.25" customHeight="1">
      <c r="A20" s="137" t="s">
        <v>977</v>
      </c>
      <c r="B20" s="32" t="s">
        <v>81</v>
      </c>
      <c r="C20" s="302">
        <v>45253.0</v>
      </c>
      <c r="D20" s="180"/>
      <c r="E20" s="180"/>
      <c r="F20" s="121">
        <v>3.0</v>
      </c>
      <c r="G20" s="117">
        <v>3.0</v>
      </c>
      <c r="H20" s="181">
        <f t="shared" si="1"/>
        <v>600</v>
      </c>
      <c r="I20" s="119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</row>
    <row r="21" ht="14.25" customHeight="1">
      <c r="A21" s="135" t="s">
        <v>978</v>
      </c>
      <c r="B21" s="136">
        <v>7.6741973E7</v>
      </c>
      <c r="C21" s="302">
        <v>45253.0</v>
      </c>
      <c r="D21" s="180"/>
      <c r="E21" s="180"/>
      <c r="F21" s="121">
        <v>1.0</v>
      </c>
      <c r="G21" s="117">
        <v>1.0</v>
      </c>
      <c r="H21" s="181">
        <f t="shared" si="1"/>
        <v>200</v>
      </c>
      <c r="I21" s="119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</row>
    <row r="22" ht="14.25" customHeight="1">
      <c r="A22" s="137" t="s">
        <v>979</v>
      </c>
      <c r="B22" s="32" t="s">
        <v>81</v>
      </c>
      <c r="C22" s="302">
        <v>45253.0</v>
      </c>
      <c r="D22" s="184"/>
      <c r="E22" s="180"/>
      <c r="F22" s="126">
        <v>1.0</v>
      </c>
      <c r="G22" s="117">
        <v>1.0</v>
      </c>
      <c r="H22" s="181">
        <f t="shared" si="1"/>
        <v>200</v>
      </c>
      <c r="I22" s="119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</row>
    <row r="23" ht="14.25" customHeight="1">
      <c r="A23" s="135" t="s">
        <v>980</v>
      </c>
      <c r="B23" s="32" t="s">
        <v>81</v>
      </c>
      <c r="C23" s="302">
        <v>45253.0</v>
      </c>
      <c r="D23" s="180"/>
      <c r="E23" s="180"/>
      <c r="F23" s="121">
        <v>1.0</v>
      </c>
      <c r="G23" s="117">
        <v>1.0</v>
      </c>
      <c r="H23" s="181">
        <f t="shared" si="1"/>
        <v>200</v>
      </c>
      <c r="I23" s="119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</row>
    <row r="24" ht="14.25" customHeight="1">
      <c r="A24" s="135" t="s">
        <v>981</v>
      </c>
      <c r="B24" s="136">
        <v>7.6142109E7</v>
      </c>
      <c r="C24" s="302">
        <v>45253.0</v>
      </c>
      <c r="D24" s="180"/>
      <c r="E24" s="180"/>
      <c r="F24" s="121">
        <v>1.0</v>
      </c>
      <c r="G24" s="117">
        <v>1.0</v>
      </c>
      <c r="H24" s="181">
        <f t="shared" si="1"/>
        <v>200</v>
      </c>
      <c r="I24" s="119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</row>
    <row r="25" ht="14.25" customHeight="1">
      <c r="A25" s="135" t="s">
        <v>982</v>
      </c>
      <c r="B25" s="32" t="s">
        <v>81</v>
      </c>
      <c r="C25" s="302">
        <v>45253.0</v>
      </c>
      <c r="D25" s="180"/>
      <c r="E25" s="180"/>
      <c r="F25" s="121">
        <v>1.0</v>
      </c>
      <c r="G25" s="117">
        <v>1.0</v>
      </c>
      <c r="H25" s="181">
        <f t="shared" si="1"/>
        <v>200</v>
      </c>
      <c r="I25" s="119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</row>
    <row r="26" ht="14.25" customHeight="1">
      <c r="A26" s="137" t="s">
        <v>983</v>
      </c>
      <c r="B26" s="135">
        <v>7.6795055E7</v>
      </c>
      <c r="C26" s="302">
        <v>45253.0</v>
      </c>
      <c r="D26" s="180"/>
      <c r="E26" s="180"/>
      <c r="F26" s="121">
        <v>1.0</v>
      </c>
      <c r="G26" s="117">
        <v>1.0</v>
      </c>
      <c r="H26" s="181">
        <f t="shared" si="1"/>
        <v>200</v>
      </c>
      <c r="I26" s="119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</row>
    <row r="27" ht="14.25" customHeight="1">
      <c r="A27" s="137" t="s">
        <v>984</v>
      </c>
      <c r="B27" s="32" t="s">
        <v>81</v>
      </c>
      <c r="C27" s="302">
        <v>45253.0</v>
      </c>
      <c r="D27" s="180"/>
      <c r="E27" s="180"/>
      <c r="F27" s="121">
        <v>1.0</v>
      </c>
      <c r="G27" s="117">
        <v>1.0</v>
      </c>
      <c r="H27" s="181">
        <f t="shared" si="1"/>
        <v>200</v>
      </c>
      <c r="I27" s="119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</row>
    <row r="28" ht="14.25" customHeight="1">
      <c r="A28" s="137" t="s">
        <v>985</v>
      </c>
      <c r="B28" s="32" t="s">
        <v>81</v>
      </c>
      <c r="C28" s="302">
        <v>45253.0</v>
      </c>
      <c r="D28" s="180"/>
      <c r="E28" s="180"/>
      <c r="F28" s="121">
        <v>2.0</v>
      </c>
      <c r="G28" s="117">
        <v>2.0</v>
      </c>
      <c r="H28" s="181">
        <f t="shared" si="1"/>
        <v>400</v>
      </c>
      <c r="I28" s="119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</row>
    <row r="29" ht="14.25" customHeight="1">
      <c r="A29" s="137" t="s">
        <v>986</v>
      </c>
      <c r="B29" s="32" t="s">
        <v>81</v>
      </c>
      <c r="C29" s="302">
        <v>45253.0</v>
      </c>
      <c r="D29" s="180"/>
      <c r="E29" s="180"/>
      <c r="F29" s="121">
        <v>2.0</v>
      </c>
      <c r="G29" s="117">
        <v>2.0</v>
      </c>
      <c r="H29" s="181">
        <f t="shared" si="1"/>
        <v>400</v>
      </c>
      <c r="I29" s="119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</row>
    <row r="30" ht="14.25" customHeight="1">
      <c r="A30" s="137" t="s">
        <v>987</v>
      </c>
      <c r="B30" s="135">
        <v>7.8326058E7</v>
      </c>
      <c r="C30" s="302">
        <v>45253.0</v>
      </c>
      <c r="D30" s="180"/>
      <c r="E30" s="180"/>
      <c r="F30" s="121">
        <v>1.0</v>
      </c>
      <c r="G30" s="117">
        <v>1.0</v>
      </c>
      <c r="H30" s="181">
        <f t="shared" si="1"/>
        <v>200</v>
      </c>
      <c r="I30" s="119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</row>
    <row r="31" ht="14.25" customHeight="1">
      <c r="A31" s="137" t="s">
        <v>988</v>
      </c>
      <c r="B31" s="32" t="s">
        <v>81</v>
      </c>
      <c r="C31" s="302">
        <v>45253.0</v>
      </c>
      <c r="D31" s="180"/>
      <c r="E31" s="180"/>
      <c r="F31" s="121">
        <v>1.0</v>
      </c>
      <c r="G31" s="117">
        <v>1.0</v>
      </c>
      <c r="H31" s="181">
        <f t="shared" si="1"/>
        <v>200</v>
      </c>
      <c r="I31" s="119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</row>
    <row r="32" ht="14.25" customHeight="1">
      <c r="A32" s="137" t="s">
        <v>989</v>
      </c>
      <c r="B32" s="32" t="s">
        <v>81</v>
      </c>
      <c r="C32" s="302">
        <v>45253.0</v>
      </c>
      <c r="D32" s="180"/>
      <c r="E32" s="180"/>
      <c r="F32" s="121">
        <v>2.0</v>
      </c>
      <c r="G32" s="117">
        <v>2.0</v>
      </c>
      <c r="H32" s="181">
        <f t="shared" si="1"/>
        <v>400</v>
      </c>
      <c r="I32" s="119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</row>
    <row r="33" ht="14.25" customHeight="1">
      <c r="A33" s="137" t="s">
        <v>990</v>
      </c>
      <c r="B33" s="32" t="s">
        <v>81</v>
      </c>
      <c r="C33" s="302">
        <v>45253.0</v>
      </c>
      <c r="D33" s="180"/>
      <c r="E33" s="180"/>
      <c r="F33" s="121">
        <v>1.0</v>
      </c>
      <c r="G33" s="117">
        <v>1.0</v>
      </c>
      <c r="H33" s="181">
        <f t="shared" si="1"/>
        <v>200</v>
      </c>
      <c r="I33" s="119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</row>
    <row r="34" ht="14.25" customHeight="1">
      <c r="A34" s="137" t="s">
        <v>991</v>
      </c>
      <c r="B34" s="32" t="s">
        <v>81</v>
      </c>
      <c r="C34" s="302">
        <v>45253.0</v>
      </c>
      <c r="D34" s="180"/>
      <c r="E34" s="180"/>
      <c r="F34" s="121">
        <v>1.0</v>
      </c>
      <c r="G34" s="117">
        <v>1.0</v>
      </c>
      <c r="H34" s="181">
        <f t="shared" si="1"/>
        <v>200</v>
      </c>
      <c r="I34" s="119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</row>
    <row r="35" ht="14.25" customHeight="1">
      <c r="A35" s="137" t="s">
        <v>992</v>
      </c>
      <c r="B35" s="32" t="s">
        <v>81</v>
      </c>
      <c r="C35" s="302">
        <v>45253.0</v>
      </c>
      <c r="D35" s="180"/>
      <c r="E35" s="180"/>
      <c r="F35" s="121">
        <v>2.0</v>
      </c>
      <c r="G35" s="117">
        <v>2.0</v>
      </c>
      <c r="H35" s="181">
        <f t="shared" si="1"/>
        <v>400</v>
      </c>
      <c r="I35" s="119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</row>
    <row r="36" ht="14.25" customHeight="1">
      <c r="A36" s="137" t="s">
        <v>993</v>
      </c>
      <c r="B36" s="32" t="s">
        <v>81</v>
      </c>
      <c r="C36" s="302">
        <v>45253.0</v>
      </c>
      <c r="D36" s="180"/>
      <c r="E36" s="180"/>
      <c r="F36" s="121">
        <v>2.0</v>
      </c>
      <c r="G36" s="117">
        <v>2.0</v>
      </c>
      <c r="H36" s="181">
        <f t="shared" si="1"/>
        <v>400</v>
      </c>
      <c r="I36" s="119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</row>
    <row r="37" ht="14.25" customHeight="1">
      <c r="A37" s="137" t="s">
        <v>994</v>
      </c>
      <c r="B37" s="32" t="s">
        <v>81</v>
      </c>
      <c r="C37" s="302">
        <v>45253.0</v>
      </c>
      <c r="D37" s="180"/>
      <c r="E37" s="180"/>
      <c r="F37" s="121">
        <v>2.0</v>
      </c>
      <c r="G37" s="117">
        <v>2.0</v>
      </c>
      <c r="H37" s="181">
        <f t="shared" si="1"/>
        <v>400</v>
      </c>
      <c r="I37" s="119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</row>
    <row r="38" ht="14.25" customHeight="1">
      <c r="A38" s="137" t="s">
        <v>995</v>
      </c>
      <c r="B38" s="135">
        <v>7.6188716E7</v>
      </c>
      <c r="C38" s="302">
        <v>45253.0</v>
      </c>
      <c r="D38" s="180"/>
      <c r="E38" s="180"/>
      <c r="F38" s="121">
        <v>2.0</v>
      </c>
      <c r="G38" s="117">
        <v>2.0</v>
      </c>
      <c r="H38" s="181">
        <f t="shared" si="1"/>
        <v>400</v>
      </c>
      <c r="I38" s="119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</row>
    <row r="39" ht="14.25" customHeight="1">
      <c r="A39" s="137" t="s">
        <v>996</v>
      </c>
      <c r="B39" s="32" t="s">
        <v>81</v>
      </c>
      <c r="C39" s="302">
        <v>45253.0</v>
      </c>
      <c r="D39" s="180"/>
      <c r="E39" s="180"/>
      <c r="F39" s="121">
        <v>1.0</v>
      </c>
      <c r="G39" s="117">
        <v>1.0</v>
      </c>
      <c r="H39" s="181">
        <f t="shared" si="1"/>
        <v>200</v>
      </c>
      <c r="I39" s="119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</row>
    <row r="40" ht="19.5" customHeight="1">
      <c r="A40" s="185"/>
      <c r="B40" s="277"/>
      <c r="C40" s="187"/>
      <c r="D40" s="188"/>
      <c r="E40" s="189" t="s">
        <v>41</v>
      </c>
      <c r="F40" s="142">
        <f t="shared" ref="F40:G40" si="2">SUM(F9:F38)</f>
        <v>50</v>
      </c>
      <c r="G40" s="142">
        <f t="shared" si="2"/>
        <v>50</v>
      </c>
      <c r="H40" s="190">
        <f>SUM(H9:H39)</f>
        <v>10200</v>
      </c>
      <c r="I40" s="19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</row>
    <row r="41" ht="18.0" customHeight="1">
      <c r="A41" s="141"/>
      <c r="B41" s="140"/>
      <c r="C41" s="141"/>
      <c r="D41" s="189"/>
      <c r="E41" s="192" t="s">
        <v>100</v>
      </c>
      <c r="F41" s="147">
        <f>COUNT(F10:F39)</f>
        <v>30</v>
      </c>
      <c r="G41" s="47"/>
      <c r="H41" s="47"/>
      <c r="I41" s="48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</row>
    <row r="42" ht="14.25" customHeight="1">
      <c r="A42" s="171"/>
      <c r="B42" s="282"/>
      <c r="C42" s="171"/>
      <c r="D42" s="78"/>
      <c r="E42" s="78"/>
      <c r="F42" s="171"/>
      <c r="G42" s="173"/>
      <c r="H42" s="170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</row>
    <row r="43" ht="14.25" customHeight="1">
      <c r="A43" s="171"/>
      <c r="B43" s="282"/>
      <c r="C43" s="171"/>
      <c r="D43" s="49" t="s">
        <v>101</v>
      </c>
      <c r="E43" s="50"/>
      <c r="F43" s="171"/>
      <c r="G43" s="173"/>
      <c r="H43" s="170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</row>
    <row r="44" ht="14.25" customHeight="1">
      <c r="A44" s="171"/>
      <c r="B44" s="282"/>
      <c r="C44" s="171"/>
      <c r="D44" s="51" t="s">
        <v>102</v>
      </c>
      <c r="E44" s="50"/>
      <c r="F44" s="171"/>
      <c r="G44" s="173"/>
      <c r="H44" s="170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</row>
    <row r="45" ht="14.25" customHeight="1">
      <c r="A45" s="171"/>
      <c r="B45" s="282"/>
      <c r="C45" s="171"/>
      <c r="D45" s="52" t="s">
        <v>58</v>
      </c>
      <c r="E45" s="53"/>
      <c r="F45" s="171"/>
      <c r="G45" s="173"/>
      <c r="H45" s="170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</row>
    <row r="46" ht="14.25" customHeight="1">
      <c r="A46" s="171"/>
      <c r="B46" s="282"/>
      <c r="C46" s="171"/>
      <c r="D46" s="78"/>
      <c r="E46" s="78"/>
      <c r="F46" s="171"/>
      <c r="G46" s="173"/>
      <c r="H46" s="170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</row>
    <row r="47" ht="14.25" customHeight="1">
      <c r="A47" s="171"/>
      <c r="B47" s="282"/>
      <c r="C47" s="171"/>
      <c r="D47" s="78"/>
      <c r="E47" s="78"/>
      <c r="F47" s="171"/>
      <c r="G47" s="173"/>
      <c r="H47" s="170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</row>
    <row r="48" ht="14.25" customHeight="1">
      <c r="A48" s="171"/>
      <c r="B48" s="282"/>
      <c r="C48" s="171"/>
      <c r="D48" s="78"/>
      <c r="E48" s="78"/>
      <c r="F48" s="171"/>
      <c r="G48" s="173"/>
      <c r="H48" s="170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</row>
    <row r="49" ht="14.25" customHeight="1">
      <c r="A49" s="171"/>
      <c r="B49" s="282"/>
      <c r="C49" s="171"/>
      <c r="D49" s="78"/>
      <c r="E49" s="78"/>
      <c r="F49" s="171"/>
      <c r="G49" s="173"/>
      <c r="H49" s="170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</row>
    <row r="50" ht="14.25" customHeight="1">
      <c r="A50" s="171"/>
      <c r="B50" s="282"/>
      <c r="C50" s="171"/>
      <c r="D50" s="78"/>
      <c r="E50" s="78"/>
      <c r="F50" s="171"/>
      <c r="G50" s="173"/>
      <c r="H50" s="170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</row>
    <row r="51" ht="14.25" customHeight="1">
      <c r="A51" s="171"/>
      <c r="B51" s="282"/>
      <c r="C51" s="171"/>
      <c r="D51" s="78"/>
      <c r="E51" s="78"/>
      <c r="F51" s="171"/>
      <c r="G51" s="173"/>
      <c r="H51" s="170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</row>
    <row r="52" ht="14.25" customHeight="1">
      <c r="A52" s="171"/>
      <c r="B52" s="282"/>
      <c r="C52" s="171"/>
      <c r="D52" s="78"/>
      <c r="E52" s="78"/>
      <c r="F52" s="171"/>
      <c r="G52" s="173"/>
      <c r="H52" s="170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</row>
    <row r="53" ht="14.25" customHeight="1">
      <c r="A53" s="171"/>
      <c r="B53" s="282"/>
      <c r="C53" s="171"/>
      <c r="D53" s="78"/>
      <c r="E53" s="78"/>
      <c r="F53" s="171"/>
      <c r="G53" s="173"/>
      <c r="H53" s="170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</row>
    <row r="54" ht="14.25" customHeight="1">
      <c r="A54" s="171"/>
      <c r="B54" s="282"/>
      <c r="C54" s="171"/>
      <c r="D54" s="78"/>
      <c r="E54" s="78"/>
      <c r="F54" s="171"/>
      <c r="G54" s="173"/>
      <c r="H54" s="170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</row>
    <row r="55" ht="14.25" customHeight="1">
      <c r="A55" s="171"/>
      <c r="B55" s="282"/>
      <c r="C55" s="171"/>
      <c r="D55" s="78"/>
      <c r="E55" s="78"/>
      <c r="F55" s="171"/>
      <c r="G55" s="173"/>
      <c r="H55" s="170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</row>
    <row r="56" ht="14.25" customHeight="1">
      <c r="A56" s="171"/>
      <c r="B56" s="282"/>
      <c r="C56" s="171"/>
      <c r="D56" s="78"/>
      <c r="E56" s="78"/>
      <c r="F56" s="171"/>
      <c r="G56" s="173"/>
      <c r="H56" s="170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</row>
    <row r="57" ht="14.25" customHeight="1">
      <c r="A57" s="171"/>
      <c r="B57" s="282"/>
      <c r="C57" s="171"/>
      <c r="D57" s="78"/>
      <c r="E57" s="78"/>
      <c r="F57" s="171"/>
      <c r="G57" s="173"/>
      <c r="H57" s="170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</row>
    <row r="58" ht="14.25" customHeight="1">
      <c r="A58" s="171"/>
      <c r="B58" s="282"/>
      <c r="C58" s="171"/>
      <c r="D58" s="78"/>
      <c r="E58" s="78"/>
      <c r="F58" s="171"/>
      <c r="G58" s="173"/>
      <c r="H58" s="170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 ht="14.25" customHeight="1">
      <c r="A59" s="171"/>
      <c r="B59" s="282"/>
      <c r="C59" s="171"/>
      <c r="D59" s="78"/>
      <c r="E59" s="78"/>
      <c r="F59" s="171"/>
      <c r="G59" s="173"/>
      <c r="H59" s="170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</row>
    <row r="60" ht="14.25" customHeight="1">
      <c r="A60" s="171"/>
      <c r="B60" s="282"/>
      <c r="C60" s="171"/>
      <c r="D60" s="78"/>
      <c r="E60" s="78"/>
      <c r="F60" s="171"/>
      <c r="G60" s="173"/>
      <c r="H60" s="170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</row>
    <row r="61" ht="14.25" customHeight="1">
      <c r="A61" s="171"/>
      <c r="B61" s="282"/>
      <c r="C61" s="171"/>
      <c r="D61" s="78"/>
      <c r="E61" s="78"/>
      <c r="F61" s="171"/>
      <c r="G61" s="173"/>
      <c r="H61" s="170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</row>
    <row r="62" ht="14.25" customHeight="1">
      <c r="A62" s="171"/>
      <c r="B62" s="282"/>
      <c r="C62" s="171"/>
      <c r="D62" s="78"/>
      <c r="E62" s="78"/>
      <c r="F62" s="171"/>
      <c r="G62" s="173"/>
      <c r="H62" s="170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</row>
    <row r="63" ht="14.25" customHeight="1">
      <c r="A63" s="171"/>
      <c r="B63" s="282"/>
      <c r="C63" s="171"/>
      <c r="D63" s="78"/>
      <c r="E63" s="78"/>
      <c r="F63" s="171"/>
      <c r="G63" s="173"/>
      <c r="H63" s="170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</row>
    <row r="64" ht="14.25" customHeight="1">
      <c r="A64" s="171"/>
      <c r="B64" s="282"/>
      <c r="C64" s="171"/>
      <c r="D64" s="78"/>
      <c r="E64" s="78"/>
      <c r="F64" s="171"/>
      <c r="G64" s="173"/>
      <c r="H64" s="170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</row>
    <row r="65" ht="14.25" customHeight="1">
      <c r="A65" s="171"/>
      <c r="B65" s="282"/>
      <c r="C65" s="171"/>
      <c r="D65" s="78"/>
      <c r="E65" s="78"/>
      <c r="F65" s="171"/>
      <c r="G65" s="173"/>
      <c r="H65" s="170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</row>
    <row r="66" ht="14.25" customHeight="1">
      <c r="A66" s="171"/>
      <c r="B66" s="282"/>
      <c r="C66" s="171"/>
      <c r="D66" s="78"/>
      <c r="E66" s="78"/>
      <c r="F66" s="171"/>
      <c r="G66" s="173"/>
      <c r="H66" s="170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</row>
    <row r="67" ht="14.25" customHeight="1">
      <c r="A67" s="171"/>
      <c r="B67" s="282"/>
      <c r="C67" s="171"/>
      <c r="D67" s="78"/>
      <c r="E67" s="78"/>
      <c r="F67" s="171"/>
      <c r="G67" s="173"/>
      <c r="H67" s="170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</row>
    <row r="68" ht="14.25" customHeight="1">
      <c r="A68" s="171"/>
      <c r="B68" s="282"/>
      <c r="C68" s="171"/>
      <c r="D68" s="78"/>
      <c r="E68" s="78"/>
      <c r="F68" s="171"/>
      <c r="G68" s="173"/>
      <c r="H68" s="170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</row>
    <row r="69" ht="14.25" customHeight="1">
      <c r="A69" s="171"/>
      <c r="B69" s="282"/>
      <c r="C69" s="171"/>
      <c r="D69" s="78"/>
      <c r="E69" s="78"/>
      <c r="F69" s="171"/>
      <c r="G69" s="173"/>
      <c r="H69" s="170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</row>
    <row r="70" ht="14.25" customHeight="1">
      <c r="A70" s="171"/>
      <c r="B70" s="282"/>
      <c r="C70" s="171"/>
      <c r="D70" s="78"/>
      <c r="E70" s="78"/>
      <c r="F70" s="171"/>
      <c r="G70" s="173"/>
      <c r="H70" s="170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</row>
    <row r="71" ht="14.25" customHeight="1">
      <c r="A71" s="171"/>
      <c r="B71" s="282"/>
      <c r="C71" s="171"/>
      <c r="D71" s="78"/>
      <c r="E71" s="78"/>
      <c r="F71" s="171"/>
      <c r="G71" s="173"/>
      <c r="H71" s="170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</row>
    <row r="72" ht="14.25" customHeight="1">
      <c r="A72" s="171"/>
      <c r="B72" s="282"/>
      <c r="C72" s="171"/>
      <c r="D72" s="78"/>
      <c r="E72" s="78"/>
      <c r="F72" s="171"/>
      <c r="G72" s="173"/>
      <c r="H72" s="170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</row>
    <row r="73" ht="14.25" customHeight="1">
      <c r="A73" s="171"/>
      <c r="B73" s="282"/>
      <c r="C73" s="171"/>
      <c r="D73" s="78"/>
      <c r="E73" s="78"/>
      <c r="F73" s="171"/>
      <c r="G73" s="173"/>
      <c r="H73" s="170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</row>
    <row r="74" ht="14.25" customHeight="1">
      <c r="A74" s="171"/>
      <c r="B74" s="282"/>
      <c r="C74" s="171"/>
      <c r="D74" s="78"/>
      <c r="E74" s="78"/>
      <c r="F74" s="171"/>
      <c r="G74" s="173"/>
      <c r="H74" s="170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</row>
    <row r="75" ht="14.25" customHeight="1">
      <c r="A75" s="171"/>
      <c r="B75" s="282"/>
      <c r="C75" s="171"/>
      <c r="D75" s="78"/>
      <c r="E75" s="78"/>
      <c r="F75" s="171"/>
      <c r="G75" s="173"/>
      <c r="H75" s="170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</row>
    <row r="76" ht="14.25" customHeight="1">
      <c r="A76" s="171"/>
      <c r="B76" s="282"/>
      <c r="C76" s="171"/>
      <c r="D76" s="78"/>
      <c r="E76" s="78"/>
      <c r="F76" s="171"/>
      <c r="G76" s="173"/>
      <c r="H76" s="170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</row>
    <row r="77" ht="14.25" customHeight="1">
      <c r="A77" s="171"/>
      <c r="B77" s="282"/>
      <c r="C77" s="171"/>
      <c r="D77" s="78"/>
      <c r="E77" s="78"/>
      <c r="F77" s="171"/>
      <c r="G77" s="173"/>
      <c r="H77" s="170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</row>
    <row r="78" ht="14.25" customHeight="1">
      <c r="A78" s="171"/>
      <c r="B78" s="282"/>
      <c r="C78" s="171"/>
      <c r="D78" s="78"/>
      <c r="E78" s="78"/>
      <c r="F78" s="171"/>
      <c r="G78" s="173"/>
      <c r="H78" s="170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</row>
    <row r="79" ht="14.25" customHeight="1">
      <c r="A79" s="171"/>
      <c r="B79" s="282"/>
      <c r="C79" s="171"/>
      <c r="D79" s="78"/>
      <c r="E79" s="78"/>
      <c r="F79" s="171"/>
      <c r="G79" s="173"/>
      <c r="H79" s="170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</row>
    <row r="80" ht="14.25" customHeight="1">
      <c r="A80" s="171"/>
      <c r="B80" s="282"/>
      <c r="C80" s="171"/>
      <c r="D80" s="78"/>
      <c r="E80" s="78"/>
      <c r="F80" s="171"/>
      <c r="G80" s="173"/>
      <c r="H80" s="170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</row>
    <row r="81" ht="14.25" customHeight="1">
      <c r="A81" s="171"/>
      <c r="B81" s="282"/>
      <c r="C81" s="171"/>
      <c r="D81" s="78"/>
      <c r="E81" s="78"/>
      <c r="F81" s="171"/>
      <c r="G81" s="173"/>
      <c r="H81" s="170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</row>
    <row r="82" ht="14.25" customHeight="1">
      <c r="A82" s="171"/>
      <c r="B82" s="282"/>
      <c r="C82" s="171"/>
      <c r="D82" s="78"/>
      <c r="E82" s="78"/>
      <c r="F82" s="171"/>
      <c r="G82" s="173"/>
      <c r="H82" s="170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</row>
    <row r="83" ht="14.25" customHeight="1">
      <c r="A83" s="171"/>
      <c r="B83" s="282"/>
      <c r="C83" s="171"/>
      <c r="D83" s="78"/>
      <c r="E83" s="78"/>
      <c r="F83" s="171"/>
      <c r="G83" s="173"/>
      <c r="H83" s="170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</row>
    <row r="84" ht="14.25" customHeight="1">
      <c r="A84" s="171"/>
      <c r="B84" s="282"/>
      <c r="C84" s="171"/>
      <c r="D84" s="78"/>
      <c r="E84" s="78"/>
      <c r="F84" s="171"/>
      <c r="G84" s="173"/>
      <c r="H84" s="170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</row>
    <row r="85" ht="14.25" customHeight="1">
      <c r="A85" s="171"/>
      <c r="B85" s="282"/>
      <c r="C85" s="171"/>
      <c r="D85" s="78"/>
      <c r="E85" s="78"/>
      <c r="F85" s="171"/>
      <c r="G85" s="173"/>
      <c r="H85" s="170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</row>
    <row r="86" ht="14.25" customHeight="1">
      <c r="A86" s="171"/>
      <c r="B86" s="282"/>
      <c r="C86" s="171"/>
      <c r="D86" s="78"/>
      <c r="E86" s="78"/>
      <c r="F86" s="171"/>
      <c r="G86" s="173"/>
      <c r="H86" s="170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</row>
    <row r="87" ht="14.25" customHeight="1">
      <c r="A87" s="171"/>
      <c r="B87" s="282"/>
      <c r="C87" s="171"/>
      <c r="D87" s="78"/>
      <c r="E87" s="78"/>
      <c r="F87" s="171"/>
      <c r="G87" s="173"/>
      <c r="H87" s="170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</row>
    <row r="88" ht="14.25" customHeight="1">
      <c r="A88" s="171"/>
      <c r="B88" s="282"/>
      <c r="C88" s="171"/>
      <c r="D88" s="78"/>
      <c r="E88" s="78"/>
      <c r="F88" s="171"/>
      <c r="G88" s="173"/>
      <c r="H88" s="170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</row>
    <row r="89" ht="14.25" customHeight="1">
      <c r="A89" s="171"/>
      <c r="B89" s="282"/>
      <c r="C89" s="171"/>
      <c r="D89" s="78"/>
      <c r="E89" s="78"/>
      <c r="F89" s="171"/>
      <c r="G89" s="173"/>
      <c r="H89" s="170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</row>
    <row r="90" ht="14.25" customHeight="1">
      <c r="A90" s="171"/>
      <c r="B90" s="282"/>
      <c r="C90" s="171"/>
      <c r="D90" s="78"/>
      <c r="E90" s="78"/>
      <c r="F90" s="171"/>
      <c r="G90" s="173"/>
      <c r="H90" s="170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</row>
    <row r="91" ht="14.25" customHeight="1">
      <c r="A91" s="171"/>
      <c r="B91" s="282"/>
      <c r="C91" s="171"/>
      <c r="D91" s="78"/>
      <c r="E91" s="78"/>
      <c r="F91" s="171"/>
      <c r="G91" s="173"/>
      <c r="H91" s="170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</row>
    <row r="92" ht="14.25" customHeight="1">
      <c r="A92" s="171"/>
      <c r="B92" s="282"/>
      <c r="C92" s="171"/>
      <c r="D92" s="78"/>
      <c r="E92" s="78"/>
      <c r="F92" s="171"/>
      <c r="G92" s="173"/>
      <c r="H92" s="170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</row>
    <row r="93" ht="14.25" customHeight="1">
      <c r="A93" s="171"/>
      <c r="B93" s="282"/>
      <c r="C93" s="171"/>
      <c r="D93" s="78"/>
      <c r="E93" s="78"/>
      <c r="F93" s="171"/>
      <c r="G93" s="173"/>
      <c r="H93" s="170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</row>
    <row r="94" ht="14.25" customHeight="1">
      <c r="A94" s="171"/>
      <c r="B94" s="282"/>
      <c r="C94" s="171"/>
      <c r="D94" s="78"/>
      <c r="E94" s="78"/>
      <c r="F94" s="171"/>
      <c r="G94" s="173"/>
      <c r="H94" s="170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</row>
    <row r="95" ht="14.25" customHeight="1">
      <c r="A95" s="171"/>
      <c r="B95" s="282"/>
      <c r="C95" s="171"/>
      <c r="D95" s="78"/>
      <c r="E95" s="78"/>
      <c r="F95" s="171"/>
      <c r="G95" s="173"/>
      <c r="H95" s="170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</row>
    <row r="96" ht="14.25" customHeight="1">
      <c r="A96" s="171"/>
      <c r="B96" s="282"/>
      <c r="C96" s="171"/>
      <c r="D96" s="78"/>
      <c r="E96" s="78"/>
      <c r="F96" s="171"/>
      <c r="G96" s="173"/>
      <c r="H96" s="170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</row>
    <row r="97" ht="14.25" customHeight="1">
      <c r="A97" s="171"/>
      <c r="B97" s="282"/>
      <c r="C97" s="171"/>
      <c r="D97" s="78"/>
      <c r="E97" s="78"/>
      <c r="F97" s="171"/>
      <c r="G97" s="173"/>
      <c r="H97" s="170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</row>
    <row r="98" ht="14.25" customHeight="1">
      <c r="A98" s="171"/>
      <c r="B98" s="282"/>
      <c r="C98" s="171"/>
      <c r="D98" s="78"/>
      <c r="E98" s="78"/>
      <c r="F98" s="171"/>
      <c r="G98" s="173"/>
      <c r="H98" s="170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</row>
    <row r="99" ht="14.25" customHeight="1">
      <c r="A99" s="171"/>
      <c r="B99" s="282"/>
      <c r="C99" s="171"/>
      <c r="D99" s="78"/>
      <c r="E99" s="78"/>
      <c r="F99" s="171"/>
      <c r="G99" s="173"/>
      <c r="H99" s="170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</row>
    <row r="100" ht="14.25" customHeight="1">
      <c r="A100" s="171"/>
      <c r="B100" s="282"/>
      <c r="C100" s="171"/>
      <c r="D100" s="78"/>
      <c r="E100" s="78"/>
      <c r="F100" s="171"/>
      <c r="G100" s="173"/>
      <c r="H100" s="170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</row>
    <row r="101" ht="14.25" customHeight="1">
      <c r="A101" s="171"/>
      <c r="B101" s="282"/>
      <c r="C101" s="171"/>
      <c r="D101" s="78"/>
      <c r="E101" s="78"/>
      <c r="F101" s="171"/>
      <c r="G101" s="173"/>
      <c r="H101" s="170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</row>
    <row r="102" ht="14.25" customHeight="1">
      <c r="A102" s="171"/>
      <c r="B102" s="282"/>
      <c r="C102" s="171"/>
      <c r="D102" s="78"/>
      <c r="E102" s="78"/>
      <c r="F102" s="171"/>
      <c r="G102" s="173"/>
      <c r="H102" s="170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</row>
    <row r="103" ht="14.25" customHeight="1">
      <c r="A103" s="171"/>
      <c r="B103" s="282"/>
      <c r="C103" s="171"/>
      <c r="D103" s="78"/>
      <c r="E103" s="78"/>
      <c r="F103" s="171"/>
      <c r="G103" s="173"/>
      <c r="H103" s="170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</row>
    <row r="104" ht="14.25" customHeight="1">
      <c r="A104" s="171"/>
      <c r="B104" s="282"/>
      <c r="C104" s="171"/>
      <c r="D104" s="78"/>
      <c r="E104" s="78"/>
      <c r="F104" s="171"/>
      <c r="G104" s="173"/>
      <c r="H104" s="170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</row>
    <row r="105" ht="14.25" customHeight="1">
      <c r="A105" s="171"/>
      <c r="B105" s="282"/>
      <c r="C105" s="171"/>
      <c r="D105" s="78"/>
      <c r="E105" s="78"/>
      <c r="F105" s="171"/>
      <c r="G105" s="173"/>
      <c r="H105" s="170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</row>
    <row r="106" ht="14.25" customHeight="1">
      <c r="A106" s="171"/>
      <c r="B106" s="282"/>
      <c r="C106" s="171"/>
      <c r="D106" s="78"/>
      <c r="E106" s="78"/>
      <c r="F106" s="171"/>
      <c r="G106" s="173"/>
      <c r="H106" s="170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</row>
    <row r="107" ht="14.25" customHeight="1">
      <c r="A107" s="171"/>
      <c r="B107" s="282"/>
      <c r="C107" s="171"/>
      <c r="D107" s="78"/>
      <c r="E107" s="78"/>
      <c r="F107" s="171"/>
      <c r="G107" s="173"/>
      <c r="H107" s="170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</row>
    <row r="108" ht="14.25" customHeight="1">
      <c r="A108" s="171"/>
      <c r="B108" s="282"/>
      <c r="C108" s="171"/>
      <c r="D108" s="78"/>
      <c r="E108" s="78"/>
      <c r="F108" s="171"/>
      <c r="G108" s="173"/>
      <c r="H108" s="170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</row>
    <row r="109" ht="14.25" customHeight="1">
      <c r="A109" s="171"/>
      <c r="B109" s="282"/>
      <c r="C109" s="171"/>
      <c r="D109" s="78"/>
      <c r="E109" s="78"/>
      <c r="F109" s="171"/>
      <c r="G109" s="173"/>
      <c r="H109" s="170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</row>
    <row r="110" ht="14.25" customHeight="1">
      <c r="A110" s="171"/>
      <c r="B110" s="282"/>
      <c r="C110" s="171"/>
      <c r="D110" s="78"/>
      <c r="E110" s="78"/>
      <c r="F110" s="171"/>
      <c r="G110" s="173"/>
      <c r="H110" s="170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</row>
    <row r="111" ht="14.25" customHeight="1">
      <c r="A111" s="171"/>
      <c r="B111" s="282"/>
      <c r="C111" s="171"/>
      <c r="D111" s="78"/>
      <c r="E111" s="78"/>
      <c r="F111" s="171"/>
      <c r="G111" s="173"/>
      <c r="H111" s="170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</row>
    <row r="112" ht="14.25" customHeight="1">
      <c r="A112" s="171"/>
      <c r="B112" s="282"/>
      <c r="C112" s="171"/>
      <c r="D112" s="78"/>
      <c r="E112" s="78"/>
      <c r="F112" s="171"/>
      <c r="G112" s="173"/>
      <c r="H112" s="170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</row>
    <row r="113" ht="14.25" customHeight="1">
      <c r="A113" s="171"/>
      <c r="B113" s="282"/>
      <c r="C113" s="171"/>
      <c r="D113" s="78"/>
      <c r="E113" s="78"/>
      <c r="F113" s="171"/>
      <c r="G113" s="173"/>
      <c r="H113" s="170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</row>
    <row r="114" ht="14.25" customHeight="1">
      <c r="A114" s="171"/>
      <c r="B114" s="282"/>
      <c r="C114" s="171"/>
      <c r="D114" s="78"/>
      <c r="E114" s="78"/>
      <c r="F114" s="171"/>
      <c r="G114" s="173"/>
      <c r="H114" s="170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</row>
    <row r="115" ht="14.25" customHeight="1">
      <c r="A115" s="171"/>
      <c r="B115" s="282"/>
      <c r="C115" s="171"/>
      <c r="D115" s="78"/>
      <c r="E115" s="78"/>
      <c r="F115" s="171"/>
      <c r="G115" s="173"/>
      <c r="H115" s="170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</row>
    <row r="116" ht="14.25" customHeight="1">
      <c r="A116" s="171"/>
      <c r="B116" s="282"/>
      <c r="C116" s="171"/>
      <c r="D116" s="78"/>
      <c r="E116" s="78"/>
      <c r="F116" s="171"/>
      <c r="G116" s="173"/>
      <c r="H116" s="170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</row>
    <row r="117" ht="14.25" customHeight="1">
      <c r="A117" s="171"/>
      <c r="B117" s="282"/>
      <c r="C117" s="171"/>
      <c r="D117" s="78"/>
      <c r="E117" s="78"/>
      <c r="F117" s="171"/>
      <c r="G117" s="173"/>
      <c r="H117" s="170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</row>
    <row r="118" ht="14.25" customHeight="1">
      <c r="A118" s="171"/>
      <c r="B118" s="282"/>
      <c r="C118" s="171"/>
      <c r="D118" s="78"/>
      <c r="E118" s="78"/>
      <c r="F118" s="171"/>
      <c r="G118" s="173"/>
      <c r="H118" s="170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</row>
    <row r="119" ht="14.25" customHeight="1">
      <c r="A119" s="171"/>
      <c r="B119" s="282"/>
      <c r="C119" s="171"/>
      <c r="D119" s="78"/>
      <c r="E119" s="78"/>
      <c r="F119" s="171"/>
      <c r="G119" s="173"/>
      <c r="H119" s="170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</row>
    <row r="120" ht="14.25" customHeight="1">
      <c r="A120" s="171"/>
      <c r="B120" s="282"/>
      <c r="C120" s="171"/>
      <c r="D120" s="78"/>
      <c r="E120" s="78"/>
      <c r="F120" s="171"/>
      <c r="G120" s="173"/>
      <c r="H120" s="170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</row>
    <row r="121" ht="14.25" customHeight="1">
      <c r="A121" s="171"/>
      <c r="B121" s="282"/>
      <c r="C121" s="171"/>
      <c r="D121" s="78"/>
      <c r="E121" s="78"/>
      <c r="F121" s="171"/>
      <c r="G121" s="173"/>
      <c r="H121" s="170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</row>
    <row r="122" ht="14.25" customHeight="1">
      <c r="A122" s="171"/>
      <c r="B122" s="282"/>
      <c r="C122" s="171"/>
      <c r="D122" s="78"/>
      <c r="E122" s="78"/>
      <c r="F122" s="171"/>
      <c r="G122" s="173"/>
      <c r="H122" s="170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</row>
    <row r="123" ht="14.25" customHeight="1">
      <c r="A123" s="171"/>
      <c r="B123" s="282"/>
      <c r="C123" s="171"/>
      <c r="D123" s="78"/>
      <c r="E123" s="78"/>
      <c r="F123" s="171"/>
      <c r="G123" s="173"/>
      <c r="H123" s="170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</row>
    <row r="124" ht="14.25" customHeight="1">
      <c r="A124" s="171"/>
      <c r="B124" s="282"/>
      <c r="C124" s="171"/>
      <c r="D124" s="78"/>
      <c r="E124" s="78"/>
      <c r="F124" s="171"/>
      <c r="G124" s="173"/>
      <c r="H124" s="170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</row>
    <row r="125" ht="14.25" customHeight="1">
      <c r="A125" s="171"/>
      <c r="B125" s="282"/>
      <c r="C125" s="171"/>
      <c r="D125" s="78"/>
      <c r="E125" s="78"/>
      <c r="F125" s="171"/>
      <c r="G125" s="173"/>
      <c r="H125" s="170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</row>
    <row r="126" ht="14.25" customHeight="1">
      <c r="A126" s="171"/>
      <c r="B126" s="282"/>
      <c r="C126" s="171"/>
      <c r="D126" s="78"/>
      <c r="E126" s="78"/>
      <c r="F126" s="171"/>
      <c r="G126" s="173"/>
      <c r="H126" s="170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</row>
    <row r="127" ht="14.25" customHeight="1">
      <c r="A127" s="171"/>
      <c r="B127" s="282"/>
      <c r="C127" s="171"/>
      <c r="D127" s="78"/>
      <c r="E127" s="78"/>
      <c r="F127" s="171"/>
      <c r="G127" s="173"/>
      <c r="H127" s="170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</row>
    <row r="128" ht="14.25" customHeight="1">
      <c r="A128" s="171"/>
      <c r="B128" s="282"/>
      <c r="C128" s="171"/>
      <c r="D128" s="78"/>
      <c r="E128" s="78"/>
      <c r="F128" s="171"/>
      <c r="G128" s="173"/>
      <c r="H128" s="170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</row>
    <row r="129" ht="14.25" customHeight="1">
      <c r="A129" s="171"/>
      <c r="B129" s="282"/>
      <c r="C129" s="171"/>
      <c r="D129" s="78"/>
      <c r="E129" s="78"/>
      <c r="F129" s="171"/>
      <c r="G129" s="173"/>
      <c r="H129" s="170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</row>
    <row r="130" ht="14.25" customHeight="1">
      <c r="A130" s="171"/>
      <c r="B130" s="282"/>
      <c r="C130" s="171"/>
      <c r="D130" s="78"/>
      <c r="E130" s="78"/>
      <c r="F130" s="171"/>
      <c r="G130" s="173"/>
      <c r="H130" s="170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</row>
    <row r="131" ht="14.25" customHeight="1">
      <c r="A131" s="171"/>
      <c r="B131" s="282"/>
      <c r="C131" s="171"/>
      <c r="D131" s="78"/>
      <c r="E131" s="78"/>
      <c r="F131" s="171"/>
      <c r="G131" s="173"/>
      <c r="H131" s="170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</row>
    <row r="132" ht="14.25" customHeight="1">
      <c r="A132" s="171"/>
      <c r="B132" s="282"/>
      <c r="C132" s="171"/>
      <c r="D132" s="78"/>
      <c r="E132" s="78"/>
      <c r="F132" s="171"/>
      <c r="G132" s="173"/>
      <c r="H132" s="170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</row>
    <row r="133" ht="14.25" customHeight="1">
      <c r="A133" s="171"/>
      <c r="B133" s="282"/>
      <c r="C133" s="171"/>
      <c r="D133" s="78"/>
      <c r="E133" s="78"/>
      <c r="F133" s="171"/>
      <c r="G133" s="173"/>
      <c r="H133" s="170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</row>
    <row r="134" ht="14.25" customHeight="1">
      <c r="A134" s="171"/>
      <c r="B134" s="282"/>
      <c r="C134" s="171"/>
      <c r="D134" s="78"/>
      <c r="E134" s="78"/>
      <c r="F134" s="171"/>
      <c r="G134" s="173"/>
      <c r="H134" s="170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</row>
    <row r="135" ht="14.25" customHeight="1">
      <c r="A135" s="171"/>
      <c r="B135" s="282"/>
      <c r="C135" s="171"/>
      <c r="D135" s="78"/>
      <c r="E135" s="78"/>
      <c r="F135" s="171"/>
      <c r="G135" s="173"/>
      <c r="H135" s="170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</row>
    <row r="136" ht="14.25" customHeight="1">
      <c r="A136" s="171"/>
      <c r="B136" s="282"/>
      <c r="C136" s="171"/>
      <c r="D136" s="78"/>
      <c r="E136" s="78"/>
      <c r="F136" s="171"/>
      <c r="G136" s="173"/>
      <c r="H136" s="170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</row>
    <row r="137" ht="14.25" customHeight="1">
      <c r="A137" s="171"/>
      <c r="B137" s="282"/>
      <c r="C137" s="171"/>
      <c r="D137" s="78"/>
      <c r="E137" s="78"/>
      <c r="F137" s="171"/>
      <c r="G137" s="173"/>
      <c r="H137" s="170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</row>
    <row r="138" ht="14.25" customHeight="1">
      <c r="A138" s="171"/>
      <c r="B138" s="282"/>
      <c r="C138" s="171"/>
      <c r="D138" s="78"/>
      <c r="E138" s="78"/>
      <c r="F138" s="171"/>
      <c r="G138" s="173"/>
      <c r="H138" s="170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</row>
    <row r="139" ht="14.25" customHeight="1">
      <c r="A139" s="171"/>
      <c r="B139" s="282"/>
      <c r="C139" s="171"/>
      <c r="D139" s="78"/>
      <c r="E139" s="78"/>
      <c r="F139" s="171"/>
      <c r="G139" s="173"/>
      <c r="H139" s="170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</row>
    <row r="140" ht="14.25" customHeight="1">
      <c r="A140" s="171"/>
      <c r="B140" s="282"/>
      <c r="C140" s="171"/>
      <c r="D140" s="78"/>
      <c r="E140" s="78"/>
      <c r="F140" s="171"/>
      <c r="G140" s="173"/>
      <c r="H140" s="170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</row>
    <row r="141" ht="14.25" customHeight="1">
      <c r="A141" s="171"/>
      <c r="B141" s="282"/>
      <c r="C141" s="171"/>
      <c r="D141" s="78"/>
      <c r="E141" s="78"/>
      <c r="F141" s="171"/>
      <c r="G141" s="173"/>
      <c r="H141" s="170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</row>
    <row r="142" ht="14.25" customHeight="1">
      <c r="A142" s="171"/>
      <c r="B142" s="282"/>
      <c r="C142" s="171"/>
      <c r="D142" s="78"/>
      <c r="E142" s="78"/>
      <c r="F142" s="171"/>
      <c r="G142" s="173"/>
      <c r="H142" s="170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</row>
    <row r="143" ht="14.25" customHeight="1">
      <c r="A143" s="171"/>
      <c r="B143" s="282"/>
      <c r="C143" s="171"/>
      <c r="D143" s="78"/>
      <c r="E143" s="78"/>
      <c r="F143" s="171"/>
      <c r="G143" s="173"/>
      <c r="H143" s="170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</row>
    <row r="144" ht="14.25" customHeight="1">
      <c r="A144" s="171"/>
      <c r="B144" s="282"/>
      <c r="C144" s="171"/>
      <c r="D144" s="78"/>
      <c r="E144" s="78"/>
      <c r="F144" s="171"/>
      <c r="G144" s="173"/>
      <c r="H144" s="170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</row>
    <row r="145" ht="14.25" customHeight="1">
      <c r="A145" s="171"/>
      <c r="B145" s="282"/>
      <c r="C145" s="171"/>
      <c r="D145" s="78"/>
      <c r="E145" s="78"/>
      <c r="F145" s="171"/>
      <c r="G145" s="173"/>
      <c r="H145" s="170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</row>
    <row r="146" ht="14.25" customHeight="1">
      <c r="A146" s="171"/>
      <c r="B146" s="282"/>
      <c r="C146" s="171"/>
      <c r="D146" s="78"/>
      <c r="E146" s="78"/>
      <c r="F146" s="171"/>
      <c r="G146" s="173"/>
      <c r="H146" s="170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</row>
    <row r="147" ht="14.25" customHeight="1">
      <c r="A147" s="171"/>
      <c r="B147" s="282"/>
      <c r="C147" s="171"/>
      <c r="D147" s="78"/>
      <c r="E147" s="78"/>
      <c r="F147" s="171"/>
      <c r="G147" s="173"/>
      <c r="H147" s="170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</row>
    <row r="148" ht="14.25" customHeight="1">
      <c r="A148" s="171"/>
      <c r="B148" s="282"/>
      <c r="C148" s="171"/>
      <c r="D148" s="78"/>
      <c r="E148" s="78"/>
      <c r="F148" s="171"/>
      <c r="G148" s="173"/>
      <c r="H148" s="170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</row>
    <row r="149" ht="14.25" customHeight="1">
      <c r="A149" s="171"/>
      <c r="B149" s="282"/>
      <c r="C149" s="171"/>
      <c r="D149" s="78"/>
      <c r="E149" s="78"/>
      <c r="F149" s="171"/>
      <c r="G149" s="173"/>
      <c r="H149" s="170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</row>
    <row r="150" ht="14.25" customHeight="1">
      <c r="A150" s="171"/>
      <c r="B150" s="282"/>
      <c r="C150" s="171"/>
      <c r="D150" s="78"/>
      <c r="E150" s="78"/>
      <c r="F150" s="171"/>
      <c r="G150" s="173"/>
      <c r="H150" s="170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</row>
    <row r="151" ht="14.25" customHeight="1">
      <c r="A151" s="171"/>
      <c r="B151" s="282"/>
      <c r="C151" s="171"/>
      <c r="D151" s="78"/>
      <c r="E151" s="78"/>
      <c r="F151" s="171"/>
      <c r="G151" s="173"/>
      <c r="H151" s="170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</row>
    <row r="152" ht="14.25" customHeight="1">
      <c r="A152" s="171"/>
      <c r="B152" s="282"/>
      <c r="C152" s="171"/>
      <c r="D152" s="78"/>
      <c r="E152" s="78"/>
      <c r="F152" s="171"/>
      <c r="G152" s="173"/>
      <c r="H152" s="170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</row>
    <row r="153" ht="14.25" customHeight="1">
      <c r="A153" s="171"/>
      <c r="B153" s="282"/>
      <c r="C153" s="171"/>
      <c r="D153" s="78"/>
      <c r="E153" s="78"/>
      <c r="F153" s="171"/>
      <c r="G153" s="173"/>
      <c r="H153" s="170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</row>
    <row r="154" ht="14.25" customHeight="1">
      <c r="A154" s="171"/>
      <c r="B154" s="282"/>
      <c r="C154" s="171"/>
      <c r="D154" s="78"/>
      <c r="E154" s="78"/>
      <c r="F154" s="171"/>
      <c r="G154" s="173"/>
      <c r="H154" s="170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</row>
    <row r="155" ht="14.25" customHeight="1">
      <c r="A155" s="171"/>
      <c r="B155" s="282"/>
      <c r="C155" s="171"/>
      <c r="D155" s="78"/>
      <c r="E155" s="78"/>
      <c r="F155" s="171"/>
      <c r="G155" s="173"/>
      <c r="H155" s="170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</row>
    <row r="156" ht="14.25" customHeight="1">
      <c r="A156" s="171"/>
      <c r="B156" s="282"/>
      <c r="C156" s="171"/>
      <c r="D156" s="78"/>
      <c r="E156" s="78"/>
      <c r="F156" s="171"/>
      <c r="G156" s="173"/>
      <c r="H156" s="170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</row>
    <row r="157" ht="14.25" customHeight="1">
      <c r="A157" s="171"/>
      <c r="B157" s="282"/>
      <c r="C157" s="171"/>
      <c r="D157" s="78"/>
      <c r="E157" s="78"/>
      <c r="F157" s="171"/>
      <c r="G157" s="173"/>
      <c r="H157" s="170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</row>
    <row r="158" ht="14.25" customHeight="1">
      <c r="A158" s="171"/>
      <c r="B158" s="282"/>
      <c r="C158" s="171"/>
      <c r="D158" s="78"/>
      <c r="E158" s="78"/>
      <c r="F158" s="171"/>
      <c r="G158" s="173"/>
      <c r="H158" s="170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</row>
    <row r="159" ht="14.25" customHeight="1">
      <c r="A159" s="171"/>
      <c r="B159" s="282"/>
      <c r="C159" s="171"/>
      <c r="D159" s="78"/>
      <c r="E159" s="78"/>
      <c r="F159" s="171"/>
      <c r="G159" s="173"/>
      <c r="H159" s="170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</row>
    <row r="160" ht="14.25" customHeight="1">
      <c r="A160" s="171"/>
      <c r="B160" s="282"/>
      <c r="C160" s="171"/>
      <c r="D160" s="78"/>
      <c r="E160" s="78"/>
      <c r="F160" s="171"/>
      <c r="G160" s="173"/>
      <c r="H160" s="170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</row>
    <row r="161" ht="14.25" customHeight="1">
      <c r="A161" s="171"/>
      <c r="B161" s="282"/>
      <c r="C161" s="171"/>
      <c r="D161" s="78"/>
      <c r="E161" s="78"/>
      <c r="F161" s="171"/>
      <c r="G161" s="173"/>
      <c r="H161" s="170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</row>
    <row r="162" ht="14.25" customHeight="1">
      <c r="A162" s="171"/>
      <c r="B162" s="282"/>
      <c r="C162" s="171"/>
      <c r="D162" s="78"/>
      <c r="E162" s="78"/>
      <c r="F162" s="171"/>
      <c r="G162" s="173"/>
      <c r="H162" s="170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</row>
    <row r="163" ht="14.25" customHeight="1">
      <c r="A163" s="171"/>
      <c r="B163" s="282"/>
      <c r="C163" s="171"/>
      <c r="D163" s="78"/>
      <c r="E163" s="78"/>
      <c r="F163" s="171"/>
      <c r="G163" s="173"/>
      <c r="H163" s="170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</row>
    <row r="164" ht="14.25" customHeight="1">
      <c r="A164" s="171"/>
      <c r="B164" s="282"/>
      <c r="C164" s="171"/>
      <c r="D164" s="78"/>
      <c r="E164" s="78"/>
      <c r="F164" s="171"/>
      <c r="G164" s="173"/>
      <c r="H164" s="170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</row>
    <row r="165" ht="14.25" customHeight="1">
      <c r="A165" s="171"/>
      <c r="B165" s="282"/>
      <c r="C165" s="171"/>
      <c r="D165" s="78"/>
      <c r="E165" s="78"/>
      <c r="F165" s="171"/>
      <c r="G165" s="173"/>
      <c r="H165" s="170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</row>
    <row r="166" ht="14.25" customHeight="1">
      <c r="A166" s="171"/>
      <c r="B166" s="282"/>
      <c r="C166" s="171"/>
      <c r="D166" s="78"/>
      <c r="E166" s="78"/>
      <c r="F166" s="171"/>
      <c r="G166" s="173"/>
      <c r="H166" s="170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</row>
    <row r="167" ht="14.25" customHeight="1">
      <c r="A167" s="171"/>
      <c r="B167" s="282"/>
      <c r="C167" s="171"/>
      <c r="D167" s="78"/>
      <c r="E167" s="78"/>
      <c r="F167" s="171"/>
      <c r="G167" s="173"/>
      <c r="H167" s="170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</row>
    <row r="168" ht="14.25" customHeight="1">
      <c r="A168" s="171"/>
      <c r="B168" s="282"/>
      <c r="C168" s="171"/>
      <c r="D168" s="78"/>
      <c r="E168" s="78"/>
      <c r="F168" s="171"/>
      <c r="G168" s="173"/>
      <c r="H168" s="170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</row>
    <row r="169" ht="14.25" customHeight="1">
      <c r="A169" s="171"/>
      <c r="B169" s="282"/>
      <c r="C169" s="171"/>
      <c r="D169" s="78"/>
      <c r="E169" s="78"/>
      <c r="F169" s="171"/>
      <c r="G169" s="173"/>
      <c r="H169" s="170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</row>
    <row r="170" ht="14.25" customHeight="1">
      <c r="A170" s="171"/>
      <c r="B170" s="282"/>
      <c r="C170" s="171"/>
      <c r="D170" s="78"/>
      <c r="E170" s="78"/>
      <c r="F170" s="171"/>
      <c r="G170" s="173"/>
      <c r="H170" s="170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</row>
    <row r="171" ht="14.25" customHeight="1">
      <c r="A171" s="171"/>
      <c r="B171" s="282"/>
      <c r="C171" s="171"/>
      <c r="D171" s="78"/>
      <c r="E171" s="78"/>
      <c r="F171" s="171"/>
      <c r="G171" s="173"/>
      <c r="H171" s="170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</row>
    <row r="172" ht="14.25" customHeight="1">
      <c r="A172" s="171"/>
      <c r="B172" s="282"/>
      <c r="C172" s="171"/>
      <c r="D172" s="78"/>
      <c r="E172" s="78"/>
      <c r="F172" s="171"/>
      <c r="G172" s="173"/>
      <c r="H172" s="170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</row>
    <row r="173" ht="14.25" customHeight="1">
      <c r="A173" s="171"/>
      <c r="B173" s="282"/>
      <c r="C173" s="171"/>
      <c r="D173" s="78"/>
      <c r="E173" s="78"/>
      <c r="F173" s="171"/>
      <c r="G173" s="173"/>
      <c r="H173" s="170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</row>
    <row r="174" ht="14.25" customHeight="1">
      <c r="A174" s="171"/>
      <c r="B174" s="282"/>
      <c r="C174" s="171"/>
      <c r="D174" s="78"/>
      <c r="E174" s="78"/>
      <c r="F174" s="171"/>
      <c r="G174" s="173"/>
      <c r="H174" s="170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</row>
    <row r="175" ht="14.25" customHeight="1">
      <c r="A175" s="171"/>
      <c r="B175" s="282"/>
      <c r="C175" s="171"/>
      <c r="D175" s="78"/>
      <c r="E175" s="78"/>
      <c r="F175" s="171"/>
      <c r="G175" s="173"/>
      <c r="H175" s="170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</row>
    <row r="176" ht="14.25" customHeight="1">
      <c r="A176" s="171"/>
      <c r="B176" s="282"/>
      <c r="C176" s="171"/>
      <c r="D176" s="78"/>
      <c r="E176" s="78"/>
      <c r="F176" s="171"/>
      <c r="G176" s="173"/>
      <c r="H176" s="170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</row>
    <row r="177" ht="14.25" customHeight="1">
      <c r="A177" s="171"/>
      <c r="B177" s="282"/>
      <c r="C177" s="171"/>
      <c r="D177" s="78"/>
      <c r="E177" s="78"/>
      <c r="F177" s="171"/>
      <c r="G177" s="173"/>
      <c r="H177" s="170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</row>
    <row r="178" ht="14.25" customHeight="1">
      <c r="A178" s="171"/>
      <c r="B178" s="282"/>
      <c r="C178" s="171"/>
      <c r="D178" s="78"/>
      <c r="E178" s="78"/>
      <c r="F178" s="171"/>
      <c r="G178" s="173"/>
      <c r="H178" s="170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</row>
    <row r="179" ht="14.25" customHeight="1">
      <c r="A179" s="171"/>
      <c r="B179" s="282"/>
      <c r="C179" s="171"/>
      <c r="D179" s="78"/>
      <c r="E179" s="78"/>
      <c r="F179" s="171"/>
      <c r="G179" s="173"/>
      <c r="H179" s="170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</row>
    <row r="180" ht="14.25" customHeight="1">
      <c r="A180" s="171"/>
      <c r="B180" s="282"/>
      <c r="C180" s="171"/>
      <c r="D180" s="78"/>
      <c r="E180" s="78"/>
      <c r="F180" s="171"/>
      <c r="G180" s="173"/>
      <c r="H180" s="170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</row>
    <row r="181" ht="14.25" customHeight="1">
      <c r="A181" s="171"/>
      <c r="B181" s="282"/>
      <c r="C181" s="171"/>
      <c r="D181" s="78"/>
      <c r="E181" s="78"/>
      <c r="F181" s="171"/>
      <c r="G181" s="173"/>
      <c r="H181" s="170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</row>
    <row r="182" ht="14.25" customHeight="1">
      <c r="A182" s="171"/>
      <c r="B182" s="282"/>
      <c r="C182" s="171"/>
      <c r="D182" s="78"/>
      <c r="E182" s="78"/>
      <c r="F182" s="171"/>
      <c r="G182" s="173"/>
      <c r="H182" s="170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</row>
    <row r="183" ht="14.25" customHeight="1">
      <c r="A183" s="171"/>
      <c r="B183" s="282"/>
      <c r="C183" s="171"/>
      <c r="D183" s="78"/>
      <c r="E183" s="78"/>
      <c r="F183" s="171"/>
      <c r="G183" s="173"/>
      <c r="H183" s="170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</row>
    <row r="184" ht="14.25" customHeight="1">
      <c r="A184" s="171"/>
      <c r="B184" s="282"/>
      <c r="C184" s="171"/>
      <c r="D184" s="78"/>
      <c r="E184" s="78"/>
      <c r="F184" s="171"/>
      <c r="G184" s="173"/>
      <c r="H184" s="170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</row>
    <row r="185" ht="14.25" customHeight="1">
      <c r="A185" s="171"/>
      <c r="B185" s="282"/>
      <c r="C185" s="171"/>
      <c r="D185" s="78"/>
      <c r="E185" s="78"/>
      <c r="F185" s="171"/>
      <c r="G185" s="173"/>
      <c r="H185" s="170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</row>
    <row r="186" ht="14.25" customHeight="1">
      <c r="A186" s="171"/>
      <c r="B186" s="282"/>
      <c r="C186" s="171"/>
      <c r="D186" s="78"/>
      <c r="E186" s="78"/>
      <c r="F186" s="171"/>
      <c r="G186" s="173"/>
      <c r="H186" s="170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</row>
    <row r="187" ht="14.25" customHeight="1">
      <c r="A187" s="171"/>
      <c r="B187" s="282"/>
      <c r="C187" s="171"/>
      <c r="D187" s="78"/>
      <c r="E187" s="78"/>
      <c r="F187" s="171"/>
      <c r="G187" s="173"/>
      <c r="H187" s="170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</row>
    <row r="188" ht="14.25" customHeight="1">
      <c r="A188" s="171"/>
      <c r="B188" s="282"/>
      <c r="C188" s="171"/>
      <c r="D188" s="78"/>
      <c r="E188" s="78"/>
      <c r="F188" s="171"/>
      <c r="G188" s="173"/>
      <c r="H188" s="170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</row>
    <row r="189" ht="14.25" customHeight="1">
      <c r="A189" s="171"/>
      <c r="B189" s="282"/>
      <c r="C189" s="171"/>
      <c r="D189" s="78"/>
      <c r="E189" s="78"/>
      <c r="F189" s="171"/>
      <c r="G189" s="173"/>
      <c r="H189" s="170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</row>
    <row r="190" ht="14.25" customHeight="1">
      <c r="A190" s="171"/>
      <c r="B190" s="282"/>
      <c r="C190" s="171"/>
      <c r="D190" s="78"/>
      <c r="E190" s="78"/>
      <c r="F190" s="171"/>
      <c r="G190" s="173"/>
      <c r="H190" s="170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</row>
    <row r="191" ht="14.25" customHeight="1">
      <c r="A191" s="171"/>
      <c r="B191" s="282"/>
      <c r="C191" s="171"/>
      <c r="D191" s="78"/>
      <c r="E191" s="78"/>
      <c r="F191" s="171"/>
      <c r="G191" s="173"/>
      <c r="H191" s="170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</row>
    <row r="192" ht="14.25" customHeight="1">
      <c r="A192" s="171"/>
      <c r="B192" s="282"/>
      <c r="C192" s="171"/>
      <c r="D192" s="78"/>
      <c r="E192" s="78"/>
      <c r="F192" s="171"/>
      <c r="G192" s="173"/>
      <c r="H192" s="170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</row>
    <row r="193" ht="14.25" customHeight="1">
      <c r="A193" s="171"/>
      <c r="B193" s="282"/>
      <c r="C193" s="171"/>
      <c r="D193" s="78"/>
      <c r="E193" s="78"/>
      <c r="F193" s="171"/>
      <c r="G193" s="173"/>
      <c r="H193" s="170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</row>
    <row r="194" ht="14.25" customHeight="1">
      <c r="A194" s="171"/>
      <c r="B194" s="282"/>
      <c r="C194" s="171"/>
      <c r="D194" s="78"/>
      <c r="E194" s="78"/>
      <c r="F194" s="171"/>
      <c r="G194" s="173"/>
      <c r="H194" s="170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</row>
    <row r="195" ht="14.25" customHeight="1">
      <c r="A195" s="171"/>
      <c r="B195" s="282"/>
      <c r="C195" s="171"/>
      <c r="D195" s="78"/>
      <c r="E195" s="78"/>
      <c r="F195" s="171"/>
      <c r="G195" s="173"/>
      <c r="H195" s="170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</row>
    <row r="196" ht="14.25" customHeight="1">
      <c r="A196" s="171"/>
      <c r="B196" s="282"/>
      <c r="C196" s="171"/>
      <c r="D196" s="78"/>
      <c r="E196" s="78"/>
      <c r="F196" s="171"/>
      <c r="G196" s="173"/>
      <c r="H196" s="170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</row>
    <row r="197" ht="14.25" customHeight="1">
      <c r="A197" s="171"/>
      <c r="B197" s="282"/>
      <c r="C197" s="171"/>
      <c r="D197" s="78"/>
      <c r="E197" s="78"/>
      <c r="F197" s="171"/>
      <c r="G197" s="173"/>
      <c r="H197" s="170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</row>
    <row r="198" ht="14.25" customHeight="1">
      <c r="A198" s="171"/>
      <c r="B198" s="282"/>
      <c r="C198" s="171"/>
      <c r="D198" s="78"/>
      <c r="E198" s="78"/>
      <c r="F198" s="171"/>
      <c r="G198" s="173"/>
      <c r="H198" s="170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</row>
    <row r="199" ht="14.25" customHeight="1">
      <c r="A199" s="171"/>
      <c r="B199" s="282"/>
      <c r="C199" s="171"/>
      <c r="D199" s="78"/>
      <c r="E199" s="78"/>
      <c r="F199" s="171"/>
      <c r="G199" s="173"/>
      <c r="H199" s="170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</row>
    <row r="200" ht="14.25" customHeight="1">
      <c r="A200" s="171"/>
      <c r="B200" s="282"/>
      <c r="C200" s="171"/>
      <c r="D200" s="78"/>
      <c r="E200" s="78"/>
      <c r="F200" s="171"/>
      <c r="G200" s="173"/>
      <c r="H200" s="170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</row>
    <row r="201" ht="14.25" customHeight="1">
      <c r="A201" s="171"/>
      <c r="B201" s="282"/>
      <c r="C201" s="171"/>
      <c r="D201" s="78"/>
      <c r="E201" s="78"/>
      <c r="F201" s="171"/>
      <c r="G201" s="173"/>
      <c r="H201" s="170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</row>
    <row r="202" ht="14.25" customHeight="1">
      <c r="A202" s="171"/>
      <c r="B202" s="282"/>
      <c r="C202" s="171"/>
      <c r="D202" s="78"/>
      <c r="E202" s="78"/>
      <c r="F202" s="171"/>
      <c r="G202" s="173"/>
      <c r="H202" s="170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</row>
    <row r="203" ht="14.25" customHeight="1">
      <c r="A203" s="171"/>
      <c r="B203" s="282"/>
      <c r="C203" s="171"/>
      <c r="D203" s="78"/>
      <c r="E203" s="78"/>
      <c r="F203" s="171"/>
      <c r="G203" s="173"/>
      <c r="H203" s="170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</row>
    <row r="204" ht="14.25" customHeight="1">
      <c r="A204" s="171"/>
      <c r="B204" s="282"/>
      <c r="C204" s="171"/>
      <c r="D204" s="78"/>
      <c r="E204" s="78"/>
      <c r="F204" s="171"/>
      <c r="G204" s="173"/>
      <c r="H204" s="170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</row>
    <row r="205" ht="14.25" customHeight="1">
      <c r="A205" s="171"/>
      <c r="B205" s="282"/>
      <c r="C205" s="171"/>
      <c r="D205" s="78"/>
      <c r="E205" s="78"/>
      <c r="F205" s="171"/>
      <c r="G205" s="173"/>
      <c r="H205" s="170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</row>
    <row r="206" ht="14.25" customHeight="1">
      <c r="A206" s="171"/>
      <c r="B206" s="282"/>
      <c r="C206" s="171"/>
      <c r="D206" s="78"/>
      <c r="E206" s="78"/>
      <c r="F206" s="171"/>
      <c r="G206" s="173"/>
      <c r="H206" s="170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</row>
    <row r="207" ht="14.25" customHeight="1">
      <c r="A207" s="171"/>
      <c r="B207" s="282"/>
      <c r="C207" s="171"/>
      <c r="D207" s="78"/>
      <c r="E207" s="78"/>
      <c r="F207" s="171"/>
      <c r="G207" s="173"/>
      <c r="H207" s="170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</row>
    <row r="208" ht="14.25" customHeight="1">
      <c r="A208" s="171"/>
      <c r="B208" s="282"/>
      <c r="C208" s="171"/>
      <c r="D208" s="78"/>
      <c r="E208" s="78"/>
      <c r="F208" s="171"/>
      <c r="G208" s="173"/>
      <c r="H208" s="170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</row>
    <row r="209" ht="14.25" customHeight="1">
      <c r="A209" s="171"/>
      <c r="B209" s="282"/>
      <c r="C209" s="171"/>
      <c r="D209" s="78"/>
      <c r="E209" s="78"/>
      <c r="F209" s="171"/>
      <c r="G209" s="173"/>
      <c r="H209" s="170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</row>
    <row r="210" ht="14.25" customHeight="1">
      <c r="A210" s="171"/>
      <c r="B210" s="282"/>
      <c r="C210" s="171"/>
      <c r="D210" s="78"/>
      <c r="E210" s="78"/>
      <c r="F210" s="171"/>
      <c r="G210" s="173"/>
      <c r="H210" s="170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</row>
    <row r="211" ht="14.25" customHeight="1">
      <c r="A211" s="171"/>
      <c r="B211" s="282"/>
      <c r="C211" s="171"/>
      <c r="D211" s="78"/>
      <c r="E211" s="78"/>
      <c r="F211" s="171"/>
      <c r="G211" s="173"/>
      <c r="H211" s="170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</row>
    <row r="212" ht="14.25" customHeight="1">
      <c r="A212" s="171"/>
      <c r="B212" s="282"/>
      <c r="C212" s="171"/>
      <c r="D212" s="78"/>
      <c r="E212" s="78"/>
      <c r="F212" s="171"/>
      <c r="G212" s="173"/>
      <c r="H212" s="170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</row>
    <row r="213" ht="14.25" customHeight="1">
      <c r="A213" s="171"/>
      <c r="B213" s="282"/>
      <c r="C213" s="171"/>
      <c r="D213" s="78"/>
      <c r="E213" s="78"/>
      <c r="F213" s="171"/>
      <c r="G213" s="173"/>
      <c r="H213" s="170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</row>
    <row r="214" ht="14.25" customHeight="1">
      <c r="A214" s="171"/>
      <c r="B214" s="282"/>
      <c r="C214" s="171"/>
      <c r="D214" s="78"/>
      <c r="E214" s="78"/>
      <c r="F214" s="171"/>
      <c r="G214" s="173"/>
      <c r="H214" s="170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</row>
    <row r="215" ht="14.25" customHeight="1">
      <c r="A215" s="171"/>
      <c r="B215" s="282"/>
      <c r="C215" s="171"/>
      <c r="D215" s="78"/>
      <c r="E215" s="78"/>
      <c r="F215" s="171"/>
      <c r="G215" s="173"/>
      <c r="H215" s="170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</row>
    <row r="216" ht="14.25" customHeight="1">
      <c r="A216" s="171"/>
      <c r="B216" s="282"/>
      <c r="C216" s="171"/>
      <c r="D216" s="78"/>
      <c r="E216" s="78"/>
      <c r="F216" s="171"/>
      <c r="G216" s="173"/>
      <c r="H216" s="170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</row>
    <row r="217" ht="14.25" customHeight="1">
      <c r="A217" s="171"/>
      <c r="B217" s="282"/>
      <c r="C217" s="171"/>
      <c r="D217" s="78"/>
      <c r="E217" s="78"/>
      <c r="F217" s="171"/>
      <c r="G217" s="173"/>
      <c r="H217" s="170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</row>
    <row r="218" ht="14.25" customHeight="1">
      <c r="A218" s="171"/>
      <c r="B218" s="282"/>
      <c r="C218" s="171"/>
      <c r="D218" s="78"/>
      <c r="E218" s="78"/>
      <c r="F218" s="171"/>
      <c r="G218" s="173"/>
      <c r="H218" s="170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</row>
    <row r="219" ht="14.25" customHeight="1">
      <c r="A219" s="171"/>
      <c r="B219" s="282"/>
      <c r="C219" s="171"/>
      <c r="D219" s="78"/>
      <c r="E219" s="78"/>
      <c r="F219" s="171"/>
      <c r="G219" s="173"/>
      <c r="H219" s="170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</row>
    <row r="220" ht="14.25" customHeight="1">
      <c r="A220" s="171"/>
      <c r="B220" s="282"/>
      <c r="C220" s="171"/>
      <c r="D220" s="78"/>
      <c r="E220" s="78"/>
      <c r="F220" s="171"/>
      <c r="G220" s="173"/>
      <c r="H220" s="170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</row>
    <row r="221" ht="14.25" customHeight="1">
      <c r="A221" s="171"/>
      <c r="B221" s="282"/>
      <c r="C221" s="171"/>
      <c r="D221" s="78"/>
      <c r="E221" s="78"/>
      <c r="F221" s="171"/>
      <c r="G221" s="173"/>
      <c r="H221" s="170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</row>
    <row r="222" ht="14.25" customHeight="1">
      <c r="A222" s="171"/>
      <c r="B222" s="282"/>
      <c r="C222" s="171"/>
      <c r="D222" s="78"/>
      <c r="E222" s="78"/>
      <c r="F222" s="171"/>
      <c r="G222" s="173"/>
      <c r="H222" s="170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</row>
    <row r="223" ht="14.25" customHeight="1">
      <c r="A223" s="171"/>
      <c r="B223" s="282"/>
      <c r="C223" s="171"/>
      <c r="D223" s="78"/>
      <c r="E223" s="78"/>
      <c r="F223" s="171"/>
      <c r="G223" s="173"/>
      <c r="H223" s="170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</row>
    <row r="224" ht="14.25" customHeight="1">
      <c r="A224" s="171"/>
      <c r="B224" s="282"/>
      <c r="C224" s="171"/>
      <c r="D224" s="78"/>
      <c r="E224" s="78"/>
      <c r="F224" s="171"/>
      <c r="G224" s="173"/>
      <c r="H224" s="170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</row>
    <row r="225" ht="14.25" customHeight="1">
      <c r="A225" s="171"/>
      <c r="B225" s="282"/>
      <c r="C225" s="171"/>
      <c r="D225" s="78"/>
      <c r="E225" s="78"/>
      <c r="F225" s="171"/>
      <c r="G225" s="173"/>
      <c r="H225" s="170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</row>
    <row r="226" ht="14.25" customHeight="1">
      <c r="A226" s="171"/>
      <c r="B226" s="282"/>
      <c r="C226" s="171"/>
      <c r="D226" s="78"/>
      <c r="E226" s="78"/>
      <c r="F226" s="171"/>
      <c r="G226" s="173"/>
      <c r="H226" s="170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</row>
    <row r="227" ht="14.25" customHeight="1">
      <c r="A227" s="171"/>
      <c r="B227" s="282"/>
      <c r="C227" s="171"/>
      <c r="D227" s="78"/>
      <c r="E227" s="78"/>
      <c r="F227" s="171"/>
      <c r="G227" s="173"/>
      <c r="H227" s="170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</row>
    <row r="228" ht="14.25" customHeight="1">
      <c r="A228" s="171"/>
      <c r="B228" s="282"/>
      <c r="C228" s="171"/>
      <c r="D228" s="78"/>
      <c r="E228" s="78"/>
      <c r="F228" s="171"/>
      <c r="G228" s="173"/>
      <c r="H228" s="170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</row>
    <row r="229" ht="14.25" customHeight="1">
      <c r="A229" s="171"/>
      <c r="B229" s="282"/>
      <c r="C229" s="171"/>
      <c r="D229" s="78"/>
      <c r="E229" s="78"/>
      <c r="F229" s="171"/>
      <c r="G229" s="173"/>
      <c r="H229" s="170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</row>
    <row r="230" ht="14.25" customHeight="1">
      <c r="A230" s="171"/>
      <c r="B230" s="282"/>
      <c r="C230" s="171"/>
      <c r="D230" s="78"/>
      <c r="E230" s="78"/>
      <c r="F230" s="171"/>
      <c r="G230" s="173"/>
      <c r="H230" s="170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</row>
    <row r="231" ht="14.25" customHeight="1">
      <c r="A231" s="171"/>
      <c r="B231" s="282"/>
      <c r="C231" s="171"/>
      <c r="D231" s="78"/>
      <c r="E231" s="78"/>
      <c r="F231" s="171"/>
      <c r="G231" s="173"/>
      <c r="H231" s="170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</row>
    <row r="232" ht="14.25" customHeight="1">
      <c r="A232" s="171"/>
      <c r="B232" s="282"/>
      <c r="C232" s="171"/>
      <c r="D232" s="78"/>
      <c r="E232" s="78"/>
      <c r="F232" s="171"/>
      <c r="G232" s="173"/>
      <c r="H232" s="170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</row>
    <row r="233" ht="14.25" customHeight="1">
      <c r="A233" s="171"/>
      <c r="B233" s="282"/>
      <c r="C233" s="171"/>
      <c r="D233" s="78"/>
      <c r="E233" s="78"/>
      <c r="F233" s="171"/>
      <c r="G233" s="173"/>
      <c r="H233" s="170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</row>
    <row r="234" ht="14.25" customHeight="1">
      <c r="A234" s="171"/>
      <c r="B234" s="282"/>
      <c r="C234" s="171"/>
      <c r="D234" s="78"/>
      <c r="E234" s="78"/>
      <c r="F234" s="171"/>
      <c r="G234" s="173"/>
      <c r="H234" s="170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</row>
    <row r="235" ht="14.25" customHeight="1">
      <c r="A235" s="171"/>
      <c r="B235" s="282"/>
      <c r="C235" s="171"/>
      <c r="D235" s="78"/>
      <c r="E235" s="78"/>
      <c r="F235" s="171"/>
      <c r="G235" s="173"/>
      <c r="H235" s="170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</row>
    <row r="236" ht="14.25" customHeight="1">
      <c r="A236" s="171"/>
      <c r="B236" s="282"/>
      <c r="C236" s="171"/>
      <c r="D236" s="78"/>
      <c r="E236" s="78"/>
      <c r="F236" s="171"/>
      <c r="G236" s="173"/>
      <c r="H236" s="170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</row>
    <row r="237" ht="14.25" customHeight="1">
      <c r="A237" s="171"/>
      <c r="B237" s="282"/>
      <c r="C237" s="171"/>
      <c r="D237" s="78"/>
      <c r="E237" s="78"/>
      <c r="F237" s="171"/>
      <c r="G237" s="173"/>
      <c r="H237" s="170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</row>
    <row r="238" ht="14.25" customHeight="1">
      <c r="A238" s="171"/>
      <c r="B238" s="282"/>
      <c r="C238" s="171"/>
      <c r="D238" s="78"/>
      <c r="E238" s="78"/>
      <c r="F238" s="171"/>
      <c r="G238" s="173"/>
      <c r="H238" s="170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</row>
    <row r="239" ht="14.25" customHeight="1">
      <c r="A239" s="171"/>
      <c r="B239" s="282"/>
      <c r="C239" s="171"/>
      <c r="D239" s="78"/>
      <c r="E239" s="78"/>
      <c r="F239" s="171"/>
      <c r="G239" s="173"/>
      <c r="H239" s="170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</row>
    <row r="240" ht="14.25" customHeight="1">
      <c r="A240" s="171"/>
      <c r="B240" s="282"/>
      <c r="C240" s="171"/>
      <c r="D240" s="78"/>
      <c r="E240" s="78"/>
      <c r="F240" s="171"/>
      <c r="G240" s="173"/>
      <c r="H240" s="170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</row>
    <row r="241" ht="14.25" customHeight="1">
      <c r="A241" s="171"/>
      <c r="B241" s="282"/>
      <c r="C241" s="171"/>
      <c r="D241" s="78"/>
      <c r="E241" s="78"/>
      <c r="F241" s="171"/>
      <c r="G241" s="173"/>
      <c r="H241" s="170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</row>
    <row r="242" ht="14.25" customHeight="1">
      <c r="A242" s="171"/>
      <c r="B242" s="282"/>
      <c r="C242" s="171"/>
      <c r="D242" s="78"/>
      <c r="E242" s="78"/>
      <c r="F242" s="171"/>
      <c r="G242" s="173"/>
      <c r="H242" s="170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</row>
    <row r="243" ht="14.25" customHeight="1">
      <c r="A243" s="171"/>
      <c r="B243" s="282"/>
      <c r="C243" s="171"/>
      <c r="D243" s="78"/>
      <c r="E243" s="78"/>
      <c r="F243" s="171"/>
      <c r="G243" s="173"/>
      <c r="H243" s="170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</row>
    <row r="244" ht="14.25" customHeight="1">
      <c r="A244" s="171"/>
      <c r="B244" s="282"/>
      <c r="C244" s="171"/>
      <c r="D244" s="78"/>
      <c r="E244" s="78"/>
      <c r="F244" s="171"/>
      <c r="G244" s="173"/>
      <c r="H244" s="170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</row>
    <row r="245" ht="14.25" customHeight="1">
      <c r="A245" s="171"/>
      <c r="B245" s="282"/>
      <c r="C245" s="171"/>
      <c r="D245" s="78"/>
      <c r="E245" s="78"/>
      <c r="F245" s="171"/>
      <c r="G245" s="173"/>
      <c r="H245" s="170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</row>
    <row r="246" ht="14.25" customHeight="1">
      <c r="A246" s="171"/>
      <c r="B246" s="282"/>
      <c r="C246" s="171"/>
      <c r="D246" s="78"/>
      <c r="E246" s="78"/>
      <c r="F246" s="171"/>
      <c r="G246" s="173"/>
      <c r="H246" s="170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</row>
    <row r="247" ht="14.25" customHeight="1">
      <c r="A247" s="171"/>
      <c r="B247" s="282"/>
      <c r="C247" s="171"/>
      <c r="D247" s="78"/>
      <c r="E247" s="78"/>
      <c r="F247" s="171"/>
      <c r="G247" s="173"/>
      <c r="H247" s="170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</row>
    <row r="248" ht="14.25" customHeight="1">
      <c r="A248" s="171"/>
      <c r="B248" s="282"/>
      <c r="C248" s="171"/>
      <c r="D248" s="78"/>
      <c r="E248" s="78"/>
      <c r="F248" s="171"/>
      <c r="G248" s="173"/>
      <c r="H248" s="170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</row>
    <row r="249" ht="14.25" customHeight="1">
      <c r="A249" s="171"/>
      <c r="B249" s="282"/>
      <c r="C249" s="171"/>
      <c r="D249" s="78"/>
      <c r="E249" s="78"/>
      <c r="F249" s="171"/>
      <c r="G249" s="173"/>
      <c r="H249" s="170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</row>
    <row r="250" ht="14.25" customHeight="1">
      <c r="A250" s="171"/>
      <c r="B250" s="282"/>
      <c r="C250" s="171"/>
      <c r="D250" s="78"/>
      <c r="E250" s="78"/>
      <c r="F250" s="171"/>
      <c r="G250" s="173"/>
      <c r="H250" s="170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</row>
    <row r="251" ht="14.25" customHeight="1">
      <c r="A251" s="171"/>
      <c r="B251" s="282"/>
      <c r="C251" s="171"/>
      <c r="D251" s="78"/>
      <c r="E251" s="78"/>
      <c r="F251" s="171"/>
      <c r="G251" s="173"/>
      <c r="H251" s="170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</row>
    <row r="252" ht="14.25" customHeight="1">
      <c r="A252" s="171"/>
      <c r="B252" s="282"/>
      <c r="C252" s="171"/>
      <c r="D252" s="78"/>
      <c r="E252" s="78"/>
      <c r="F252" s="171"/>
      <c r="G252" s="173"/>
      <c r="H252" s="170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</row>
    <row r="253" ht="14.25" customHeight="1">
      <c r="A253" s="171"/>
      <c r="B253" s="282"/>
      <c r="C253" s="171"/>
      <c r="D253" s="78"/>
      <c r="E253" s="78"/>
      <c r="F253" s="171"/>
      <c r="G253" s="173"/>
      <c r="H253" s="170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</row>
    <row r="254" ht="14.25" customHeight="1">
      <c r="A254" s="171"/>
      <c r="B254" s="282"/>
      <c r="C254" s="171"/>
      <c r="D254" s="78"/>
      <c r="E254" s="78"/>
      <c r="F254" s="171"/>
      <c r="G254" s="173"/>
      <c r="H254" s="170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</row>
    <row r="255" ht="14.25" customHeight="1">
      <c r="A255" s="171"/>
      <c r="B255" s="282"/>
      <c r="C255" s="171"/>
      <c r="D255" s="78"/>
      <c r="E255" s="78"/>
      <c r="F255" s="171"/>
      <c r="G255" s="173"/>
      <c r="H255" s="170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</row>
    <row r="256" ht="14.25" customHeight="1">
      <c r="A256" s="171"/>
      <c r="B256" s="282"/>
      <c r="C256" s="171"/>
      <c r="D256" s="78"/>
      <c r="E256" s="78"/>
      <c r="F256" s="171"/>
      <c r="G256" s="173"/>
      <c r="H256" s="170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</row>
    <row r="257" ht="14.25" customHeight="1">
      <c r="A257" s="171"/>
      <c r="B257" s="282"/>
      <c r="C257" s="171"/>
      <c r="D257" s="78"/>
      <c r="E257" s="78"/>
      <c r="F257" s="171"/>
      <c r="G257" s="173"/>
      <c r="H257" s="170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</row>
    <row r="258" ht="14.25" customHeight="1">
      <c r="A258" s="171"/>
      <c r="B258" s="282"/>
      <c r="C258" s="171"/>
      <c r="D258" s="78"/>
      <c r="E258" s="78"/>
      <c r="F258" s="171"/>
      <c r="G258" s="173"/>
      <c r="H258" s="170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</row>
    <row r="259" ht="14.25" customHeight="1">
      <c r="A259" s="171"/>
      <c r="B259" s="282"/>
      <c r="C259" s="171"/>
      <c r="D259" s="78"/>
      <c r="E259" s="78"/>
      <c r="F259" s="171"/>
      <c r="G259" s="173"/>
      <c r="H259" s="170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</row>
    <row r="260" ht="14.25" customHeight="1">
      <c r="A260" s="171"/>
      <c r="B260" s="282"/>
      <c r="C260" s="171"/>
      <c r="D260" s="78"/>
      <c r="E260" s="78"/>
      <c r="F260" s="171"/>
      <c r="G260" s="173"/>
      <c r="H260" s="170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</row>
    <row r="261" ht="14.25" customHeight="1">
      <c r="A261" s="171"/>
      <c r="B261" s="282"/>
      <c r="C261" s="171"/>
      <c r="D261" s="78"/>
      <c r="E261" s="78"/>
      <c r="F261" s="171"/>
      <c r="G261" s="173"/>
      <c r="H261" s="170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</row>
    <row r="262" ht="14.25" customHeight="1">
      <c r="A262" s="171"/>
      <c r="B262" s="282"/>
      <c r="C262" s="171"/>
      <c r="D262" s="78"/>
      <c r="E262" s="78"/>
      <c r="F262" s="171"/>
      <c r="G262" s="173"/>
      <c r="H262" s="170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</row>
    <row r="263" ht="14.25" customHeight="1">
      <c r="A263" s="171"/>
      <c r="B263" s="282"/>
      <c r="C263" s="171"/>
      <c r="D263" s="78"/>
      <c r="E263" s="78"/>
      <c r="F263" s="171"/>
      <c r="G263" s="173"/>
      <c r="H263" s="170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</row>
    <row r="264" ht="14.25" customHeight="1">
      <c r="A264" s="171"/>
      <c r="B264" s="282"/>
      <c r="C264" s="171"/>
      <c r="D264" s="78"/>
      <c r="E264" s="78"/>
      <c r="F264" s="171"/>
      <c r="G264" s="173"/>
      <c r="H264" s="170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</row>
    <row r="265" ht="14.25" customHeight="1">
      <c r="A265" s="171"/>
      <c r="B265" s="282"/>
      <c r="C265" s="171"/>
      <c r="D265" s="78"/>
      <c r="E265" s="78"/>
      <c r="F265" s="171"/>
      <c r="G265" s="173"/>
      <c r="H265" s="170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</row>
    <row r="266" ht="14.25" customHeight="1">
      <c r="A266" s="171"/>
      <c r="B266" s="282"/>
      <c r="C266" s="171"/>
      <c r="D266" s="78"/>
      <c r="E266" s="78"/>
      <c r="F266" s="171"/>
      <c r="G266" s="173"/>
      <c r="H266" s="170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</row>
    <row r="267" ht="14.25" customHeight="1">
      <c r="A267" s="171"/>
      <c r="B267" s="282"/>
      <c r="C267" s="171"/>
      <c r="D267" s="78"/>
      <c r="E267" s="78"/>
      <c r="F267" s="171"/>
      <c r="G267" s="173"/>
      <c r="H267" s="170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</row>
    <row r="268" ht="14.25" customHeight="1">
      <c r="A268" s="171"/>
      <c r="B268" s="282"/>
      <c r="C268" s="171"/>
      <c r="D268" s="78"/>
      <c r="E268" s="78"/>
      <c r="F268" s="171"/>
      <c r="G268" s="173"/>
      <c r="H268" s="170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</row>
    <row r="269" ht="14.25" customHeight="1">
      <c r="A269" s="171"/>
      <c r="B269" s="282"/>
      <c r="C269" s="171"/>
      <c r="D269" s="78"/>
      <c r="E269" s="78"/>
      <c r="F269" s="171"/>
      <c r="G269" s="173"/>
      <c r="H269" s="170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</row>
    <row r="270" ht="14.25" customHeight="1">
      <c r="A270" s="171"/>
      <c r="B270" s="282"/>
      <c r="C270" s="171"/>
      <c r="D270" s="78"/>
      <c r="E270" s="78"/>
      <c r="F270" s="171"/>
      <c r="G270" s="173"/>
      <c r="H270" s="170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</row>
    <row r="271" ht="14.25" customHeight="1">
      <c r="A271" s="171"/>
      <c r="B271" s="282"/>
      <c r="C271" s="171"/>
      <c r="D271" s="78"/>
      <c r="E271" s="78"/>
      <c r="F271" s="171"/>
      <c r="G271" s="173"/>
      <c r="H271" s="170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</row>
    <row r="272" ht="14.25" customHeight="1">
      <c r="A272" s="171"/>
      <c r="B272" s="282"/>
      <c r="C272" s="171"/>
      <c r="D272" s="78"/>
      <c r="E272" s="78"/>
      <c r="F272" s="171"/>
      <c r="G272" s="173"/>
      <c r="H272" s="170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</row>
    <row r="273" ht="14.25" customHeight="1">
      <c r="A273" s="171"/>
      <c r="B273" s="282"/>
      <c r="C273" s="171"/>
      <c r="D273" s="78"/>
      <c r="E273" s="78"/>
      <c r="F273" s="171"/>
      <c r="G273" s="173"/>
      <c r="H273" s="170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</row>
    <row r="274" ht="14.25" customHeight="1">
      <c r="A274" s="171"/>
      <c r="B274" s="282"/>
      <c r="C274" s="171"/>
      <c r="D274" s="78"/>
      <c r="E274" s="78"/>
      <c r="F274" s="171"/>
      <c r="G274" s="173"/>
      <c r="H274" s="170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</row>
    <row r="275" ht="14.25" customHeight="1">
      <c r="A275" s="171"/>
      <c r="B275" s="282"/>
      <c r="C275" s="171"/>
      <c r="D275" s="78"/>
      <c r="E275" s="78"/>
      <c r="F275" s="171"/>
      <c r="G275" s="173"/>
      <c r="H275" s="170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</row>
    <row r="276" ht="14.25" customHeight="1">
      <c r="A276" s="171"/>
      <c r="B276" s="282"/>
      <c r="C276" s="171"/>
      <c r="D276" s="78"/>
      <c r="E276" s="78"/>
      <c r="F276" s="171"/>
      <c r="G276" s="173"/>
      <c r="H276" s="170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</row>
    <row r="277" ht="14.25" customHeight="1">
      <c r="A277" s="171"/>
      <c r="B277" s="282"/>
      <c r="C277" s="171"/>
      <c r="D277" s="78"/>
      <c r="E277" s="78"/>
      <c r="F277" s="171"/>
      <c r="G277" s="173"/>
      <c r="H277" s="170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</row>
    <row r="278" ht="14.25" customHeight="1">
      <c r="A278" s="171"/>
      <c r="B278" s="282"/>
      <c r="C278" s="171"/>
      <c r="D278" s="78"/>
      <c r="E278" s="78"/>
      <c r="F278" s="171"/>
      <c r="G278" s="173"/>
      <c r="H278" s="170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</row>
    <row r="279" ht="14.25" customHeight="1">
      <c r="A279" s="171"/>
      <c r="B279" s="282"/>
      <c r="C279" s="171"/>
      <c r="D279" s="78"/>
      <c r="E279" s="78"/>
      <c r="F279" s="171"/>
      <c r="G279" s="173"/>
      <c r="H279" s="170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</row>
    <row r="280" ht="14.25" customHeight="1">
      <c r="A280" s="171"/>
      <c r="B280" s="282"/>
      <c r="C280" s="171"/>
      <c r="D280" s="78"/>
      <c r="E280" s="78"/>
      <c r="F280" s="171"/>
      <c r="G280" s="173"/>
      <c r="H280" s="170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</row>
    <row r="281" ht="14.25" customHeight="1">
      <c r="A281" s="171"/>
      <c r="B281" s="282"/>
      <c r="C281" s="171"/>
      <c r="D281" s="78"/>
      <c r="E281" s="78"/>
      <c r="F281" s="171"/>
      <c r="G281" s="173"/>
      <c r="H281" s="170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</row>
    <row r="282" ht="14.25" customHeight="1">
      <c r="A282" s="171"/>
      <c r="B282" s="282"/>
      <c r="C282" s="171"/>
      <c r="D282" s="78"/>
      <c r="E282" s="78"/>
      <c r="F282" s="171"/>
      <c r="G282" s="173"/>
      <c r="H282" s="170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</row>
    <row r="283" ht="14.25" customHeight="1">
      <c r="A283" s="171"/>
      <c r="B283" s="282"/>
      <c r="C283" s="171"/>
      <c r="D283" s="78"/>
      <c r="E283" s="78"/>
      <c r="F283" s="171"/>
      <c r="G283" s="173"/>
      <c r="H283" s="170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</row>
    <row r="284" ht="14.25" customHeight="1">
      <c r="A284" s="171"/>
      <c r="B284" s="282"/>
      <c r="C284" s="171"/>
      <c r="D284" s="78"/>
      <c r="E284" s="78"/>
      <c r="F284" s="171"/>
      <c r="G284" s="173"/>
      <c r="H284" s="170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</row>
    <row r="285" ht="14.25" customHeight="1">
      <c r="A285" s="171"/>
      <c r="B285" s="282"/>
      <c r="C285" s="171"/>
      <c r="D285" s="78"/>
      <c r="E285" s="78"/>
      <c r="F285" s="171"/>
      <c r="G285" s="173"/>
      <c r="H285" s="170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</row>
    <row r="286" ht="14.25" customHeight="1">
      <c r="A286" s="171"/>
      <c r="B286" s="282"/>
      <c r="C286" s="171"/>
      <c r="D286" s="78"/>
      <c r="E286" s="78"/>
      <c r="F286" s="171"/>
      <c r="G286" s="173"/>
      <c r="H286" s="170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</row>
    <row r="287" ht="14.25" customHeight="1">
      <c r="A287" s="171"/>
      <c r="B287" s="282"/>
      <c r="C287" s="171"/>
      <c r="D287" s="78"/>
      <c r="E287" s="78"/>
      <c r="F287" s="171"/>
      <c r="G287" s="173"/>
      <c r="H287" s="170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</row>
    <row r="288" ht="14.25" customHeight="1">
      <c r="A288" s="171"/>
      <c r="B288" s="282"/>
      <c r="C288" s="171"/>
      <c r="D288" s="78"/>
      <c r="E288" s="78"/>
      <c r="F288" s="171"/>
      <c r="G288" s="173"/>
      <c r="H288" s="170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</row>
    <row r="289" ht="14.25" customHeight="1">
      <c r="A289" s="171"/>
      <c r="B289" s="282"/>
      <c r="C289" s="171"/>
      <c r="D289" s="78"/>
      <c r="E289" s="78"/>
      <c r="F289" s="171"/>
      <c r="G289" s="173"/>
      <c r="H289" s="170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</row>
    <row r="290" ht="14.25" customHeight="1">
      <c r="A290" s="171"/>
      <c r="B290" s="282"/>
      <c r="C290" s="171"/>
      <c r="D290" s="78"/>
      <c r="E290" s="78"/>
      <c r="F290" s="171"/>
      <c r="G290" s="173"/>
      <c r="H290" s="170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</row>
    <row r="291" ht="14.25" customHeight="1">
      <c r="A291" s="171"/>
      <c r="B291" s="282"/>
      <c r="C291" s="171"/>
      <c r="D291" s="78"/>
      <c r="E291" s="78"/>
      <c r="F291" s="171"/>
      <c r="G291" s="173"/>
      <c r="H291" s="170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</row>
    <row r="292" ht="14.25" customHeight="1">
      <c r="A292" s="171"/>
      <c r="B292" s="282"/>
      <c r="C292" s="171"/>
      <c r="D292" s="78"/>
      <c r="E292" s="78"/>
      <c r="F292" s="171"/>
      <c r="G292" s="173"/>
      <c r="H292" s="170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</row>
    <row r="293" ht="14.25" customHeight="1">
      <c r="A293" s="171"/>
      <c r="B293" s="282"/>
      <c r="C293" s="171"/>
      <c r="D293" s="78"/>
      <c r="E293" s="78"/>
      <c r="F293" s="171"/>
      <c r="G293" s="173"/>
      <c r="H293" s="170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</row>
    <row r="294" ht="14.25" customHeight="1">
      <c r="A294" s="171"/>
      <c r="B294" s="282"/>
      <c r="C294" s="171"/>
      <c r="D294" s="78"/>
      <c r="E294" s="78"/>
      <c r="F294" s="171"/>
      <c r="G294" s="173"/>
      <c r="H294" s="170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</row>
    <row r="295" ht="14.25" customHeight="1">
      <c r="A295" s="171"/>
      <c r="B295" s="282"/>
      <c r="C295" s="171"/>
      <c r="D295" s="78"/>
      <c r="E295" s="78"/>
      <c r="F295" s="171"/>
      <c r="G295" s="173"/>
      <c r="H295" s="170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</row>
    <row r="296" ht="14.25" customHeight="1">
      <c r="A296" s="171"/>
      <c r="B296" s="282"/>
      <c r="C296" s="171"/>
      <c r="D296" s="78"/>
      <c r="E296" s="78"/>
      <c r="F296" s="171"/>
      <c r="G296" s="173"/>
      <c r="H296" s="170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</row>
    <row r="297" ht="14.25" customHeight="1">
      <c r="A297" s="171"/>
      <c r="B297" s="282"/>
      <c r="C297" s="171"/>
      <c r="D297" s="78"/>
      <c r="E297" s="78"/>
      <c r="F297" s="171"/>
      <c r="G297" s="173"/>
      <c r="H297" s="170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</row>
    <row r="298" ht="14.25" customHeight="1">
      <c r="A298" s="171"/>
      <c r="B298" s="282"/>
      <c r="C298" s="171"/>
      <c r="D298" s="78"/>
      <c r="E298" s="78"/>
      <c r="F298" s="171"/>
      <c r="G298" s="173"/>
      <c r="H298" s="170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</row>
    <row r="299" ht="14.25" customHeight="1">
      <c r="A299" s="171"/>
      <c r="B299" s="282"/>
      <c r="C299" s="171"/>
      <c r="D299" s="78"/>
      <c r="E299" s="78"/>
      <c r="F299" s="171"/>
      <c r="G299" s="173"/>
      <c r="H299" s="170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</row>
    <row r="300" ht="14.25" customHeight="1">
      <c r="A300" s="171"/>
      <c r="B300" s="282"/>
      <c r="C300" s="171"/>
      <c r="D300" s="78"/>
      <c r="E300" s="78"/>
      <c r="F300" s="171"/>
      <c r="G300" s="173"/>
      <c r="H300" s="170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</row>
    <row r="301" ht="14.25" customHeight="1">
      <c r="A301" s="171"/>
      <c r="B301" s="282"/>
      <c r="C301" s="171"/>
      <c r="D301" s="78"/>
      <c r="E301" s="78"/>
      <c r="F301" s="171"/>
      <c r="G301" s="173"/>
      <c r="H301" s="170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</row>
    <row r="302" ht="14.25" customHeight="1">
      <c r="A302" s="171"/>
      <c r="B302" s="282"/>
      <c r="C302" s="171"/>
      <c r="D302" s="78"/>
      <c r="E302" s="78"/>
      <c r="F302" s="171"/>
      <c r="G302" s="173"/>
      <c r="H302" s="170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</row>
    <row r="303" ht="14.25" customHeight="1">
      <c r="A303" s="171"/>
      <c r="B303" s="282"/>
      <c r="C303" s="171"/>
      <c r="D303" s="78"/>
      <c r="E303" s="78"/>
      <c r="F303" s="171"/>
      <c r="G303" s="173"/>
      <c r="H303" s="170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</row>
    <row r="304" ht="14.25" customHeight="1">
      <c r="A304" s="171"/>
      <c r="B304" s="282"/>
      <c r="C304" s="171"/>
      <c r="D304" s="78"/>
      <c r="E304" s="78"/>
      <c r="F304" s="171"/>
      <c r="G304" s="173"/>
      <c r="H304" s="170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</row>
    <row r="305" ht="14.25" customHeight="1">
      <c r="A305" s="171"/>
      <c r="B305" s="282"/>
      <c r="C305" s="171"/>
      <c r="D305" s="78"/>
      <c r="E305" s="78"/>
      <c r="F305" s="171"/>
      <c r="G305" s="173"/>
      <c r="H305" s="170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</row>
    <row r="306" ht="14.25" customHeight="1">
      <c r="A306" s="171"/>
      <c r="B306" s="282"/>
      <c r="C306" s="171"/>
      <c r="D306" s="78"/>
      <c r="E306" s="78"/>
      <c r="F306" s="171"/>
      <c r="G306" s="173"/>
      <c r="H306" s="170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</row>
    <row r="307" ht="14.25" customHeight="1">
      <c r="A307" s="171"/>
      <c r="B307" s="282"/>
      <c r="C307" s="171"/>
      <c r="D307" s="78"/>
      <c r="E307" s="78"/>
      <c r="F307" s="171"/>
      <c r="G307" s="173"/>
      <c r="H307" s="170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</row>
    <row r="308" ht="14.25" customHeight="1">
      <c r="A308" s="171"/>
      <c r="B308" s="282"/>
      <c r="C308" s="171"/>
      <c r="D308" s="78"/>
      <c r="E308" s="78"/>
      <c r="F308" s="171"/>
      <c r="G308" s="173"/>
      <c r="H308" s="170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</row>
    <row r="309" ht="14.25" customHeight="1">
      <c r="A309" s="171"/>
      <c r="B309" s="282"/>
      <c r="C309" s="171"/>
      <c r="D309" s="78"/>
      <c r="E309" s="78"/>
      <c r="F309" s="171"/>
      <c r="G309" s="173"/>
      <c r="H309" s="170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</row>
    <row r="310" ht="14.25" customHeight="1">
      <c r="A310" s="171"/>
      <c r="B310" s="282"/>
      <c r="C310" s="171"/>
      <c r="D310" s="78"/>
      <c r="E310" s="78"/>
      <c r="F310" s="171"/>
      <c r="G310" s="173"/>
      <c r="H310" s="170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</row>
    <row r="311" ht="14.25" customHeight="1">
      <c r="A311" s="171"/>
      <c r="B311" s="282"/>
      <c r="C311" s="171"/>
      <c r="D311" s="78"/>
      <c r="E311" s="78"/>
      <c r="F311" s="171"/>
      <c r="G311" s="173"/>
      <c r="H311" s="170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</row>
    <row r="312" ht="14.25" customHeight="1">
      <c r="A312" s="171"/>
      <c r="B312" s="282"/>
      <c r="C312" s="171"/>
      <c r="D312" s="78"/>
      <c r="E312" s="78"/>
      <c r="F312" s="171"/>
      <c r="G312" s="173"/>
      <c r="H312" s="170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</row>
    <row r="313" ht="14.25" customHeight="1">
      <c r="A313" s="171"/>
      <c r="B313" s="282"/>
      <c r="C313" s="171"/>
      <c r="D313" s="78"/>
      <c r="E313" s="78"/>
      <c r="F313" s="171"/>
      <c r="G313" s="173"/>
      <c r="H313" s="170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</row>
    <row r="314" ht="14.25" customHeight="1">
      <c r="A314" s="171"/>
      <c r="B314" s="282"/>
      <c r="C314" s="171"/>
      <c r="D314" s="78"/>
      <c r="E314" s="78"/>
      <c r="F314" s="171"/>
      <c r="G314" s="173"/>
      <c r="H314" s="170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</row>
    <row r="315" ht="14.25" customHeight="1">
      <c r="A315" s="171"/>
      <c r="B315" s="282"/>
      <c r="C315" s="171"/>
      <c r="D315" s="78"/>
      <c r="E315" s="78"/>
      <c r="F315" s="171"/>
      <c r="G315" s="173"/>
      <c r="H315" s="170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</row>
    <row r="316" ht="14.25" customHeight="1">
      <c r="A316" s="171"/>
      <c r="B316" s="282"/>
      <c r="C316" s="171"/>
      <c r="D316" s="78"/>
      <c r="E316" s="78"/>
      <c r="F316" s="171"/>
      <c r="G316" s="173"/>
      <c r="H316" s="170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</row>
    <row r="317" ht="14.25" customHeight="1">
      <c r="A317" s="171"/>
      <c r="B317" s="282"/>
      <c r="C317" s="171"/>
      <c r="D317" s="78"/>
      <c r="E317" s="78"/>
      <c r="F317" s="171"/>
      <c r="G317" s="173"/>
      <c r="H317" s="170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</row>
    <row r="318" ht="14.25" customHeight="1">
      <c r="A318" s="171"/>
      <c r="B318" s="282"/>
      <c r="C318" s="171"/>
      <c r="D318" s="78"/>
      <c r="E318" s="78"/>
      <c r="F318" s="171"/>
      <c r="G318" s="173"/>
      <c r="H318" s="170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</row>
    <row r="319" ht="14.25" customHeight="1">
      <c r="A319" s="171"/>
      <c r="B319" s="282"/>
      <c r="C319" s="171"/>
      <c r="D319" s="78"/>
      <c r="E319" s="78"/>
      <c r="F319" s="171"/>
      <c r="G319" s="173"/>
      <c r="H319" s="170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</row>
    <row r="320" ht="14.25" customHeight="1">
      <c r="A320" s="171"/>
      <c r="B320" s="282"/>
      <c r="C320" s="171"/>
      <c r="D320" s="78"/>
      <c r="E320" s="78"/>
      <c r="F320" s="171"/>
      <c r="G320" s="173"/>
      <c r="H320" s="170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</row>
    <row r="321" ht="14.25" customHeight="1">
      <c r="A321" s="171"/>
      <c r="B321" s="282"/>
      <c r="C321" s="171"/>
      <c r="D321" s="78"/>
      <c r="E321" s="78"/>
      <c r="F321" s="171"/>
      <c r="G321" s="173"/>
      <c r="H321" s="170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</row>
    <row r="322" ht="14.25" customHeight="1">
      <c r="A322" s="171"/>
      <c r="B322" s="282"/>
      <c r="C322" s="171"/>
      <c r="D322" s="78"/>
      <c r="E322" s="78"/>
      <c r="F322" s="171"/>
      <c r="G322" s="173"/>
      <c r="H322" s="170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</row>
    <row r="323" ht="14.25" customHeight="1">
      <c r="A323" s="171"/>
      <c r="B323" s="282"/>
      <c r="C323" s="171"/>
      <c r="D323" s="78"/>
      <c r="E323" s="78"/>
      <c r="F323" s="171"/>
      <c r="G323" s="173"/>
      <c r="H323" s="170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</row>
    <row r="324" ht="14.25" customHeight="1">
      <c r="A324" s="171"/>
      <c r="B324" s="282"/>
      <c r="C324" s="171"/>
      <c r="D324" s="78"/>
      <c r="E324" s="78"/>
      <c r="F324" s="171"/>
      <c r="G324" s="173"/>
      <c r="H324" s="170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</row>
    <row r="325" ht="14.25" customHeight="1">
      <c r="A325" s="171"/>
      <c r="B325" s="282"/>
      <c r="C325" s="171"/>
      <c r="D325" s="78"/>
      <c r="E325" s="78"/>
      <c r="F325" s="171"/>
      <c r="G325" s="173"/>
      <c r="H325" s="170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</row>
    <row r="326" ht="14.25" customHeight="1">
      <c r="A326" s="171"/>
      <c r="B326" s="282"/>
      <c r="C326" s="171"/>
      <c r="D326" s="78"/>
      <c r="E326" s="78"/>
      <c r="F326" s="171"/>
      <c r="G326" s="173"/>
      <c r="H326" s="170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</row>
    <row r="327" ht="14.25" customHeight="1">
      <c r="A327" s="171"/>
      <c r="B327" s="282"/>
      <c r="C327" s="171"/>
      <c r="D327" s="78"/>
      <c r="E327" s="78"/>
      <c r="F327" s="171"/>
      <c r="G327" s="173"/>
      <c r="H327" s="170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</row>
    <row r="328" ht="14.25" customHeight="1">
      <c r="A328" s="171"/>
      <c r="B328" s="282"/>
      <c r="C328" s="171"/>
      <c r="D328" s="78"/>
      <c r="E328" s="78"/>
      <c r="F328" s="171"/>
      <c r="G328" s="173"/>
      <c r="H328" s="170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</row>
    <row r="329" ht="14.25" customHeight="1">
      <c r="A329" s="171"/>
      <c r="B329" s="282"/>
      <c r="C329" s="171"/>
      <c r="D329" s="78"/>
      <c r="E329" s="78"/>
      <c r="F329" s="171"/>
      <c r="G329" s="173"/>
      <c r="H329" s="170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</row>
    <row r="330" ht="14.25" customHeight="1">
      <c r="A330" s="171"/>
      <c r="B330" s="282"/>
      <c r="C330" s="171"/>
      <c r="D330" s="78"/>
      <c r="E330" s="78"/>
      <c r="F330" s="171"/>
      <c r="G330" s="173"/>
      <c r="H330" s="170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</row>
    <row r="331" ht="14.25" customHeight="1">
      <c r="A331" s="171"/>
      <c r="B331" s="282"/>
      <c r="C331" s="171"/>
      <c r="D331" s="78"/>
      <c r="E331" s="78"/>
      <c r="F331" s="171"/>
      <c r="G331" s="173"/>
      <c r="H331" s="170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</row>
    <row r="332" ht="14.25" customHeight="1">
      <c r="A332" s="171"/>
      <c r="B332" s="282"/>
      <c r="C332" s="171"/>
      <c r="D332" s="78"/>
      <c r="E332" s="78"/>
      <c r="F332" s="171"/>
      <c r="G332" s="173"/>
      <c r="H332" s="170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</row>
    <row r="333" ht="14.25" customHeight="1">
      <c r="A333" s="171"/>
      <c r="B333" s="282"/>
      <c r="C333" s="171"/>
      <c r="D333" s="78"/>
      <c r="E333" s="78"/>
      <c r="F333" s="171"/>
      <c r="G333" s="173"/>
      <c r="H333" s="170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</row>
    <row r="334" ht="14.25" customHeight="1">
      <c r="A334" s="171"/>
      <c r="B334" s="282"/>
      <c r="C334" s="171"/>
      <c r="D334" s="78"/>
      <c r="E334" s="78"/>
      <c r="F334" s="171"/>
      <c r="G334" s="173"/>
      <c r="H334" s="170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</row>
    <row r="335" ht="14.25" customHeight="1">
      <c r="A335" s="171"/>
      <c r="B335" s="282"/>
      <c r="C335" s="171"/>
      <c r="D335" s="78"/>
      <c r="E335" s="78"/>
      <c r="F335" s="171"/>
      <c r="G335" s="173"/>
      <c r="H335" s="170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</row>
    <row r="336" ht="14.25" customHeight="1">
      <c r="A336" s="171"/>
      <c r="B336" s="282"/>
      <c r="C336" s="171"/>
      <c r="D336" s="78"/>
      <c r="E336" s="78"/>
      <c r="F336" s="171"/>
      <c r="G336" s="173"/>
      <c r="H336" s="170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</row>
    <row r="337" ht="14.25" customHeight="1">
      <c r="A337" s="171"/>
      <c r="B337" s="282"/>
      <c r="C337" s="171"/>
      <c r="D337" s="78"/>
      <c r="E337" s="78"/>
      <c r="F337" s="171"/>
      <c r="G337" s="173"/>
      <c r="H337" s="170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</row>
    <row r="338" ht="14.25" customHeight="1">
      <c r="A338" s="171"/>
      <c r="B338" s="282"/>
      <c r="C338" s="171"/>
      <c r="D338" s="78"/>
      <c r="E338" s="78"/>
      <c r="F338" s="171"/>
      <c r="G338" s="173"/>
      <c r="H338" s="170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</row>
    <row r="339" ht="14.25" customHeight="1">
      <c r="A339" s="171"/>
      <c r="B339" s="282"/>
      <c r="C339" s="171"/>
      <c r="D339" s="78"/>
      <c r="E339" s="78"/>
      <c r="F339" s="171"/>
      <c r="G339" s="173"/>
      <c r="H339" s="170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</row>
    <row r="340" ht="14.25" customHeight="1">
      <c r="A340" s="171"/>
      <c r="B340" s="282"/>
      <c r="C340" s="171"/>
      <c r="D340" s="78"/>
      <c r="E340" s="78"/>
      <c r="F340" s="171"/>
      <c r="G340" s="173"/>
      <c r="H340" s="170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</row>
    <row r="341" ht="14.25" customHeight="1">
      <c r="A341" s="171"/>
      <c r="B341" s="282"/>
      <c r="C341" s="171"/>
      <c r="D341" s="78"/>
      <c r="E341" s="78"/>
      <c r="F341" s="171"/>
      <c r="G341" s="173"/>
      <c r="H341" s="170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</row>
    <row r="342" ht="14.25" customHeight="1">
      <c r="A342" s="171"/>
      <c r="B342" s="282"/>
      <c r="C342" s="171"/>
      <c r="D342" s="78"/>
      <c r="E342" s="78"/>
      <c r="F342" s="171"/>
      <c r="G342" s="173"/>
      <c r="H342" s="170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</row>
    <row r="343" ht="14.25" customHeight="1">
      <c r="A343" s="171"/>
      <c r="B343" s="282"/>
      <c r="C343" s="171"/>
      <c r="D343" s="78"/>
      <c r="E343" s="78"/>
      <c r="F343" s="171"/>
      <c r="G343" s="173"/>
      <c r="H343" s="170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</row>
    <row r="344" ht="14.25" customHeight="1">
      <c r="A344" s="171"/>
      <c r="B344" s="282"/>
      <c r="C344" s="171"/>
      <c r="D344" s="78"/>
      <c r="E344" s="78"/>
      <c r="F344" s="171"/>
      <c r="G344" s="173"/>
      <c r="H344" s="170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</row>
    <row r="345" ht="14.25" customHeight="1">
      <c r="A345" s="171"/>
      <c r="B345" s="282"/>
      <c r="C345" s="171"/>
      <c r="D345" s="78"/>
      <c r="E345" s="78"/>
      <c r="F345" s="171"/>
      <c r="G345" s="173"/>
      <c r="H345" s="170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</row>
    <row r="346" ht="14.25" customHeight="1">
      <c r="A346" s="171"/>
      <c r="B346" s="282"/>
      <c r="C346" s="171"/>
      <c r="D346" s="78"/>
      <c r="E346" s="78"/>
      <c r="F346" s="171"/>
      <c r="G346" s="173"/>
      <c r="H346" s="170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</row>
    <row r="347" ht="14.25" customHeight="1">
      <c r="A347" s="171"/>
      <c r="B347" s="282"/>
      <c r="C347" s="171"/>
      <c r="D347" s="78"/>
      <c r="E347" s="78"/>
      <c r="F347" s="171"/>
      <c r="G347" s="173"/>
      <c r="H347" s="170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</row>
    <row r="348" ht="14.25" customHeight="1">
      <c r="A348" s="171"/>
      <c r="B348" s="282"/>
      <c r="C348" s="171"/>
      <c r="D348" s="78"/>
      <c r="E348" s="78"/>
      <c r="F348" s="171"/>
      <c r="G348" s="173"/>
      <c r="H348" s="170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</row>
    <row r="349" ht="14.25" customHeight="1">
      <c r="A349" s="171"/>
      <c r="B349" s="282"/>
      <c r="C349" s="171"/>
      <c r="D349" s="78"/>
      <c r="E349" s="78"/>
      <c r="F349" s="171"/>
      <c r="G349" s="173"/>
      <c r="H349" s="170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</row>
    <row r="350" ht="14.25" customHeight="1">
      <c r="A350" s="171"/>
      <c r="B350" s="282"/>
      <c r="C350" s="171"/>
      <c r="D350" s="78"/>
      <c r="E350" s="78"/>
      <c r="F350" s="171"/>
      <c r="G350" s="173"/>
      <c r="H350" s="170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</row>
    <row r="351" ht="14.25" customHeight="1">
      <c r="A351" s="171"/>
      <c r="B351" s="282"/>
      <c r="C351" s="171"/>
      <c r="D351" s="78"/>
      <c r="E351" s="78"/>
      <c r="F351" s="171"/>
      <c r="G351" s="173"/>
      <c r="H351" s="170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</row>
    <row r="352" ht="14.25" customHeight="1">
      <c r="A352" s="171"/>
      <c r="B352" s="282"/>
      <c r="C352" s="171"/>
      <c r="D352" s="78"/>
      <c r="E352" s="78"/>
      <c r="F352" s="171"/>
      <c r="G352" s="173"/>
      <c r="H352" s="170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</row>
    <row r="353" ht="14.25" customHeight="1">
      <c r="A353" s="171"/>
      <c r="B353" s="282"/>
      <c r="C353" s="171"/>
      <c r="D353" s="78"/>
      <c r="E353" s="78"/>
      <c r="F353" s="171"/>
      <c r="G353" s="173"/>
      <c r="H353" s="170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</row>
    <row r="354" ht="14.25" customHeight="1">
      <c r="A354" s="171"/>
      <c r="B354" s="282"/>
      <c r="C354" s="171"/>
      <c r="D354" s="78"/>
      <c r="E354" s="78"/>
      <c r="F354" s="171"/>
      <c r="G354" s="173"/>
      <c r="H354" s="170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</row>
    <row r="355" ht="14.25" customHeight="1">
      <c r="A355" s="171"/>
      <c r="B355" s="282"/>
      <c r="C355" s="171"/>
      <c r="D355" s="78"/>
      <c r="E355" s="78"/>
      <c r="F355" s="171"/>
      <c r="G355" s="173"/>
      <c r="H355" s="170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</row>
    <row r="356" ht="14.25" customHeight="1">
      <c r="A356" s="171"/>
      <c r="B356" s="282"/>
      <c r="C356" s="171"/>
      <c r="D356" s="78"/>
      <c r="E356" s="78"/>
      <c r="F356" s="171"/>
      <c r="G356" s="173"/>
      <c r="H356" s="170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</row>
    <row r="357" ht="14.25" customHeight="1">
      <c r="A357" s="171"/>
      <c r="B357" s="282"/>
      <c r="C357" s="171"/>
      <c r="D357" s="78"/>
      <c r="E357" s="78"/>
      <c r="F357" s="171"/>
      <c r="G357" s="173"/>
      <c r="H357" s="170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</row>
    <row r="358" ht="14.25" customHeight="1">
      <c r="A358" s="171"/>
      <c r="B358" s="282"/>
      <c r="C358" s="171"/>
      <c r="D358" s="78"/>
      <c r="E358" s="78"/>
      <c r="F358" s="171"/>
      <c r="G358" s="173"/>
      <c r="H358" s="170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</row>
    <row r="359" ht="14.25" customHeight="1">
      <c r="A359" s="171"/>
      <c r="B359" s="282"/>
      <c r="C359" s="171"/>
      <c r="D359" s="78"/>
      <c r="E359" s="78"/>
      <c r="F359" s="171"/>
      <c r="G359" s="173"/>
      <c r="H359" s="170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</row>
    <row r="360" ht="14.25" customHeight="1">
      <c r="A360" s="171"/>
      <c r="B360" s="282"/>
      <c r="C360" s="171"/>
      <c r="D360" s="78"/>
      <c r="E360" s="78"/>
      <c r="F360" s="171"/>
      <c r="G360" s="173"/>
      <c r="H360" s="170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</row>
    <row r="361" ht="14.25" customHeight="1">
      <c r="A361" s="171"/>
      <c r="B361" s="282"/>
      <c r="C361" s="171"/>
      <c r="D361" s="78"/>
      <c r="E361" s="78"/>
      <c r="F361" s="171"/>
      <c r="G361" s="173"/>
      <c r="H361" s="170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</row>
    <row r="362" ht="14.25" customHeight="1">
      <c r="A362" s="171"/>
      <c r="B362" s="282"/>
      <c r="C362" s="171"/>
      <c r="D362" s="78"/>
      <c r="E362" s="78"/>
      <c r="F362" s="171"/>
      <c r="G362" s="173"/>
      <c r="H362" s="170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</row>
    <row r="363" ht="14.25" customHeight="1">
      <c r="A363" s="171"/>
      <c r="B363" s="282"/>
      <c r="C363" s="171"/>
      <c r="D363" s="78"/>
      <c r="E363" s="78"/>
      <c r="F363" s="171"/>
      <c r="G363" s="173"/>
      <c r="H363" s="170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</row>
    <row r="364" ht="14.25" customHeight="1">
      <c r="A364" s="171"/>
      <c r="B364" s="282"/>
      <c r="C364" s="171"/>
      <c r="D364" s="78"/>
      <c r="E364" s="78"/>
      <c r="F364" s="171"/>
      <c r="G364" s="173"/>
      <c r="H364" s="170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</row>
    <row r="365" ht="14.25" customHeight="1">
      <c r="A365" s="171"/>
      <c r="B365" s="282"/>
      <c r="C365" s="171"/>
      <c r="D365" s="78"/>
      <c r="E365" s="78"/>
      <c r="F365" s="171"/>
      <c r="G365" s="173"/>
      <c r="H365" s="170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</row>
    <row r="366" ht="14.25" customHeight="1">
      <c r="A366" s="171"/>
      <c r="B366" s="282"/>
      <c r="C366" s="171"/>
      <c r="D366" s="78"/>
      <c r="E366" s="78"/>
      <c r="F366" s="171"/>
      <c r="G366" s="173"/>
      <c r="H366" s="170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</row>
    <row r="367" ht="14.25" customHeight="1">
      <c r="A367" s="171"/>
      <c r="B367" s="282"/>
      <c r="C367" s="171"/>
      <c r="D367" s="78"/>
      <c r="E367" s="78"/>
      <c r="F367" s="171"/>
      <c r="G367" s="173"/>
      <c r="H367" s="170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</row>
    <row r="368" ht="14.25" customHeight="1">
      <c r="A368" s="171"/>
      <c r="B368" s="282"/>
      <c r="C368" s="171"/>
      <c r="D368" s="78"/>
      <c r="E368" s="78"/>
      <c r="F368" s="171"/>
      <c r="G368" s="173"/>
      <c r="H368" s="170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</row>
    <row r="369" ht="14.25" customHeight="1">
      <c r="A369" s="171"/>
      <c r="B369" s="282"/>
      <c r="C369" s="171"/>
      <c r="D369" s="78"/>
      <c r="E369" s="78"/>
      <c r="F369" s="171"/>
      <c r="G369" s="173"/>
      <c r="H369" s="170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</row>
    <row r="370" ht="14.25" customHeight="1">
      <c r="A370" s="171"/>
      <c r="B370" s="282"/>
      <c r="C370" s="171"/>
      <c r="D370" s="78"/>
      <c r="E370" s="78"/>
      <c r="F370" s="171"/>
      <c r="G370" s="173"/>
      <c r="H370" s="170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</row>
    <row r="371" ht="14.25" customHeight="1">
      <c r="A371" s="171"/>
      <c r="B371" s="282"/>
      <c r="C371" s="171"/>
      <c r="D371" s="78"/>
      <c r="E371" s="78"/>
      <c r="F371" s="171"/>
      <c r="G371" s="173"/>
      <c r="H371" s="170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</row>
    <row r="372" ht="14.25" customHeight="1">
      <c r="A372" s="171"/>
      <c r="B372" s="282"/>
      <c r="C372" s="171"/>
      <c r="D372" s="78"/>
      <c r="E372" s="78"/>
      <c r="F372" s="171"/>
      <c r="G372" s="173"/>
      <c r="H372" s="170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</row>
    <row r="373" ht="14.25" customHeight="1">
      <c r="A373" s="171"/>
      <c r="B373" s="282"/>
      <c r="C373" s="171"/>
      <c r="D373" s="78"/>
      <c r="E373" s="78"/>
      <c r="F373" s="171"/>
      <c r="G373" s="173"/>
      <c r="H373" s="170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</row>
    <row r="374" ht="14.25" customHeight="1">
      <c r="A374" s="171"/>
      <c r="B374" s="282"/>
      <c r="C374" s="171"/>
      <c r="D374" s="78"/>
      <c r="E374" s="78"/>
      <c r="F374" s="171"/>
      <c r="G374" s="173"/>
      <c r="H374" s="170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</row>
    <row r="375" ht="14.25" customHeight="1">
      <c r="A375" s="171"/>
      <c r="B375" s="282"/>
      <c r="C375" s="171"/>
      <c r="D375" s="78"/>
      <c r="E375" s="78"/>
      <c r="F375" s="171"/>
      <c r="G375" s="173"/>
      <c r="H375" s="170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</row>
    <row r="376" ht="14.25" customHeight="1">
      <c r="A376" s="171"/>
      <c r="B376" s="282"/>
      <c r="C376" s="171"/>
      <c r="D376" s="78"/>
      <c r="E376" s="78"/>
      <c r="F376" s="171"/>
      <c r="G376" s="173"/>
      <c r="H376" s="170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</row>
    <row r="377" ht="14.25" customHeight="1">
      <c r="A377" s="171"/>
      <c r="B377" s="282"/>
      <c r="C377" s="171"/>
      <c r="D377" s="78"/>
      <c r="E377" s="78"/>
      <c r="F377" s="171"/>
      <c r="G377" s="173"/>
      <c r="H377" s="170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</row>
    <row r="378" ht="14.25" customHeight="1">
      <c r="A378" s="171"/>
      <c r="B378" s="282"/>
      <c r="C378" s="171"/>
      <c r="D378" s="78"/>
      <c r="E378" s="78"/>
      <c r="F378" s="171"/>
      <c r="G378" s="173"/>
      <c r="H378" s="170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</row>
    <row r="379" ht="14.25" customHeight="1">
      <c r="A379" s="171"/>
      <c r="B379" s="282"/>
      <c r="C379" s="171"/>
      <c r="D379" s="78"/>
      <c r="E379" s="78"/>
      <c r="F379" s="171"/>
      <c r="G379" s="173"/>
      <c r="H379" s="170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</row>
    <row r="380" ht="14.25" customHeight="1">
      <c r="A380" s="171"/>
      <c r="B380" s="282"/>
      <c r="C380" s="171"/>
      <c r="D380" s="78"/>
      <c r="E380" s="78"/>
      <c r="F380" s="171"/>
      <c r="G380" s="173"/>
      <c r="H380" s="170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</row>
    <row r="381" ht="14.25" customHeight="1">
      <c r="A381" s="171"/>
      <c r="B381" s="282"/>
      <c r="C381" s="171"/>
      <c r="D381" s="78"/>
      <c r="E381" s="78"/>
      <c r="F381" s="171"/>
      <c r="G381" s="173"/>
      <c r="H381" s="170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</row>
    <row r="382" ht="14.25" customHeight="1">
      <c r="A382" s="171"/>
      <c r="B382" s="282"/>
      <c r="C382" s="171"/>
      <c r="D382" s="78"/>
      <c r="E382" s="78"/>
      <c r="F382" s="171"/>
      <c r="G382" s="173"/>
      <c r="H382" s="170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</row>
    <row r="383" ht="14.25" customHeight="1">
      <c r="A383" s="171"/>
      <c r="B383" s="282"/>
      <c r="C383" s="171"/>
      <c r="D383" s="78"/>
      <c r="E383" s="78"/>
      <c r="F383" s="171"/>
      <c r="G383" s="173"/>
      <c r="H383" s="170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</row>
    <row r="384" ht="14.25" customHeight="1">
      <c r="A384" s="171"/>
      <c r="B384" s="282"/>
      <c r="C384" s="171"/>
      <c r="D384" s="78"/>
      <c r="E384" s="78"/>
      <c r="F384" s="171"/>
      <c r="G384" s="173"/>
      <c r="H384" s="170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</row>
    <row r="385" ht="14.25" customHeight="1">
      <c r="A385" s="171"/>
      <c r="B385" s="282"/>
      <c r="C385" s="171"/>
      <c r="D385" s="78"/>
      <c r="E385" s="78"/>
      <c r="F385" s="171"/>
      <c r="G385" s="173"/>
      <c r="H385" s="170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</row>
    <row r="386" ht="14.25" customHeight="1">
      <c r="A386" s="171"/>
      <c r="B386" s="282"/>
      <c r="C386" s="171"/>
      <c r="D386" s="78"/>
      <c r="E386" s="78"/>
      <c r="F386" s="171"/>
      <c r="G386" s="173"/>
      <c r="H386" s="170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</row>
    <row r="387" ht="14.25" customHeight="1">
      <c r="A387" s="171"/>
      <c r="B387" s="282"/>
      <c r="C387" s="171"/>
      <c r="D387" s="78"/>
      <c r="E387" s="78"/>
      <c r="F387" s="171"/>
      <c r="G387" s="173"/>
      <c r="H387" s="170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</row>
    <row r="388" ht="14.25" customHeight="1">
      <c r="A388" s="171"/>
      <c r="B388" s="282"/>
      <c r="C388" s="171"/>
      <c r="D388" s="78"/>
      <c r="E388" s="78"/>
      <c r="F388" s="171"/>
      <c r="G388" s="173"/>
      <c r="H388" s="170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</row>
    <row r="389" ht="14.25" customHeight="1">
      <c r="A389" s="171"/>
      <c r="B389" s="282"/>
      <c r="C389" s="171"/>
      <c r="D389" s="78"/>
      <c r="E389" s="78"/>
      <c r="F389" s="171"/>
      <c r="G389" s="173"/>
      <c r="H389" s="170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</row>
    <row r="390" ht="14.25" customHeight="1">
      <c r="A390" s="171"/>
      <c r="B390" s="282"/>
      <c r="C390" s="171"/>
      <c r="D390" s="78"/>
      <c r="E390" s="78"/>
      <c r="F390" s="171"/>
      <c r="G390" s="173"/>
      <c r="H390" s="170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</row>
    <row r="391" ht="14.25" customHeight="1">
      <c r="A391" s="171"/>
      <c r="B391" s="282"/>
      <c r="C391" s="171"/>
      <c r="D391" s="78"/>
      <c r="E391" s="78"/>
      <c r="F391" s="171"/>
      <c r="G391" s="173"/>
      <c r="H391" s="170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</row>
    <row r="392" ht="14.25" customHeight="1">
      <c r="A392" s="171"/>
      <c r="B392" s="282"/>
      <c r="C392" s="171"/>
      <c r="D392" s="78"/>
      <c r="E392" s="78"/>
      <c r="F392" s="171"/>
      <c r="G392" s="173"/>
      <c r="H392" s="170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</row>
    <row r="393" ht="14.25" customHeight="1">
      <c r="A393" s="171"/>
      <c r="B393" s="282"/>
      <c r="C393" s="171"/>
      <c r="D393" s="78"/>
      <c r="E393" s="78"/>
      <c r="F393" s="171"/>
      <c r="G393" s="173"/>
      <c r="H393" s="170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</row>
    <row r="394" ht="14.25" customHeight="1">
      <c r="A394" s="171"/>
      <c r="B394" s="282"/>
      <c r="C394" s="171"/>
      <c r="D394" s="78"/>
      <c r="E394" s="78"/>
      <c r="F394" s="171"/>
      <c r="G394" s="173"/>
      <c r="H394" s="170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</row>
    <row r="395" ht="14.25" customHeight="1">
      <c r="A395" s="171"/>
      <c r="B395" s="282"/>
      <c r="C395" s="171"/>
      <c r="D395" s="78"/>
      <c r="E395" s="78"/>
      <c r="F395" s="171"/>
      <c r="G395" s="173"/>
      <c r="H395" s="170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</row>
    <row r="396" ht="14.25" customHeight="1">
      <c r="A396" s="171"/>
      <c r="B396" s="282"/>
      <c r="C396" s="171"/>
      <c r="D396" s="78"/>
      <c r="E396" s="78"/>
      <c r="F396" s="171"/>
      <c r="G396" s="173"/>
      <c r="H396" s="170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</row>
    <row r="397" ht="14.25" customHeight="1">
      <c r="A397" s="171"/>
      <c r="B397" s="282"/>
      <c r="C397" s="171"/>
      <c r="D397" s="78"/>
      <c r="E397" s="78"/>
      <c r="F397" s="171"/>
      <c r="G397" s="173"/>
      <c r="H397" s="170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</row>
    <row r="398" ht="14.25" customHeight="1">
      <c r="A398" s="171"/>
      <c r="B398" s="282"/>
      <c r="C398" s="171"/>
      <c r="D398" s="78"/>
      <c r="E398" s="78"/>
      <c r="F398" s="171"/>
      <c r="G398" s="173"/>
      <c r="H398" s="170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</row>
    <row r="399" ht="14.25" customHeight="1">
      <c r="A399" s="171"/>
      <c r="B399" s="282"/>
      <c r="C399" s="171"/>
      <c r="D399" s="78"/>
      <c r="E399" s="78"/>
      <c r="F399" s="171"/>
      <c r="G399" s="173"/>
      <c r="H399" s="170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</row>
    <row r="400" ht="14.25" customHeight="1">
      <c r="A400" s="171"/>
      <c r="B400" s="282"/>
      <c r="C400" s="171"/>
      <c r="D400" s="78"/>
      <c r="E400" s="78"/>
      <c r="F400" s="171"/>
      <c r="G400" s="173"/>
      <c r="H400" s="170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</row>
    <row r="401" ht="14.25" customHeight="1">
      <c r="A401" s="171"/>
      <c r="B401" s="282"/>
      <c r="C401" s="171"/>
      <c r="D401" s="78"/>
      <c r="E401" s="78"/>
      <c r="F401" s="171"/>
      <c r="G401" s="173"/>
      <c r="H401" s="170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</row>
    <row r="402" ht="14.25" customHeight="1">
      <c r="A402" s="171"/>
      <c r="B402" s="282"/>
      <c r="C402" s="171"/>
      <c r="D402" s="78"/>
      <c r="E402" s="78"/>
      <c r="F402" s="171"/>
      <c r="G402" s="173"/>
      <c r="H402" s="170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</row>
    <row r="403" ht="14.25" customHeight="1">
      <c r="A403" s="171"/>
      <c r="B403" s="282"/>
      <c r="C403" s="171"/>
      <c r="D403" s="78"/>
      <c r="E403" s="78"/>
      <c r="F403" s="171"/>
      <c r="G403" s="173"/>
      <c r="H403" s="170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</row>
    <row r="404" ht="14.25" customHeight="1">
      <c r="A404" s="171"/>
      <c r="B404" s="282"/>
      <c r="C404" s="171"/>
      <c r="D404" s="78"/>
      <c r="E404" s="78"/>
      <c r="F404" s="171"/>
      <c r="G404" s="173"/>
      <c r="H404" s="170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</row>
    <row r="405" ht="14.25" customHeight="1">
      <c r="A405" s="171"/>
      <c r="B405" s="282"/>
      <c r="C405" s="171"/>
      <c r="D405" s="78"/>
      <c r="E405" s="78"/>
      <c r="F405" s="171"/>
      <c r="G405" s="173"/>
      <c r="H405" s="170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</row>
    <row r="406" ht="14.25" customHeight="1">
      <c r="A406" s="171"/>
      <c r="B406" s="282"/>
      <c r="C406" s="171"/>
      <c r="D406" s="78"/>
      <c r="E406" s="78"/>
      <c r="F406" s="171"/>
      <c r="G406" s="173"/>
      <c r="H406" s="170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</row>
    <row r="407" ht="14.25" customHeight="1">
      <c r="A407" s="171"/>
      <c r="B407" s="282"/>
      <c r="C407" s="171"/>
      <c r="D407" s="78"/>
      <c r="E407" s="78"/>
      <c r="F407" s="171"/>
      <c r="G407" s="173"/>
      <c r="H407" s="170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</row>
    <row r="408" ht="14.25" customHeight="1">
      <c r="A408" s="171"/>
      <c r="B408" s="282"/>
      <c r="C408" s="171"/>
      <c r="D408" s="78"/>
      <c r="E408" s="78"/>
      <c r="F408" s="171"/>
      <c r="G408" s="173"/>
      <c r="H408" s="170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</row>
    <row r="409" ht="14.25" customHeight="1">
      <c r="A409" s="171"/>
      <c r="B409" s="282"/>
      <c r="C409" s="171"/>
      <c r="D409" s="78"/>
      <c r="E409" s="78"/>
      <c r="F409" s="171"/>
      <c r="G409" s="173"/>
      <c r="H409" s="170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</row>
    <row r="410" ht="14.25" customHeight="1">
      <c r="A410" s="171"/>
      <c r="B410" s="282"/>
      <c r="C410" s="171"/>
      <c r="D410" s="78"/>
      <c r="E410" s="78"/>
      <c r="F410" s="171"/>
      <c r="G410" s="173"/>
      <c r="H410" s="170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</row>
    <row r="411" ht="14.25" customHeight="1">
      <c r="A411" s="171"/>
      <c r="B411" s="282"/>
      <c r="C411" s="171"/>
      <c r="D411" s="78"/>
      <c r="E411" s="78"/>
      <c r="F411" s="171"/>
      <c r="G411" s="173"/>
      <c r="H411" s="170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</row>
    <row r="412" ht="14.25" customHeight="1">
      <c r="A412" s="171"/>
      <c r="B412" s="282"/>
      <c r="C412" s="171"/>
      <c r="D412" s="78"/>
      <c r="E412" s="78"/>
      <c r="F412" s="171"/>
      <c r="G412" s="173"/>
      <c r="H412" s="170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</row>
    <row r="413" ht="14.25" customHeight="1">
      <c r="A413" s="171"/>
      <c r="B413" s="282"/>
      <c r="C413" s="171"/>
      <c r="D413" s="78"/>
      <c r="E413" s="78"/>
      <c r="F413" s="171"/>
      <c r="G413" s="173"/>
      <c r="H413" s="170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</row>
    <row r="414" ht="14.25" customHeight="1">
      <c r="A414" s="171"/>
      <c r="B414" s="282"/>
      <c r="C414" s="171"/>
      <c r="D414" s="78"/>
      <c r="E414" s="78"/>
      <c r="F414" s="171"/>
      <c r="G414" s="173"/>
      <c r="H414" s="170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</row>
    <row r="415" ht="14.25" customHeight="1">
      <c r="A415" s="171"/>
      <c r="B415" s="282"/>
      <c r="C415" s="171"/>
      <c r="D415" s="78"/>
      <c r="E415" s="78"/>
      <c r="F415" s="171"/>
      <c r="G415" s="173"/>
      <c r="H415" s="170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</row>
    <row r="416" ht="14.25" customHeight="1">
      <c r="A416" s="171"/>
      <c r="B416" s="282"/>
      <c r="C416" s="171"/>
      <c r="D416" s="78"/>
      <c r="E416" s="78"/>
      <c r="F416" s="171"/>
      <c r="G416" s="173"/>
      <c r="H416" s="170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</row>
    <row r="417" ht="14.25" customHeight="1">
      <c r="A417" s="171"/>
      <c r="B417" s="282"/>
      <c r="C417" s="171"/>
      <c r="D417" s="78"/>
      <c r="E417" s="78"/>
      <c r="F417" s="171"/>
      <c r="G417" s="173"/>
      <c r="H417" s="170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</row>
    <row r="418" ht="14.25" customHeight="1">
      <c r="A418" s="171"/>
      <c r="B418" s="282"/>
      <c r="C418" s="171"/>
      <c r="D418" s="78"/>
      <c r="E418" s="78"/>
      <c r="F418" s="171"/>
      <c r="G418" s="173"/>
      <c r="H418" s="170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</row>
    <row r="419" ht="14.25" customHeight="1">
      <c r="A419" s="171"/>
      <c r="B419" s="282"/>
      <c r="C419" s="171"/>
      <c r="D419" s="78"/>
      <c r="E419" s="78"/>
      <c r="F419" s="171"/>
      <c r="G419" s="173"/>
      <c r="H419" s="170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</row>
    <row r="420" ht="14.25" customHeight="1">
      <c r="A420" s="171"/>
      <c r="B420" s="282"/>
      <c r="C420" s="171"/>
      <c r="D420" s="78"/>
      <c r="E420" s="78"/>
      <c r="F420" s="171"/>
      <c r="G420" s="173"/>
      <c r="H420" s="170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</row>
    <row r="421" ht="14.25" customHeight="1">
      <c r="A421" s="171"/>
      <c r="B421" s="282"/>
      <c r="C421" s="171"/>
      <c r="D421" s="78"/>
      <c r="E421" s="78"/>
      <c r="F421" s="171"/>
      <c r="G421" s="173"/>
      <c r="H421" s="170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</row>
    <row r="422" ht="14.25" customHeight="1">
      <c r="A422" s="171"/>
      <c r="B422" s="282"/>
      <c r="C422" s="171"/>
      <c r="D422" s="78"/>
      <c r="E422" s="78"/>
      <c r="F422" s="171"/>
      <c r="G422" s="173"/>
      <c r="H422" s="170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</row>
    <row r="423" ht="14.25" customHeight="1">
      <c r="A423" s="171"/>
      <c r="B423" s="282"/>
      <c r="C423" s="171"/>
      <c r="D423" s="78"/>
      <c r="E423" s="78"/>
      <c r="F423" s="171"/>
      <c r="G423" s="173"/>
      <c r="H423" s="170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</row>
    <row r="424" ht="14.25" customHeight="1">
      <c r="A424" s="171"/>
      <c r="B424" s="282"/>
      <c r="C424" s="171"/>
      <c r="D424" s="78"/>
      <c r="E424" s="78"/>
      <c r="F424" s="171"/>
      <c r="G424" s="173"/>
      <c r="H424" s="170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</row>
    <row r="425" ht="14.25" customHeight="1">
      <c r="A425" s="171"/>
      <c r="B425" s="282"/>
      <c r="C425" s="171"/>
      <c r="D425" s="78"/>
      <c r="E425" s="78"/>
      <c r="F425" s="171"/>
      <c r="G425" s="173"/>
      <c r="H425" s="170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</row>
    <row r="426" ht="14.25" customHeight="1">
      <c r="A426" s="171"/>
      <c r="B426" s="282"/>
      <c r="C426" s="171"/>
      <c r="D426" s="78"/>
      <c r="E426" s="78"/>
      <c r="F426" s="171"/>
      <c r="G426" s="173"/>
      <c r="H426" s="170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</row>
    <row r="427" ht="14.25" customHeight="1">
      <c r="A427" s="171"/>
      <c r="B427" s="282"/>
      <c r="C427" s="171"/>
      <c r="D427" s="78"/>
      <c r="E427" s="78"/>
      <c r="F427" s="171"/>
      <c r="G427" s="173"/>
      <c r="H427" s="170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</row>
    <row r="428" ht="14.25" customHeight="1">
      <c r="A428" s="171"/>
      <c r="B428" s="282"/>
      <c r="C428" s="171"/>
      <c r="D428" s="78"/>
      <c r="E428" s="78"/>
      <c r="F428" s="171"/>
      <c r="G428" s="173"/>
      <c r="H428" s="170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</row>
    <row r="429" ht="14.25" customHeight="1">
      <c r="A429" s="171"/>
      <c r="B429" s="282"/>
      <c r="C429" s="171"/>
      <c r="D429" s="78"/>
      <c r="E429" s="78"/>
      <c r="F429" s="171"/>
      <c r="G429" s="173"/>
      <c r="H429" s="170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</row>
    <row r="430" ht="14.25" customHeight="1">
      <c r="A430" s="171"/>
      <c r="B430" s="282"/>
      <c r="C430" s="171"/>
      <c r="D430" s="78"/>
      <c r="E430" s="78"/>
      <c r="F430" s="171"/>
      <c r="G430" s="173"/>
      <c r="H430" s="170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</row>
    <row r="431" ht="14.25" customHeight="1">
      <c r="A431" s="171"/>
      <c r="B431" s="282"/>
      <c r="C431" s="171"/>
      <c r="D431" s="78"/>
      <c r="E431" s="78"/>
      <c r="F431" s="171"/>
      <c r="G431" s="173"/>
      <c r="H431" s="170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</row>
    <row r="432" ht="14.25" customHeight="1">
      <c r="A432" s="171"/>
      <c r="B432" s="282"/>
      <c r="C432" s="171"/>
      <c r="D432" s="78"/>
      <c r="E432" s="78"/>
      <c r="F432" s="171"/>
      <c r="G432" s="173"/>
      <c r="H432" s="170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</row>
    <row r="433" ht="14.25" customHeight="1">
      <c r="A433" s="171"/>
      <c r="B433" s="282"/>
      <c r="C433" s="171"/>
      <c r="D433" s="78"/>
      <c r="E433" s="78"/>
      <c r="F433" s="171"/>
      <c r="G433" s="173"/>
      <c r="H433" s="170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</row>
    <row r="434" ht="14.25" customHeight="1">
      <c r="A434" s="171"/>
      <c r="B434" s="282"/>
      <c r="C434" s="171"/>
      <c r="D434" s="78"/>
      <c r="E434" s="78"/>
      <c r="F434" s="171"/>
      <c r="G434" s="173"/>
      <c r="H434" s="170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</row>
    <row r="435" ht="14.25" customHeight="1">
      <c r="A435" s="171"/>
      <c r="B435" s="282"/>
      <c r="C435" s="171"/>
      <c r="D435" s="78"/>
      <c r="E435" s="78"/>
      <c r="F435" s="171"/>
      <c r="G435" s="173"/>
      <c r="H435" s="170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</row>
    <row r="436" ht="14.25" customHeight="1">
      <c r="A436" s="171"/>
      <c r="B436" s="282"/>
      <c r="C436" s="171"/>
      <c r="D436" s="78"/>
      <c r="E436" s="78"/>
      <c r="F436" s="171"/>
      <c r="G436" s="173"/>
      <c r="H436" s="170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</row>
    <row r="437" ht="14.25" customHeight="1">
      <c r="A437" s="171"/>
      <c r="B437" s="282"/>
      <c r="C437" s="171"/>
      <c r="D437" s="78"/>
      <c r="E437" s="78"/>
      <c r="F437" s="171"/>
      <c r="G437" s="173"/>
      <c r="H437" s="170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</row>
    <row r="438" ht="14.25" customHeight="1">
      <c r="A438" s="171"/>
      <c r="B438" s="282"/>
      <c r="C438" s="171"/>
      <c r="D438" s="78"/>
      <c r="E438" s="78"/>
      <c r="F438" s="171"/>
      <c r="G438" s="173"/>
      <c r="H438" s="170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</row>
    <row r="439" ht="14.25" customHeight="1">
      <c r="A439" s="171"/>
      <c r="B439" s="282"/>
      <c r="C439" s="171"/>
      <c r="D439" s="78"/>
      <c r="E439" s="78"/>
      <c r="F439" s="171"/>
      <c r="G439" s="173"/>
      <c r="H439" s="170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</row>
    <row r="440" ht="14.25" customHeight="1">
      <c r="A440" s="171"/>
      <c r="B440" s="282"/>
      <c r="C440" s="171"/>
      <c r="D440" s="78"/>
      <c r="E440" s="78"/>
      <c r="F440" s="171"/>
      <c r="G440" s="173"/>
      <c r="H440" s="170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</row>
    <row r="441" ht="14.25" customHeight="1">
      <c r="A441" s="171"/>
      <c r="B441" s="282"/>
      <c r="C441" s="171"/>
      <c r="D441" s="78"/>
      <c r="E441" s="78"/>
      <c r="F441" s="171"/>
      <c r="G441" s="173"/>
      <c r="H441" s="170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</row>
    <row r="442" ht="14.25" customHeight="1">
      <c r="A442" s="171"/>
      <c r="B442" s="282"/>
      <c r="C442" s="171"/>
      <c r="D442" s="78"/>
      <c r="E442" s="78"/>
      <c r="F442" s="171"/>
      <c r="G442" s="173"/>
      <c r="H442" s="170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</row>
    <row r="443" ht="14.25" customHeight="1">
      <c r="A443" s="171"/>
      <c r="B443" s="282"/>
      <c r="C443" s="171"/>
      <c r="D443" s="78"/>
      <c r="E443" s="78"/>
      <c r="F443" s="171"/>
      <c r="G443" s="173"/>
      <c r="H443" s="170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</row>
    <row r="444" ht="14.25" customHeight="1">
      <c r="A444" s="171"/>
      <c r="B444" s="282"/>
      <c r="C444" s="171"/>
      <c r="D444" s="78"/>
      <c r="E444" s="78"/>
      <c r="F444" s="171"/>
      <c r="G444" s="173"/>
      <c r="H444" s="170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</row>
    <row r="445" ht="14.25" customHeight="1">
      <c r="A445" s="171"/>
      <c r="B445" s="282"/>
      <c r="C445" s="171"/>
      <c r="D445" s="78"/>
      <c r="E445" s="78"/>
      <c r="F445" s="171"/>
      <c r="G445" s="173"/>
      <c r="H445" s="170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</row>
    <row r="446" ht="14.25" customHeight="1">
      <c r="A446" s="171"/>
      <c r="B446" s="282"/>
      <c r="C446" s="171"/>
      <c r="D446" s="78"/>
      <c r="E446" s="78"/>
      <c r="F446" s="171"/>
      <c r="G446" s="173"/>
      <c r="H446" s="170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</row>
    <row r="447" ht="14.25" customHeight="1">
      <c r="A447" s="171"/>
      <c r="B447" s="282"/>
      <c r="C447" s="171"/>
      <c r="D447" s="78"/>
      <c r="E447" s="78"/>
      <c r="F447" s="171"/>
      <c r="G447" s="173"/>
      <c r="H447" s="170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</row>
    <row r="448" ht="14.25" customHeight="1">
      <c r="A448" s="171"/>
      <c r="B448" s="282"/>
      <c r="C448" s="171"/>
      <c r="D448" s="78"/>
      <c r="E448" s="78"/>
      <c r="F448" s="171"/>
      <c r="G448" s="173"/>
      <c r="H448" s="170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</row>
    <row r="449" ht="14.25" customHeight="1">
      <c r="A449" s="171"/>
      <c r="B449" s="282"/>
      <c r="C449" s="171"/>
      <c r="D449" s="78"/>
      <c r="E449" s="78"/>
      <c r="F449" s="171"/>
      <c r="G449" s="173"/>
      <c r="H449" s="170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</row>
    <row r="450" ht="14.25" customHeight="1">
      <c r="A450" s="171"/>
      <c r="B450" s="282"/>
      <c r="C450" s="171"/>
      <c r="D450" s="78"/>
      <c r="E450" s="78"/>
      <c r="F450" s="171"/>
      <c r="G450" s="173"/>
      <c r="H450" s="170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</row>
    <row r="451" ht="14.25" customHeight="1">
      <c r="A451" s="171"/>
      <c r="B451" s="282"/>
      <c r="C451" s="171"/>
      <c r="D451" s="78"/>
      <c r="E451" s="78"/>
      <c r="F451" s="171"/>
      <c r="G451" s="173"/>
      <c r="H451" s="170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</row>
    <row r="452" ht="14.25" customHeight="1">
      <c r="A452" s="171"/>
      <c r="B452" s="282"/>
      <c r="C452" s="171"/>
      <c r="D452" s="78"/>
      <c r="E452" s="78"/>
      <c r="F452" s="171"/>
      <c r="G452" s="173"/>
      <c r="H452" s="170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</row>
    <row r="453" ht="14.25" customHeight="1">
      <c r="A453" s="171"/>
      <c r="B453" s="282"/>
      <c r="C453" s="171"/>
      <c r="D453" s="78"/>
      <c r="E453" s="78"/>
      <c r="F453" s="171"/>
      <c r="G453" s="173"/>
      <c r="H453" s="170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</row>
    <row r="454" ht="14.25" customHeight="1">
      <c r="A454" s="171"/>
      <c r="B454" s="282"/>
      <c r="C454" s="171"/>
      <c r="D454" s="78"/>
      <c r="E454" s="78"/>
      <c r="F454" s="171"/>
      <c r="G454" s="173"/>
      <c r="H454" s="170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</row>
    <row r="455" ht="14.25" customHeight="1">
      <c r="A455" s="171"/>
      <c r="B455" s="282"/>
      <c r="C455" s="171"/>
      <c r="D455" s="78"/>
      <c r="E455" s="78"/>
      <c r="F455" s="171"/>
      <c r="G455" s="173"/>
      <c r="H455" s="170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</row>
    <row r="456" ht="14.25" customHeight="1">
      <c r="A456" s="171"/>
      <c r="B456" s="282"/>
      <c r="C456" s="171"/>
      <c r="D456" s="78"/>
      <c r="E456" s="78"/>
      <c r="F456" s="171"/>
      <c r="G456" s="173"/>
      <c r="H456" s="170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</row>
    <row r="457" ht="14.25" customHeight="1">
      <c r="A457" s="171"/>
      <c r="B457" s="282"/>
      <c r="C457" s="171"/>
      <c r="D457" s="78"/>
      <c r="E457" s="78"/>
      <c r="F457" s="171"/>
      <c r="G457" s="173"/>
      <c r="H457" s="170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</row>
    <row r="458" ht="14.25" customHeight="1">
      <c r="A458" s="171"/>
      <c r="B458" s="282"/>
      <c r="C458" s="171"/>
      <c r="D458" s="78"/>
      <c r="E458" s="78"/>
      <c r="F458" s="171"/>
      <c r="G458" s="173"/>
      <c r="H458" s="170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</row>
    <row r="459" ht="14.25" customHeight="1">
      <c r="A459" s="171"/>
      <c r="B459" s="282"/>
      <c r="C459" s="171"/>
      <c r="D459" s="78"/>
      <c r="E459" s="78"/>
      <c r="F459" s="171"/>
      <c r="G459" s="173"/>
      <c r="H459" s="170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</row>
    <row r="460" ht="14.25" customHeight="1">
      <c r="A460" s="171"/>
      <c r="B460" s="282"/>
      <c r="C460" s="171"/>
      <c r="D460" s="78"/>
      <c r="E460" s="78"/>
      <c r="F460" s="171"/>
      <c r="G460" s="173"/>
      <c r="H460" s="170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</row>
    <row r="461" ht="14.25" customHeight="1">
      <c r="A461" s="171"/>
      <c r="B461" s="282"/>
      <c r="C461" s="171"/>
      <c r="D461" s="78"/>
      <c r="E461" s="78"/>
      <c r="F461" s="171"/>
      <c r="G461" s="173"/>
      <c r="H461" s="170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</row>
    <row r="462" ht="14.25" customHeight="1">
      <c r="A462" s="171"/>
      <c r="B462" s="282"/>
      <c r="C462" s="171"/>
      <c r="D462" s="78"/>
      <c r="E462" s="78"/>
      <c r="F462" s="171"/>
      <c r="G462" s="173"/>
      <c r="H462" s="170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</row>
    <row r="463" ht="14.25" customHeight="1">
      <c r="A463" s="171"/>
      <c r="B463" s="282"/>
      <c r="C463" s="171"/>
      <c r="D463" s="78"/>
      <c r="E463" s="78"/>
      <c r="F463" s="171"/>
      <c r="G463" s="173"/>
      <c r="H463" s="170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</row>
    <row r="464" ht="14.25" customHeight="1">
      <c r="A464" s="171"/>
      <c r="B464" s="282"/>
      <c r="C464" s="171"/>
      <c r="D464" s="78"/>
      <c r="E464" s="78"/>
      <c r="F464" s="171"/>
      <c r="G464" s="173"/>
      <c r="H464" s="170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</row>
    <row r="465" ht="14.25" customHeight="1">
      <c r="A465" s="171"/>
      <c r="B465" s="282"/>
      <c r="C465" s="171"/>
      <c r="D465" s="78"/>
      <c r="E465" s="78"/>
      <c r="F465" s="171"/>
      <c r="G465" s="173"/>
      <c r="H465" s="170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</row>
    <row r="466" ht="14.25" customHeight="1">
      <c r="A466" s="171"/>
      <c r="B466" s="282"/>
      <c r="C466" s="171"/>
      <c r="D466" s="78"/>
      <c r="E466" s="78"/>
      <c r="F466" s="171"/>
      <c r="G466" s="173"/>
      <c r="H466" s="170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</row>
    <row r="467" ht="14.25" customHeight="1">
      <c r="A467" s="171"/>
      <c r="B467" s="282"/>
      <c r="C467" s="171"/>
      <c r="D467" s="78"/>
      <c r="E467" s="78"/>
      <c r="F467" s="171"/>
      <c r="G467" s="173"/>
      <c r="H467" s="170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</row>
    <row r="468" ht="14.25" customHeight="1">
      <c r="A468" s="171"/>
      <c r="B468" s="282"/>
      <c r="C468" s="171"/>
      <c r="D468" s="78"/>
      <c r="E468" s="78"/>
      <c r="F468" s="171"/>
      <c r="G468" s="173"/>
      <c r="H468" s="170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</row>
    <row r="469" ht="14.25" customHeight="1">
      <c r="A469" s="171"/>
      <c r="B469" s="282"/>
      <c r="C469" s="171"/>
      <c r="D469" s="78"/>
      <c r="E469" s="78"/>
      <c r="F469" s="171"/>
      <c r="G469" s="173"/>
      <c r="H469" s="170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</row>
    <row r="470" ht="14.25" customHeight="1">
      <c r="A470" s="171"/>
      <c r="B470" s="282"/>
      <c r="C470" s="171"/>
      <c r="D470" s="78"/>
      <c r="E470" s="78"/>
      <c r="F470" s="171"/>
      <c r="G470" s="173"/>
      <c r="H470" s="170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</row>
    <row r="471" ht="14.25" customHeight="1">
      <c r="A471" s="171"/>
      <c r="B471" s="282"/>
      <c r="C471" s="171"/>
      <c r="D471" s="78"/>
      <c r="E471" s="78"/>
      <c r="F471" s="171"/>
      <c r="G471" s="173"/>
      <c r="H471" s="170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</row>
    <row r="472" ht="14.25" customHeight="1">
      <c r="A472" s="171"/>
      <c r="B472" s="282"/>
      <c r="C472" s="171"/>
      <c r="D472" s="78"/>
      <c r="E472" s="78"/>
      <c r="F472" s="171"/>
      <c r="G472" s="173"/>
      <c r="H472" s="170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</row>
    <row r="473" ht="14.25" customHeight="1">
      <c r="A473" s="171"/>
      <c r="B473" s="282"/>
      <c r="C473" s="171"/>
      <c r="D473" s="78"/>
      <c r="E473" s="78"/>
      <c r="F473" s="171"/>
      <c r="G473" s="173"/>
      <c r="H473" s="170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</row>
    <row r="474" ht="14.25" customHeight="1">
      <c r="A474" s="171"/>
      <c r="B474" s="282"/>
      <c r="C474" s="171"/>
      <c r="D474" s="78"/>
      <c r="E474" s="78"/>
      <c r="F474" s="171"/>
      <c r="G474" s="173"/>
      <c r="H474" s="170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</row>
    <row r="475" ht="14.25" customHeight="1">
      <c r="A475" s="171"/>
      <c r="B475" s="282"/>
      <c r="C475" s="171"/>
      <c r="D475" s="78"/>
      <c r="E475" s="78"/>
      <c r="F475" s="171"/>
      <c r="G475" s="173"/>
      <c r="H475" s="170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</row>
    <row r="476" ht="14.25" customHeight="1">
      <c r="A476" s="171"/>
      <c r="B476" s="282"/>
      <c r="C476" s="171"/>
      <c r="D476" s="78"/>
      <c r="E476" s="78"/>
      <c r="F476" s="171"/>
      <c r="G476" s="173"/>
      <c r="H476" s="170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</row>
    <row r="477" ht="14.25" customHeight="1">
      <c r="A477" s="171"/>
      <c r="B477" s="282"/>
      <c r="C477" s="171"/>
      <c r="D477" s="78"/>
      <c r="E477" s="78"/>
      <c r="F477" s="171"/>
      <c r="G477" s="173"/>
      <c r="H477" s="170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</row>
    <row r="478" ht="14.25" customHeight="1">
      <c r="A478" s="171"/>
      <c r="B478" s="282"/>
      <c r="C478" s="171"/>
      <c r="D478" s="78"/>
      <c r="E478" s="78"/>
      <c r="F478" s="171"/>
      <c r="G478" s="173"/>
      <c r="H478" s="170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</row>
    <row r="479" ht="14.25" customHeight="1">
      <c r="A479" s="171"/>
      <c r="B479" s="282"/>
      <c r="C479" s="171"/>
      <c r="D479" s="78"/>
      <c r="E479" s="78"/>
      <c r="F479" s="171"/>
      <c r="G479" s="173"/>
      <c r="H479" s="170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</row>
    <row r="480" ht="14.25" customHeight="1">
      <c r="A480" s="171"/>
      <c r="B480" s="282"/>
      <c r="C480" s="171"/>
      <c r="D480" s="78"/>
      <c r="E480" s="78"/>
      <c r="F480" s="171"/>
      <c r="G480" s="173"/>
      <c r="H480" s="170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</row>
    <row r="481" ht="14.25" customHeight="1">
      <c r="A481" s="171"/>
      <c r="B481" s="282"/>
      <c r="C481" s="171"/>
      <c r="D481" s="78"/>
      <c r="E481" s="78"/>
      <c r="F481" s="171"/>
      <c r="G481" s="173"/>
      <c r="H481" s="170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</row>
    <row r="482" ht="14.25" customHeight="1">
      <c r="A482" s="171"/>
      <c r="B482" s="282"/>
      <c r="C482" s="171"/>
      <c r="D482" s="78"/>
      <c r="E482" s="78"/>
      <c r="F482" s="171"/>
      <c r="G482" s="173"/>
      <c r="H482" s="170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</row>
    <row r="483" ht="14.25" customHeight="1">
      <c r="A483" s="171"/>
      <c r="B483" s="282"/>
      <c r="C483" s="171"/>
      <c r="D483" s="78"/>
      <c r="E483" s="78"/>
      <c r="F483" s="171"/>
      <c r="G483" s="173"/>
      <c r="H483" s="170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</row>
    <row r="484" ht="14.25" customHeight="1">
      <c r="A484" s="171"/>
      <c r="B484" s="282"/>
      <c r="C484" s="171"/>
      <c r="D484" s="78"/>
      <c r="E484" s="78"/>
      <c r="F484" s="171"/>
      <c r="G484" s="173"/>
      <c r="H484" s="170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</row>
    <row r="485" ht="14.25" customHeight="1">
      <c r="A485" s="171"/>
      <c r="B485" s="282"/>
      <c r="C485" s="171"/>
      <c r="D485" s="78"/>
      <c r="E485" s="78"/>
      <c r="F485" s="171"/>
      <c r="G485" s="173"/>
      <c r="H485" s="170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</row>
    <row r="486" ht="14.25" customHeight="1">
      <c r="A486" s="171"/>
      <c r="B486" s="282"/>
      <c r="C486" s="171"/>
      <c r="D486" s="78"/>
      <c r="E486" s="78"/>
      <c r="F486" s="171"/>
      <c r="G486" s="173"/>
      <c r="H486" s="170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</row>
    <row r="487" ht="14.25" customHeight="1">
      <c r="A487" s="171"/>
      <c r="B487" s="282"/>
      <c r="C487" s="171"/>
      <c r="D487" s="78"/>
      <c r="E487" s="78"/>
      <c r="F487" s="171"/>
      <c r="G487" s="173"/>
      <c r="H487" s="170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</row>
    <row r="488" ht="14.25" customHeight="1">
      <c r="A488" s="171"/>
      <c r="B488" s="282"/>
      <c r="C488" s="171"/>
      <c r="D488" s="78"/>
      <c r="E488" s="78"/>
      <c r="F488" s="171"/>
      <c r="G488" s="173"/>
      <c r="H488" s="170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</row>
    <row r="489" ht="14.25" customHeight="1">
      <c r="A489" s="171"/>
      <c r="B489" s="282"/>
      <c r="C489" s="171"/>
      <c r="D489" s="78"/>
      <c r="E489" s="78"/>
      <c r="F489" s="171"/>
      <c r="G489" s="173"/>
      <c r="H489" s="170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</row>
    <row r="490" ht="14.25" customHeight="1">
      <c r="A490" s="171"/>
      <c r="B490" s="282"/>
      <c r="C490" s="171"/>
      <c r="D490" s="78"/>
      <c r="E490" s="78"/>
      <c r="F490" s="171"/>
      <c r="G490" s="173"/>
      <c r="H490" s="170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</row>
    <row r="491" ht="14.25" customHeight="1">
      <c r="A491" s="171"/>
      <c r="B491" s="282"/>
      <c r="C491" s="171"/>
      <c r="D491" s="78"/>
      <c r="E491" s="78"/>
      <c r="F491" s="171"/>
      <c r="G491" s="173"/>
      <c r="H491" s="170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</row>
    <row r="492" ht="14.25" customHeight="1">
      <c r="A492" s="171"/>
      <c r="B492" s="282"/>
      <c r="C492" s="171"/>
      <c r="D492" s="78"/>
      <c r="E492" s="78"/>
      <c r="F492" s="171"/>
      <c r="G492" s="173"/>
      <c r="H492" s="170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</row>
    <row r="493" ht="14.25" customHeight="1">
      <c r="A493" s="171"/>
      <c r="B493" s="282"/>
      <c r="C493" s="171"/>
      <c r="D493" s="78"/>
      <c r="E493" s="78"/>
      <c r="F493" s="171"/>
      <c r="G493" s="173"/>
      <c r="H493" s="170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</row>
    <row r="494" ht="14.25" customHeight="1">
      <c r="A494" s="171"/>
      <c r="B494" s="282"/>
      <c r="C494" s="171"/>
      <c r="D494" s="78"/>
      <c r="E494" s="78"/>
      <c r="F494" s="171"/>
      <c r="G494" s="173"/>
      <c r="H494" s="170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</row>
    <row r="495" ht="14.25" customHeight="1">
      <c r="A495" s="171"/>
      <c r="B495" s="282"/>
      <c r="C495" s="171"/>
      <c r="D495" s="78"/>
      <c r="E495" s="78"/>
      <c r="F495" s="171"/>
      <c r="G495" s="173"/>
      <c r="H495" s="170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</row>
    <row r="496" ht="14.25" customHeight="1">
      <c r="A496" s="171"/>
      <c r="B496" s="282"/>
      <c r="C496" s="171"/>
      <c r="D496" s="78"/>
      <c r="E496" s="78"/>
      <c r="F496" s="171"/>
      <c r="G496" s="173"/>
      <c r="H496" s="170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</row>
    <row r="497" ht="14.25" customHeight="1">
      <c r="A497" s="171"/>
      <c r="B497" s="282"/>
      <c r="C497" s="171"/>
      <c r="D497" s="78"/>
      <c r="E497" s="78"/>
      <c r="F497" s="171"/>
      <c r="G497" s="173"/>
      <c r="H497" s="170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</row>
    <row r="498" ht="14.25" customHeight="1">
      <c r="A498" s="171"/>
      <c r="B498" s="282"/>
      <c r="C498" s="171"/>
      <c r="D498" s="78"/>
      <c r="E498" s="78"/>
      <c r="F498" s="171"/>
      <c r="G498" s="173"/>
      <c r="H498" s="170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</row>
    <row r="499" ht="14.25" customHeight="1">
      <c r="A499" s="171"/>
      <c r="B499" s="282"/>
      <c r="C499" s="171"/>
      <c r="D499" s="78"/>
      <c r="E499" s="78"/>
      <c r="F499" s="171"/>
      <c r="G499" s="173"/>
      <c r="H499" s="170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</row>
    <row r="500" ht="14.25" customHeight="1">
      <c r="A500" s="171"/>
      <c r="B500" s="282"/>
      <c r="C500" s="171"/>
      <c r="D500" s="78"/>
      <c r="E500" s="78"/>
      <c r="F500" s="171"/>
      <c r="G500" s="173"/>
      <c r="H500" s="170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</row>
    <row r="501" ht="14.25" customHeight="1">
      <c r="A501" s="171"/>
      <c r="B501" s="282"/>
      <c r="C501" s="171"/>
      <c r="D501" s="78"/>
      <c r="E501" s="78"/>
      <c r="F501" s="171"/>
      <c r="G501" s="173"/>
      <c r="H501" s="170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</row>
    <row r="502" ht="14.25" customHeight="1">
      <c r="A502" s="171"/>
      <c r="B502" s="282"/>
      <c r="C502" s="171"/>
      <c r="D502" s="78"/>
      <c r="E502" s="78"/>
      <c r="F502" s="171"/>
      <c r="G502" s="173"/>
      <c r="H502" s="170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</row>
    <row r="503" ht="14.25" customHeight="1">
      <c r="A503" s="171"/>
      <c r="B503" s="282"/>
      <c r="C503" s="171"/>
      <c r="D503" s="78"/>
      <c r="E503" s="78"/>
      <c r="F503" s="171"/>
      <c r="G503" s="173"/>
      <c r="H503" s="170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</row>
    <row r="504" ht="14.25" customHeight="1">
      <c r="A504" s="171"/>
      <c r="B504" s="282"/>
      <c r="C504" s="171"/>
      <c r="D504" s="78"/>
      <c r="E504" s="78"/>
      <c r="F504" s="171"/>
      <c r="G504" s="173"/>
      <c r="H504" s="170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</row>
    <row r="505" ht="14.25" customHeight="1">
      <c r="A505" s="171"/>
      <c r="B505" s="282"/>
      <c r="C505" s="171"/>
      <c r="D505" s="78"/>
      <c r="E505" s="78"/>
      <c r="F505" s="171"/>
      <c r="G505" s="173"/>
      <c r="H505" s="170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</row>
    <row r="506" ht="14.25" customHeight="1">
      <c r="A506" s="171"/>
      <c r="B506" s="282"/>
      <c r="C506" s="171"/>
      <c r="D506" s="78"/>
      <c r="E506" s="78"/>
      <c r="F506" s="171"/>
      <c r="G506" s="173"/>
      <c r="H506" s="170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</row>
    <row r="507" ht="14.25" customHeight="1">
      <c r="A507" s="171"/>
      <c r="B507" s="282"/>
      <c r="C507" s="171"/>
      <c r="D507" s="78"/>
      <c r="E507" s="78"/>
      <c r="F507" s="171"/>
      <c r="G507" s="173"/>
      <c r="H507" s="170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</row>
    <row r="508" ht="14.25" customHeight="1">
      <c r="A508" s="171"/>
      <c r="B508" s="282"/>
      <c r="C508" s="171"/>
      <c r="D508" s="78"/>
      <c r="E508" s="78"/>
      <c r="F508" s="171"/>
      <c r="G508" s="173"/>
      <c r="H508" s="170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</row>
    <row r="509" ht="14.25" customHeight="1">
      <c r="A509" s="171"/>
      <c r="B509" s="282"/>
      <c r="C509" s="171"/>
      <c r="D509" s="78"/>
      <c r="E509" s="78"/>
      <c r="F509" s="171"/>
      <c r="G509" s="173"/>
      <c r="H509" s="170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</row>
    <row r="510" ht="14.25" customHeight="1">
      <c r="A510" s="171"/>
      <c r="B510" s="282"/>
      <c r="C510" s="171"/>
      <c r="D510" s="78"/>
      <c r="E510" s="78"/>
      <c r="F510" s="171"/>
      <c r="G510" s="173"/>
      <c r="H510" s="170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</row>
    <row r="511" ht="14.25" customHeight="1">
      <c r="A511" s="171"/>
      <c r="B511" s="282"/>
      <c r="C511" s="171"/>
      <c r="D511" s="78"/>
      <c r="E511" s="78"/>
      <c r="F511" s="171"/>
      <c r="G511" s="173"/>
      <c r="H511" s="170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</row>
    <row r="512" ht="14.25" customHeight="1">
      <c r="A512" s="171"/>
      <c r="B512" s="282"/>
      <c r="C512" s="171"/>
      <c r="D512" s="78"/>
      <c r="E512" s="78"/>
      <c r="F512" s="171"/>
      <c r="G512" s="173"/>
      <c r="H512" s="170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</row>
    <row r="513" ht="14.25" customHeight="1">
      <c r="A513" s="171"/>
      <c r="B513" s="282"/>
      <c r="C513" s="171"/>
      <c r="D513" s="78"/>
      <c r="E513" s="78"/>
      <c r="F513" s="171"/>
      <c r="G513" s="173"/>
      <c r="H513" s="170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</row>
    <row r="514" ht="14.25" customHeight="1">
      <c r="A514" s="171"/>
      <c r="B514" s="282"/>
      <c r="C514" s="171"/>
      <c r="D514" s="78"/>
      <c r="E514" s="78"/>
      <c r="F514" s="171"/>
      <c r="G514" s="173"/>
      <c r="H514" s="170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</row>
    <row r="515" ht="14.25" customHeight="1">
      <c r="A515" s="171"/>
      <c r="B515" s="282"/>
      <c r="C515" s="171"/>
      <c r="D515" s="78"/>
      <c r="E515" s="78"/>
      <c r="F515" s="171"/>
      <c r="G515" s="173"/>
      <c r="H515" s="170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</row>
    <row r="516" ht="14.25" customHeight="1">
      <c r="A516" s="171"/>
      <c r="B516" s="282"/>
      <c r="C516" s="171"/>
      <c r="D516" s="78"/>
      <c r="E516" s="78"/>
      <c r="F516" s="171"/>
      <c r="G516" s="173"/>
      <c r="H516" s="170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</row>
    <row r="517" ht="14.25" customHeight="1">
      <c r="A517" s="171"/>
      <c r="B517" s="282"/>
      <c r="C517" s="171"/>
      <c r="D517" s="78"/>
      <c r="E517" s="78"/>
      <c r="F517" s="171"/>
      <c r="G517" s="173"/>
      <c r="H517" s="170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</row>
    <row r="518" ht="14.25" customHeight="1">
      <c r="A518" s="171"/>
      <c r="B518" s="282"/>
      <c r="C518" s="171"/>
      <c r="D518" s="78"/>
      <c r="E518" s="78"/>
      <c r="F518" s="171"/>
      <c r="G518" s="173"/>
      <c r="H518" s="170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</row>
    <row r="519" ht="14.25" customHeight="1">
      <c r="A519" s="171"/>
      <c r="B519" s="282"/>
      <c r="C519" s="171"/>
      <c r="D519" s="78"/>
      <c r="E519" s="78"/>
      <c r="F519" s="171"/>
      <c r="G519" s="173"/>
      <c r="H519" s="170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</row>
    <row r="520" ht="14.25" customHeight="1">
      <c r="A520" s="171"/>
      <c r="B520" s="282"/>
      <c r="C520" s="171"/>
      <c r="D520" s="78"/>
      <c r="E520" s="78"/>
      <c r="F520" s="171"/>
      <c r="G520" s="173"/>
      <c r="H520" s="170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</row>
    <row r="521" ht="14.25" customHeight="1">
      <c r="A521" s="171"/>
      <c r="B521" s="282"/>
      <c r="C521" s="171"/>
      <c r="D521" s="78"/>
      <c r="E521" s="78"/>
      <c r="F521" s="171"/>
      <c r="G521" s="173"/>
      <c r="H521" s="170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</row>
    <row r="522" ht="14.25" customHeight="1">
      <c r="A522" s="171"/>
      <c r="B522" s="282"/>
      <c r="C522" s="171"/>
      <c r="D522" s="78"/>
      <c r="E522" s="78"/>
      <c r="F522" s="171"/>
      <c r="G522" s="173"/>
      <c r="H522" s="170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</row>
    <row r="523" ht="14.25" customHeight="1">
      <c r="A523" s="171"/>
      <c r="B523" s="282"/>
      <c r="C523" s="171"/>
      <c r="D523" s="78"/>
      <c r="E523" s="78"/>
      <c r="F523" s="171"/>
      <c r="G523" s="173"/>
      <c r="H523" s="170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</row>
    <row r="524" ht="14.25" customHeight="1">
      <c r="A524" s="171"/>
      <c r="B524" s="282"/>
      <c r="C524" s="171"/>
      <c r="D524" s="78"/>
      <c r="E524" s="78"/>
      <c r="F524" s="171"/>
      <c r="G524" s="173"/>
      <c r="H524" s="170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</row>
    <row r="525" ht="14.25" customHeight="1">
      <c r="A525" s="171"/>
      <c r="B525" s="282"/>
      <c r="C525" s="171"/>
      <c r="D525" s="78"/>
      <c r="E525" s="78"/>
      <c r="F525" s="171"/>
      <c r="G525" s="173"/>
      <c r="H525" s="170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</row>
    <row r="526" ht="14.25" customHeight="1">
      <c r="A526" s="171"/>
      <c r="B526" s="282"/>
      <c r="C526" s="171"/>
      <c r="D526" s="78"/>
      <c r="E526" s="78"/>
      <c r="F526" s="171"/>
      <c r="G526" s="173"/>
      <c r="H526" s="170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</row>
    <row r="527" ht="14.25" customHeight="1">
      <c r="A527" s="171"/>
      <c r="B527" s="282"/>
      <c r="C527" s="171"/>
      <c r="D527" s="78"/>
      <c r="E527" s="78"/>
      <c r="F527" s="171"/>
      <c r="G527" s="173"/>
      <c r="H527" s="170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</row>
    <row r="528" ht="14.25" customHeight="1">
      <c r="A528" s="171"/>
      <c r="B528" s="282"/>
      <c r="C528" s="171"/>
      <c r="D528" s="78"/>
      <c r="E528" s="78"/>
      <c r="F528" s="171"/>
      <c r="G528" s="173"/>
      <c r="H528" s="170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</row>
    <row r="529" ht="14.25" customHeight="1">
      <c r="A529" s="171"/>
      <c r="B529" s="282"/>
      <c r="C529" s="171"/>
      <c r="D529" s="78"/>
      <c r="E529" s="78"/>
      <c r="F529" s="171"/>
      <c r="G529" s="173"/>
      <c r="H529" s="170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</row>
    <row r="530" ht="14.25" customHeight="1">
      <c r="A530" s="171"/>
      <c r="B530" s="282"/>
      <c r="C530" s="171"/>
      <c r="D530" s="78"/>
      <c r="E530" s="78"/>
      <c r="F530" s="171"/>
      <c r="G530" s="173"/>
      <c r="H530" s="170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</row>
    <row r="531" ht="14.25" customHeight="1">
      <c r="A531" s="171"/>
      <c r="B531" s="282"/>
      <c r="C531" s="171"/>
      <c r="D531" s="78"/>
      <c r="E531" s="78"/>
      <c r="F531" s="171"/>
      <c r="G531" s="173"/>
      <c r="H531" s="170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</row>
    <row r="532" ht="14.25" customHeight="1">
      <c r="A532" s="171"/>
      <c r="B532" s="282"/>
      <c r="C532" s="171"/>
      <c r="D532" s="78"/>
      <c r="E532" s="78"/>
      <c r="F532" s="171"/>
      <c r="G532" s="173"/>
      <c r="H532" s="170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</row>
    <row r="533" ht="14.25" customHeight="1">
      <c r="A533" s="171"/>
      <c r="B533" s="282"/>
      <c r="C533" s="171"/>
      <c r="D533" s="78"/>
      <c r="E533" s="78"/>
      <c r="F533" s="171"/>
      <c r="G533" s="173"/>
      <c r="H533" s="170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</row>
    <row r="534" ht="14.25" customHeight="1">
      <c r="A534" s="171"/>
      <c r="B534" s="282"/>
      <c r="C534" s="171"/>
      <c r="D534" s="78"/>
      <c r="E534" s="78"/>
      <c r="F534" s="171"/>
      <c r="G534" s="173"/>
      <c r="H534" s="170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</row>
    <row r="535" ht="14.25" customHeight="1">
      <c r="A535" s="171"/>
      <c r="B535" s="282"/>
      <c r="C535" s="171"/>
      <c r="D535" s="78"/>
      <c r="E535" s="78"/>
      <c r="F535" s="171"/>
      <c r="G535" s="173"/>
      <c r="H535" s="170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</row>
    <row r="536" ht="14.25" customHeight="1">
      <c r="A536" s="171"/>
      <c r="B536" s="282"/>
      <c r="C536" s="171"/>
      <c r="D536" s="78"/>
      <c r="E536" s="78"/>
      <c r="F536" s="171"/>
      <c r="G536" s="173"/>
      <c r="H536" s="170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</row>
    <row r="537" ht="14.25" customHeight="1">
      <c r="A537" s="171"/>
      <c r="B537" s="282"/>
      <c r="C537" s="171"/>
      <c r="D537" s="78"/>
      <c r="E537" s="78"/>
      <c r="F537" s="171"/>
      <c r="G537" s="173"/>
      <c r="H537" s="170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</row>
    <row r="538" ht="14.25" customHeight="1">
      <c r="A538" s="171"/>
      <c r="B538" s="282"/>
      <c r="C538" s="171"/>
      <c r="D538" s="78"/>
      <c r="E538" s="78"/>
      <c r="F538" s="171"/>
      <c r="G538" s="173"/>
      <c r="H538" s="170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</row>
    <row r="539" ht="14.25" customHeight="1">
      <c r="A539" s="171"/>
      <c r="B539" s="282"/>
      <c r="C539" s="171"/>
      <c r="D539" s="78"/>
      <c r="E539" s="78"/>
      <c r="F539" s="171"/>
      <c r="G539" s="173"/>
      <c r="H539" s="170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</row>
    <row r="540" ht="14.25" customHeight="1">
      <c r="A540" s="171"/>
      <c r="B540" s="282"/>
      <c r="C540" s="171"/>
      <c r="D540" s="78"/>
      <c r="E540" s="78"/>
      <c r="F540" s="171"/>
      <c r="G540" s="173"/>
      <c r="H540" s="170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</row>
    <row r="541" ht="14.25" customHeight="1">
      <c r="A541" s="171"/>
      <c r="B541" s="282"/>
      <c r="C541" s="171"/>
      <c r="D541" s="78"/>
      <c r="E541" s="78"/>
      <c r="F541" s="171"/>
      <c r="G541" s="173"/>
      <c r="H541" s="170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</row>
    <row r="542" ht="14.25" customHeight="1">
      <c r="A542" s="171"/>
      <c r="B542" s="282"/>
      <c r="C542" s="171"/>
      <c r="D542" s="78"/>
      <c r="E542" s="78"/>
      <c r="F542" s="171"/>
      <c r="G542" s="173"/>
      <c r="H542" s="170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</row>
    <row r="543" ht="14.25" customHeight="1">
      <c r="A543" s="171"/>
      <c r="B543" s="282"/>
      <c r="C543" s="171"/>
      <c r="D543" s="78"/>
      <c r="E543" s="78"/>
      <c r="F543" s="171"/>
      <c r="G543" s="173"/>
      <c r="H543" s="170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</row>
    <row r="544" ht="14.25" customHeight="1">
      <c r="A544" s="171"/>
      <c r="B544" s="282"/>
      <c r="C544" s="171"/>
      <c r="D544" s="78"/>
      <c r="E544" s="78"/>
      <c r="F544" s="171"/>
      <c r="G544" s="173"/>
      <c r="H544" s="170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</row>
    <row r="545" ht="14.25" customHeight="1">
      <c r="A545" s="171"/>
      <c r="B545" s="282"/>
      <c r="C545" s="171"/>
      <c r="D545" s="78"/>
      <c r="E545" s="78"/>
      <c r="F545" s="171"/>
      <c r="G545" s="173"/>
      <c r="H545" s="170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</row>
    <row r="546" ht="14.25" customHeight="1">
      <c r="A546" s="171"/>
      <c r="B546" s="282"/>
      <c r="C546" s="171"/>
      <c r="D546" s="78"/>
      <c r="E546" s="78"/>
      <c r="F546" s="171"/>
      <c r="G546" s="173"/>
      <c r="H546" s="170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</row>
    <row r="547" ht="14.25" customHeight="1">
      <c r="A547" s="171"/>
      <c r="B547" s="282"/>
      <c r="C547" s="171"/>
      <c r="D547" s="78"/>
      <c r="E547" s="78"/>
      <c r="F547" s="171"/>
      <c r="G547" s="173"/>
      <c r="H547" s="170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</row>
    <row r="548" ht="14.25" customHeight="1">
      <c r="A548" s="171"/>
      <c r="B548" s="282"/>
      <c r="C548" s="171"/>
      <c r="D548" s="78"/>
      <c r="E548" s="78"/>
      <c r="F548" s="171"/>
      <c r="G548" s="173"/>
      <c r="H548" s="170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</row>
    <row r="549" ht="14.25" customHeight="1">
      <c r="A549" s="171"/>
      <c r="B549" s="282"/>
      <c r="C549" s="171"/>
      <c r="D549" s="78"/>
      <c r="E549" s="78"/>
      <c r="F549" s="171"/>
      <c r="G549" s="173"/>
      <c r="H549" s="170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</row>
    <row r="550" ht="14.25" customHeight="1">
      <c r="A550" s="171"/>
      <c r="B550" s="282"/>
      <c r="C550" s="171"/>
      <c r="D550" s="78"/>
      <c r="E550" s="78"/>
      <c r="F550" s="171"/>
      <c r="G550" s="173"/>
      <c r="H550" s="170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</row>
    <row r="551" ht="14.25" customHeight="1">
      <c r="A551" s="171"/>
      <c r="B551" s="282"/>
      <c r="C551" s="171"/>
      <c r="D551" s="78"/>
      <c r="E551" s="78"/>
      <c r="F551" s="171"/>
      <c r="G551" s="173"/>
      <c r="H551" s="170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</row>
    <row r="552" ht="14.25" customHeight="1">
      <c r="A552" s="171"/>
      <c r="B552" s="282"/>
      <c r="C552" s="171"/>
      <c r="D552" s="78"/>
      <c r="E552" s="78"/>
      <c r="F552" s="171"/>
      <c r="G552" s="173"/>
      <c r="H552" s="170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</row>
    <row r="553" ht="14.25" customHeight="1">
      <c r="A553" s="171"/>
      <c r="B553" s="282"/>
      <c r="C553" s="171"/>
      <c r="D553" s="78"/>
      <c r="E553" s="78"/>
      <c r="F553" s="171"/>
      <c r="G553" s="173"/>
      <c r="H553" s="170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</row>
    <row r="554" ht="14.25" customHeight="1">
      <c r="A554" s="171"/>
      <c r="B554" s="282"/>
      <c r="C554" s="171"/>
      <c r="D554" s="78"/>
      <c r="E554" s="78"/>
      <c r="F554" s="171"/>
      <c r="G554" s="173"/>
      <c r="H554" s="170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</row>
    <row r="555" ht="14.25" customHeight="1">
      <c r="A555" s="171"/>
      <c r="B555" s="282"/>
      <c r="C555" s="171"/>
      <c r="D555" s="78"/>
      <c r="E555" s="78"/>
      <c r="F555" s="171"/>
      <c r="G555" s="173"/>
      <c r="H555" s="170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</row>
    <row r="556" ht="14.25" customHeight="1">
      <c r="A556" s="171"/>
      <c r="B556" s="282"/>
      <c r="C556" s="171"/>
      <c r="D556" s="78"/>
      <c r="E556" s="78"/>
      <c r="F556" s="171"/>
      <c r="G556" s="173"/>
      <c r="H556" s="170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</row>
    <row r="557" ht="14.25" customHeight="1">
      <c r="A557" s="171"/>
      <c r="B557" s="282"/>
      <c r="C557" s="171"/>
      <c r="D557" s="78"/>
      <c r="E557" s="78"/>
      <c r="F557" s="171"/>
      <c r="G557" s="173"/>
      <c r="H557" s="170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</row>
    <row r="558" ht="14.25" customHeight="1">
      <c r="A558" s="171"/>
      <c r="B558" s="282"/>
      <c r="C558" s="171"/>
      <c r="D558" s="78"/>
      <c r="E558" s="78"/>
      <c r="F558" s="171"/>
      <c r="G558" s="173"/>
      <c r="H558" s="170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</row>
    <row r="559" ht="14.25" customHeight="1">
      <c r="A559" s="171"/>
      <c r="B559" s="282"/>
      <c r="C559" s="171"/>
      <c r="D559" s="78"/>
      <c r="E559" s="78"/>
      <c r="F559" s="171"/>
      <c r="G559" s="173"/>
      <c r="H559" s="170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</row>
    <row r="560" ht="14.25" customHeight="1">
      <c r="A560" s="171"/>
      <c r="B560" s="282"/>
      <c r="C560" s="171"/>
      <c r="D560" s="78"/>
      <c r="E560" s="78"/>
      <c r="F560" s="171"/>
      <c r="G560" s="173"/>
      <c r="H560" s="170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</row>
    <row r="561" ht="14.25" customHeight="1">
      <c r="A561" s="171"/>
      <c r="B561" s="282"/>
      <c r="C561" s="171"/>
      <c r="D561" s="78"/>
      <c r="E561" s="78"/>
      <c r="F561" s="171"/>
      <c r="G561" s="173"/>
      <c r="H561" s="170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</row>
    <row r="562" ht="14.25" customHeight="1">
      <c r="A562" s="171"/>
      <c r="B562" s="282"/>
      <c r="C562" s="171"/>
      <c r="D562" s="78"/>
      <c r="E562" s="78"/>
      <c r="F562" s="171"/>
      <c r="G562" s="173"/>
      <c r="H562" s="170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</row>
    <row r="563" ht="14.25" customHeight="1">
      <c r="A563" s="171"/>
      <c r="B563" s="282"/>
      <c r="C563" s="171"/>
      <c r="D563" s="78"/>
      <c r="E563" s="78"/>
      <c r="F563" s="171"/>
      <c r="G563" s="173"/>
      <c r="H563" s="170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</row>
    <row r="564" ht="14.25" customHeight="1">
      <c r="A564" s="171"/>
      <c r="B564" s="282"/>
      <c r="C564" s="171"/>
      <c r="D564" s="78"/>
      <c r="E564" s="78"/>
      <c r="F564" s="171"/>
      <c r="G564" s="173"/>
      <c r="H564" s="170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</row>
    <row r="565" ht="14.25" customHeight="1">
      <c r="A565" s="171"/>
      <c r="B565" s="282"/>
      <c r="C565" s="171"/>
      <c r="D565" s="78"/>
      <c r="E565" s="78"/>
      <c r="F565" s="171"/>
      <c r="G565" s="173"/>
      <c r="H565" s="170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</row>
    <row r="566" ht="14.25" customHeight="1">
      <c r="A566" s="171"/>
      <c r="B566" s="282"/>
      <c r="C566" s="171"/>
      <c r="D566" s="78"/>
      <c r="E566" s="78"/>
      <c r="F566" s="171"/>
      <c r="G566" s="173"/>
      <c r="H566" s="170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</row>
    <row r="567" ht="14.25" customHeight="1">
      <c r="A567" s="171"/>
      <c r="B567" s="282"/>
      <c r="C567" s="171"/>
      <c r="D567" s="78"/>
      <c r="E567" s="78"/>
      <c r="F567" s="171"/>
      <c r="G567" s="173"/>
      <c r="H567" s="170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</row>
    <row r="568" ht="14.25" customHeight="1">
      <c r="A568" s="171"/>
      <c r="B568" s="282"/>
      <c r="C568" s="171"/>
      <c r="D568" s="78"/>
      <c r="E568" s="78"/>
      <c r="F568" s="171"/>
      <c r="G568" s="173"/>
      <c r="H568" s="170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</row>
    <row r="569" ht="14.25" customHeight="1">
      <c r="A569" s="171"/>
      <c r="B569" s="282"/>
      <c r="C569" s="171"/>
      <c r="D569" s="78"/>
      <c r="E569" s="78"/>
      <c r="F569" s="171"/>
      <c r="G569" s="173"/>
      <c r="H569" s="170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</row>
    <row r="570" ht="14.25" customHeight="1">
      <c r="A570" s="171"/>
      <c r="B570" s="282"/>
      <c r="C570" s="171"/>
      <c r="D570" s="78"/>
      <c r="E570" s="78"/>
      <c r="F570" s="171"/>
      <c r="G570" s="173"/>
      <c r="H570" s="170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</row>
    <row r="571" ht="14.25" customHeight="1">
      <c r="A571" s="171"/>
      <c r="B571" s="282"/>
      <c r="C571" s="171"/>
      <c r="D571" s="78"/>
      <c r="E571" s="78"/>
      <c r="F571" s="171"/>
      <c r="G571" s="173"/>
      <c r="H571" s="170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</row>
    <row r="572" ht="14.25" customHeight="1">
      <c r="A572" s="171"/>
      <c r="B572" s="282"/>
      <c r="C572" s="171"/>
      <c r="D572" s="78"/>
      <c r="E572" s="78"/>
      <c r="F572" s="171"/>
      <c r="G572" s="173"/>
      <c r="H572" s="170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</row>
    <row r="573" ht="14.25" customHeight="1">
      <c r="A573" s="171"/>
      <c r="B573" s="282"/>
      <c r="C573" s="171"/>
      <c r="D573" s="78"/>
      <c r="E573" s="78"/>
      <c r="F573" s="171"/>
      <c r="G573" s="173"/>
      <c r="H573" s="170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</row>
    <row r="574" ht="14.25" customHeight="1">
      <c r="A574" s="171"/>
      <c r="B574" s="282"/>
      <c r="C574" s="171"/>
      <c r="D574" s="78"/>
      <c r="E574" s="78"/>
      <c r="F574" s="171"/>
      <c r="G574" s="173"/>
      <c r="H574" s="170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</row>
    <row r="575" ht="14.25" customHeight="1">
      <c r="A575" s="171"/>
      <c r="B575" s="282"/>
      <c r="C575" s="171"/>
      <c r="D575" s="78"/>
      <c r="E575" s="78"/>
      <c r="F575" s="171"/>
      <c r="G575" s="173"/>
      <c r="H575" s="170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</row>
    <row r="576" ht="14.25" customHeight="1">
      <c r="A576" s="171"/>
      <c r="B576" s="282"/>
      <c r="C576" s="171"/>
      <c r="D576" s="78"/>
      <c r="E576" s="78"/>
      <c r="F576" s="171"/>
      <c r="G576" s="173"/>
      <c r="H576" s="170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</row>
    <row r="577" ht="14.25" customHeight="1">
      <c r="A577" s="171"/>
      <c r="B577" s="282"/>
      <c r="C577" s="171"/>
      <c r="D577" s="78"/>
      <c r="E577" s="78"/>
      <c r="F577" s="171"/>
      <c r="G577" s="173"/>
      <c r="H577" s="170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</row>
    <row r="578" ht="14.25" customHeight="1">
      <c r="A578" s="171"/>
      <c r="B578" s="282"/>
      <c r="C578" s="171"/>
      <c r="D578" s="78"/>
      <c r="E578" s="78"/>
      <c r="F578" s="171"/>
      <c r="G578" s="173"/>
      <c r="H578" s="170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</row>
    <row r="579" ht="14.25" customHeight="1">
      <c r="A579" s="171"/>
      <c r="B579" s="282"/>
      <c r="C579" s="171"/>
      <c r="D579" s="78"/>
      <c r="E579" s="78"/>
      <c r="F579" s="171"/>
      <c r="G579" s="173"/>
      <c r="H579" s="170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</row>
    <row r="580" ht="14.25" customHeight="1">
      <c r="A580" s="171"/>
      <c r="B580" s="282"/>
      <c r="C580" s="171"/>
      <c r="D580" s="78"/>
      <c r="E580" s="78"/>
      <c r="F580" s="171"/>
      <c r="G580" s="173"/>
      <c r="H580" s="170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</row>
    <row r="581" ht="14.25" customHeight="1">
      <c r="A581" s="171"/>
      <c r="B581" s="282"/>
      <c r="C581" s="171"/>
      <c r="D581" s="78"/>
      <c r="E581" s="78"/>
      <c r="F581" s="171"/>
      <c r="G581" s="173"/>
      <c r="H581" s="170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</row>
    <row r="582" ht="14.25" customHeight="1">
      <c r="A582" s="171"/>
      <c r="B582" s="282"/>
      <c r="C582" s="171"/>
      <c r="D582" s="78"/>
      <c r="E582" s="78"/>
      <c r="F582" s="171"/>
      <c r="G582" s="173"/>
      <c r="H582" s="170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</row>
    <row r="583" ht="14.25" customHeight="1">
      <c r="A583" s="171"/>
      <c r="B583" s="282"/>
      <c r="C583" s="171"/>
      <c r="D583" s="78"/>
      <c r="E583" s="78"/>
      <c r="F583" s="171"/>
      <c r="G583" s="173"/>
      <c r="H583" s="170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</row>
    <row r="584" ht="14.25" customHeight="1">
      <c r="A584" s="171"/>
      <c r="B584" s="282"/>
      <c r="C584" s="171"/>
      <c r="D584" s="78"/>
      <c r="E584" s="78"/>
      <c r="F584" s="171"/>
      <c r="G584" s="173"/>
      <c r="H584" s="170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</row>
    <row r="585" ht="14.25" customHeight="1">
      <c r="A585" s="171"/>
      <c r="B585" s="282"/>
      <c r="C585" s="171"/>
      <c r="D585" s="78"/>
      <c r="E585" s="78"/>
      <c r="F585" s="171"/>
      <c r="G585" s="173"/>
      <c r="H585" s="170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</row>
    <row r="586" ht="14.25" customHeight="1">
      <c r="A586" s="171"/>
      <c r="B586" s="282"/>
      <c r="C586" s="171"/>
      <c r="D586" s="78"/>
      <c r="E586" s="78"/>
      <c r="F586" s="171"/>
      <c r="G586" s="173"/>
      <c r="H586" s="170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</row>
    <row r="587" ht="14.25" customHeight="1">
      <c r="A587" s="171"/>
      <c r="B587" s="282"/>
      <c r="C587" s="171"/>
      <c r="D587" s="78"/>
      <c r="E587" s="78"/>
      <c r="F587" s="171"/>
      <c r="G587" s="173"/>
      <c r="H587" s="170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</row>
    <row r="588" ht="14.25" customHeight="1">
      <c r="A588" s="171"/>
      <c r="B588" s="282"/>
      <c r="C588" s="171"/>
      <c r="D588" s="78"/>
      <c r="E588" s="78"/>
      <c r="F588" s="171"/>
      <c r="G588" s="173"/>
      <c r="H588" s="170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</row>
    <row r="589" ht="14.25" customHeight="1">
      <c r="A589" s="171"/>
      <c r="B589" s="282"/>
      <c r="C589" s="171"/>
      <c r="D589" s="78"/>
      <c r="E589" s="78"/>
      <c r="F589" s="171"/>
      <c r="G589" s="173"/>
      <c r="H589" s="170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</row>
    <row r="590" ht="14.25" customHeight="1">
      <c r="A590" s="171"/>
      <c r="B590" s="282"/>
      <c r="C590" s="171"/>
      <c r="D590" s="78"/>
      <c r="E590" s="78"/>
      <c r="F590" s="171"/>
      <c r="G590" s="173"/>
      <c r="H590" s="170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</row>
    <row r="591" ht="14.25" customHeight="1">
      <c r="A591" s="171"/>
      <c r="B591" s="282"/>
      <c r="C591" s="171"/>
      <c r="D591" s="78"/>
      <c r="E591" s="78"/>
      <c r="F591" s="171"/>
      <c r="G591" s="173"/>
      <c r="H591" s="170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</row>
    <row r="592" ht="14.25" customHeight="1">
      <c r="A592" s="171"/>
      <c r="B592" s="282"/>
      <c r="C592" s="171"/>
      <c r="D592" s="78"/>
      <c r="E592" s="78"/>
      <c r="F592" s="171"/>
      <c r="G592" s="173"/>
      <c r="H592" s="170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</row>
    <row r="593" ht="14.25" customHeight="1">
      <c r="A593" s="171"/>
      <c r="B593" s="282"/>
      <c r="C593" s="171"/>
      <c r="D593" s="78"/>
      <c r="E593" s="78"/>
      <c r="F593" s="171"/>
      <c r="G593" s="173"/>
      <c r="H593" s="170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</row>
    <row r="594" ht="14.25" customHeight="1">
      <c r="A594" s="171"/>
      <c r="B594" s="282"/>
      <c r="C594" s="171"/>
      <c r="D594" s="78"/>
      <c r="E594" s="78"/>
      <c r="F594" s="171"/>
      <c r="G594" s="173"/>
      <c r="H594" s="170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</row>
    <row r="595" ht="14.25" customHeight="1">
      <c r="A595" s="171"/>
      <c r="B595" s="282"/>
      <c r="C595" s="171"/>
      <c r="D595" s="78"/>
      <c r="E595" s="78"/>
      <c r="F595" s="171"/>
      <c r="G595" s="173"/>
      <c r="H595" s="170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</row>
    <row r="596" ht="14.25" customHeight="1">
      <c r="A596" s="171"/>
      <c r="B596" s="282"/>
      <c r="C596" s="171"/>
      <c r="D596" s="78"/>
      <c r="E596" s="78"/>
      <c r="F596" s="171"/>
      <c r="G596" s="173"/>
      <c r="H596" s="170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</row>
    <row r="597" ht="14.25" customHeight="1">
      <c r="A597" s="171"/>
      <c r="B597" s="282"/>
      <c r="C597" s="171"/>
      <c r="D597" s="78"/>
      <c r="E597" s="78"/>
      <c r="F597" s="171"/>
      <c r="G597" s="173"/>
      <c r="H597" s="170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</row>
    <row r="598" ht="14.25" customHeight="1">
      <c r="A598" s="171"/>
      <c r="B598" s="282"/>
      <c r="C598" s="171"/>
      <c r="D598" s="78"/>
      <c r="E598" s="78"/>
      <c r="F598" s="171"/>
      <c r="G598" s="173"/>
      <c r="H598" s="170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</row>
    <row r="599" ht="14.25" customHeight="1">
      <c r="A599" s="171"/>
      <c r="B599" s="282"/>
      <c r="C599" s="171"/>
      <c r="D599" s="78"/>
      <c r="E599" s="78"/>
      <c r="F599" s="171"/>
      <c r="G599" s="173"/>
      <c r="H599" s="170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</row>
    <row r="600" ht="14.25" customHeight="1">
      <c r="A600" s="171"/>
      <c r="B600" s="282"/>
      <c r="C600" s="171"/>
      <c r="D600" s="78"/>
      <c r="E600" s="78"/>
      <c r="F600" s="171"/>
      <c r="G600" s="173"/>
      <c r="H600" s="170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</row>
    <row r="601" ht="14.25" customHeight="1">
      <c r="A601" s="171"/>
      <c r="B601" s="282"/>
      <c r="C601" s="171"/>
      <c r="D601" s="78"/>
      <c r="E601" s="78"/>
      <c r="F601" s="171"/>
      <c r="G601" s="173"/>
      <c r="H601" s="170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</row>
    <row r="602" ht="14.25" customHeight="1">
      <c r="A602" s="171"/>
      <c r="B602" s="282"/>
      <c r="C602" s="171"/>
      <c r="D602" s="78"/>
      <c r="E602" s="78"/>
      <c r="F602" s="171"/>
      <c r="G602" s="173"/>
      <c r="H602" s="170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</row>
    <row r="603" ht="14.25" customHeight="1">
      <c r="A603" s="171"/>
      <c r="B603" s="282"/>
      <c r="C603" s="171"/>
      <c r="D603" s="78"/>
      <c r="E603" s="78"/>
      <c r="F603" s="171"/>
      <c r="G603" s="173"/>
      <c r="H603" s="170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</row>
    <row r="604" ht="14.25" customHeight="1">
      <c r="A604" s="171"/>
      <c r="B604" s="282"/>
      <c r="C604" s="171"/>
      <c r="D604" s="78"/>
      <c r="E604" s="78"/>
      <c r="F604" s="171"/>
      <c r="G604" s="173"/>
      <c r="H604" s="170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</row>
    <row r="605" ht="14.25" customHeight="1">
      <c r="A605" s="171"/>
      <c r="B605" s="282"/>
      <c r="C605" s="171"/>
      <c r="D605" s="78"/>
      <c r="E605" s="78"/>
      <c r="F605" s="171"/>
      <c r="G605" s="173"/>
      <c r="H605" s="170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</row>
    <row r="606" ht="14.25" customHeight="1">
      <c r="A606" s="171"/>
      <c r="B606" s="282"/>
      <c r="C606" s="171"/>
      <c r="D606" s="78"/>
      <c r="E606" s="78"/>
      <c r="F606" s="171"/>
      <c r="G606" s="173"/>
      <c r="H606" s="170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</row>
    <row r="607" ht="14.25" customHeight="1">
      <c r="A607" s="171"/>
      <c r="B607" s="282"/>
      <c r="C607" s="171"/>
      <c r="D607" s="78"/>
      <c r="E607" s="78"/>
      <c r="F607" s="171"/>
      <c r="G607" s="173"/>
      <c r="H607" s="170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</row>
    <row r="608" ht="14.25" customHeight="1">
      <c r="A608" s="171"/>
      <c r="B608" s="282"/>
      <c r="C608" s="171"/>
      <c r="D608" s="78"/>
      <c r="E608" s="78"/>
      <c r="F608" s="171"/>
      <c r="G608" s="173"/>
      <c r="H608" s="170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</row>
    <row r="609" ht="14.25" customHeight="1">
      <c r="A609" s="171"/>
      <c r="B609" s="282"/>
      <c r="C609" s="171"/>
      <c r="D609" s="78"/>
      <c r="E609" s="78"/>
      <c r="F609" s="171"/>
      <c r="G609" s="173"/>
      <c r="H609" s="170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</row>
    <row r="610" ht="14.25" customHeight="1">
      <c r="A610" s="171"/>
      <c r="B610" s="282"/>
      <c r="C610" s="171"/>
      <c r="D610" s="78"/>
      <c r="E610" s="78"/>
      <c r="F610" s="171"/>
      <c r="G610" s="173"/>
      <c r="H610" s="170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</row>
    <row r="611" ht="14.25" customHeight="1">
      <c r="A611" s="171"/>
      <c r="B611" s="282"/>
      <c r="C611" s="171"/>
      <c r="D611" s="78"/>
      <c r="E611" s="78"/>
      <c r="F611" s="171"/>
      <c r="G611" s="173"/>
      <c r="H611" s="170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</row>
    <row r="612" ht="14.25" customHeight="1">
      <c r="A612" s="171"/>
      <c r="B612" s="282"/>
      <c r="C612" s="171"/>
      <c r="D612" s="78"/>
      <c r="E612" s="78"/>
      <c r="F612" s="171"/>
      <c r="G612" s="173"/>
      <c r="H612" s="170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</row>
    <row r="613" ht="14.25" customHeight="1">
      <c r="A613" s="171"/>
      <c r="B613" s="282"/>
      <c r="C613" s="171"/>
      <c r="D613" s="78"/>
      <c r="E613" s="78"/>
      <c r="F613" s="171"/>
      <c r="G613" s="173"/>
      <c r="H613" s="170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</row>
    <row r="614" ht="14.25" customHeight="1">
      <c r="A614" s="171"/>
      <c r="B614" s="282"/>
      <c r="C614" s="171"/>
      <c r="D614" s="78"/>
      <c r="E614" s="78"/>
      <c r="F614" s="171"/>
      <c r="G614" s="173"/>
      <c r="H614" s="170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</row>
    <row r="615" ht="14.25" customHeight="1">
      <c r="A615" s="171"/>
      <c r="B615" s="282"/>
      <c r="C615" s="171"/>
      <c r="D615" s="78"/>
      <c r="E615" s="78"/>
      <c r="F615" s="171"/>
      <c r="G615" s="173"/>
      <c r="H615" s="170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</row>
    <row r="616" ht="14.25" customHeight="1">
      <c r="A616" s="171"/>
      <c r="B616" s="282"/>
      <c r="C616" s="171"/>
      <c r="D616" s="78"/>
      <c r="E616" s="78"/>
      <c r="F616" s="171"/>
      <c r="G616" s="173"/>
      <c r="H616" s="170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</row>
    <row r="617" ht="14.25" customHeight="1">
      <c r="A617" s="171"/>
      <c r="B617" s="282"/>
      <c r="C617" s="171"/>
      <c r="D617" s="78"/>
      <c r="E617" s="78"/>
      <c r="F617" s="171"/>
      <c r="G617" s="173"/>
      <c r="H617" s="170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</row>
    <row r="618" ht="14.25" customHeight="1">
      <c r="A618" s="171"/>
      <c r="B618" s="282"/>
      <c r="C618" s="171"/>
      <c r="D618" s="78"/>
      <c r="E618" s="78"/>
      <c r="F618" s="171"/>
      <c r="G618" s="173"/>
      <c r="H618" s="170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</row>
    <row r="619" ht="14.25" customHeight="1">
      <c r="A619" s="171"/>
      <c r="B619" s="282"/>
      <c r="C619" s="171"/>
      <c r="D619" s="78"/>
      <c r="E619" s="78"/>
      <c r="F619" s="171"/>
      <c r="G619" s="173"/>
      <c r="H619" s="170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</row>
    <row r="620" ht="14.25" customHeight="1">
      <c r="A620" s="171"/>
      <c r="B620" s="282"/>
      <c r="C620" s="171"/>
      <c r="D620" s="78"/>
      <c r="E620" s="78"/>
      <c r="F620" s="171"/>
      <c r="G620" s="173"/>
      <c r="H620" s="170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</row>
    <row r="621" ht="14.25" customHeight="1">
      <c r="A621" s="171"/>
      <c r="B621" s="282"/>
      <c r="C621" s="171"/>
      <c r="D621" s="78"/>
      <c r="E621" s="78"/>
      <c r="F621" s="171"/>
      <c r="G621" s="173"/>
      <c r="H621" s="170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</row>
    <row r="622" ht="14.25" customHeight="1">
      <c r="A622" s="171"/>
      <c r="B622" s="282"/>
      <c r="C622" s="171"/>
      <c r="D622" s="78"/>
      <c r="E622" s="78"/>
      <c r="F622" s="171"/>
      <c r="G622" s="173"/>
      <c r="H622" s="170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</row>
    <row r="623" ht="14.25" customHeight="1">
      <c r="A623" s="171"/>
      <c r="B623" s="282"/>
      <c r="C623" s="171"/>
      <c r="D623" s="78"/>
      <c r="E623" s="78"/>
      <c r="F623" s="171"/>
      <c r="G623" s="173"/>
      <c r="H623" s="170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</row>
    <row r="624" ht="14.25" customHeight="1">
      <c r="A624" s="171"/>
      <c r="B624" s="282"/>
      <c r="C624" s="171"/>
      <c r="D624" s="78"/>
      <c r="E624" s="78"/>
      <c r="F624" s="171"/>
      <c r="G624" s="173"/>
      <c r="H624" s="170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</row>
    <row r="625" ht="14.25" customHeight="1">
      <c r="A625" s="171"/>
      <c r="B625" s="282"/>
      <c r="C625" s="171"/>
      <c r="D625" s="78"/>
      <c r="E625" s="78"/>
      <c r="F625" s="171"/>
      <c r="G625" s="173"/>
      <c r="H625" s="170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</row>
    <row r="626" ht="14.25" customHeight="1">
      <c r="A626" s="171"/>
      <c r="B626" s="282"/>
      <c r="C626" s="171"/>
      <c r="D626" s="78"/>
      <c r="E626" s="78"/>
      <c r="F626" s="171"/>
      <c r="G626" s="173"/>
      <c r="H626" s="170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</row>
    <row r="627" ht="14.25" customHeight="1">
      <c r="A627" s="171"/>
      <c r="B627" s="282"/>
      <c r="C627" s="171"/>
      <c r="D627" s="78"/>
      <c r="E627" s="78"/>
      <c r="F627" s="171"/>
      <c r="G627" s="173"/>
      <c r="H627" s="170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</row>
    <row r="628" ht="14.25" customHeight="1">
      <c r="A628" s="171"/>
      <c r="B628" s="282"/>
      <c r="C628" s="171"/>
      <c r="D628" s="78"/>
      <c r="E628" s="78"/>
      <c r="F628" s="171"/>
      <c r="G628" s="173"/>
      <c r="H628" s="170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</row>
    <row r="629" ht="14.25" customHeight="1">
      <c r="A629" s="171"/>
      <c r="B629" s="282"/>
      <c r="C629" s="171"/>
      <c r="D629" s="78"/>
      <c r="E629" s="78"/>
      <c r="F629" s="171"/>
      <c r="G629" s="173"/>
      <c r="H629" s="170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</row>
    <row r="630" ht="14.25" customHeight="1">
      <c r="A630" s="171"/>
      <c r="B630" s="282"/>
      <c r="C630" s="171"/>
      <c r="D630" s="78"/>
      <c r="E630" s="78"/>
      <c r="F630" s="171"/>
      <c r="G630" s="173"/>
      <c r="H630" s="170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</row>
    <row r="631" ht="14.25" customHeight="1">
      <c r="A631" s="171"/>
      <c r="B631" s="282"/>
      <c r="C631" s="171"/>
      <c r="D631" s="78"/>
      <c r="E631" s="78"/>
      <c r="F631" s="171"/>
      <c r="G631" s="173"/>
      <c r="H631" s="170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</row>
    <row r="632" ht="14.25" customHeight="1">
      <c r="A632" s="171"/>
      <c r="B632" s="282"/>
      <c r="C632" s="171"/>
      <c r="D632" s="78"/>
      <c r="E632" s="78"/>
      <c r="F632" s="171"/>
      <c r="G632" s="173"/>
      <c r="H632" s="170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</row>
    <row r="633" ht="14.25" customHeight="1">
      <c r="A633" s="171"/>
      <c r="B633" s="282"/>
      <c r="C633" s="171"/>
      <c r="D633" s="78"/>
      <c r="E633" s="78"/>
      <c r="F633" s="171"/>
      <c r="G633" s="173"/>
      <c r="H633" s="170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</row>
    <row r="634" ht="14.25" customHeight="1">
      <c r="A634" s="171"/>
      <c r="B634" s="282"/>
      <c r="C634" s="171"/>
      <c r="D634" s="78"/>
      <c r="E634" s="78"/>
      <c r="F634" s="171"/>
      <c r="G634" s="173"/>
      <c r="H634" s="170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</row>
    <row r="635" ht="14.25" customHeight="1">
      <c r="A635" s="171"/>
      <c r="B635" s="282"/>
      <c r="C635" s="171"/>
      <c r="D635" s="78"/>
      <c r="E635" s="78"/>
      <c r="F635" s="171"/>
      <c r="G635" s="173"/>
      <c r="H635" s="170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</row>
    <row r="636" ht="14.25" customHeight="1">
      <c r="A636" s="171"/>
      <c r="B636" s="282"/>
      <c r="C636" s="171"/>
      <c r="D636" s="78"/>
      <c r="E636" s="78"/>
      <c r="F636" s="171"/>
      <c r="G636" s="173"/>
      <c r="H636" s="170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</row>
    <row r="637" ht="14.25" customHeight="1">
      <c r="A637" s="171"/>
      <c r="B637" s="282"/>
      <c r="C637" s="171"/>
      <c r="D637" s="78"/>
      <c r="E637" s="78"/>
      <c r="F637" s="171"/>
      <c r="G637" s="173"/>
      <c r="H637" s="170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</row>
    <row r="638" ht="14.25" customHeight="1">
      <c r="A638" s="171"/>
      <c r="B638" s="282"/>
      <c r="C638" s="171"/>
      <c r="D638" s="78"/>
      <c r="E638" s="78"/>
      <c r="F638" s="171"/>
      <c r="G638" s="173"/>
      <c r="H638" s="170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</row>
    <row r="639" ht="14.25" customHeight="1">
      <c r="A639" s="171"/>
      <c r="B639" s="282"/>
      <c r="C639" s="171"/>
      <c r="D639" s="78"/>
      <c r="E639" s="78"/>
      <c r="F639" s="171"/>
      <c r="G639" s="173"/>
      <c r="H639" s="170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</row>
    <row r="640" ht="14.25" customHeight="1">
      <c r="A640" s="171"/>
      <c r="B640" s="282"/>
      <c r="C640" s="171"/>
      <c r="D640" s="78"/>
      <c r="E640" s="78"/>
      <c r="F640" s="171"/>
      <c r="G640" s="173"/>
      <c r="H640" s="170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</row>
    <row r="641" ht="14.25" customHeight="1">
      <c r="A641" s="171"/>
      <c r="B641" s="282"/>
      <c r="C641" s="171"/>
      <c r="D641" s="78"/>
      <c r="E641" s="78"/>
      <c r="F641" s="171"/>
      <c r="G641" s="173"/>
      <c r="H641" s="170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</row>
    <row r="642" ht="14.25" customHeight="1">
      <c r="A642" s="171"/>
      <c r="B642" s="282"/>
      <c r="C642" s="171"/>
      <c r="D642" s="78"/>
      <c r="E642" s="78"/>
      <c r="F642" s="171"/>
      <c r="G642" s="173"/>
      <c r="H642" s="170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</row>
    <row r="643" ht="14.25" customHeight="1">
      <c r="A643" s="171"/>
      <c r="B643" s="282"/>
      <c r="C643" s="171"/>
      <c r="D643" s="78"/>
      <c r="E643" s="78"/>
      <c r="F643" s="171"/>
      <c r="G643" s="173"/>
      <c r="H643" s="170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</row>
    <row r="644" ht="14.25" customHeight="1">
      <c r="A644" s="171"/>
      <c r="B644" s="282"/>
      <c r="C644" s="171"/>
      <c r="D644" s="78"/>
      <c r="E644" s="78"/>
      <c r="F644" s="171"/>
      <c r="G644" s="173"/>
      <c r="H644" s="170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</row>
    <row r="645" ht="14.25" customHeight="1">
      <c r="A645" s="171"/>
      <c r="B645" s="282"/>
      <c r="C645" s="171"/>
      <c r="D645" s="78"/>
      <c r="E645" s="78"/>
      <c r="F645" s="171"/>
      <c r="G645" s="173"/>
      <c r="H645" s="170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</row>
    <row r="646" ht="14.25" customHeight="1">
      <c r="A646" s="171"/>
      <c r="B646" s="282"/>
      <c r="C646" s="171"/>
      <c r="D646" s="78"/>
      <c r="E646" s="78"/>
      <c r="F646" s="171"/>
      <c r="G646" s="173"/>
      <c r="H646" s="170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</row>
    <row r="647" ht="14.25" customHeight="1">
      <c r="A647" s="171"/>
      <c r="B647" s="282"/>
      <c r="C647" s="171"/>
      <c r="D647" s="78"/>
      <c r="E647" s="78"/>
      <c r="F647" s="171"/>
      <c r="G647" s="173"/>
      <c r="H647" s="170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</row>
    <row r="648" ht="14.25" customHeight="1">
      <c r="A648" s="171"/>
      <c r="B648" s="282"/>
      <c r="C648" s="171"/>
      <c r="D648" s="78"/>
      <c r="E648" s="78"/>
      <c r="F648" s="171"/>
      <c r="G648" s="173"/>
      <c r="H648" s="170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</row>
    <row r="649" ht="14.25" customHeight="1">
      <c r="A649" s="171"/>
      <c r="B649" s="282"/>
      <c r="C649" s="171"/>
      <c r="D649" s="78"/>
      <c r="E649" s="78"/>
      <c r="F649" s="171"/>
      <c r="G649" s="173"/>
      <c r="H649" s="170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</row>
    <row r="650" ht="14.25" customHeight="1">
      <c r="A650" s="171"/>
      <c r="B650" s="282"/>
      <c r="C650" s="171"/>
      <c r="D650" s="78"/>
      <c r="E650" s="78"/>
      <c r="F650" s="171"/>
      <c r="G650" s="173"/>
      <c r="H650" s="170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</row>
    <row r="651" ht="14.25" customHeight="1">
      <c r="A651" s="171"/>
      <c r="B651" s="282"/>
      <c r="C651" s="171"/>
      <c r="D651" s="78"/>
      <c r="E651" s="78"/>
      <c r="F651" s="171"/>
      <c r="G651" s="173"/>
      <c r="H651" s="170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</row>
    <row r="652" ht="14.25" customHeight="1">
      <c r="A652" s="171"/>
      <c r="B652" s="282"/>
      <c r="C652" s="171"/>
      <c r="D652" s="78"/>
      <c r="E652" s="78"/>
      <c r="F652" s="171"/>
      <c r="G652" s="173"/>
      <c r="H652" s="170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</row>
    <row r="653" ht="14.25" customHeight="1">
      <c r="A653" s="171"/>
      <c r="B653" s="282"/>
      <c r="C653" s="171"/>
      <c r="D653" s="78"/>
      <c r="E653" s="78"/>
      <c r="F653" s="171"/>
      <c r="G653" s="173"/>
      <c r="H653" s="170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</row>
    <row r="654" ht="14.25" customHeight="1">
      <c r="A654" s="171"/>
      <c r="B654" s="282"/>
      <c r="C654" s="171"/>
      <c r="D654" s="78"/>
      <c r="E654" s="78"/>
      <c r="F654" s="171"/>
      <c r="G654" s="173"/>
      <c r="H654" s="170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</row>
    <row r="655" ht="14.25" customHeight="1">
      <c r="A655" s="171"/>
      <c r="B655" s="282"/>
      <c r="C655" s="171"/>
      <c r="D655" s="78"/>
      <c r="E655" s="78"/>
      <c r="F655" s="171"/>
      <c r="G655" s="173"/>
      <c r="H655" s="170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</row>
    <row r="656" ht="14.25" customHeight="1">
      <c r="A656" s="171"/>
      <c r="B656" s="282"/>
      <c r="C656" s="171"/>
      <c r="D656" s="78"/>
      <c r="E656" s="78"/>
      <c r="F656" s="171"/>
      <c r="G656" s="173"/>
      <c r="H656" s="170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</row>
    <row r="657" ht="14.25" customHeight="1">
      <c r="A657" s="171"/>
      <c r="B657" s="282"/>
      <c r="C657" s="171"/>
      <c r="D657" s="78"/>
      <c r="E657" s="78"/>
      <c r="F657" s="171"/>
      <c r="G657" s="173"/>
      <c r="H657" s="170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</row>
    <row r="658" ht="14.25" customHeight="1">
      <c r="A658" s="171"/>
      <c r="B658" s="282"/>
      <c r="C658" s="171"/>
      <c r="D658" s="78"/>
      <c r="E658" s="78"/>
      <c r="F658" s="171"/>
      <c r="G658" s="173"/>
      <c r="H658" s="170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</row>
    <row r="659" ht="14.25" customHeight="1">
      <c r="A659" s="171"/>
      <c r="B659" s="282"/>
      <c r="C659" s="171"/>
      <c r="D659" s="78"/>
      <c r="E659" s="78"/>
      <c r="F659" s="171"/>
      <c r="G659" s="173"/>
      <c r="H659" s="170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</row>
    <row r="660" ht="14.25" customHeight="1">
      <c r="A660" s="171"/>
      <c r="B660" s="282"/>
      <c r="C660" s="171"/>
      <c r="D660" s="78"/>
      <c r="E660" s="78"/>
      <c r="F660" s="171"/>
      <c r="G660" s="173"/>
      <c r="H660" s="170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</row>
    <row r="661" ht="14.25" customHeight="1">
      <c r="A661" s="171"/>
      <c r="B661" s="282"/>
      <c r="C661" s="171"/>
      <c r="D661" s="78"/>
      <c r="E661" s="78"/>
      <c r="F661" s="171"/>
      <c r="G661" s="173"/>
      <c r="H661" s="170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</row>
    <row r="662" ht="14.25" customHeight="1">
      <c r="A662" s="171"/>
      <c r="B662" s="282"/>
      <c r="C662" s="171"/>
      <c r="D662" s="78"/>
      <c r="E662" s="78"/>
      <c r="F662" s="171"/>
      <c r="G662" s="173"/>
      <c r="H662" s="170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</row>
    <row r="663" ht="14.25" customHeight="1">
      <c r="A663" s="171"/>
      <c r="B663" s="282"/>
      <c r="C663" s="171"/>
      <c r="D663" s="78"/>
      <c r="E663" s="78"/>
      <c r="F663" s="171"/>
      <c r="G663" s="173"/>
      <c r="H663" s="170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</row>
    <row r="664" ht="14.25" customHeight="1">
      <c r="A664" s="171"/>
      <c r="B664" s="282"/>
      <c r="C664" s="171"/>
      <c r="D664" s="78"/>
      <c r="E664" s="78"/>
      <c r="F664" s="171"/>
      <c r="G664" s="173"/>
      <c r="H664" s="170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</row>
    <row r="665" ht="14.25" customHeight="1">
      <c r="A665" s="171"/>
      <c r="B665" s="282"/>
      <c r="C665" s="171"/>
      <c r="D665" s="78"/>
      <c r="E665" s="78"/>
      <c r="F665" s="171"/>
      <c r="G665" s="173"/>
      <c r="H665" s="170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</row>
    <row r="666" ht="14.25" customHeight="1">
      <c r="A666" s="171"/>
      <c r="B666" s="282"/>
      <c r="C666" s="171"/>
      <c r="D666" s="78"/>
      <c r="E666" s="78"/>
      <c r="F666" s="171"/>
      <c r="G666" s="173"/>
      <c r="H666" s="170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</row>
    <row r="667" ht="14.25" customHeight="1">
      <c r="A667" s="171"/>
      <c r="B667" s="282"/>
      <c r="C667" s="171"/>
      <c r="D667" s="78"/>
      <c r="E667" s="78"/>
      <c r="F667" s="171"/>
      <c r="G667" s="173"/>
      <c r="H667" s="170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</row>
    <row r="668" ht="14.25" customHeight="1">
      <c r="A668" s="171"/>
      <c r="B668" s="282"/>
      <c r="C668" s="171"/>
      <c r="D668" s="78"/>
      <c r="E668" s="78"/>
      <c r="F668" s="171"/>
      <c r="G668" s="173"/>
      <c r="H668" s="170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</row>
    <row r="669" ht="14.25" customHeight="1">
      <c r="A669" s="171"/>
      <c r="B669" s="282"/>
      <c r="C669" s="171"/>
      <c r="D669" s="78"/>
      <c r="E669" s="78"/>
      <c r="F669" s="171"/>
      <c r="G669" s="173"/>
      <c r="H669" s="170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</row>
    <row r="670" ht="14.25" customHeight="1">
      <c r="A670" s="171"/>
      <c r="B670" s="282"/>
      <c r="C670" s="171"/>
      <c r="D670" s="78"/>
      <c r="E670" s="78"/>
      <c r="F670" s="171"/>
      <c r="G670" s="173"/>
      <c r="H670" s="170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</row>
    <row r="671" ht="14.25" customHeight="1">
      <c r="A671" s="171"/>
      <c r="B671" s="282"/>
      <c r="C671" s="171"/>
      <c r="D671" s="78"/>
      <c r="E671" s="78"/>
      <c r="F671" s="171"/>
      <c r="G671" s="173"/>
      <c r="H671" s="170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</row>
    <row r="672" ht="14.25" customHeight="1">
      <c r="A672" s="171"/>
      <c r="B672" s="282"/>
      <c r="C672" s="171"/>
      <c r="D672" s="78"/>
      <c r="E672" s="78"/>
      <c r="F672" s="171"/>
      <c r="G672" s="173"/>
      <c r="H672" s="170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</row>
    <row r="673" ht="14.25" customHeight="1">
      <c r="A673" s="171"/>
      <c r="B673" s="282"/>
      <c r="C673" s="171"/>
      <c r="D673" s="78"/>
      <c r="E673" s="78"/>
      <c r="F673" s="171"/>
      <c r="G673" s="173"/>
      <c r="H673" s="170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</row>
    <row r="674" ht="14.25" customHeight="1">
      <c r="A674" s="171"/>
      <c r="B674" s="282"/>
      <c r="C674" s="171"/>
      <c r="D674" s="78"/>
      <c r="E674" s="78"/>
      <c r="F674" s="171"/>
      <c r="G674" s="173"/>
      <c r="H674" s="170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</row>
    <row r="675" ht="14.25" customHeight="1">
      <c r="A675" s="171"/>
      <c r="B675" s="282"/>
      <c r="C675" s="171"/>
      <c r="D675" s="78"/>
      <c r="E675" s="78"/>
      <c r="F675" s="171"/>
      <c r="G675" s="173"/>
      <c r="H675" s="170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</row>
    <row r="676" ht="14.25" customHeight="1">
      <c r="A676" s="171"/>
      <c r="B676" s="282"/>
      <c r="C676" s="171"/>
      <c r="D676" s="78"/>
      <c r="E676" s="78"/>
      <c r="F676" s="171"/>
      <c r="G676" s="173"/>
      <c r="H676" s="170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</row>
    <row r="677" ht="14.25" customHeight="1">
      <c r="A677" s="171"/>
      <c r="B677" s="282"/>
      <c r="C677" s="171"/>
      <c r="D677" s="78"/>
      <c r="E677" s="78"/>
      <c r="F677" s="171"/>
      <c r="G677" s="173"/>
      <c r="H677" s="170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</row>
    <row r="678" ht="14.25" customHeight="1">
      <c r="A678" s="171"/>
      <c r="B678" s="282"/>
      <c r="C678" s="171"/>
      <c r="D678" s="78"/>
      <c r="E678" s="78"/>
      <c r="F678" s="171"/>
      <c r="G678" s="173"/>
      <c r="H678" s="170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</row>
    <row r="679" ht="14.25" customHeight="1">
      <c r="A679" s="171"/>
      <c r="B679" s="282"/>
      <c r="C679" s="171"/>
      <c r="D679" s="78"/>
      <c r="E679" s="78"/>
      <c r="F679" s="171"/>
      <c r="G679" s="173"/>
      <c r="H679" s="170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</row>
    <row r="680" ht="14.25" customHeight="1">
      <c r="A680" s="171"/>
      <c r="B680" s="282"/>
      <c r="C680" s="171"/>
      <c r="D680" s="78"/>
      <c r="E680" s="78"/>
      <c r="F680" s="171"/>
      <c r="G680" s="173"/>
      <c r="H680" s="170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</row>
    <row r="681" ht="14.25" customHeight="1">
      <c r="A681" s="171"/>
      <c r="B681" s="282"/>
      <c r="C681" s="171"/>
      <c r="D681" s="78"/>
      <c r="E681" s="78"/>
      <c r="F681" s="171"/>
      <c r="G681" s="173"/>
      <c r="H681" s="170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</row>
    <row r="682" ht="14.25" customHeight="1">
      <c r="A682" s="171"/>
      <c r="B682" s="282"/>
      <c r="C682" s="171"/>
      <c r="D682" s="78"/>
      <c r="E682" s="78"/>
      <c r="F682" s="171"/>
      <c r="G682" s="173"/>
      <c r="H682" s="170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</row>
    <row r="683" ht="14.25" customHeight="1">
      <c r="A683" s="171"/>
      <c r="B683" s="282"/>
      <c r="C683" s="171"/>
      <c r="D683" s="78"/>
      <c r="E683" s="78"/>
      <c r="F683" s="171"/>
      <c r="G683" s="173"/>
      <c r="H683" s="170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</row>
    <row r="684" ht="14.25" customHeight="1">
      <c r="A684" s="171"/>
      <c r="B684" s="282"/>
      <c r="C684" s="171"/>
      <c r="D684" s="78"/>
      <c r="E684" s="78"/>
      <c r="F684" s="171"/>
      <c r="G684" s="173"/>
      <c r="H684" s="170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</row>
    <row r="685" ht="14.25" customHeight="1">
      <c r="A685" s="171"/>
      <c r="B685" s="282"/>
      <c r="C685" s="171"/>
      <c r="D685" s="78"/>
      <c r="E685" s="78"/>
      <c r="F685" s="171"/>
      <c r="G685" s="173"/>
      <c r="H685" s="170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</row>
    <row r="686" ht="14.25" customHeight="1">
      <c r="A686" s="171"/>
      <c r="B686" s="282"/>
      <c r="C686" s="171"/>
      <c r="D686" s="78"/>
      <c r="E686" s="78"/>
      <c r="F686" s="171"/>
      <c r="G686" s="173"/>
      <c r="H686" s="170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</row>
    <row r="687" ht="14.25" customHeight="1">
      <c r="A687" s="171"/>
      <c r="B687" s="282"/>
      <c r="C687" s="171"/>
      <c r="D687" s="78"/>
      <c r="E687" s="78"/>
      <c r="F687" s="171"/>
      <c r="G687" s="173"/>
      <c r="H687" s="170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</row>
    <row r="688" ht="14.25" customHeight="1">
      <c r="A688" s="171"/>
      <c r="B688" s="282"/>
      <c r="C688" s="171"/>
      <c r="D688" s="78"/>
      <c r="E688" s="78"/>
      <c r="F688" s="171"/>
      <c r="G688" s="173"/>
      <c r="H688" s="170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</row>
    <row r="689" ht="14.25" customHeight="1">
      <c r="A689" s="171"/>
      <c r="B689" s="282"/>
      <c r="C689" s="171"/>
      <c r="D689" s="78"/>
      <c r="E689" s="78"/>
      <c r="F689" s="171"/>
      <c r="G689" s="173"/>
      <c r="H689" s="170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</row>
    <row r="690" ht="14.25" customHeight="1">
      <c r="A690" s="171"/>
      <c r="B690" s="282"/>
      <c r="C690" s="171"/>
      <c r="D690" s="78"/>
      <c r="E690" s="78"/>
      <c r="F690" s="171"/>
      <c r="G690" s="173"/>
      <c r="H690" s="170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</row>
    <row r="691" ht="14.25" customHeight="1">
      <c r="A691" s="171"/>
      <c r="B691" s="282"/>
      <c r="C691" s="171"/>
      <c r="D691" s="78"/>
      <c r="E691" s="78"/>
      <c r="F691" s="171"/>
      <c r="G691" s="173"/>
      <c r="H691" s="170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</row>
    <row r="692" ht="14.25" customHeight="1">
      <c r="A692" s="171"/>
      <c r="B692" s="282"/>
      <c r="C692" s="171"/>
      <c r="D692" s="78"/>
      <c r="E692" s="78"/>
      <c r="F692" s="171"/>
      <c r="G692" s="173"/>
      <c r="H692" s="170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</row>
    <row r="693" ht="14.25" customHeight="1">
      <c r="A693" s="171"/>
      <c r="B693" s="282"/>
      <c r="C693" s="171"/>
      <c r="D693" s="78"/>
      <c r="E693" s="78"/>
      <c r="F693" s="171"/>
      <c r="G693" s="173"/>
      <c r="H693" s="170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</row>
    <row r="694" ht="14.25" customHeight="1">
      <c r="A694" s="171"/>
      <c r="B694" s="282"/>
      <c r="C694" s="171"/>
      <c r="D694" s="78"/>
      <c r="E694" s="78"/>
      <c r="F694" s="171"/>
      <c r="G694" s="173"/>
      <c r="H694" s="170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</row>
    <row r="695" ht="14.25" customHeight="1">
      <c r="A695" s="171"/>
      <c r="B695" s="282"/>
      <c r="C695" s="171"/>
      <c r="D695" s="78"/>
      <c r="E695" s="78"/>
      <c r="F695" s="171"/>
      <c r="G695" s="173"/>
      <c r="H695" s="170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</row>
    <row r="696" ht="14.25" customHeight="1">
      <c r="A696" s="171"/>
      <c r="B696" s="282"/>
      <c r="C696" s="171"/>
      <c r="D696" s="78"/>
      <c r="E696" s="78"/>
      <c r="F696" s="171"/>
      <c r="G696" s="173"/>
      <c r="H696" s="170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</row>
    <row r="697" ht="14.25" customHeight="1">
      <c r="A697" s="171"/>
      <c r="B697" s="282"/>
      <c r="C697" s="171"/>
      <c r="D697" s="78"/>
      <c r="E697" s="78"/>
      <c r="F697" s="171"/>
      <c r="G697" s="173"/>
      <c r="H697" s="170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</row>
    <row r="698" ht="14.25" customHeight="1">
      <c r="A698" s="171"/>
      <c r="B698" s="282"/>
      <c r="C698" s="171"/>
      <c r="D698" s="78"/>
      <c r="E698" s="78"/>
      <c r="F698" s="171"/>
      <c r="G698" s="173"/>
      <c r="H698" s="170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</row>
    <row r="699" ht="14.25" customHeight="1">
      <c r="A699" s="171"/>
      <c r="B699" s="282"/>
      <c r="C699" s="171"/>
      <c r="D699" s="78"/>
      <c r="E699" s="78"/>
      <c r="F699" s="171"/>
      <c r="G699" s="173"/>
      <c r="H699" s="170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</row>
    <row r="700" ht="14.25" customHeight="1">
      <c r="A700" s="171"/>
      <c r="B700" s="282"/>
      <c r="C700" s="171"/>
      <c r="D700" s="78"/>
      <c r="E700" s="78"/>
      <c r="F700" s="171"/>
      <c r="G700" s="173"/>
      <c r="H700" s="170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</row>
    <row r="701" ht="14.25" customHeight="1">
      <c r="A701" s="171"/>
      <c r="B701" s="282"/>
      <c r="C701" s="171"/>
      <c r="D701" s="78"/>
      <c r="E701" s="78"/>
      <c r="F701" s="171"/>
      <c r="G701" s="173"/>
      <c r="H701" s="170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</row>
    <row r="702" ht="14.25" customHeight="1">
      <c r="A702" s="171"/>
      <c r="B702" s="282"/>
      <c r="C702" s="171"/>
      <c r="D702" s="78"/>
      <c r="E702" s="78"/>
      <c r="F702" s="171"/>
      <c r="G702" s="173"/>
      <c r="H702" s="170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</row>
    <row r="703" ht="14.25" customHeight="1">
      <c r="A703" s="171"/>
      <c r="B703" s="282"/>
      <c r="C703" s="171"/>
      <c r="D703" s="78"/>
      <c r="E703" s="78"/>
      <c r="F703" s="171"/>
      <c r="G703" s="173"/>
      <c r="H703" s="170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</row>
    <row r="704" ht="14.25" customHeight="1">
      <c r="A704" s="171"/>
      <c r="B704" s="282"/>
      <c r="C704" s="171"/>
      <c r="D704" s="78"/>
      <c r="E704" s="78"/>
      <c r="F704" s="171"/>
      <c r="G704" s="173"/>
      <c r="H704" s="170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</row>
    <row r="705" ht="14.25" customHeight="1">
      <c r="A705" s="171"/>
      <c r="B705" s="282"/>
      <c r="C705" s="171"/>
      <c r="D705" s="78"/>
      <c r="E705" s="78"/>
      <c r="F705" s="171"/>
      <c r="G705" s="173"/>
      <c r="H705" s="170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</row>
    <row r="706" ht="14.25" customHeight="1">
      <c r="A706" s="171"/>
      <c r="B706" s="282"/>
      <c r="C706" s="171"/>
      <c r="D706" s="78"/>
      <c r="E706" s="78"/>
      <c r="F706" s="171"/>
      <c r="G706" s="173"/>
      <c r="H706" s="170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</row>
    <row r="707" ht="14.25" customHeight="1">
      <c r="A707" s="171"/>
      <c r="B707" s="282"/>
      <c r="C707" s="171"/>
      <c r="D707" s="78"/>
      <c r="E707" s="78"/>
      <c r="F707" s="171"/>
      <c r="G707" s="173"/>
      <c r="H707" s="170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</row>
    <row r="708" ht="14.25" customHeight="1">
      <c r="A708" s="171"/>
      <c r="B708" s="282"/>
      <c r="C708" s="171"/>
      <c r="D708" s="78"/>
      <c r="E708" s="78"/>
      <c r="F708" s="171"/>
      <c r="G708" s="173"/>
      <c r="H708" s="170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</row>
    <row r="709" ht="14.25" customHeight="1">
      <c r="A709" s="171"/>
      <c r="B709" s="282"/>
      <c r="C709" s="171"/>
      <c r="D709" s="78"/>
      <c r="E709" s="78"/>
      <c r="F709" s="171"/>
      <c r="G709" s="173"/>
      <c r="H709" s="170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</row>
    <row r="710" ht="14.25" customHeight="1">
      <c r="A710" s="171"/>
      <c r="B710" s="282"/>
      <c r="C710" s="171"/>
      <c r="D710" s="78"/>
      <c r="E710" s="78"/>
      <c r="F710" s="171"/>
      <c r="G710" s="173"/>
      <c r="H710" s="170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</row>
    <row r="711" ht="14.25" customHeight="1">
      <c r="A711" s="171"/>
      <c r="B711" s="282"/>
      <c r="C711" s="171"/>
      <c r="D711" s="78"/>
      <c r="E711" s="78"/>
      <c r="F711" s="171"/>
      <c r="G711" s="173"/>
      <c r="H711" s="170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</row>
    <row r="712" ht="14.25" customHeight="1">
      <c r="A712" s="171"/>
      <c r="B712" s="282"/>
      <c r="C712" s="171"/>
      <c r="D712" s="78"/>
      <c r="E712" s="78"/>
      <c r="F712" s="171"/>
      <c r="G712" s="173"/>
      <c r="H712" s="170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</row>
    <row r="713" ht="14.25" customHeight="1">
      <c r="A713" s="171"/>
      <c r="B713" s="282"/>
      <c r="C713" s="171"/>
      <c r="D713" s="78"/>
      <c r="E713" s="78"/>
      <c r="F713" s="171"/>
      <c r="G713" s="173"/>
      <c r="H713" s="170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</row>
    <row r="714" ht="14.25" customHeight="1">
      <c r="A714" s="171"/>
      <c r="B714" s="282"/>
      <c r="C714" s="171"/>
      <c r="D714" s="78"/>
      <c r="E714" s="78"/>
      <c r="F714" s="171"/>
      <c r="G714" s="173"/>
      <c r="H714" s="170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</row>
    <row r="715" ht="14.25" customHeight="1">
      <c r="A715" s="171"/>
      <c r="B715" s="282"/>
      <c r="C715" s="171"/>
      <c r="D715" s="78"/>
      <c r="E715" s="78"/>
      <c r="F715" s="171"/>
      <c r="G715" s="173"/>
      <c r="H715" s="170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</row>
    <row r="716" ht="14.25" customHeight="1">
      <c r="A716" s="171"/>
      <c r="B716" s="282"/>
      <c r="C716" s="171"/>
      <c r="D716" s="78"/>
      <c r="E716" s="78"/>
      <c r="F716" s="171"/>
      <c r="G716" s="173"/>
      <c r="H716" s="170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</row>
    <row r="717" ht="14.25" customHeight="1">
      <c r="A717" s="171"/>
      <c r="B717" s="282"/>
      <c r="C717" s="171"/>
      <c r="D717" s="78"/>
      <c r="E717" s="78"/>
      <c r="F717" s="171"/>
      <c r="G717" s="173"/>
      <c r="H717" s="170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</row>
    <row r="718" ht="14.25" customHeight="1">
      <c r="A718" s="171"/>
      <c r="B718" s="282"/>
      <c r="C718" s="171"/>
      <c r="D718" s="78"/>
      <c r="E718" s="78"/>
      <c r="F718" s="171"/>
      <c r="G718" s="173"/>
      <c r="H718" s="170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</row>
    <row r="719" ht="14.25" customHeight="1">
      <c r="A719" s="171"/>
      <c r="B719" s="282"/>
      <c r="C719" s="171"/>
      <c r="D719" s="78"/>
      <c r="E719" s="78"/>
      <c r="F719" s="171"/>
      <c r="G719" s="173"/>
      <c r="H719" s="170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</row>
    <row r="720" ht="14.25" customHeight="1">
      <c r="A720" s="171"/>
      <c r="B720" s="282"/>
      <c r="C720" s="171"/>
      <c r="D720" s="78"/>
      <c r="E720" s="78"/>
      <c r="F720" s="171"/>
      <c r="G720" s="173"/>
      <c r="H720" s="170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</row>
    <row r="721" ht="14.25" customHeight="1">
      <c r="A721" s="171"/>
      <c r="B721" s="282"/>
      <c r="C721" s="171"/>
      <c r="D721" s="78"/>
      <c r="E721" s="78"/>
      <c r="F721" s="171"/>
      <c r="G721" s="173"/>
      <c r="H721" s="170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</row>
    <row r="722" ht="14.25" customHeight="1">
      <c r="A722" s="171"/>
      <c r="B722" s="282"/>
      <c r="C722" s="171"/>
      <c r="D722" s="78"/>
      <c r="E722" s="78"/>
      <c r="F722" s="171"/>
      <c r="G722" s="173"/>
      <c r="H722" s="170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</row>
    <row r="723" ht="14.25" customHeight="1">
      <c r="A723" s="171"/>
      <c r="B723" s="282"/>
      <c r="C723" s="171"/>
      <c r="D723" s="78"/>
      <c r="E723" s="78"/>
      <c r="F723" s="171"/>
      <c r="G723" s="173"/>
      <c r="H723" s="170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</row>
    <row r="724" ht="14.25" customHeight="1">
      <c r="A724" s="171"/>
      <c r="B724" s="282"/>
      <c r="C724" s="171"/>
      <c r="D724" s="78"/>
      <c r="E724" s="78"/>
      <c r="F724" s="171"/>
      <c r="G724" s="173"/>
      <c r="H724" s="170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</row>
    <row r="725" ht="14.25" customHeight="1">
      <c r="A725" s="171"/>
      <c r="B725" s="282"/>
      <c r="C725" s="171"/>
      <c r="D725" s="78"/>
      <c r="E725" s="78"/>
      <c r="F725" s="171"/>
      <c r="G725" s="173"/>
      <c r="H725" s="170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</row>
    <row r="726" ht="14.25" customHeight="1">
      <c r="A726" s="171"/>
      <c r="B726" s="282"/>
      <c r="C726" s="171"/>
      <c r="D726" s="78"/>
      <c r="E726" s="78"/>
      <c r="F726" s="171"/>
      <c r="G726" s="173"/>
      <c r="H726" s="170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</row>
    <row r="727" ht="14.25" customHeight="1">
      <c r="A727" s="171"/>
      <c r="B727" s="282"/>
      <c r="C727" s="171"/>
      <c r="D727" s="78"/>
      <c r="E727" s="78"/>
      <c r="F727" s="171"/>
      <c r="G727" s="173"/>
      <c r="H727" s="170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</row>
    <row r="728" ht="14.25" customHeight="1">
      <c r="A728" s="171"/>
      <c r="B728" s="282"/>
      <c r="C728" s="171"/>
      <c r="D728" s="78"/>
      <c r="E728" s="78"/>
      <c r="F728" s="171"/>
      <c r="G728" s="173"/>
      <c r="H728" s="170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</row>
    <row r="729" ht="14.25" customHeight="1">
      <c r="A729" s="171"/>
      <c r="B729" s="282"/>
      <c r="C729" s="171"/>
      <c r="D729" s="78"/>
      <c r="E729" s="78"/>
      <c r="F729" s="171"/>
      <c r="G729" s="173"/>
      <c r="H729" s="170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</row>
    <row r="730" ht="14.25" customHeight="1">
      <c r="A730" s="171"/>
      <c r="B730" s="282"/>
      <c r="C730" s="171"/>
      <c r="D730" s="78"/>
      <c r="E730" s="78"/>
      <c r="F730" s="171"/>
      <c r="G730" s="173"/>
      <c r="H730" s="170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</row>
    <row r="731" ht="14.25" customHeight="1">
      <c r="A731" s="171"/>
      <c r="B731" s="282"/>
      <c r="C731" s="171"/>
      <c r="D731" s="78"/>
      <c r="E731" s="78"/>
      <c r="F731" s="171"/>
      <c r="G731" s="173"/>
      <c r="H731" s="170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</row>
    <row r="732" ht="14.25" customHeight="1">
      <c r="A732" s="171"/>
      <c r="B732" s="282"/>
      <c r="C732" s="171"/>
      <c r="D732" s="78"/>
      <c r="E732" s="78"/>
      <c r="F732" s="171"/>
      <c r="G732" s="173"/>
      <c r="H732" s="170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</row>
    <row r="733" ht="14.25" customHeight="1">
      <c r="A733" s="171"/>
      <c r="B733" s="282"/>
      <c r="C733" s="171"/>
      <c r="D733" s="78"/>
      <c r="E733" s="78"/>
      <c r="F733" s="171"/>
      <c r="G733" s="173"/>
      <c r="H733" s="170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</row>
    <row r="734" ht="14.25" customHeight="1">
      <c r="A734" s="171"/>
      <c r="B734" s="282"/>
      <c r="C734" s="171"/>
      <c r="D734" s="78"/>
      <c r="E734" s="78"/>
      <c r="F734" s="171"/>
      <c r="G734" s="173"/>
      <c r="H734" s="170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</row>
    <row r="735" ht="14.25" customHeight="1">
      <c r="A735" s="171"/>
      <c r="B735" s="282"/>
      <c r="C735" s="171"/>
      <c r="D735" s="78"/>
      <c r="E735" s="78"/>
      <c r="F735" s="171"/>
      <c r="G735" s="173"/>
      <c r="H735" s="170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</row>
    <row r="736" ht="14.25" customHeight="1">
      <c r="A736" s="171"/>
      <c r="B736" s="282"/>
      <c r="C736" s="171"/>
      <c r="D736" s="78"/>
      <c r="E736" s="78"/>
      <c r="F736" s="171"/>
      <c r="G736" s="173"/>
      <c r="H736" s="170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</row>
    <row r="737" ht="14.25" customHeight="1">
      <c r="A737" s="171"/>
      <c r="B737" s="282"/>
      <c r="C737" s="171"/>
      <c r="D737" s="78"/>
      <c r="E737" s="78"/>
      <c r="F737" s="171"/>
      <c r="G737" s="173"/>
      <c r="H737" s="170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</row>
    <row r="738" ht="14.25" customHeight="1">
      <c r="A738" s="171"/>
      <c r="B738" s="282"/>
      <c r="C738" s="171"/>
      <c r="D738" s="78"/>
      <c r="E738" s="78"/>
      <c r="F738" s="171"/>
      <c r="G738" s="173"/>
      <c r="H738" s="170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</row>
    <row r="739" ht="14.25" customHeight="1">
      <c r="A739" s="171"/>
      <c r="B739" s="282"/>
      <c r="C739" s="171"/>
      <c r="D739" s="78"/>
      <c r="E739" s="78"/>
      <c r="F739" s="171"/>
      <c r="G739" s="173"/>
      <c r="H739" s="170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</row>
    <row r="740" ht="14.25" customHeight="1">
      <c r="A740" s="171"/>
      <c r="B740" s="282"/>
      <c r="C740" s="171"/>
      <c r="D740" s="78"/>
      <c r="E740" s="78"/>
      <c r="F740" s="171"/>
      <c r="G740" s="173"/>
      <c r="H740" s="170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</row>
    <row r="741" ht="14.25" customHeight="1">
      <c r="A741" s="171"/>
      <c r="B741" s="282"/>
      <c r="C741" s="171"/>
      <c r="D741" s="78"/>
      <c r="E741" s="78"/>
      <c r="F741" s="171"/>
      <c r="G741" s="173"/>
      <c r="H741" s="170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</row>
    <row r="742" ht="14.25" customHeight="1">
      <c r="A742" s="171"/>
      <c r="B742" s="282"/>
      <c r="C742" s="171"/>
      <c r="D742" s="78"/>
      <c r="E742" s="78"/>
      <c r="F742" s="171"/>
      <c r="G742" s="173"/>
      <c r="H742" s="170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</row>
    <row r="743" ht="14.25" customHeight="1">
      <c r="A743" s="171"/>
      <c r="B743" s="282"/>
      <c r="C743" s="171"/>
      <c r="D743" s="78"/>
      <c r="E743" s="78"/>
      <c r="F743" s="171"/>
      <c r="G743" s="173"/>
      <c r="H743" s="170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</row>
    <row r="744" ht="14.25" customHeight="1">
      <c r="A744" s="171"/>
      <c r="B744" s="282"/>
      <c r="C744" s="171"/>
      <c r="D744" s="78"/>
      <c r="E744" s="78"/>
      <c r="F744" s="171"/>
      <c r="G744" s="173"/>
      <c r="H744" s="170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</row>
    <row r="745" ht="14.25" customHeight="1">
      <c r="A745" s="171"/>
      <c r="B745" s="282"/>
      <c r="C745" s="171"/>
      <c r="D745" s="78"/>
      <c r="E745" s="78"/>
      <c r="F745" s="171"/>
      <c r="G745" s="173"/>
      <c r="H745" s="170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</row>
    <row r="746" ht="14.25" customHeight="1">
      <c r="A746" s="171"/>
      <c r="B746" s="282"/>
      <c r="C746" s="171"/>
      <c r="D746" s="78"/>
      <c r="E746" s="78"/>
      <c r="F746" s="171"/>
      <c r="G746" s="173"/>
      <c r="H746" s="170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</row>
    <row r="747" ht="14.25" customHeight="1">
      <c r="A747" s="171"/>
      <c r="B747" s="282"/>
      <c r="C747" s="171"/>
      <c r="D747" s="78"/>
      <c r="E747" s="78"/>
      <c r="F747" s="171"/>
      <c r="G747" s="173"/>
      <c r="H747" s="170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</row>
    <row r="748" ht="14.25" customHeight="1">
      <c r="A748" s="171"/>
      <c r="B748" s="282"/>
      <c r="C748" s="171"/>
      <c r="D748" s="78"/>
      <c r="E748" s="78"/>
      <c r="F748" s="171"/>
      <c r="G748" s="173"/>
      <c r="H748" s="170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</row>
    <row r="749" ht="14.25" customHeight="1">
      <c r="A749" s="171"/>
      <c r="B749" s="282"/>
      <c r="C749" s="171"/>
      <c r="D749" s="78"/>
      <c r="E749" s="78"/>
      <c r="F749" s="171"/>
      <c r="G749" s="173"/>
      <c r="H749" s="170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</row>
    <row r="750" ht="14.25" customHeight="1">
      <c r="A750" s="171"/>
      <c r="B750" s="282"/>
      <c r="C750" s="171"/>
      <c r="D750" s="78"/>
      <c r="E750" s="78"/>
      <c r="F750" s="171"/>
      <c r="G750" s="173"/>
      <c r="H750" s="170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</row>
    <row r="751" ht="14.25" customHeight="1">
      <c r="A751" s="171"/>
      <c r="B751" s="282"/>
      <c r="C751" s="171"/>
      <c r="D751" s="78"/>
      <c r="E751" s="78"/>
      <c r="F751" s="171"/>
      <c r="G751" s="173"/>
      <c r="H751" s="170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</row>
    <row r="752" ht="14.25" customHeight="1">
      <c r="A752" s="171"/>
      <c r="B752" s="282"/>
      <c r="C752" s="171"/>
      <c r="D752" s="78"/>
      <c r="E752" s="78"/>
      <c r="F752" s="171"/>
      <c r="G752" s="173"/>
      <c r="H752" s="170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</row>
    <row r="753" ht="14.25" customHeight="1">
      <c r="A753" s="171"/>
      <c r="B753" s="282"/>
      <c r="C753" s="171"/>
      <c r="D753" s="78"/>
      <c r="E753" s="78"/>
      <c r="F753" s="171"/>
      <c r="G753" s="173"/>
      <c r="H753" s="170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</row>
    <row r="754" ht="14.25" customHeight="1">
      <c r="A754" s="171"/>
      <c r="B754" s="282"/>
      <c r="C754" s="171"/>
      <c r="D754" s="78"/>
      <c r="E754" s="78"/>
      <c r="F754" s="171"/>
      <c r="G754" s="173"/>
      <c r="H754" s="170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</row>
    <row r="755" ht="14.25" customHeight="1">
      <c r="A755" s="171"/>
      <c r="B755" s="282"/>
      <c r="C755" s="171"/>
      <c r="D755" s="78"/>
      <c r="E755" s="78"/>
      <c r="F755" s="171"/>
      <c r="G755" s="173"/>
      <c r="H755" s="170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</row>
    <row r="756" ht="14.25" customHeight="1">
      <c r="A756" s="171"/>
      <c r="B756" s="282"/>
      <c r="C756" s="171"/>
      <c r="D756" s="78"/>
      <c r="E756" s="78"/>
      <c r="F756" s="171"/>
      <c r="G756" s="173"/>
      <c r="H756" s="170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</row>
    <row r="757" ht="14.25" customHeight="1">
      <c r="A757" s="171"/>
      <c r="B757" s="282"/>
      <c r="C757" s="171"/>
      <c r="D757" s="78"/>
      <c r="E757" s="78"/>
      <c r="F757" s="171"/>
      <c r="G757" s="173"/>
      <c r="H757" s="170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</row>
    <row r="758" ht="14.25" customHeight="1">
      <c r="A758" s="171"/>
      <c r="B758" s="282"/>
      <c r="C758" s="171"/>
      <c r="D758" s="78"/>
      <c r="E758" s="78"/>
      <c r="F758" s="171"/>
      <c r="G758" s="173"/>
      <c r="H758" s="170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</row>
    <row r="759" ht="14.25" customHeight="1">
      <c r="A759" s="171"/>
      <c r="B759" s="282"/>
      <c r="C759" s="171"/>
      <c r="D759" s="78"/>
      <c r="E759" s="78"/>
      <c r="F759" s="171"/>
      <c r="G759" s="173"/>
      <c r="H759" s="170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</row>
    <row r="760" ht="14.25" customHeight="1">
      <c r="A760" s="171"/>
      <c r="B760" s="282"/>
      <c r="C760" s="171"/>
      <c r="D760" s="78"/>
      <c r="E760" s="78"/>
      <c r="F760" s="171"/>
      <c r="G760" s="173"/>
      <c r="H760" s="170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</row>
    <row r="761" ht="14.25" customHeight="1">
      <c r="A761" s="171"/>
      <c r="B761" s="282"/>
      <c r="C761" s="171"/>
      <c r="D761" s="78"/>
      <c r="E761" s="78"/>
      <c r="F761" s="171"/>
      <c r="G761" s="173"/>
      <c r="H761" s="170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</row>
    <row r="762" ht="14.25" customHeight="1">
      <c r="A762" s="171"/>
      <c r="B762" s="282"/>
      <c r="C762" s="171"/>
      <c r="D762" s="78"/>
      <c r="E762" s="78"/>
      <c r="F762" s="171"/>
      <c r="G762" s="173"/>
      <c r="H762" s="170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</row>
    <row r="763" ht="14.25" customHeight="1">
      <c r="A763" s="171"/>
      <c r="B763" s="282"/>
      <c r="C763" s="171"/>
      <c r="D763" s="78"/>
      <c r="E763" s="78"/>
      <c r="F763" s="171"/>
      <c r="G763" s="173"/>
      <c r="H763" s="170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</row>
    <row r="764" ht="14.25" customHeight="1">
      <c r="A764" s="171"/>
      <c r="B764" s="282"/>
      <c r="C764" s="171"/>
      <c r="D764" s="78"/>
      <c r="E764" s="78"/>
      <c r="F764" s="171"/>
      <c r="G764" s="173"/>
      <c r="H764" s="170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</row>
    <row r="765" ht="14.25" customHeight="1">
      <c r="A765" s="171"/>
      <c r="B765" s="282"/>
      <c r="C765" s="171"/>
      <c r="D765" s="78"/>
      <c r="E765" s="78"/>
      <c r="F765" s="171"/>
      <c r="G765" s="173"/>
      <c r="H765" s="170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</row>
    <row r="766" ht="14.25" customHeight="1">
      <c r="A766" s="171"/>
      <c r="B766" s="282"/>
      <c r="C766" s="171"/>
      <c r="D766" s="78"/>
      <c r="E766" s="78"/>
      <c r="F766" s="171"/>
      <c r="G766" s="173"/>
      <c r="H766" s="170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</row>
    <row r="767" ht="14.25" customHeight="1">
      <c r="A767" s="171"/>
      <c r="B767" s="282"/>
      <c r="C767" s="171"/>
      <c r="D767" s="78"/>
      <c r="E767" s="78"/>
      <c r="F767" s="171"/>
      <c r="G767" s="173"/>
      <c r="H767" s="170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</row>
    <row r="768" ht="14.25" customHeight="1">
      <c r="A768" s="171"/>
      <c r="B768" s="282"/>
      <c r="C768" s="171"/>
      <c r="D768" s="78"/>
      <c r="E768" s="78"/>
      <c r="F768" s="171"/>
      <c r="G768" s="173"/>
      <c r="H768" s="170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</row>
    <row r="769" ht="14.25" customHeight="1">
      <c r="A769" s="171"/>
      <c r="B769" s="282"/>
      <c r="C769" s="171"/>
      <c r="D769" s="78"/>
      <c r="E769" s="78"/>
      <c r="F769" s="171"/>
      <c r="G769" s="173"/>
      <c r="H769" s="170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</row>
    <row r="770" ht="14.25" customHeight="1">
      <c r="A770" s="171"/>
      <c r="B770" s="282"/>
      <c r="C770" s="171"/>
      <c r="D770" s="78"/>
      <c r="E770" s="78"/>
      <c r="F770" s="171"/>
      <c r="G770" s="173"/>
      <c r="H770" s="170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</row>
    <row r="771" ht="14.25" customHeight="1">
      <c r="A771" s="171"/>
      <c r="B771" s="282"/>
      <c r="C771" s="171"/>
      <c r="D771" s="78"/>
      <c r="E771" s="78"/>
      <c r="F771" s="171"/>
      <c r="G771" s="173"/>
      <c r="H771" s="170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</row>
    <row r="772" ht="14.25" customHeight="1">
      <c r="A772" s="171"/>
      <c r="B772" s="282"/>
      <c r="C772" s="171"/>
      <c r="D772" s="78"/>
      <c r="E772" s="78"/>
      <c r="F772" s="171"/>
      <c r="G772" s="173"/>
      <c r="H772" s="170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</row>
    <row r="773" ht="14.25" customHeight="1">
      <c r="A773" s="171"/>
      <c r="B773" s="282"/>
      <c r="C773" s="171"/>
      <c r="D773" s="78"/>
      <c r="E773" s="78"/>
      <c r="F773" s="171"/>
      <c r="G773" s="173"/>
      <c r="H773" s="170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</row>
    <row r="774" ht="14.25" customHeight="1">
      <c r="A774" s="171"/>
      <c r="B774" s="282"/>
      <c r="C774" s="171"/>
      <c r="D774" s="78"/>
      <c r="E774" s="78"/>
      <c r="F774" s="171"/>
      <c r="G774" s="173"/>
      <c r="H774" s="170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</row>
    <row r="775" ht="14.25" customHeight="1">
      <c r="A775" s="171"/>
      <c r="B775" s="282"/>
      <c r="C775" s="171"/>
      <c r="D775" s="78"/>
      <c r="E775" s="78"/>
      <c r="F775" s="171"/>
      <c r="G775" s="173"/>
      <c r="H775" s="170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</row>
    <row r="776" ht="14.25" customHeight="1">
      <c r="A776" s="171"/>
      <c r="B776" s="282"/>
      <c r="C776" s="171"/>
      <c r="D776" s="78"/>
      <c r="E776" s="78"/>
      <c r="F776" s="171"/>
      <c r="G776" s="173"/>
      <c r="H776" s="170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</row>
    <row r="777" ht="14.25" customHeight="1">
      <c r="A777" s="171"/>
      <c r="B777" s="282"/>
      <c r="C777" s="171"/>
      <c r="D777" s="78"/>
      <c r="E777" s="78"/>
      <c r="F777" s="171"/>
      <c r="G777" s="173"/>
      <c r="H777" s="170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</row>
    <row r="778" ht="14.25" customHeight="1">
      <c r="A778" s="171"/>
      <c r="B778" s="282"/>
      <c r="C778" s="171"/>
      <c r="D778" s="78"/>
      <c r="E778" s="78"/>
      <c r="F778" s="171"/>
      <c r="G778" s="173"/>
      <c r="H778" s="170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</row>
    <row r="779" ht="14.25" customHeight="1">
      <c r="A779" s="171"/>
      <c r="B779" s="282"/>
      <c r="C779" s="171"/>
      <c r="D779" s="78"/>
      <c r="E779" s="78"/>
      <c r="F779" s="171"/>
      <c r="G779" s="173"/>
      <c r="H779" s="170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</row>
    <row r="780" ht="14.25" customHeight="1">
      <c r="A780" s="171"/>
      <c r="B780" s="282"/>
      <c r="C780" s="171"/>
      <c r="D780" s="78"/>
      <c r="E780" s="78"/>
      <c r="F780" s="171"/>
      <c r="G780" s="173"/>
      <c r="H780" s="170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</row>
    <row r="781" ht="14.25" customHeight="1">
      <c r="A781" s="171"/>
      <c r="B781" s="282"/>
      <c r="C781" s="171"/>
      <c r="D781" s="78"/>
      <c r="E781" s="78"/>
      <c r="F781" s="171"/>
      <c r="G781" s="173"/>
      <c r="H781" s="170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</row>
    <row r="782" ht="14.25" customHeight="1">
      <c r="A782" s="171"/>
      <c r="B782" s="282"/>
      <c r="C782" s="171"/>
      <c r="D782" s="78"/>
      <c r="E782" s="78"/>
      <c r="F782" s="171"/>
      <c r="G782" s="173"/>
      <c r="H782" s="170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</row>
    <row r="783" ht="14.25" customHeight="1">
      <c r="A783" s="171"/>
      <c r="B783" s="282"/>
      <c r="C783" s="171"/>
      <c r="D783" s="78"/>
      <c r="E783" s="78"/>
      <c r="F783" s="171"/>
      <c r="G783" s="173"/>
      <c r="H783" s="170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</row>
    <row r="784" ht="14.25" customHeight="1">
      <c r="A784" s="171"/>
      <c r="B784" s="282"/>
      <c r="C784" s="171"/>
      <c r="D784" s="78"/>
      <c r="E784" s="78"/>
      <c r="F784" s="171"/>
      <c r="G784" s="173"/>
      <c r="H784" s="170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</row>
    <row r="785" ht="14.25" customHeight="1">
      <c r="A785" s="171"/>
      <c r="B785" s="282"/>
      <c r="C785" s="171"/>
      <c r="D785" s="78"/>
      <c r="E785" s="78"/>
      <c r="F785" s="171"/>
      <c r="G785" s="173"/>
      <c r="H785" s="170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</row>
    <row r="786" ht="14.25" customHeight="1">
      <c r="A786" s="171"/>
      <c r="B786" s="282"/>
      <c r="C786" s="171"/>
      <c r="D786" s="78"/>
      <c r="E786" s="78"/>
      <c r="F786" s="171"/>
      <c r="G786" s="173"/>
      <c r="H786" s="170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</row>
    <row r="787" ht="14.25" customHeight="1">
      <c r="A787" s="171"/>
      <c r="B787" s="282"/>
      <c r="C787" s="171"/>
      <c r="D787" s="78"/>
      <c r="E787" s="78"/>
      <c r="F787" s="171"/>
      <c r="G787" s="173"/>
      <c r="H787" s="170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</row>
    <row r="788" ht="14.25" customHeight="1">
      <c r="A788" s="171"/>
      <c r="B788" s="282"/>
      <c r="C788" s="171"/>
      <c r="D788" s="78"/>
      <c r="E788" s="78"/>
      <c r="F788" s="171"/>
      <c r="G788" s="173"/>
      <c r="H788" s="170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</row>
    <row r="789" ht="14.25" customHeight="1">
      <c r="A789" s="171"/>
      <c r="B789" s="282"/>
      <c r="C789" s="171"/>
      <c r="D789" s="78"/>
      <c r="E789" s="78"/>
      <c r="F789" s="171"/>
      <c r="G789" s="173"/>
      <c r="H789" s="170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</row>
    <row r="790" ht="14.25" customHeight="1">
      <c r="A790" s="171"/>
      <c r="B790" s="282"/>
      <c r="C790" s="171"/>
      <c r="D790" s="78"/>
      <c r="E790" s="78"/>
      <c r="F790" s="171"/>
      <c r="G790" s="173"/>
      <c r="H790" s="170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</row>
    <row r="791" ht="14.25" customHeight="1">
      <c r="A791" s="171"/>
      <c r="B791" s="282"/>
      <c r="C791" s="171"/>
      <c r="D791" s="78"/>
      <c r="E791" s="78"/>
      <c r="F791" s="171"/>
      <c r="G791" s="173"/>
      <c r="H791" s="170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</row>
    <row r="792" ht="14.25" customHeight="1">
      <c r="A792" s="171"/>
      <c r="B792" s="282"/>
      <c r="C792" s="171"/>
      <c r="D792" s="78"/>
      <c r="E792" s="78"/>
      <c r="F792" s="171"/>
      <c r="G792" s="173"/>
      <c r="H792" s="170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</row>
    <row r="793" ht="14.25" customHeight="1">
      <c r="A793" s="171"/>
      <c r="B793" s="282"/>
      <c r="C793" s="171"/>
      <c r="D793" s="78"/>
      <c r="E793" s="78"/>
      <c r="F793" s="171"/>
      <c r="G793" s="173"/>
      <c r="H793" s="170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</row>
    <row r="794" ht="14.25" customHeight="1">
      <c r="A794" s="171"/>
      <c r="B794" s="282"/>
      <c r="C794" s="171"/>
      <c r="D794" s="78"/>
      <c r="E794" s="78"/>
      <c r="F794" s="171"/>
      <c r="G794" s="173"/>
      <c r="H794" s="170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</row>
    <row r="795" ht="14.25" customHeight="1">
      <c r="A795" s="171"/>
      <c r="B795" s="282"/>
      <c r="C795" s="171"/>
      <c r="D795" s="78"/>
      <c r="E795" s="78"/>
      <c r="F795" s="171"/>
      <c r="G795" s="173"/>
      <c r="H795" s="170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</row>
    <row r="796" ht="14.25" customHeight="1">
      <c r="A796" s="171"/>
      <c r="B796" s="282"/>
      <c r="C796" s="171"/>
      <c r="D796" s="78"/>
      <c r="E796" s="78"/>
      <c r="F796" s="171"/>
      <c r="G796" s="173"/>
      <c r="H796" s="170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</row>
    <row r="797" ht="14.25" customHeight="1">
      <c r="A797" s="171"/>
      <c r="B797" s="282"/>
      <c r="C797" s="171"/>
      <c r="D797" s="78"/>
      <c r="E797" s="78"/>
      <c r="F797" s="171"/>
      <c r="G797" s="173"/>
      <c r="H797" s="170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</row>
    <row r="798" ht="14.25" customHeight="1">
      <c r="A798" s="171"/>
      <c r="B798" s="282"/>
      <c r="C798" s="171"/>
      <c r="D798" s="78"/>
      <c r="E798" s="78"/>
      <c r="F798" s="171"/>
      <c r="G798" s="173"/>
      <c r="H798" s="170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</row>
    <row r="799" ht="14.25" customHeight="1">
      <c r="A799" s="171"/>
      <c r="B799" s="282"/>
      <c r="C799" s="171"/>
      <c r="D799" s="78"/>
      <c r="E799" s="78"/>
      <c r="F799" s="171"/>
      <c r="G799" s="173"/>
      <c r="H799" s="170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</row>
    <row r="800" ht="14.25" customHeight="1">
      <c r="A800" s="171"/>
      <c r="B800" s="282"/>
      <c r="C800" s="171"/>
      <c r="D800" s="78"/>
      <c r="E800" s="78"/>
      <c r="F800" s="171"/>
      <c r="G800" s="173"/>
      <c r="H800" s="170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</row>
    <row r="801" ht="14.25" customHeight="1">
      <c r="A801" s="171"/>
      <c r="B801" s="282"/>
      <c r="C801" s="171"/>
      <c r="D801" s="78"/>
      <c r="E801" s="78"/>
      <c r="F801" s="171"/>
      <c r="G801" s="173"/>
      <c r="H801" s="170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</row>
    <row r="802" ht="14.25" customHeight="1">
      <c r="A802" s="171"/>
      <c r="B802" s="282"/>
      <c r="C802" s="171"/>
      <c r="D802" s="78"/>
      <c r="E802" s="78"/>
      <c r="F802" s="171"/>
      <c r="G802" s="173"/>
      <c r="H802" s="170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</row>
    <row r="803" ht="14.25" customHeight="1">
      <c r="A803" s="171"/>
      <c r="B803" s="282"/>
      <c r="C803" s="171"/>
      <c r="D803" s="78"/>
      <c r="E803" s="78"/>
      <c r="F803" s="171"/>
      <c r="G803" s="173"/>
      <c r="H803" s="170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</row>
    <row r="804" ht="14.25" customHeight="1">
      <c r="A804" s="171"/>
      <c r="B804" s="282"/>
      <c r="C804" s="171"/>
      <c r="D804" s="78"/>
      <c r="E804" s="78"/>
      <c r="F804" s="171"/>
      <c r="G804" s="173"/>
      <c r="H804" s="170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</row>
    <row r="805" ht="14.25" customHeight="1">
      <c r="A805" s="171"/>
      <c r="B805" s="282"/>
      <c r="C805" s="171"/>
      <c r="D805" s="78"/>
      <c r="E805" s="78"/>
      <c r="F805" s="171"/>
      <c r="G805" s="173"/>
      <c r="H805" s="170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</row>
    <row r="806" ht="14.25" customHeight="1">
      <c r="A806" s="171"/>
      <c r="B806" s="282"/>
      <c r="C806" s="171"/>
      <c r="D806" s="78"/>
      <c r="E806" s="78"/>
      <c r="F806" s="171"/>
      <c r="G806" s="173"/>
      <c r="H806" s="170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</row>
    <row r="807" ht="14.25" customHeight="1">
      <c r="A807" s="171"/>
      <c r="B807" s="282"/>
      <c r="C807" s="171"/>
      <c r="D807" s="78"/>
      <c r="E807" s="78"/>
      <c r="F807" s="171"/>
      <c r="G807" s="173"/>
      <c r="H807" s="170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</row>
    <row r="808" ht="14.25" customHeight="1">
      <c r="A808" s="171"/>
      <c r="B808" s="282"/>
      <c r="C808" s="171"/>
      <c r="D808" s="78"/>
      <c r="E808" s="78"/>
      <c r="F808" s="171"/>
      <c r="G808" s="173"/>
      <c r="H808" s="170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</row>
    <row r="809" ht="14.25" customHeight="1">
      <c r="A809" s="171"/>
      <c r="B809" s="282"/>
      <c r="C809" s="171"/>
      <c r="D809" s="78"/>
      <c r="E809" s="78"/>
      <c r="F809" s="171"/>
      <c r="G809" s="173"/>
      <c r="H809" s="170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</row>
    <row r="810" ht="14.25" customHeight="1">
      <c r="A810" s="171"/>
      <c r="B810" s="282"/>
      <c r="C810" s="171"/>
      <c r="D810" s="78"/>
      <c r="E810" s="78"/>
      <c r="F810" s="171"/>
      <c r="G810" s="173"/>
      <c r="H810" s="170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</row>
    <row r="811" ht="14.25" customHeight="1">
      <c r="A811" s="171"/>
      <c r="B811" s="282"/>
      <c r="C811" s="171"/>
      <c r="D811" s="78"/>
      <c r="E811" s="78"/>
      <c r="F811" s="171"/>
      <c r="G811" s="173"/>
      <c r="H811" s="170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</row>
    <row r="812" ht="14.25" customHeight="1">
      <c r="A812" s="171"/>
      <c r="B812" s="282"/>
      <c r="C812" s="171"/>
      <c r="D812" s="78"/>
      <c r="E812" s="78"/>
      <c r="F812" s="171"/>
      <c r="G812" s="173"/>
      <c r="H812" s="170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</row>
    <row r="813" ht="14.25" customHeight="1">
      <c r="A813" s="171"/>
      <c r="B813" s="282"/>
      <c r="C813" s="171"/>
      <c r="D813" s="78"/>
      <c r="E813" s="78"/>
      <c r="F813" s="171"/>
      <c r="G813" s="173"/>
      <c r="H813" s="170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</row>
    <row r="814" ht="14.25" customHeight="1">
      <c r="A814" s="171"/>
      <c r="B814" s="282"/>
      <c r="C814" s="171"/>
      <c r="D814" s="78"/>
      <c r="E814" s="78"/>
      <c r="F814" s="171"/>
      <c r="G814" s="173"/>
      <c r="H814" s="170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</row>
    <row r="815" ht="14.25" customHeight="1">
      <c r="A815" s="171"/>
      <c r="B815" s="282"/>
      <c r="C815" s="171"/>
      <c r="D815" s="78"/>
      <c r="E815" s="78"/>
      <c r="F815" s="171"/>
      <c r="G815" s="173"/>
      <c r="H815" s="170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</row>
    <row r="816" ht="14.25" customHeight="1">
      <c r="A816" s="171"/>
      <c r="B816" s="282"/>
      <c r="C816" s="171"/>
      <c r="D816" s="78"/>
      <c r="E816" s="78"/>
      <c r="F816" s="171"/>
      <c r="G816" s="173"/>
      <c r="H816" s="170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</row>
    <row r="817" ht="14.25" customHeight="1">
      <c r="A817" s="171"/>
      <c r="B817" s="282"/>
      <c r="C817" s="171"/>
      <c r="D817" s="78"/>
      <c r="E817" s="78"/>
      <c r="F817" s="171"/>
      <c r="G817" s="173"/>
      <c r="H817" s="170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</row>
    <row r="818" ht="14.25" customHeight="1">
      <c r="A818" s="171"/>
      <c r="B818" s="282"/>
      <c r="C818" s="171"/>
      <c r="D818" s="78"/>
      <c r="E818" s="78"/>
      <c r="F818" s="171"/>
      <c r="G818" s="173"/>
      <c r="H818" s="170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</row>
    <row r="819" ht="14.25" customHeight="1">
      <c r="A819" s="171"/>
      <c r="B819" s="282"/>
      <c r="C819" s="171"/>
      <c r="D819" s="78"/>
      <c r="E819" s="78"/>
      <c r="F819" s="171"/>
      <c r="G819" s="173"/>
      <c r="H819" s="170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</row>
    <row r="820" ht="14.25" customHeight="1">
      <c r="A820" s="171"/>
      <c r="B820" s="282"/>
      <c r="C820" s="171"/>
      <c r="D820" s="78"/>
      <c r="E820" s="78"/>
      <c r="F820" s="171"/>
      <c r="G820" s="173"/>
      <c r="H820" s="170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</row>
    <row r="821" ht="14.25" customHeight="1">
      <c r="A821" s="171"/>
      <c r="B821" s="282"/>
      <c r="C821" s="171"/>
      <c r="D821" s="78"/>
      <c r="E821" s="78"/>
      <c r="F821" s="171"/>
      <c r="G821" s="173"/>
      <c r="H821" s="170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</row>
    <row r="822" ht="14.25" customHeight="1">
      <c r="A822" s="171"/>
      <c r="B822" s="282"/>
      <c r="C822" s="171"/>
      <c r="D822" s="78"/>
      <c r="E822" s="78"/>
      <c r="F822" s="171"/>
      <c r="G822" s="173"/>
      <c r="H822" s="170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</row>
    <row r="823" ht="14.25" customHeight="1">
      <c r="A823" s="171"/>
      <c r="B823" s="282"/>
      <c r="C823" s="171"/>
      <c r="D823" s="78"/>
      <c r="E823" s="78"/>
      <c r="F823" s="171"/>
      <c r="G823" s="173"/>
      <c r="H823" s="170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</row>
    <row r="824" ht="14.25" customHeight="1">
      <c r="A824" s="171"/>
      <c r="B824" s="282"/>
      <c r="C824" s="171"/>
      <c r="D824" s="78"/>
      <c r="E824" s="78"/>
      <c r="F824" s="171"/>
      <c r="G824" s="173"/>
      <c r="H824" s="170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</row>
    <row r="825" ht="14.25" customHeight="1">
      <c r="A825" s="171"/>
      <c r="B825" s="282"/>
      <c r="C825" s="171"/>
      <c r="D825" s="78"/>
      <c r="E825" s="78"/>
      <c r="F825" s="171"/>
      <c r="G825" s="173"/>
      <c r="H825" s="170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</row>
    <row r="826" ht="14.25" customHeight="1">
      <c r="A826" s="171"/>
      <c r="B826" s="282"/>
      <c r="C826" s="171"/>
      <c r="D826" s="78"/>
      <c r="E826" s="78"/>
      <c r="F826" s="171"/>
      <c r="G826" s="173"/>
      <c r="H826" s="170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</row>
    <row r="827" ht="14.25" customHeight="1">
      <c r="A827" s="171"/>
      <c r="B827" s="282"/>
      <c r="C827" s="171"/>
      <c r="D827" s="78"/>
      <c r="E827" s="78"/>
      <c r="F827" s="171"/>
      <c r="G827" s="173"/>
      <c r="H827" s="170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</row>
    <row r="828" ht="14.25" customHeight="1">
      <c r="A828" s="171"/>
      <c r="B828" s="282"/>
      <c r="C828" s="171"/>
      <c r="D828" s="78"/>
      <c r="E828" s="78"/>
      <c r="F828" s="171"/>
      <c r="G828" s="173"/>
      <c r="H828" s="170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</row>
    <row r="829" ht="14.25" customHeight="1">
      <c r="A829" s="171"/>
      <c r="B829" s="282"/>
      <c r="C829" s="171"/>
      <c r="D829" s="78"/>
      <c r="E829" s="78"/>
      <c r="F829" s="171"/>
      <c r="G829" s="173"/>
      <c r="H829" s="170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</row>
    <row r="830" ht="14.25" customHeight="1">
      <c r="A830" s="171"/>
      <c r="B830" s="282"/>
      <c r="C830" s="171"/>
      <c r="D830" s="78"/>
      <c r="E830" s="78"/>
      <c r="F830" s="171"/>
      <c r="G830" s="173"/>
      <c r="H830" s="170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</row>
    <row r="831" ht="14.25" customHeight="1">
      <c r="A831" s="171"/>
      <c r="B831" s="282"/>
      <c r="C831" s="171"/>
      <c r="D831" s="78"/>
      <c r="E831" s="78"/>
      <c r="F831" s="171"/>
      <c r="G831" s="173"/>
      <c r="H831" s="170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</row>
    <row r="832" ht="14.25" customHeight="1">
      <c r="A832" s="171"/>
      <c r="B832" s="282"/>
      <c r="C832" s="171"/>
      <c r="D832" s="78"/>
      <c r="E832" s="78"/>
      <c r="F832" s="171"/>
      <c r="G832" s="173"/>
      <c r="H832" s="170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</row>
    <row r="833" ht="14.25" customHeight="1">
      <c r="A833" s="171"/>
      <c r="B833" s="282"/>
      <c r="C833" s="171"/>
      <c r="D833" s="78"/>
      <c r="E833" s="78"/>
      <c r="F833" s="171"/>
      <c r="G833" s="173"/>
      <c r="H833" s="170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</row>
    <row r="834" ht="14.25" customHeight="1">
      <c r="A834" s="171"/>
      <c r="B834" s="282"/>
      <c r="C834" s="171"/>
      <c r="D834" s="78"/>
      <c r="E834" s="78"/>
      <c r="F834" s="171"/>
      <c r="G834" s="173"/>
      <c r="H834" s="170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</row>
    <row r="835" ht="14.25" customHeight="1">
      <c r="A835" s="171"/>
      <c r="B835" s="282"/>
      <c r="C835" s="171"/>
      <c r="D835" s="78"/>
      <c r="E835" s="78"/>
      <c r="F835" s="171"/>
      <c r="G835" s="173"/>
      <c r="H835" s="170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</row>
    <row r="836" ht="14.25" customHeight="1">
      <c r="A836" s="171"/>
      <c r="B836" s="282"/>
      <c r="C836" s="171"/>
      <c r="D836" s="78"/>
      <c r="E836" s="78"/>
      <c r="F836" s="171"/>
      <c r="G836" s="173"/>
      <c r="H836" s="170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</row>
    <row r="837" ht="14.25" customHeight="1">
      <c r="A837" s="171"/>
      <c r="B837" s="282"/>
      <c r="C837" s="171"/>
      <c r="D837" s="78"/>
      <c r="E837" s="78"/>
      <c r="F837" s="171"/>
      <c r="G837" s="173"/>
      <c r="H837" s="170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</row>
    <row r="838" ht="14.25" customHeight="1">
      <c r="A838" s="171"/>
      <c r="B838" s="282"/>
      <c r="C838" s="171"/>
      <c r="D838" s="78"/>
      <c r="E838" s="78"/>
      <c r="F838" s="171"/>
      <c r="G838" s="173"/>
      <c r="H838" s="170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</row>
    <row r="839" ht="14.25" customHeight="1">
      <c r="A839" s="171"/>
      <c r="B839" s="282"/>
      <c r="C839" s="171"/>
      <c r="D839" s="78"/>
      <c r="E839" s="78"/>
      <c r="F839" s="171"/>
      <c r="G839" s="173"/>
      <c r="H839" s="170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</row>
    <row r="840" ht="14.25" customHeight="1">
      <c r="A840" s="171"/>
      <c r="B840" s="282"/>
      <c r="C840" s="171"/>
      <c r="D840" s="78"/>
      <c r="E840" s="78"/>
      <c r="F840" s="171"/>
      <c r="G840" s="173"/>
      <c r="H840" s="170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</row>
    <row r="841" ht="14.25" customHeight="1">
      <c r="A841" s="171"/>
      <c r="B841" s="282"/>
      <c r="C841" s="171"/>
      <c r="D841" s="78"/>
      <c r="E841" s="78"/>
      <c r="F841" s="171"/>
      <c r="G841" s="173"/>
      <c r="H841" s="170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</row>
    <row r="842" ht="14.25" customHeight="1">
      <c r="A842" s="171"/>
      <c r="B842" s="282"/>
      <c r="C842" s="171"/>
      <c r="D842" s="78"/>
      <c r="E842" s="78"/>
      <c r="F842" s="171"/>
      <c r="G842" s="173"/>
      <c r="H842" s="170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</row>
    <row r="843" ht="14.25" customHeight="1">
      <c r="A843" s="171"/>
      <c r="B843" s="282"/>
      <c r="C843" s="171"/>
      <c r="D843" s="78"/>
      <c r="E843" s="78"/>
      <c r="F843" s="171"/>
      <c r="G843" s="173"/>
      <c r="H843" s="170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</row>
    <row r="844" ht="14.25" customHeight="1">
      <c r="A844" s="171"/>
      <c r="B844" s="282"/>
      <c r="C844" s="171"/>
      <c r="D844" s="78"/>
      <c r="E844" s="78"/>
      <c r="F844" s="171"/>
      <c r="G844" s="173"/>
      <c r="H844" s="170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</row>
    <row r="845" ht="14.25" customHeight="1">
      <c r="A845" s="171"/>
      <c r="B845" s="282"/>
      <c r="C845" s="171"/>
      <c r="D845" s="78"/>
      <c r="E845" s="78"/>
      <c r="F845" s="171"/>
      <c r="G845" s="173"/>
      <c r="H845" s="170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</row>
    <row r="846" ht="14.25" customHeight="1">
      <c r="A846" s="171"/>
      <c r="B846" s="282"/>
      <c r="C846" s="171"/>
      <c r="D846" s="78"/>
      <c r="E846" s="78"/>
      <c r="F846" s="171"/>
      <c r="G846" s="173"/>
      <c r="H846" s="170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</row>
    <row r="847" ht="14.25" customHeight="1">
      <c r="A847" s="171"/>
      <c r="B847" s="282"/>
      <c r="C847" s="171"/>
      <c r="D847" s="78"/>
      <c r="E847" s="78"/>
      <c r="F847" s="171"/>
      <c r="G847" s="173"/>
      <c r="H847" s="170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</row>
    <row r="848" ht="14.25" customHeight="1">
      <c r="A848" s="171"/>
      <c r="B848" s="282"/>
      <c r="C848" s="171"/>
      <c r="D848" s="78"/>
      <c r="E848" s="78"/>
      <c r="F848" s="171"/>
      <c r="G848" s="173"/>
      <c r="H848" s="170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</row>
    <row r="849" ht="14.25" customHeight="1">
      <c r="A849" s="171"/>
      <c r="B849" s="282"/>
      <c r="C849" s="171"/>
      <c r="D849" s="78"/>
      <c r="E849" s="78"/>
      <c r="F849" s="171"/>
      <c r="G849" s="173"/>
      <c r="H849" s="170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</row>
    <row r="850" ht="14.25" customHeight="1">
      <c r="A850" s="171"/>
      <c r="B850" s="282"/>
      <c r="C850" s="171"/>
      <c r="D850" s="78"/>
      <c r="E850" s="78"/>
      <c r="F850" s="171"/>
      <c r="G850" s="173"/>
      <c r="H850" s="170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</row>
    <row r="851" ht="14.25" customHeight="1">
      <c r="A851" s="171"/>
      <c r="B851" s="282"/>
      <c r="C851" s="171"/>
      <c r="D851" s="78"/>
      <c r="E851" s="78"/>
      <c r="F851" s="171"/>
      <c r="G851" s="173"/>
      <c r="H851" s="170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</row>
    <row r="852" ht="14.25" customHeight="1">
      <c r="A852" s="171"/>
      <c r="B852" s="282"/>
      <c r="C852" s="171"/>
      <c r="D852" s="78"/>
      <c r="E852" s="78"/>
      <c r="F852" s="171"/>
      <c r="G852" s="173"/>
      <c r="H852" s="170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</row>
    <row r="853" ht="14.25" customHeight="1">
      <c r="A853" s="171"/>
      <c r="B853" s="282"/>
      <c r="C853" s="171"/>
      <c r="D853" s="78"/>
      <c r="E853" s="78"/>
      <c r="F853" s="171"/>
      <c r="G853" s="173"/>
      <c r="H853" s="170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</row>
    <row r="854" ht="14.25" customHeight="1">
      <c r="A854" s="171"/>
      <c r="B854" s="282"/>
      <c r="C854" s="171"/>
      <c r="D854" s="78"/>
      <c r="E854" s="78"/>
      <c r="F854" s="171"/>
      <c r="G854" s="173"/>
      <c r="H854" s="170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</row>
    <row r="855" ht="14.25" customHeight="1">
      <c r="A855" s="171"/>
      <c r="B855" s="282"/>
      <c r="C855" s="171"/>
      <c r="D855" s="78"/>
      <c r="E855" s="78"/>
      <c r="F855" s="171"/>
      <c r="G855" s="173"/>
      <c r="H855" s="170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</row>
    <row r="856" ht="14.25" customHeight="1">
      <c r="A856" s="171"/>
      <c r="B856" s="282"/>
      <c r="C856" s="171"/>
      <c r="D856" s="78"/>
      <c r="E856" s="78"/>
      <c r="F856" s="171"/>
      <c r="G856" s="173"/>
      <c r="H856" s="170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</row>
    <row r="857" ht="14.25" customHeight="1">
      <c r="A857" s="171"/>
      <c r="B857" s="282"/>
      <c r="C857" s="171"/>
      <c r="D857" s="78"/>
      <c r="E857" s="78"/>
      <c r="F857" s="171"/>
      <c r="G857" s="173"/>
      <c r="H857" s="170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</row>
    <row r="858" ht="14.25" customHeight="1">
      <c r="A858" s="171"/>
      <c r="B858" s="282"/>
      <c r="C858" s="171"/>
      <c r="D858" s="78"/>
      <c r="E858" s="78"/>
      <c r="F858" s="171"/>
      <c r="G858" s="173"/>
      <c r="H858" s="170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</row>
    <row r="859" ht="14.25" customHeight="1">
      <c r="A859" s="171"/>
      <c r="B859" s="282"/>
      <c r="C859" s="171"/>
      <c r="D859" s="78"/>
      <c r="E859" s="78"/>
      <c r="F859" s="171"/>
      <c r="G859" s="173"/>
      <c r="H859" s="170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</row>
    <row r="860" ht="14.25" customHeight="1">
      <c r="A860" s="171"/>
      <c r="B860" s="282"/>
      <c r="C860" s="171"/>
      <c r="D860" s="78"/>
      <c r="E860" s="78"/>
      <c r="F860" s="171"/>
      <c r="G860" s="173"/>
      <c r="H860" s="170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</row>
    <row r="861" ht="14.25" customHeight="1">
      <c r="A861" s="171"/>
      <c r="B861" s="282"/>
      <c r="C861" s="171"/>
      <c r="D861" s="78"/>
      <c r="E861" s="78"/>
      <c r="F861" s="171"/>
      <c r="G861" s="173"/>
      <c r="H861" s="170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</row>
    <row r="862" ht="14.25" customHeight="1">
      <c r="A862" s="171"/>
      <c r="B862" s="282"/>
      <c r="C862" s="171"/>
      <c r="D862" s="78"/>
      <c r="E862" s="78"/>
      <c r="F862" s="171"/>
      <c r="G862" s="173"/>
      <c r="H862" s="170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</row>
    <row r="863" ht="14.25" customHeight="1">
      <c r="A863" s="171"/>
      <c r="B863" s="282"/>
      <c r="C863" s="171"/>
      <c r="D863" s="78"/>
      <c r="E863" s="78"/>
      <c r="F863" s="171"/>
      <c r="G863" s="173"/>
      <c r="H863" s="170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</row>
    <row r="864" ht="14.25" customHeight="1">
      <c r="A864" s="171"/>
      <c r="B864" s="282"/>
      <c r="C864" s="171"/>
      <c r="D864" s="78"/>
      <c r="E864" s="78"/>
      <c r="F864" s="171"/>
      <c r="G864" s="173"/>
      <c r="H864" s="170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</row>
    <row r="865" ht="14.25" customHeight="1">
      <c r="A865" s="171"/>
      <c r="B865" s="282"/>
      <c r="C865" s="171"/>
      <c r="D865" s="78"/>
      <c r="E865" s="78"/>
      <c r="F865" s="171"/>
      <c r="G865" s="173"/>
      <c r="H865" s="170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</row>
    <row r="866" ht="14.25" customHeight="1">
      <c r="A866" s="171"/>
      <c r="B866" s="282"/>
      <c r="C866" s="171"/>
      <c r="D866" s="78"/>
      <c r="E866" s="78"/>
      <c r="F866" s="171"/>
      <c r="G866" s="173"/>
      <c r="H866" s="170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</row>
    <row r="867" ht="14.25" customHeight="1">
      <c r="A867" s="171"/>
      <c r="B867" s="282"/>
      <c r="C867" s="171"/>
      <c r="D867" s="78"/>
      <c r="E867" s="78"/>
      <c r="F867" s="171"/>
      <c r="G867" s="173"/>
      <c r="H867" s="170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</row>
    <row r="868" ht="14.25" customHeight="1">
      <c r="A868" s="171"/>
      <c r="B868" s="282"/>
      <c r="C868" s="171"/>
      <c r="D868" s="78"/>
      <c r="E868" s="78"/>
      <c r="F868" s="171"/>
      <c r="G868" s="173"/>
      <c r="H868" s="170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</row>
    <row r="869" ht="14.25" customHeight="1">
      <c r="A869" s="171"/>
      <c r="B869" s="282"/>
      <c r="C869" s="171"/>
      <c r="D869" s="78"/>
      <c r="E869" s="78"/>
      <c r="F869" s="171"/>
      <c r="G869" s="173"/>
      <c r="H869" s="170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</row>
    <row r="870" ht="14.25" customHeight="1">
      <c r="A870" s="171"/>
      <c r="B870" s="282"/>
      <c r="C870" s="171"/>
      <c r="D870" s="78"/>
      <c r="E870" s="78"/>
      <c r="F870" s="171"/>
      <c r="G870" s="173"/>
      <c r="H870" s="170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</row>
    <row r="871" ht="14.25" customHeight="1">
      <c r="A871" s="171"/>
      <c r="B871" s="282"/>
      <c r="C871" s="171"/>
      <c r="D871" s="78"/>
      <c r="E871" s="78"/>
      <c r="F871" s="171"/>
      <c r="G871" s="173"/>
      <c r="H871" s="170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</row>
    <row r="872" ht="14.25" customHeight="1">
      <c r="A872" s="171"/>
      <c r="B872" s="282"/>
      <c r="C872" s="171"/>
      <c r="D872" s="78"/>
      <c r="E872" s="78"/>
      <c r="F872" s="171"/>
      <c r="G872" s="173"/>
      <c r="H872" s="170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</row>
    <row r="873" ht="14.25" customHeight="1">
      <c r="A873" s="171"/>
      <c r="B873" s="282"/>
      <c r="C873" s="171"/>
      <c r="D873" s="78"/>
      <c r="E873" s="78"/>
      <c r="F873" s="171"/>
      <c r="G873" s="173"/>
      <c r="H873" s="170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</row>
    <row r="874" ht="14.25" customHeight="1">
      <c r="A874" s="171"/>
      <c r="B874" s="282"/>
      <c r="C874" s="171"/>
      <c r="D874" s="78"/>
      <c r="E874" s="78"/>
      <c r="F874" s="171"/>
      <c r="G874" s="173"/>
      <c r="H874" s="170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</row>
    <row r="875" ht="14.25" customHeight="1">
      <c r="A875" s="171"/>
      <c r="B875" s="282"/>
      <c r="C875" s="171"/>
      <c r="D875" s="78"/>
      <c r="E875" s="78"/>
      <c r="F875" s="171"/>
      <c r="G875" s="173"/>
      <c r="H875" s="170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</row>
    <row r="876" ht="14.25" customHeight="1">
      <c r="A876" s="171"/>
      <c r="B876" s="282"/>
      <c r="C876" s="171"/>
      <c r="D876" s="78"/>
      <c r="E876" s="78"/>
      <c r="F876" s="171"/>
      <c r="G876" s="173"/>
      <c r="H876" s="170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</row>
    <row r="877" ht="14.25" customHeight="1">
      <c r="A877" s="171"/>
      <c r="B877" s="282"/>
      <c r="C877" s="171"/>
      <c r="D877" s="78"/>
      <c r="E877" s="78"/>
      <c r="F877" s="171"/>
      <c r="G877" s="173"/>
      <c r="H877" s="170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</row>
    <row r="878" ht="14.25" customHeight="1">
      <c r="A878" s="171"/>
      <c r="B878" s="282"/>
      <c r="C878" s="171"/>
      <c r="D878" s="78"/>
      <c r="E878" s="78"/>
      <c r="F878" s="171"/>
      <c r="G878" s="173"/>
      <c r="H878" s="170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</row>
    <row r="879" ht="14.25" customHeight="1">
      <c r="A879" s="171"/>
      <c r="B879" s="282"/>
      <c r="C879" s="171"/>
      <c r="D879" s="78"/>
      <c r="E879" s="78"/>
      <c r="F879" s="171"/>
      <c r="G879" s="173"/>
      <c r="H879" s="170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</row>
    <row r="880" ht="14.25" customHeight="1">
      <c r="A880" s="171"/>
      <c r="B880" s="282"/>
      <c r="C880" s="171"/>
      <c r="D880" s="78"/>
      <c r="E880" s="78"/>
      <c r="F880" s="171"/>
      <c r="G880" s="173"/>
      <c r="H880" s="170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</row>
    <row r="881" ht="14.25" customHeight="1">
      <c r="A881" s="171"/>
      <c r="B881" s="282"/>
      <c r="C881" s="171"/>
      <c r="D881" s="78"/>
      <c r="E881" s="78"/>
      <c r="F881" s="171"/>
      <c r="G881" s="173"/>
      <c r="H881" s="170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</row>
    <row r="882" ht="14.25" customHeight="1">
      <c r="A882" s="171"/>
      <c r="B882" s="282"/>
      <c r="C882" s="171"/>
      <c r="D882" s="78"/>
      <c r="E882" s="78"/>
      <c r="F882" s="171"/>
      <c r="G882" s="173"/>
      <c r="H882" s="170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</row>
    <row r="883" ht="14.25" customHeight="1">
      <c r="A883" s="171"/>
      <c r="B883" s="282"/>
      <c r="C883" s="171"/>
      <c r="D883" s="78"/>
      <c r="E883" s="78"/>
      <c r="F883" s="171"/>
      <c r="G883" s="173"/>
      <c r="H883" s="170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</row>
    <row r="884" ht="14.25" customHeight="1">
      <c r="A884" s="171"/>
      <c r="B884" s="282"/>
      <c r="C884" s="171"/>
      <c r="D884" s="78"/>
      <c r="E884" s="78"/>
      <c r="F884" s="171"/>
      <c r="G884" s="173"/>
      <c r="H884" s="170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</row>
    <row r="885" ht="14.25" customHeight="1">
      <c r="A885" s="171"/>
      <c r="B885" s="282"/>
      <c r="C885" s="171"/>
      <c r="D885" s="78"/>
      <c r="E885" s="78"/>
      <c r="F885" s="171"/>
      <c r="G885" s="173"/>
      <c r="H885" s="170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</row>
    <row r="886" ht="14.25" customHeight="1">
      <c r="A886" s="171"/>
      <c r="B886" s="282"/>
      <c r="C886" s="171"/>
      <c r="D886" s="78"/>
      <c r="E886" s="78"/>
      <c r="F886" s="171"/>
      <c r="G886" s="173"/>
      <c r="H886" s="170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</row>
    <row r="887" ht="14.25" customHeight="1">
      <c r="A887" s="171"/>
      <c r="B887" s="282"/>
      <c r="C887" s="171"/>
      <c r="D887" s="78"/>
      <c r="E887" s="78"/>
      <c r="F887" s="171"/>
      <c r="G887" s="173"/>
      <c r="H887" s="170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</row>
    <row r="888" ht="14.25" customHeight="1">
      <c r="A888" s="171"/>
      <c r="B888" s="282"/>
      <c r="C888" s="171"/>
      <c r="D888" s="78"/>
      <c r="E888" s="78"/>
      <c r="F888" s="171"/>
      <c r="G888" s="173"/>
      <c r="H888" s="170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</row>
    <row r="889" ht="14.25" customHeight="1">
      <c r="A889" s="171"/>
      <c r="B889" s="282"/>
      <c r="C889" s="171"/>
      <c r="D889" s="78"/>
      <c r="E889" s="78"/>
      <c r="F889" s="171"/>
      <c r="G889" s="173"/>
      <c r="H889" s="170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</row>
    <row r="890" ht="14.25" customHeight="1">
      <c r="A890" s="171"/>
      <c r="B890" s="282"/>
      <c r="C890" s="171"/>
      <c r="D890" s="78"/>
      <c r="E890" s="78"/>
      <c r="F890" s="171"/>
      <c r="G890" s="173"/>
      <c r="H890" s="170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</row>
    <row r="891" ht="14.25" customHeight="1">
      <c r="A891" s="171"/>
      <c r="B891" s="282"/>
      <c r="C891" s="171"/>
      <c r="D891" s="78"/>
      <c r="E891" s="78"/>
      <c r="F891" s="171"/>
      <c r="G891" s="173"/>
      <c r="H891" s="170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</row>
    <row r="892" ht="14.25" customHeight="1">
      <c r="A892" s="171"/>
      <c r="B892" s="282"/>
      <c r="C892" s="171"/>
      <c r="D892" s="78"/>
      <c r="E892" s="78"/>
      <c r="F892" s="171"/>
      <c r="G892" s="173"/>
      <c r="H892" s="170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</row>
    <row r="893" ht="14.25" customHeight="1">
      <c r="A893" s="171"/>
      <c r="B893" s="282"/>
      <c r="C893" s="171"/>
      <c r="D893" s="78"/>
      <c r="E893" s="78"/>
      <c r="F893" s="171"/>
      <c r="G893" s="173"/>
      <c r="H893" s="170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</row>
    <row r="894" ht="14.25" customHeight="1">
      <c r="A894" s="171"/>
      <c r="B894" s="282"/>
      <c r="C894" s="171"/>
      <c r="D894" s="78"/>
      <c r="E894" s="78"/>
      <c r="F894" s="171"/>
      <c r="G894" s="173"/>
      <c r="H894" s="170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</row>
    <row r="895" ht="14.25" customHeight="1">
      <c r="A895" s="171"/>
      <c r="B895" s="282"/>
      <c r="C895" s="171"/>
      <c r="D895" s="78"/>
      <c r="E895" s="78"/>
      <c r="F895" s="171"/>
      <c r="G895" s="173"/>
      <c r="H895" s="170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</row>
    <row r="896" ht="14.25" customHeight="1">
      <c r="A896" s="171"/>
      <c r="B896" s="282"/>
      <c r="C896" s="171"/>
      <c r="D896" s="78"/>
      <c r="E896" s="78"/>
      <c r="F896" s="171"/>
      <c r="G896" s="173"/>
      <c r="H896" s="170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</row>
    <row r="897" ht="14.25" customHeight="1">
      <c r="A897" s="171"/>
      <c r="B897" s="282"/>
      <c r="C897" s="171"/>
      <c r="D897" s="78"/>
      <c r="E897" s="78"/>
      <c r="F897" s="171"/>
      <c r="G897" s="173"/>
      <c r="H897" s="170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</row>
    <row r="898" ht="14.25" customHeight="1">
      <c r="A898" s="171"/>
      <c r="B898" s="282"/>
      <c r="C898" s="171"/>
      <c r="D898" s="78"/>
      <c r="E898" s="78"/>
      <c r="F898" s="171"/>
      <c r="G898" s="173"/>
      <c r="H898" s="170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</row>
    <row r="899" ht="14.25" customHeight="1">
      <c r="A899" s="171"/>
      <c r="B899" s="282"/>
      <c r="C899" s="171"/>
      <c r="D899" s="78"/>
      <c r="E899" s="78"/>
      <c r="F899" s="171"/>
      <c r="G899" s="173"/>
      <c r="H899" s="170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</row>
    <row r="900" ht="14.25" customHeight="1">
      <c r="A900" s="171"/>
      <c r="B900" s="282"/>
      <c r="C900" s="171"/>
      <c r="D900" s="78"/>
      <c r="E900" s="78"/>
      <c r="F900" s="171"/>
      <c r="G900" s="173"/>
      <c r="H900" s="170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</row>
    <row r="901" ht="14.25" customHeight="1">
      <c r="A901" s="171"/>
      <c r="B901" s="282"/>
      <c r="C901" s="171"/>
      <c r="D901" s="78"/>
      <c r="E901" s="78"/>
      <c r="F901" s="171"/>
      <c r="G901" s="173"/>
      <c r="H901" s="170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</row>
    <row r="902" ht="14.25" customHeight="1">
      <c r="A902" s="171"/>
      <c r="B902" s="282"/>
      <c r="C902" s="171"/>
      <c r="D902" s="78"/>
      <c r="E902" s="78"/>
      <c r="F902" s="171"/>
      <c r="G902" s="173"/>
      <c r="H902" s="170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</row>
    <row r="903" ht="14.25" customHeight="1">
      <c r="A903" s="171"/>
      <c r="B903" s="282"/>
      <c r="C903" s="171"/>
      <c r="D903" s="78"/>
      <c r="E903" s="78"/>
      <c r="F903" s="171"/>
      <c r="G903" s="173"/>
      <c r="H903" s="170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</row>
    <row r="904" ht="14.25" customHeight="1">
      <c r="A904" s="171"/>
      <c r="B904" s="282"/>
      <c r="C904" s="171"/>
      <c r="D904" s="78"/>
      <c r="E904" s="78"/>
      <c r="F904" s="171"/>
      <c r="G904" s="173"/>
      <c r="H904" s="170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</row>
    <row r="905" ht="14.25" customHeight="1">
      <c r="A905" s="171"/>
      <c r="B905" s="282"/>
      <c r="C905" s="171"/>
      <c r="D905" s="78"/>
      <c r="E905" s="78"/>
      <c r="F905" s="171"/>
      <c r="G905" s="173"/>
      <c r="H905" s="170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</row>
    <row r="906" ht="14.25" customHeight="1">
      <c r="A906" s="171"/>
      <c r="B906" s="282"/>
      <c r="C906" s="171"/>
      <c r="D906" s="78"/>
      <c r="E906" s="78"/>
      <c r="F906" s="171"/>
      <c r="G906" s="173"/>
      <c r="H906" s="170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</row>
    <row r="907" ht="14.25" customHeight="1">
      <c r="A907" s="171"/>
      <c r="B907" s="282"/>
      <c r="C907" s="171"/>
      <c r="D907" s="78"/>
      <c r="E907" s="78"/>
      <c r="F907" s="171"/>
      <c r="G907" s="173"/>
      <c r="H907" s="170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</row>
    <row r="908" ht="14.25" customHeight="1">
      <c r="A908" s="171"/>
      <c r="B908" s="282"/>
      <c r="C908" s="171"/>
      <c r="D908" s="78"/>
      <c r="E908" s="78"/>
      <c r="F908" s="171"/>
      <c r="G908" s="173"/>
      <c r="H908" s="170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</row>
    <row r="909" ht="14.25" customHeight="1">
      <c r="A909" s="171"/>
      <c r="B909" s="282"/>
      <c r="C909" s="171"/>
      <c r="D909" s="78"/>
      <c r="E909" s="78"/>
      <c r="F909" s="171"/>
      <c r="G909" s="173"/>
      <c r="H909" s="170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</row>
    <row r="910" ht="14.25" customHeight="1">
      <c r="A910" s="171"/>
      <c r="B910" s="282"/>
      <c r="C910" s="171"/>
      <c r="D910" s="78"/>
      <c r="E910" s="78"/>
      <c r="F910" s="171"/>
      <c r="G910" s="173"/>
      <c r="H910" s="170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</row>
    <row r="911" ht="14.25" customHeight="1">
      <c r="A911" s="171"/>
      <c r="B911" s="282"/>
      <c r="C911" s="171"/>
      <c r="D911" s="78"/>
      <c r="E911" s="78"/>
      <c r="F911" s="171"/>
      <c r="G911" s="173"/>
      <c r="H911" s="170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</row>
    <row r="912" ht="14.25" customHeight="1">
      <c r="A912" s="171"/>
      <c r="B912" s="282"/>
      <c r="C912" s="171"/>
      <c r="D912" s="78"/>
      <c r="E912" s="78"/>
      <c r="F912" s="171"/>
      <c r="G912" s="173"/>
      <c r="H912" s="170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</row>
    <row r="913" ht="14.25" customHeight="1">
      <c r="A913" s="171"/>
      <c r="B913" s="282"/>
      <c r="C913" s="171"/>
      <c r="D913" s="78"/>
      <c r="E913" s="78"/>
      <c r="F913" s="171"/>
      <c r="G913" s="173"/>
      <c r="H913" s="170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</row>
    <row r="914" ht="14.25" customHeight="1">
      <c r="A914" s="171"/>
      <c r="B914" s="282"/>
      <c r="C914" s="171"/>
      <c r="D914" s="78"/>
      <c r="E914" s="78"/>
      <c r="F914" s="171"/>
      <c r="G914" s="173"/>
      <c r="H914" s="170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</row>
    <row r="915" ht="14.25" customHeight="1">
      <c r="A915" s="171"/>
      <c r="B915" s="282"/>
      <c r="C915" s="171"/>
      <c r="D915" s="78"/>
      <c r="E915" s="78"/>
      <c r="F915" s="171"/>
      <c r="G915" s="173"/>
      <c r="H915" s="170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</row>
    <row r="916" ht="14.25" customHeight="1">
      <c r="A916" s="171"/>
      <c r="B916" s="282"/>
      <c r="C916" s="171"/>
      <c r="D916" s="78"/>
      <c r="E916" s="78"/>
      <c r="F916" s="171"/>
      <c r="G916" s="173"/>
      <c r="H916" s="170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</row>
    <row r="917" ht="14.25" customHeight="1">
      <c r="A917" s="171"/>
      <c r="B917" s="282"/>
      <c r="C917" s="171"/>
      <c r="D917" s="78"/>
      <c r="E917" s="78"/>
      <c r="F917" s="171"/>
      <c r="G917" s="173"/>
      <c r="H917" s="170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</row>
    <row r="918" ht="14.25" customHeight="1">
      <c r="A918" s="171"/>
      <c r="B918" s="282"/>
      <c r="C918" s="171"/>
      <c r="D918" s="78"/>
      <c r="E918" s="78"/>
      <c r="F918" s="171"/>
      <c r="G918" s="173"/>
      <c r="H918" s="170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</row>
    <row r="919" ht="14.25" customHeight="1">
      <c r="A919" s="171"/>
      <c r="B919" s="282"/>
      <c r="C919" s="171"/>
      <c r="D919" s="78"/>
      <c r="E919" s="78"/>
      <c r="F919" s="171"/>
      <c r="G919" s="173"/>
      <c r="H919" s="170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</row>
    <row r="920" ht="14.25" customHeight="1">
      <c r="A920" s="171"/>
      <c r="B920" s="282"/>
      <c r="C920" s="171"/>
      <c r="D920" s="78"/>
      <c r="E920" s="78"/>
      <c r="F920" s="171"/>
      <c r="G920" s="173"/>
      <c r="H920" s="170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</row>
    <row r="921" ht="14.25" customHeight="1">
      <c r="A921" s="171"/>
      <c r="B921" s="282"/>
      <c r="C921" s="171"/>
      <c r="D921" s="78"/>
      <c r="E921" s="78"/>
      <c r="F921" s="171"/>
      <c r="G921" s="173"/>
      <c r="H921" s="170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</row>
    <row r="922" ht="14.25" customHeight="1">
      <c r="A922" s="171"/>
      <c r="B922" s="282"/>
      <c r="C922" s="171"/>
      <c r="D922" s="78"/>
      <c r="E922" s="78"/>
      <c r="F922" s="171"/>
      <c r="G922" s="173"/>
      <c r="H922" s="170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</row>
    <row r="923" ht="14.25" customHeight="1">
      <c r="A923" s="171"/>
      <c r="B923" s="282"/>
      <c r="C923" s="171"/>
      <c r="D923" s="78"/>
      <c r="E923" s="78"/>
      <c r="F923" s="171"/>
      <c r="G923" s="173"/>
      <c r="H923" s="170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</row>
    <row r="924" ht="14.25" customHeight="1">
      <c r="A924" s="171"/>
      <c r="B924" s="282"/>
      <c r="C924" s="171"/>
      <c r="D924" s="78"/>
      <c r="E924" s="78"/>
      <c r="F924" s="171"/>
      <c r="G924" s="173"/>
      <c r="H924" s="170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</row>
    <row r="925" ht="14.25" customHeight="1">
      <c r="A925" s="171"/>
      <c r="B925" s="282"/>
      <c r="C925" s="171"/>
      <c r="D925" s="78"/>
      <c r="E925" s="78"/>
      <c r="F925" s="171"/>
      <c r="G925" s="173"/>
      <c r="H925" s="170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</row>
    <row r="926" ht="14.25" customHeight="1">
      <c r="A926" s="171"/>
      <c r="B926" s="282"/>
      <c r="C926" s="171"/>
      <c r="D926" s="78"/>
      <c r="E926" s="78"/>
      <c r="F926" s="171"/>
      <c r="G926" s="173"/>
      <c r="H926" s="170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</row>
    <row r="927" ht="14.25" customHeight="1">
      <c r="A927" s="171"/>
      <c r="B927" s="282"/>
      <c r="C927" s="171"/>
      <c r="D927" s="78"/>
      <c r="E927" s="78"/>
      <c r="F927" s="171"/>
      <c r="G927" s="173"/>
      <c r="H927" s="170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</row>
    <row r="928" ht="14.25" customHeight="1">
      <c r="A928" s="171"/>
      <c r="B928" s="282"/>
      <c r="C928" s="171"/>
      <c r="D928" s="78"/>
      <c r="E928" s="78"/>
      <c r="F928" s="171"/>
      <c r="G928" s="173"/>
      <c r="H928" s="170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</row>
    <row r="929" ht="14.25" customHeight="1">
      <c r="A929" s="171"/>
      <c r="B929" s="282"/>
      <c r="C929" s="171"/>
      <c r="D929" s="78"/>
      <c r="E929" s="78"/>
      <c r="F929" s="171"/>
      <c r="G929" s="173"/>
      <c r="H929" s="170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</row>
    <row r="930" ht="14.25" customHeight="1">
      <c r="A930" s="171"/>
      <c r="B930" s="282"/>
      <c r="C930" s="171"/>
      <c r="D930" s="78"/>
      <c r="E930" s="78"/>
      <c r="F930" s="171"/>
      <c r="G930" s="173"/>
      <c r="H930" s="170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</row>
    <row r="931" ht="14.25" customHeight="1">
      <c r="A931" s="171"/>
      <c r="B931" s="282"/>
      <c r="C931" s="171"/>
      <c r="D931" s="78"/>
      <c r="E931" s="78"/>
      <c r="F931" s="171"/>
      <c r="G931" s="173"/>
      <c r="H931" s="170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</row>
    <row r="932" ht="14.25" customHeight="1">
      <c r="A932" s="171"/>
      <c r="B932" s="282"/>
      <c r="C932" s="171"/>
      <c r="D932" s="78"/>
      <c r="E932" s="78"/>
      <c r="F932" s="171"/>
      <c r="G932" s="173"/>
      <c r="H932" s="170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</row>
    <row r="933" ht="14.25" customHeight="1">
      <c r="A933" s="171"/>
      <c r="B933" s="282"/>
      <c r="C933" s="171"/>
      <c r="D933" s="78"/>
      <c r="E933" s="78"/>
      <c r="F933" s="171"/>
      <c r="G933" s="173"/>
      <c r="H933" s="170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</row>
    <row r="934" ht="14.25" customHeight="1">
      <c r="A934" s="171"/>
      <c r="B934" s="282"/>
      <c r="C934" s="171"/>
      <c r="D934" s="78"/>
      <c r="E934" s="78"/>
      <c r="F934" s="171"/>
      <c r="G934" s="173"/>
      <c r="H934" s="170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</row>
    <row r="935" ht="14.25" customHeight="1">
      <c r="A935" s="171"/>
      <c r="B935" s="282"/>
      <c r="C935" s="171"/>
      <c r="D935" s="78"/>
      <c r="E935" s="78"/>
      <c r="F935" s="171"/>
      <c r="G935" s="173"/>
      <c r="H935" s="170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</row>
    <row r="936" ht="14.25" customHeight="1">
      <c r="A936" s="171"/>
      <c r="B936" s="282"/>
      <c r="C936" s="171"/>
      <c r="D936" s="78"/>
      <c r="E936" s="78"/>
      <c r="F936" s="171"/>
      <c r="G936" s="173"/>
      <c r="H936" s="170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</row>
    <row r="937" ht="14.25" customHeight="1">
      <c r="A937" s="171"/>
      <c r="B937" s="282"/>
      <c r="C937" s="171"/>
      <c r="D937" s="78"/>
      <c r="E937" s="78"/>
      <c r="F937" s="171"/>
      <c r="G937" s="173"/>
      <c r="H937" s="170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</row>
    <row r="938" ht="14.25" customHeight="1">
      <c r="A938" s="171"/>
      <c r="B938" s="282"/>
      <c r="C938" s="171"/>
      <c r="D938" s="78"/>
      <c r="E938" s="78"/>
      <c r="F938" s="171"/>
      <c r="G938" s="173"/>
      <c r="H938" s="170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</row>
    <row r="939" ht="14.25" customHeight="1">
      <c r="A939" s="171"/>
      <c r="B939" s="282"/>
      <c r="C939" s="171"/>
      <c r="D939" s="78"/>
      <c r="E939" s="78"/>
      <c r="F939" s="171"/>
      <c r="G939" s="173"/>
      <c r="H939" s="170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</row>
    <row r="940" ht="14.25" customHeight="1">
      <c r="A940" s="171"/>
      <c r="B940" s="282"/>
      <c r="C940" s="171"/>
      <c r="D940" s="78"/>
      <c r="E940" s="78"/>
      <c r="F940" s="171"/>
      <c r="G940" s="173"/>
      <c r="H940" s="170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</row>
    <row r="941" ht="14.25" customHeight="1">
      <c r="A941" s="171"/>
      <c r="B941" s="282"/>
      <c r="C941" s="171"/>
      <c r="D941" s="78"/>
      <c r="E941" s="78"/>
      <c r="F941" s="171"/>
      <c r="G941" s="173"/>
      <c r="H941" s="170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</row>
    <row r="942" ht="14.25" customHeight="1">
      <c r="A942" s="171"/>
      <c r="B942" s="282"/>
      <c r="C942" s="171"/>
      <c r="D942" s="78"/>
      <c r="E942" s="78"/>
      <c r="F942" s="171"/>
      <c r="G942" s="173"/>
      <c r="H942" s="170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</row>
    <row r="943" ht="14.25" customHeight="1">
      <c r="A943" s="171"/>
      <c r="B943" s="282"/>
      <c r="C943" s="171"/>
      <c r="D943" s="78"/>
      <c r="E943" s="78"/>
      <c r="F943" s="171"/>
      <c r="G943" s="173"/>
      <c r="H943" s="170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</row>
    <row r="944" ht="14.25" customHeight="1">
      <c r="A944" s="171"/>
      <c r="B944" s="282"/>
      <c r="C944" s="171"/>
      <c r="D944" s="78"/>
      <c r="E944" s="78"/>
      <c r="F944" s="171"/>
      <c r="G944" s="173"/>
      <c r="H944" s="170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</row>
    <row r="945" ht="14.25" customHeight="1">
      <c r="A945" s="171"/>
      <c r="B945" s="282"/>
      <c r="C945" s="171"/>
      <c r="D945" s="78"/>
      <c r="E945" s="78"/>
      <c r="F945" s="171"/>
      <c r="G945" s="173"/>
      <c r="H945" s="170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</row>
    <row r="946" ht="14.25" customHeight="1">
      <c r="A946" s="171"/>
      <c r="B946" s="282"/>
      <c r="C946" s="171"/>
      <c r="D946" s="78"/>
      <c r="E946" s="78"/>
      <c r="F946" s="171"/>
      <c r="G946" s="173"/>
      <c r="H946" s="170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</row>
    <row r="947" ht="14.25" customHeight="1">
      <c r="A947" s="171"/>
      <c r="B947" s="282"/>
      <c r="C947" s="171"/>
      <c r="D947" s="78"/>
      <c r="E947" s="78"/>
      <c r="F947" s="171"/>
      <c r="G947" s="173"/>
      <c r="H947" s="170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</row>
    <row r="948" ht="14.25" customHeight="1">
      <c r="A948" s="171"/>
      <c r="B948" s="282"/>
      <c r="C948" s="171"/>
      <c r="D948" s="78"/>
      <c r="E948" s="78"/>
      <c r="F948" s="171"/>
      <c r="G948" s="173"/>
      <c r="H948" s="170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</row>
    <row r="949" ht="14.25" customHeight="1">
      <c r="A949" s="171"/>
      <c r="B949" s="282"/>
      <c r="C949" s="171"/>
      <c r="D949" s="78"/>
      <c r="E949" s="78"/>
      <c r="F949" s="171"/>
      <c r="G949" s="173"/>
      <c r="H949" s="170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</row>
    <row r="950" ht="14.25" customHeight="1">
      <c r="A950" s="171"/>
      <c r="B950" s="282"/>
      <c r="C950" s="171"/>
      <c r="D950" s="78"/>
      <c r="E950" s="78"/>
      <c r="F950" s="171"/>
      <c r="G950" s="173"/>
      <c r="H950" s="170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</row>
    <row r="951" ht="14.25" customHeight="1">
      <c r="A951" s="171"/>
      <c r="B951" s="282"/>
      <c r="C951" s="171"/>
      <c r="D951" s="78"/>
      <c r="E951" s="78"/>
      <c r="F951" s="171"/>
      <c r="G951" s="173"/>
      <c r="H951" s="170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</row>
    <row r="952" ht="14.25" customHeight="1">
      <c r="A952" s="171"/>
      <c r="B952" s="282"/>
      <c r="C952" s="171"/>
      <c r="D952" s="78"/>
      <c r="E952" s="78"/>
      <c r="F952" s="171"/>
      <c r="G952" s="173"/>
      <c r="H952" s="170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</row>
    <row r="953" ht="14.25" customHeight="1">
      <c r="A953" s="171"/>
      <c r="B953" s="282"/>
      <c r="C953" s="171"/>
      <c r="D953" s="78"/>
      <c r="E953" s="78"/>
      <c r="F953" s="171"/>
      <c r="G953" s="173"/>
      <c r="H953" s="170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</row>
    <row r="954" ht="14.25" customHeight="1">
      <c r="A954" s="171"/>
      <c r="B954" s="282"/>
      <c r="C954" s="171"/>
      <c r="D954" s="78"/>
      <c r="E954" s="78"/>
      <c r="F954" s="171"/>
      <c r="G954" s="173"/>
      <c r="H954" s="170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</row>
    <row r="955" ht="14.25" customHeight="1">
      <c r="A955" s="171"/>
      <c r="B955" s="282"/>
      <c r="C955" s="171"/>
      <c r="D955" s="78"/>
      <c r="E955" s="78"/>
      <c r="F955" s="171"/>
      <c r="G955" s="173"/>
      <c r="H955" s="170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</row>
    <row r="956" ht="14.25" customHeight="1">
      <c r="A956" s="171"/>
      <c r="B956" s="282"/>
      <c r="C956" s="171"/>
      <c r="D956" s="78"/>
      <c r="E956" s="78"/>
      <c r="F956" s="171"/>
      <c r="G956" s="173"/>
      <c r="H956" s="170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</row>
    <row r="957" ht="14.25" customHeight="1">
      <c r="A957" s="171"/>
      <c r="B957" s="282"/>
      <c r="C957" s="171"/>
      <c r="D957" s="78"/>
      <c r="E957" s="78"/>
      <c r="F957" s="171"/>
      <c r="G957" s="173"/>
      <c r="H957" s="170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</row>
    <row r="958" ht="14.25" customHeight="1">
      <c r="A958" s="171"/>
      <c r="B958" s="282"/>
      <c r="C958" s="171"/>
      <c r="D958" s="78"/>
      <c r="E958" s="78"/>
      <c r="F958" s="171"/>
      <c r="G958" s="173"/>
      <c r="H958" s="170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</row>
    <row r="959" ht="14.25" customHeight="1">
      <c r="A959" s="171"/>
      <c r="B959" s="282"/>
      <c r="C959" s="171"/>
      <c r="D959" s="78"/>
      <c r="E959" s="78"/>
      <c r="F959" s="171"/>
      <c r="G959" s="173"/>
      <c r="H959" s="170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</row>
    <row r="960" ht="14.25" customHeight="1">
      <c r="A960" s="171"/>
      <c r="B960" s="282"/>
      <c r="C960" s="171"/>
      <c r="D960" s="78"/>
      <c r="E960" s="78"/>
      <c r="F960" s="171"/>
      <c r="G960" s="173"/>
      <c r="H960" s="170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</row>
    <row r="961" ht="14.25" customHeight="1">
      <c r="A961" s="171"/>
      <c r="B961" s="282"/>
      <c r="C961" s="171"/>
      <c r="D961" s="78"/>
      <c r="E961" s="78"/>
      <c r="F961" s="171"/>
      <c r="G961" s="173"/>
      <c r="H961" s="170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</row>
    <row r="962" ht="14.25" customHeight="1">
      <c r="A962" s="171"/>
      <c r="B962" s="282"/>
      <c r="C962" s="171"/>
      <c r="D962" s="78"/>
      <c r="E962" s="78"/>
      <c r="F962" s="171"/>
      <c r="G962" s="173"/>
      <c r="H962" s="170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</row>
    <row r="963" ht="14.25" customHeight="1">
      <c r="A963" s="171"/>
      <c r="B963" s="282"/>
      <c r="C963" s="171"/>
      <c r="D963" s="78"/>
      <c r="E963" s="78"/>
      <c r="F963" s="171"/>
      <c r="G963" s="173"/>
      <c r="H963" s="170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</row>
    <row r="964" ht="14.25" customHeight="1">
      <c r="A964" s="171"/>
      <c r="B964" s="282"/>
      <c r="C964" s="171"/>
      <c r="D964" s="78"/>
      <c r="E964" s="78"/>
      <c r="F964" s="171"/>
      <c r="G964" s="173"/>
      <c r="H964" s="170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</row>
    <row r="965" ht="14.25" customHeight="1">
      <c r="A965" s="171"/>
      <c r="B965" s="282"/>
      <c r="C965" s="171"/>
      <c r="D965" s="78"/>
      <c r="E965" s="78"/>
      <c r="F965" s="171"/>
      <c r="G965" s="173"/>
      <c r="H965" s="170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</row>
    <row r="966" ht="14.25" customHeight="1">
      <c r="A966" s="171"/>
      <c r="B966" s="282"/>
      <c r="C966" s="171"/>
      <c r="D966" s="78"/>
      <c r="E966" s="78"/>
      <c r="F966" s="171"/>
      <c r="G966" s="173"/>
      <c r="H966" s="170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</row>
    <row r="967" ht="14.25" customHeight="1">
      <c r="A967" s="171"/>
      <c r="B967" s="282"/>
      <c r="C967" s="171"/>
      <c r="D967" s="78"/>
      <c r="E967" s="78"/>
      <c r="F967" s="171"/>
      <c r="G967" s="173"/>
      <c r="H967" s="170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</row>
    <row r="968" ht="14.25" customHeight="1">
      <c r="A968" s="171"/>
      <c r="B968" s="282"/>
      <c r="C968" s="171"/>
      <c r="D968" s="78"/>
      <c r="E968" s="78"/>
      <c r="F968" s="171"/>
      <c r="G968" s="173"/>
      <c r="H968" s="170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</row>
    <row r="969" ht="14.25" customHeight="1">
      <c r="A969" s="171"/>
      <c r="B969" s="282"/>
      <c r="C969" s="171"/>
      <c r="D969" s="78"/>
      <c r="E969" s="78"/>
      <c r="F969" s="171"/>
      <c r="G969" s="173"/>
      <c r="H969" s="170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</row>
    <row r="970" ht="14.25" customHeight="1">
      <c r="A970" s="171"/>
      <c r="B970" s="282"/>
      <c r="C970" s="171"/>
      <c r="D970" s="78"/>
      <c r="E970" s="78"/>
      <c r="F970" s="171"/>
      <c r="G970" s="173"/>
      <c r="H970" s="170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</row>
    <row r="971" ht="14.25" customHeight="1">
      <c r="A971" s="171"/>
      <c r="B971" s="282"/>
      <c r="C971" s="171"/>
      <c r="D971" s="78"/>
      <c r="E971" s="78"/>
      <c r="F971" s="171"/>
      <c r="G971" s="173"/>
      <c r="H971" s="170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</row>
    <row r="972" ht="14.25" customHeight="1">
      <c r="A972" s="171"/>
      <c r="B972" s="282"/>
      <c r="C972" s="171"/>
      <c r="D972" s="78"/>
      <c r="E972" s="78"/>
      <c r="F972" s="171"/>
      <c r="G972" s="173"/>
      <c r="H972" s="170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</row>
    <row r="973" ht="14.25" customHeight="1">
      <c r="A973" s="171"/>
      <c r="B973" s="282"/>
      <c r="C973" s="171"/>
      <c r="D973" s="78"/>
      <c r="E973" s="78"/>
      <c r="F973" s="171"/>
      <c r="G973" s="173"/>
      <c r="H973" s="170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</row>
    <row r="974" ht="14.25" customHeight="1">
      <c r="A974" s="171"/>
      <c r="B974" s="282"/>
      <c r="C974" s="171"/>
      <c r="D974" s="78"/>
      <c r="E974" s="78"/>
      <c r="F974" s="171"/>
      <c r="G974" s="173"/>
      <c r="H974" s="170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</row>
    <row r="975" ht="14.25" customHeight="1">
      <c r="A975" s="171"/>
      <c r="B975" s="282"/>
      <c r="C975" s="171"/>
      <c r="D975" s="78"/>
      <c r="E975" s="78"/>
      <c r="F975" s="171"/>
      <c r="G975" s="173"/>
      <c r="H975" s="170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</row>
    <row r="976" ht="14.25" customHeight="1">
      <c r="A976" s="171"/>
      <c r="B976" s="282"/>
      <c r="C976" s="171"/>
      <c r="D976" s="78"/>
      <c r="E976" s="78"/>
      <c r="F976" s="171"/>
      <c r="G976" s="173"/>
      <c r="H976" s="170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</row>
    <row r="977" ht="14.25" customHeight="1">
      <c r="A977" s="171"/>
      <c r="B977" s="282"/>
      <c r="C977" s="171"/>
      <c r="D977" s="78"/>
      <c r="E977" s="78"/>
      <c r="F977" s="171"/>
      <c r="G977" s="173"/>
      <c r="H977" s="170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</row>
    <row r="978" ht="14.25" customHeight="1">
      <c r="A978" s="171"/>
      <c r="B978" s="282"/>
      <c r="C978" s="171"/>
      <c r="D978" s="78"/>
      <c r="E978" s="78"/>
      <c r="F978" s="171"/>
      <c r="G978" s="173"/>
      <c r="H978" s="170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</row>
    <row r="979" ht="14.25" customHeight="1">
      <c r="A979" s="171"/>
      <c r="B979" s="282"/>
      <c r="C979" s="171"/>
      <c r="D979" s="78"/>
      <c r="E979" s="78"/>
      <c r="F979" s="171"/>
      <c r="G979" s="173"/>
      <c r="H979" s="170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</row>
    <row r="980" ht="14.25" customHeight="1">
      <c r="A980" s="171"/>
      <c r="B980" s="282"/>
      <c r="C980" s="171"/>
      <c r="D980" s="78"/>
      <c r="E980" s="78"/>
      <c r="F980" s="171"/>
      <c r="G980" s="173"/>
      <c r="H980" s="170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</row>
    <row r="981" ht="14.25" customHeight="1">
      <c r="A981" s="171"/>
      <c r="B981" s="282"/>
      <c r="C981" s="171"/>
      <c r="D981" s="78"/>
      <c r="E981" s="78"/>
      <c r="F981" s="171"/>
      <c r="G981" s="173"/>
      <c r="H981" s="170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</row>
    <row r="982" ht="14.25" customHeight="1">
      <c r="A982" s="171"/>
      <c r="B982" s="282"/>
      <c r="C982" s="171"/>
      <c r="D982" s="78"/>
      <c r="E982" s="78"/>
      <c r="F982" s="171"/>
      <c r="G982" s="173"/>
      <c r="H982" s="170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</row>
    <row r="983" ht="14.25" customHeight="1">
      <c r="A983" s="171"/>
      <c r="B983" s="282"/>
      <c r="C983" s="171"/>
      <c r="D983" s="78"/>
      <c r="E983" s="78"/>
      <c r="F983" s="171"/>
      <c r="G983" s="173"/>
      <c r="H983" s="170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</row>
    <row r="984" ht="14.25" customHeight="1">
      <c r="A984" s="171"/>
      <c r="B984" s="282"/>
      <c r="C984" s="171"/>
      <c r="D984" s="78"/>
      <c r="E984" s="78"/>
      <c r="F984" s="171"/>
      <c r="G984" s="173"/>
      <c r="H984" s="170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</row>
    <row r="985" ht="14.25" customHeight="1">
      <c r="A985" s="171"/>
      <c r="B985" s="282"/>
      <c r="C985" s="171"/>
      <c r="D985" s="78"/>
      <c r="E985" s="78"/>
      <c r="F985" s="171"/>
      <c r="G985" s="173"/>
      <c r="H985" s="170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</row>
    <row r="986" ht="14.25" customHeight="1">
      <c r="A986" s="171"/>
      <c r="B986" s="282"/>
      <c r="C986" s="171"/>
      <c r="D986" s="78"/>
      <c r="E986" s="78"/>
      <c r="F986" s="171"/>
      <c r="G986" s="173"/>
      <c r="H986" s="170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</row>
    <row r="987" ht="14.25" customHeight="1">
      <c r="A987" s="171"/>
      <c r="B987" s="282"/>
      <c r="C987" s="171"/>
      <c r="D987" s="78"/>
      <c r="E987" s="78"/>
      <c r="F987" s="171"/>
      <c r="G987" s="173"/>
      <c r="H987" s="170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</row>
    <row r="988" ht="14.25" customHeight="1">
      <c r="A988" s="171"/>
      <c r="B988" s="282"/>
      <c r="C988" s="171"/>
      <c r="D988" s="78"/>
      <c r="E988" s="78"/>
      <c r="F988" s="171"/>
      <c r="G988" s="173"/>
      <c r="H988" s="170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</row>
    <row r="989" ht="14.25" customHeight="1">
      <c r="A989" s="171"/>
      <c r="B989" s="282"/>
      <c r="C989" s="171"/>
      <c r="D989" s="78"/>
      <c r="E989" s="78"/>
      <c r="F989" s="171"/>
      <c r="G989" s="173"/>
      <c r="H989" s="170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</row>
    <row r="990" ht="14.25" customHeight="1">
      <c r="A990" s="171"/>
      <c r="B990" s="282"/>
      <c r="C990" s="171"/>
      <c r="D990" s="78"/>
      <c r="E990" s="78"/>
      <c r="F990" s="171"/>
      <c r="G990" s="173"/>
      <c r="H990" s="170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</row>
    <row r="991" ht="14.25" customHeight="1">
      <c r="A991" s="171"/>
      <c r="B991" s="282"/>
      <c r="C991" s="171"/>
      <c r="D991" s="78"/>
      <c r="E991" s="78"/>
      <c r="F991" s="171"/>
      <c r="G991" s="173"/>
      <c r="H991" s="170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</row>
    <row r="992" ht="14.25" customHeight="1">
      <c r="A992" s="171"/>
      <c r="B992" s="282"/>
      <c r="C992" s="171"/>
      <c r="D992" s="78"/>
      <c r="E992" s="78"/>
      <c r="F992" s="171"/>
      <c r="G992" s="173"/>
      <c r="H992" s="170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</row>
    <row r="993" ht="14.25" customHeight="1">
      <c r="A993" s="171"/>
      <c r="B993" s="282"/>
      <c r="C993" s="171"/>
      <c r="D993" s="78"/>
      <c r="E993" s="78"/>
      <c r="F993" s="171"/>
      <c r="G993" s="173"/>
      <c r="H993" s="170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</row>
    <row r="994" ht="14.25" customHeight="1">
      <c r="A994" s="171"/>
      <c r="B994" s="282"/>
      <c r="C994" s="171"/>
      <c r="D994" s="78"/>
      <c r="E994" s="78"/>
      <c r="F994" s="171"/>
      <c r="G994" s="173"/>
      <c r="H994" s="170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</row>
    <row r="995" ht="14.25" customHeight="1">
      <c r="A995" s="171"/>
      <c r="B995" s="282"/>
      <c r="C995" s="171"/>
      <c r="D995" s="78"/>
      <c r="E995" s="78"/>
      <c r="F995" s="171"/>
      <c r="G995" s="173"/>
      <c r="H995" s="170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</row>
    <row r="996" ht="14.25" customHeight="1">
      <c r="A996" s="171"/>
      <c r="B996" s="282"/>
      <c r="C996" s="171"/>
      <c r="D996" s="78"/>
      <c r="E996" s="78"/>
      <c r="F996" s="171"/>
      <c r="G996" s="173"/>
      <c r="H996" s="170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</row>
    <row r="997" ht="14.25" customHeight="1">
      <c r="A997" s="171"/>
      <c r="B997" s="282"/>
      <c r="C997" s="171"/>
      <c r="D997" s="78"/>
      <c r="E997" s="78"/>
      <c r="F997" s="171"/>
      <c r="G997" s="173"/>
      <c r="H997" s="170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</row>
    <row r="998" ht="14.25" customHeight="1">
      <c r="A998" s="171"/>
      <c r="B998" s="282"/>
      <c r="C998" s="171"/>
      <c r="D998" s="78"/>
      <c r="E998" s="78"/>
      <c r="F998" s="171"/>
      <c r="G998" s="173"/>
      <c r="H998" s="170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</row>
    <row r="999" ht="14.25" customHeight="1">
      <c r="A999" s="171"/>
      <c r="B999" s="282"/>
      <c r="C999" s="171"/>
      <c r="D999" s="78"/>
      <c r="E999" s="78"/>
      <c r="F999" s="171"/>
      <c r="G999" s="173"/>
      <c r="H999" s="170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</row>
    <row r="1000" ht="14.25" customHeight="1">
      <c r="A1000" s="171"/>
      <c r="B1000" s="282"/>
      <c r="C1000" s="171"/>
      <c r="D1000" s="78"/>
      <c r="E1000" s="78"/>
      <c r="F1000" s="171"/>
      <c r="G1000" s="173"/>
      <c r="H1000" s="170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</row>
    <row r="1001" ht="14.25" customHeight="1">
      <c r="A1001" s="171"/>
      <c r="B1001" s="282"/>
      <c r="C1001" s="171"/>
      <c r="D1001" s="78"/>
      <c r="E1001" s="78"/>
      <c r="F1001" s="171"/>
      <c r="G1001" s="173"/>
      <c r="H1001" s="170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  <c r="Y1001" s="171"/>
      <c r="Z1001" s="171"/>
      <c r="AA1001" s="171"/>
      <c r="AB1001" s="171"/>
    </row>
  </sheetData>
  <mergeCells count="11">
    <mergeCell ref="B5:D5"/>
    <mergeCell ref="B6:D6"/>
    <mergeCell ref="F6:G6"/>
    <mergeCell ref="F41:I41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14"/>
    <col customWidth="1" min="6" max="6" width="17.0"/>
    <col customWidth="1" min="7" max="7" width="22.29"/>
    <col customWidth="1" min="8" max="8" width="13.71"/>
    <col customWidth="1" min="9" max="28" width="8.71"/>
  </cols>
  <sheetData>
    <row r="1" ht="30.0" customHeight="1">
      <c r="A1" s="105" t="s">
        <v>42</v>
      </c>
      <c r="H1" s="170"/>
      <c r="I1" s="171"/>
    </row>
    <row r="2" ht="29.25" customHeight="1">
      <c r="A2" s="171"/>
      <c r="B2" s="282"/>
      <c r="C2" s="106" t="s">
        <v>43</v>
      </c>
      <c r="F2" s="171"/>
      <c r="G2" s="171"/>
      <c r="H2" s="170"/>
      <c r="I2" s="171"/>
    </row>
    <row r="3" ht="14.25" customHeight="1">
      <c r="A3" s="174" t="s">
        <v>44</v>
      </c>
      <c r="B3" s="175" t="s">
        <v>997</v>
      </c>
      <c r="E3" s="174" t="s">
        <v>46</v>
      </c>
      <c r="F3" s="175" t="s">
        <v>998</v>
      </c>
      <c r="H3" s="170"/>
      <c r="I3" s="171"/>
    </row>
    <row r="4" ht="14.25" customHeight="1">
      <c r="A4" s="174" t="s">
        <v>48</v>
      </c>
      <c r="B4" s="52" t="s">
        <v>999</v>
      </c>
      <c r="D4" s="171"/>
      <c r="E4" s="174" t="s">
        <v>105</v>
      </c>
      <c r="F4" s="283"/>
      <c r="H4" s="170"/>
      <c r="I4" s="171"/>
    </row>
    <row r="5" ht="14.25" customHeight="1">
      <c r="A5" s="174" t="s">
        <v>51</v>
      </c>
      <c r="B5" s="175" t="s">
        <v>1000</v>
      </c>
      <c r="E5" s="174" t="s">
        <v>53</v>
      </c>
      <c r="F5" s="303" t="s">
        <v>999</v>
      </c>
    </row>
    <row r="6" ht="14.25" customHeight="1">
      <c r="A6" s="174" t="s">
        <v>54</v>
      </c>
      <c r="B6" s="283"/>
      <c r="E6" s="174" t="s">
        <v>55</v>
      </c>
      <c r="F6" s="175">
        <v>5.1001325128E10</v>
      </c>
      <c r="H6" s="170"/>
      <c r="I6" s="171"/>
    </row>
    <row r="7" ht="14.25" customHeight="1">
      <c r="A7" s="171"/>
      <c r="B7" s="282"/>
      <c r="C7" s="171"/>
      <c r="D7" s="171"/>
      <c r="E7" s="171"/>
      <c r="F7" s="171"/>
      <c r="G7" s="171"/>
      <c r="H7" s="170"/>
      <c r="I7" s="171"/>
    </row>
    <row r="8" ht="14.25" customHeight="1">
      <c r="A8" s="171"/>
      <c r="B8" s="282"/>
      <c r="C8" s="171"/>
      <c r="D8" s="171"/>
      <c r="E8" s="171"/>
      <c r="F8" s="171"/>
      <c r="G8" s="171"/>
      <c r="H8" s="170"/>
      <c r="I8" s="171"/>
    </row>
    <row r="9" ht="14.25" customHeight="1">
      <c r="A9" s="107" t="s">
        <v>56</v>
      </c>
      <c r="B9" s="108" t="s">
        <v>107</v>
      </c>
      <c r="C9" s="177" t="s">
        <v>58</v>
      </c>
      <c r="D9" s="107" t="s">
        <v>59</v>
      </c>
      <c r="E9" s="107" t="s">
        <v>60</v>
      </c>
      <c r="F9" s="107" t="s">
        <v>61</v>
      </c>
      <c r="G9" s="107" t="s">
        <v>62</v>
      </c>
      <c r="H9" s="111" t="s">
        <v>63</v>
      </c>
      <c r="I9" s="107" t="s">
        <v>64</v>
      </c>
    </row>
    <row r="10" ht="14.25" customHeight="1">
      <c r="A10" s="112" t="s">
        <v>1001</v>
      </c>
      <c r="B10" s="284"/>
      <c r="C10" s="302">
        <v>45253.0</v>
      </c>
      <c r="D10" s="115"/>
      <c r="E10" s="115"/>
      <c r="F10" s="116">
        <v>1.0</v>
      </c>
      <c r="G10" s="116">
        <v>1.0</v>
      </c>
      <c r="H10" s="181">
        <f t="shared" ref="H10:H39" si="1">G10*200</f>
        <v>200</v>
      </c>
      <c r="I10" s="119"/>
    </row>
    <row r="11" ht="14.25" customHeight="1">
      <c r="A11" s="135" t="s">
        <v>1002</v>
      </c>
      <c r="B11" s="135">
        <v>7.9415474E7</v>
      </c>
      <c r="C11" s="302">
        <v>45253.0</v>
      </c>
      <c r="D11" s="115"/>
      <c r="E11" s="115"/>
      <c r="F11" s="121">
        <v>2.0</v>
      </c>
      <c r="G11" s="121">
        <v>2.0</v>
      </c>
      <c r="H11" s="181">
        <f t="shared" si="1"/>
        <v>400</v>
      </c>
      <c r="I11" s="119"/>
    </row>
    <row r="12" ht="14.25" customHeight="1">
      <c r="A12" s="135" t="s">
        <v>1003</v>
      </c>
      <c r="B12" s="135">
        <v>7.8478337E7</v>
      </c>
      <c r="C12" s="302">
        <v>45253.0</v>
      </c>
      <c r="D12" s="115"/>
      <c r="E12" s="115"/>
      <c r="F12" s="121">
        <v>2.0</v>
      </c>
      <c r="G12" s="121">
        <v>2.0</v>
      </c>
      <c r="H12" s="181">
        <f t="shared" si="1"/>
        <v>400</v>
      </c>
      <c r="I12" s="119"/>
    </row>
    <row r="13" ht="14.25" customHeight="1">
      <c r="A13" s="137" t="s">
        <v>1004</v>
      </c>
      <c r="B13" s="137"/>
      <c r="C13" s="302">
        <v>45253.0</v>
      </c>
      <c r="D13" s="115"/>
      <c r="E13" s="115"/>
      <c r="F13" s="121">
        <v>2.0</v>
      </c>
      <c r="G13" s="121">
        <v>2.0</v>
      </c>
      <c r="H13" s="181">
        <f t="shared" si="1"/>
        <v>400</v>
      </c>
      <c r="I13" s="119"/>
    </row>
    <row r="14" ht="14.25" customHeight="1">
      <c r="A14" s="135" t="s">
        <v>1005</v>
      </c>
      <c r="B14" s="135">
        <v>7.9750165E7</v>
      </c>
      <c r="C14" s="302">
        <v>45253.0</v>
      </c>
      <c r="D14" s="115"/>
      <c r="E14" s="115"/>
      <c r="F14" s="121">
        <v>2.0</v>
      </c>
      <c r="G14" s="121">
        <v>2.0</v>
      </c>
      <c r="H14" s="181">
        <f t="shared" si="1"/>
        <v>400</v>
      </c>
      <c r="I14" s="119"/>
    </row>
    <row r="15" ht="14.25" customHeight="1">
      <c r="A15" s="135" t="s">
        <v>1006</v>
      </c>
      <c r="B15" s="135">
        <v>7.643632E7</v>
      </c>
      <c r="C15" s="302">
        <v>45253.0</v>
      </c>
      <c r="D15" s="115"/>
      <c r="E15" s="115"/>
      <c r="F15" s="121">
        <v>1.0</v>
      </c>
      <c r="G15" s="121">
        <v>1.0</v>
      </c>
      <c r="H15" s="181">
        <f t="shared" si="1"/>
        <v>200</v>
      </c>
      <c r="I15" s="119"/>
    </row>
    <row r="16" ht="14.25" customHeight="1">
      <c r="A16" s="137" t="s">
        <v>1007</v>
      </c>
      <c r="B16" s="137">
        <v>7.6701583E7</v>
      </c>
      <c r="C16" s="302">
        <v>45253.0</v>
      </c>
      <c r="D16" s="115"/>
      <c r="E16" s="115"/>
      <c r="F16" s="126">
        <v>2.0</v>
      </c>
      <c r="G16" s="126">
        <v>2.0</v>
      </c>
      <c r="H16" s="181">
        <f t="shared" si="1"/>
        <v>400</v>
      </c>
      <c r="I16" s="119"/>
    </row>
    <row r="17" ht="14.25" customHeight="1">
      <c r="A17" s="135" t="s">
        <v>1008</v>
      </c>
      <c r="B17" s="135">
        <v>7.643632E7</v>
      </c>
      <c r="C17" s="302">
        <v>45253.0</v>
      </c>
      <c r="D17" s="115"/>
      <c r="E17" s="115"/>
      <c r="F17" s="121">
        <v>3.0</v>
      </c>
      <c r="G17" s="121">
        <v>3.0</v>
      </c>
      <c r="H17" s="181">
        <f t="shared" si="1"/>
        <v>600</v>
      </c>
      <c r="I17" s="119"/>
    </row>
    <row r="18" ht="14.25" customHeight="1">
      <c r="A18" s="137" t="s">
        <v>1009</v>
      </c>
      <c r="B18" s="293"/>
      <c r="C18" s="302">
        <v>45253.0</v>
      </c>
      <c r="D18" s="115"/>
      <c r="E18" s="115"/>
      <c r="F18" s="121">
        <v>2.0</v>
      </c>
      <c r="G18" s="121">
        <v>2.0</v>
      </c>
      <c r="H18" s="181">
        <f t="shared" si="1"/>
        <v>400</v>
      </c>
      <c r="I18" s="119"/>
    </row>
    <row r="19" ht="14.25" customHeight="1">
      <c r="A19" s="135" t="s">
        <v>1010</v>
      </c>
      <c r="B19" s="136">
        <v>7.6413902E7</v>
      </c>
      <c r="C19" s="302">
        <v>45253.0</v>
      </c>
      <c r="D19" s="115"/>
      <c r="E19" s="115"/>
      <c r="F19" s="121">
        <v>3.0</v>
      </c>
      <c r="G19" s="121">
        <v>3.0</v>
      </c>
      <c r="H19" s="181">
        <f t="shared" si="1"/>
        <v>600</v>
      </c>
      <c r="I19" s="119"/>
    </row>
    <row r="20" ht="14.25" customHeight="1">
      <c r="A20" s="137" t="s">
        <v>1011</v>
      </c>
      <c r="B20" s="290"/>
      <c r="C20" s="302">
        <v>45253.0</v>
      </c>
      <c r="D20" s="115"/>
      <c r="E20" s="115"/>
      <c r="F20" s="126">
        <v>3.0</v>
      </c>
      <c r="G20" s="126">
        <v>3.0</v>
      </c>
      <c r="H20" s="181">
        <f t="shared" si="1"/>
        <v>600</v>
      </c>
      <c r="I20" s="119"/>
    </row>
    <row r="21" ht="14.25" customHeight="1">
      <c r="A21" s="135" t="s">
        <v>1012</v>
      </c>
      <c r="B21" s="135">
        <v>7.6413902E7</v>
      </c>
      <c r="C21" s="302">
        <v>45253.0</v>
      </c>
      <c r="D21" s="115"/>
      <c r="E21" s="115"/>
      <c r="F21" s="121">
        <v>2.0</v>
      </c>
      <c r="G21" s="121">
        <v>2.0</v>
      </c>
      <c r="H21" s="181">
        <f t="shared" si="1"/>
        <v>400</v>
      </c>
      <c r="I21" s="119"/>
    </row>
    <row r="22" ht="14.25" customHeight="1">
      <c r="A22" s="135" t="s">
        <v>1013</v>
      </c>
      <c r="B22" s="136">
        <v>7.6938808E7</v>
      </c>
      <c r="C22" s="302">
        <v>45253.0</v>
      </c>
      <c r="D22" s="115"/>
      <c r="E22" s="115"/>
      <c r="F22" s="121">
        <v>1.0</v>
      </c>
      <c r="G22" s="121">
        <v>1.0</v>
      </c>
      <c r="H22" s="181">
        <f t="shared" si="1"/>
        <v>200</v>
      </c>
      <c r="I22" s="119"/>
    </row>
    <row r="23" ht="14.25" customHeight="1">
      <c r="A23" s="135" t="s">
        <v>1014</v>
      </c>
      <c r="B23" s="185"/>
      <c r="C23" s="302">
        <v>45253.0</v>
      </c>
      <c r="D23" s="115"/>
      <c r="E23" s="115"/>
      <c r="F23" s="121">
        <v>2.0</v>
      </c>
      <c r="G23" s="121">
        <v>2.0</v>
      </c>
      <c r="H23" s="181">
        <f t="shared" si="1"/>
        <v>400</v>
      </c>
      <c r="I23" s="119"/>
    </row>
    <row r="24" ht="14.25" customHeight="1">
      <c r="A24" s="137" t="s">
        <v>1015</v>
      </c>
      <c r="B24" s="293"/>
      <c r="C24" s="302">
        <v>45253.0</v>
      </c>
      <c r="D24" s="115"/>
      <c r="E24" s="115"/>
      <c r="F24" s="121">
        <v>1.0</v>
      </c>
      <c r="G24" s="121">
        <v>1.0</v>
      </c>
      <c r="H24" s="181">
        <f t="shared" si="1"/>
        <v>200</v>
      </c>
      <c r="I24" s="119"/>
    </row>
    <row r="25" ht="14.25" customHeight="1">
      <c r="A25" s="135" t="s">
        <v>1016</v>
      </c>
      <c r="B25" s="185"/>
      <c r="C25" s="302">
        <v>45253.0</v>
      </c>
      <c r="D25" s="115"/>
      <c r="E25" s="115"/>
      <c r="F25" s="121">
        <v>2.0</v>
      </c>
      <c r="G25" s="121">
        <v>2.0</v>
      </c>
      <c r="H25" s="181">
        <f t="shared" si="1"/>
        <v>400</v>
      </c>
      <c r="I25" s="119"/>
    </row>
    <row r="26" ht="14.25" customHeight="1">
      <c r="A26" s="135" t="s">
        <v>1017</v>
      </c>
      <c r="B26" s="185"/>
      <c r="C26" s="302">
        <v>45253.0</v>
      </c>
      <c r="D26" s="115"/>
      <c r="E26" s="115"/>
      <c r="F26" s="121">
        <v>1.0</v>
      </c>
      <c r="G26" s="121">
        <v>1.0</v>
      </c>
      <c r="H26" s="181">
        <f t="shared" si="1"/>
        <v>200</v>
      </c>
      <c r="I26" s="119"/>
    </row>
    <row r="27" ht="14.25" customHeight="1">
      <c r="A27" s="135" t="s">
        <v>1018</v>
      </c>
      <c r="B27" s="135">
        <v>7.8216381E7</v>
      </c>
      <c r="C27" s="302">
        <v>45253.0</v>
      </c>
      <c r="D27" s="115"/>
      <c r="E27" s="115"/>
      <c r="F27" s="121">
        <v>2.0</v>
      </c>
      <c r="G27" s="121">
        <v>2.0</v>
      </c>
      <c r="H27" s="181">
        <f t="shared" si="1"/>
        <v>400</v>
      </c>
      <c r="I27" s="119"/>
    </row>
    <row r="28" ht="14.25" customHeight="1">
      <c r="A28" s="135" t="s">
        <v>1019</v>
      </c>
      <c r="B28" s="135">
        <v>7.6589591E7</v>
      </c>
      <c r="C28" s="302">
        <v>45253.0</v>
      </c>
      <c r="D28" s="115"/>
      <c r="E28" s="115"/>
      <c r="F28" s="121">
        <v>2.0</v>
      </c>
      <c r="G28" s="121">
        <v>2.0</v>
      </c>
      <c r="H28" s="181">
        <f t="shared" si="1"/>
        <v>400</v>
      </c>
      <c r="I28" s="119"/>
    </row>
    <row r="29" ht="14.25" customHeight="1">
      <c r="A29" s="135" t="s">
        <v>1020</v>
      </c>
      <c r="B29" s="185"/>
      <c r="C29" s="302">
        <v>45253.0</v>
      </c>
      <c r="D29" s="115"/>
      <c r="E29" s="115"/>
      <c r="F29" s="121">
        <v>3.0</v>
      </c>
      <c r="G29" s="121">
        <v>3.0</v>
      </c>
      <c r="H29" s="181">
        <f t="shared" si="1"/>
        <v>600</v>
      </c>
      <c r="I29" s="119"/>
    </row>
    <row r="30" ht="14.25" customHeight="1">
      <c r="A30" s="135" t="s">
        <v>1021</v>
      </c>
      <c r="B30" s="293"/>
      <c r="C30" s="302">
        <v>45253.0</v>
      </c>
      <c r="D30" s="115"/>
      <c r="E30" s="115"/>
      <c r="F30" s="121">
        <v>1.0</v>
      </c>
      <c r="G30" s="121">
        <v>1.0</v>
      </c>
      <c r="H30" s="181">
        <f t="shared" si="1"/>
        <v>200</v>
      </c>
      <c r="I30" s="119"/>
    </row>
    <row r="31" ht="14.25" customHeight="1">
      <c r="A31" s="135" t="s">
        <v>1022</v>
      </c>
      <c r="B31" s="135">
        <v>7.6520985E7</v>
      </c>
      <c r="C31" s="302">
        <v>45253.0</v>
      </c>
      <c r="D31" s="115"/>
      <c r="E31" s="115"/>
      <c r="F31" s="121">
        <v>1.0</v>
      </c>
      <c r="G31" s="121">
        <v>1.0</v>
      </c>
      <c r="H31" s="181">
        <f t="shared" si="1"/>
        <v>200</v>
      </c>
      <c r="I31" s="119"/>
    </row>
    <row r="32" ht="14.25" customHeight="1">
      <c r="A32" s="137" t="s">
        <v>1023</v>
      </c>
      <c r="B32" s="290"/>
      <c r="C32" s="302">
        <v>45253.0</v>
      </c>
      <c r="D32" s="115"/>
      <c r="E32" s="115"/>
      <c r="F32" s="121">
        <v>1.0</v>
      </c>
      <c r="G32" s="121">
        <v>1.0</v>
      </c>
      <c r="H32" s="181">
        <f t="shared" si="1"/>
        <v>200</v>
      </c>
      <c r="I32" s="119"/>
    </row>
    <row r="33" ht="14.25" customHeight="1">
      <c r="A33" s="137" t="s">
        <v>1024</v>
      </c>
      <c r="B33" s="290"/>
      <c r="C33" s="302">
        <v>45253.0</v>
      </c>
      <c r="D33" s="119"/>
      <c r="E33" s="119"/>
      <c r="F33" s="116">
        <v>1.0</v>
      </c>
      <c r="G33" s="116">
        <v>1.0</v>
      </c>
      <c r="H33" s="181">
        <f t="shared" si="1"/>
        <v>200</v>
      </c>
      <c r="I33" s="119"/>
    </row>
    <row r="34" ht="14.25" customHeight="1">
      <c r="A34" s="137" t="s">
        <v>1025</v>
      </c>
      <c r="B34" s="137">
        <v>7.6831593E7</v>
      </c>
      <c r="C34" s="302">
        <v>45253.0</v>
      </c>
      <c r="D34" s="119"/>
      <c r="E34" s="119"/>
      <c r="F34" s="116">
        <v>1.0</v>
      </c>
      <c r="G34" s="116">
        <v>1.0</v>
      </c>
      <c r="H34" s="181">
        <f t="shared" si="1"/>
        <v>200</v>
      </c>
      <c r="I34" s="119"/>
    </row>
    <row r="35" ht="14.25" customHeight="1">
      <c r="A35" s="135" t="s">
        <v>1026</v>
      </c>
      <c r="B35" s="185"/>
      <c r="C35" s="302">
        <v>45253.0</v>
      </c>
      <c r="D35" s="119"/>
      <c r="E35" s="119"/>
      <c r="F35" s="116">
        <v>2.0</v>
      </c>
      <c r="G35" s="116">
        <v>2.0</v>
      </c>
      <c r="H35" s="181">
        <f t="shared" si="1"/>
        <v>400</v>
      </c>
      <c r="I35" s="119"/>
    </row>
    <row r="36" ht="14.25" customHeight="1">
      <c r="A36" s="137" t="s">
        <v>1027</v>
      </c>
      <c r="B36" s="290"/>
      <c r="C36" s="302">
        <v>45253.0</v>
      </c>
      <c r="D36" s="119"/>
      <c r="E36" s="119"/>
      <c r="F36" s="116">
        <v>1.0</v>
      </c>
      <c r="G36" s="116">
        <v>1.0</v>
      </c>
      <c r="H36" s="181">
        <f t="shared" si="1"/>
        <v>200</v>
      </c>
      <c r="I36" s="119"/>
    </row>
    <row r="37" ht="14.25" customHeight="1">
      <c r="A37" s="135" t="s">
        <v>1028</v>
      </c>
      <c r="B37" s="185"/>
      <c r="C37" s="302">
        <v>45253.0</v>
      </c>
      <c r="D37" s="119"/>
      <c r="E37" s="119"/>
      <c r="F37" s="116">
        <v>1.0</v>
      </c>
      <c r="G37" s="116">
        <v>1.0</v>
      </c>
      <c r="H37" s="181">
        <f t="shared" si="1"/>
        <v>200</v>
      </c>
      <c r="I37" s="119"/>
    </row>
    <row r="38" ht="14.25" customHeight="1">
      <c r="A38" s="135" t="s">
        <v>1029</v>
      </c>
      <c r="B38" s="185"/>
      <c r="C38" s="302">
        <v>45253.0</v>
      </c>
      <c r="D38" s="119"/>
      <c r="E38" s="119"/>
      <c r="F38" s="116">
        <v>1.0</v>
      </c>
      <c r="G38" s="116">
        <v>1.0</v>
      </c>
      <c r="H38" s="181">
        <f t="shared" si="1"/>
        <v>200</v>
      </c>
      <c r="I38" s="119"/>
    </row>
    <row r="39" ht="14.25" customHeight="1">
      <c r="A39" s="135" t="s">
        <v>1030</v>
      </c>
      <c r="B39" s="136">
        <v>7.6779281E7</v>
      </c>
      <c r="C39" s="302">
        <v>45253.0</v>
      </c>
      <c r="D39" s="119"/>
      <c r="E39" s="119"/>
      <c r="F39" s="116">
        <v>1.0</v>
      </c>
      <c r="G39" s="116">
        <v>1.0</v>
      </c>
      <c r="H39" s="181">
        <f t="shared" si="1"/>
        <v>200</v>
      </c>
      <c r="I39" s="119"/>
    </row>
    <row r="40" ht="18.75" customHeight="1">
      <c r="A40" s="141"/>
      <c r="B40" s="140"/>
      <c r="C40" s="141"/>
      <c r="D40" s="141"/>
      <c r="E40" s="141" t="s">
        <v>41</v>
      </c>
      <c r="F40" s="142">
        <f>SUM(F10:F39)</f>
        <v>50</v>
      </c>
      <c r="G40" s="142">
        <f>SUM(G2:G39)</f>
        <v>50</v>
      </c>
      <c r="H40" s="190">
        <f>SUM(H10:H39)</f>
        <v>10000</v>
      </c>
      <c r="I40" s="191"/>
    </row>
    <row r="41" ht="18.75" customHeight="1">
      <c r="A41" s="139"/>
      <c r="B41" s="145"/>
      <c r="C41" s="139"/>
      <c r="D41" s="139"/>
      <c r="E41" s="146" t="s">
        <v>100</v>
      </c>
      <c r="F41" s="147">
        <f>count(G10:G38)</f>
        <v>29</v>
      </c>
      <c r="G41" s="47"/>
      <c r="H41" s="47"/>
      <c r="I41" s="48"/>
    </row>
    <row r="42" ht="14.25" customHeight="1">
      <c r="A42" s="171"/>
      <c r="B42" s="282"/>
      <c r="C42" s="171"/>
      <c r="D42" s="171"/>
      <c r="E42" s="171"/>
      <c r="F42" s="171"/>
      <c r="G42" s="171"/>
      <c r="H42" s="170"/>
      <c r="I42" s="171"/>
    </row>
    <row r="43" ht="14.25" customHeight="1">
      <c r="A43" s="171"/>
      <c r="B43" s="282"/>
      <c r="C43" s="171"/>
      <c r="D43" s="49" t="s">
        <v>101</v>
      </c>
      <c r="E43" s="50"/>
      <c r="F43" s="171"/>
      <c r="G43" s="171"/>
      <c r="H43" s="170"/>
      <c r="I43" s="171"/>
    </row>
    <row r="44" ht="14.25" customHeight="1">
      <c r="A44" s="171"/>
      <c r="B44" s="282"/>
      <c r="C44" s="171"/>
      <c r="D44" s="51" t="s">
        <v>102</v>
      </c>
      <c r="E44" s="50"/>
      <c r="F44" s="171"/>
      <c r="G44" s="171"/>
      <c r="H44" s="170"/>
      <c r="I44" s="171"/>
    </row>
    <row r="45" ht="14.25" customHeight="1">
      <c r="A45" s="171"/>
      <c r="B45" s="282"/>
      <c r="C45" s="171"/>
      <c r="D45" s="52" t="s">
        <v>58</v>
      </c>
      <c r="E45" s="53"/>
      <c r="F45" s="171"/>
      <c r="G45" s="171"/>
      <c r="H45" s="170"/>
      <c r="I45" s="171"/>
    </row>
    <row r="46" ht="14.25" customHeight="1">
      <c r="A46" s="171"/>
      <c r="B46" s="282"/>
      <c r="C46" s="171"/>
      <c r="D46" s="171"/>
      <c r="E46" s="171"/>
      <c r="F46" s="171"/>
      <c r="G46" s="171"/>
      <c r="H46" s="170"/>
      <c r="I46" s="171"/>
    </row>
    <row r="47" ht="14.25" customHeight="1">
      <c r="A47" s="171"/>
      <c r="B47" s="282"/>
      <c r="C47" s="171"/>
      <c r="D47" s="171"/>
      <c r="E47" s="171"/>
      <c r="F47" s="171"/>
      <c r="G47" s="171"/>
      <c r="H47" s="170"/>
      <c r="I47" s="171"/>
    </row>
    <row r="48" ht="14.25" customHeight="1">
      <c r="A48" s="171"/>
      <c r="B48" s="282"/>
      <c r="C48" s="171"/>
      <c r="D48" s="171"/>
      <c r="E48" s="171"/>
      <c r="F48" s="171"/>
      <c r="G48" s="171"/>
      <c r="H48" s="170"/>
      <c r="I48" s="171"/>
    </row>
    <row r="49" ht="14.25" customHeight="1">
      <c r="A49" s="171"/>
      <c r="B49" s="282"/>
      <c r="C49" s="171"/>
      <c r="D49" s="171"/>
      <c r="E49" s="171"/>
      <c r="F49" s="171"/>
      <c r="G49" s="171"/>
      <c r="H49" s="170"/>
      <c r="I49" s="171"/>
    </row>
    <row r="50" ht="14.25" customHeight="1">
      <c r="A50" s="171"/>
      <c r="B50" s="282"/>
      <c r="C50" s="171"/>
      <c r="D50" s="171"/>
      <c r="E50" s="171"/>
      <c r="F50" s="171"/>
      <c r="G50" s="171"/>
      <c r="H50" s="170"/>
      <c r="I50" s="171"/>
    </row>
    <row r="51" ht="14.25" customHeight="1">
      <c r="A51" s="171"/>
      <c r="B51" s="282"/>
      <c r="C51" s="171"/>
      <c r="D51" s="171"/>
      <c r="E51" s="171"/>
      <c r="F51" s="171"/>
      <c r="G51" s="171"/>
      <c r="H51" s="170"/>
      <c r="I51" s="171"/>
    </row>
    <row r="52" ht="14.25" customHeight="1">
      <c r="A52" s="171"/>
      <c r="B52" s="282"/>
      <c r="C52" s="171"/>
      <c r="D52" s="171"/>
      <c r="E52" s="171"/>
      <c r="F52" s="171"/>
      <c r="G52" s="171"/>
      <c r="H52" s="170"/>
      <c r="I52" s="171"/>
    </row>
    <row r="53" ht="14.25" customHeight="1">
      <c r="A53" s="171"/>
      <c r="B53" s="282"/>
      <c r="C53" s="171"/>
      <c r="D53" s="171"/>
      <c r="E53" s="171"/>
      <c r="F53" s="171"/>
      <c r="G53" s="171"/>
      <c r="H53" s="170"/>
      <c r="I53" s="171"/>
    </row>
    <row r="54" ht="14.25" customHeight="1">
      <c r="A54" s="171"/>
      <c r="B54" s="282"/>
      <c r="C54" s="171"/>
      <c r="D54" s="171"/>
      <c r="E54" s="171"/>
      <c r="F54" s="171"/>
      <c r="G54" s="171"/>
      <c r="H54" s="170"/>
      <c r="I54" s="171"/>
    </row>
    <row r="55" ht="14.25" customHeight="1">
      <c r="A55" s="171"/>
      <c r="B55" s="282"/>
      <c r="C55" s="171"/>
      <c r="D55" s="171"/>
      <c r="E55" s="171"/>
      <c r="F55" s="171"/>
      <c r="G55" s="171"/>
      <c r="H55" s="170"/>
      <c r="I55" s="171"/>
    </row>
    <row r="56" ht="14.25" customHeight="1">
      <c r="A56" s="171"/>
      <c r="B56" s="282"/>
      <c r="C56" s="171"/>
      <c r="D56" s="171"/>
      <c r="E56" s="171"/>
      <c r="F56" s="171"/>
      <c r="G56" s="171"/>
      <c r="H56" s="170"/>
      <c r="I56" s="171"/>
    </row>
    <row r="57" ht="14.25" customHeight="1">
      <c r="A57" s="171"/>
      <c r="B57" s="282"/>
      <c r="C57" s="171"/>
      <c r="D57" s="171"/>
      <c r="E57" s="171"/>
      <c r="F57" s="171"/>
      <c r="G57" s="171"/>
      <c r="H57" s="170"/>
      <c r="I57" s="171"/>
    </row>
    <row r="58" ht="14.25" customHeight="1">
      <c r="A58" s="171"/>
      <c r="B58" s="282"/>
      <c r="C58" s="171"/>
      <c r="D58" s="171"/>
      <c r="E58" s="171"/>
      <c r="F58" s="171"/>
      <c r="G58" s="171"/>
      <c r="H58" s="170"/>
      <c r="I58" s="171"/>
    </row>
    <row r="59" ht="14.25" customHeight="1">
      <c r="A59" s="171"/>
      <c r="B59" s="282"/>
      <c r="C59" s="171"/>
      <c r="D59" s="171"/>
      <c r="E59" s="171"/>
      <c r="F59" s="171"/>
      <c r="G59" s="171"/>
      <c r="H59" s="170"/>
      <c r="I59" s="171"/>
    </row>
    <row r="60" ht="14.25" customHeight="1">
      <c r="A60" s="171"/>
      <c r="B60" s="282"/>
      <c r="C60" s="171"/>
      <c r="D60" s="171"/>
      <c r="E60" s="171"/>
      <c r="F60" s="171"/>
      <c r="G60" s="171"/>
      <c r="H60" s="170"/>
      <c r="I60" s="171"/>
    </row>
    <row r="61" ht="14.25" customHeight="1">
      <c r="A61" s="171"/>
      <c r="B61" s="282"/>
      <c r="C61" s="171"/>
      <c r="D61" s="171"/>
      <c r="E61" s="171"/>
      <c r="F61" s="171"/>
      <c r="G61" s="171"/>
      <c r="H61" s="170"/>
      <c r="I61" s="171"/>
    </row>
    <row r="62" ht="14.25" customHeight="1">
      <c r="A62" s="171"/>
      <c r="B62" s="282"/>
      <c r="C62" s="171"/>
      <c r="D62" s="171"/>
      <c r="E62" s="171"/>
      <c r="F62" s="171"/>
      <c r="G62" s="171"/>
      <c r="H62" s="170"/>
      <c r="I62" s="171"/>
    </row>
    <row r="63" ht="14.25" customHeight="1">
      <c r="A63" s="171"/>
      <c r="B63" s="282"/>
      <c r="C63" s="171"/>
      <c r="D63" s="171"/>
      <c r="E63" s="171"/>
      <c r="F63" s="171"/>
      <c r="G63" s="171"/>
      <c r="H63" s="170"/>
      <c r="I63" s="171"/>
    </row>
    <row r="64" ht="14.25" customHeight="1">
      <c r="A64" s="171"/>
      <c r="B64" s="282"/>
      <c r="C64" s="171"/>
      <c r="D64" s="171"/>
      <c r="E64" s="171"/>
      <c r="F64" s="171"/>
      <c r="G64" s="171"/>
      <c r="H64" s="170"/>
      <c r="I64" s="171"/>
    </row>
    <row r="65" ht="14.25" customHeight="1">
      <c r="A65" s="171"/>
      <c r="B65" s="282"/>
      <c r="C65" s="171"/>
      <c r="D65" s="171"/>
      <c r="E65" s="171"/>
      <c r="F65" s="171"/>
      <c r="G65" s="171"/>
      <c r="H65" s="170"/>
      <c r="I65" s="171"/>
    </row>
    <row r="66" ht="14.25" customHeight="1">
      <c r="A66" s="171"/>
      <c r="B66" s="282"/>
      <c r="C66" s="171"/>
      <c r="D66" s="171"/>
      <c r="E66" s="171"/>
      <c r="F66" s="171"/>
      <c r="G66" s="171"/>
      <c r="H66" s="170"/>
      <c r="I66" s="171"/>
    </row>
    <row r="67" ht="14.25" customHeight="1">
      <c r="A67" s="171"/>
      <c r="B67" s="282"/>
      <c r="C67" s="171"/>
      <c r="D67" s="171"/>
      <c r="E67" s="171"/>
      <c r="F67" s="171"/>
      <c r="G67" s="171"/>
      <c r="H67" s="170"/>
      <c r="I67" s="171"/>
    </row>
    <row r="68" ht="14.25" customHeight="1">
      <c r="A68" s="171"/>
      <c r="B68" s="282"/>
      <c r="C68" s="171"/>
      <c r="D68" s="171"/>
      <c r="E68" s="171"/>
      <c r="F68" s="171"/>
      <c r="G68" s="171"/>
      <c r="H68" s="170"/>
      <c r="I68" s="171"/>
    </row>
    <row r="69" ht="14.25" customHeight="1">
      <c r="A69" s="171"/>
      <c r="B69" s="282"/>
      <c r="C69" s="171"/>
      <c r="D69" s="171"/>
      <c r="E69" s="171"/>
      <c r="F69" s="171"/>
      <c r="G69" s="171"/>
      <c r="H69" s="170"/>
      <c r="I69" s="171"/>
    </row>
    <row r="70" ht="14.25" customHeight="1">
      <c r="A70" s="171"/>
      <c r="B70" s="282"/>
      <c r="C70" s="171"/>
      <c r="D70" s="171"/>
      <c r="E70" s="171"/>
      <c r="F70" s="171"/>
      <c r="G70" s="171"/>
      <c r="H70" s="170"/>
      <c r="I70" s="171"/>
    </row>
    <row r="71" ht="14.25" customHeight="1">
      <c r="A71" s="171"/>
      <c r="B71" s="282"/>
      <c r="C71" s="171"/>
      <c r="D71" s="171"/>
      <c r="E71" s="171"/>
      <c r="F71" s="171"/>
      <c r="G71" s="171"/>
      <c r="H71" s="170"/>
      <c r="I71" s="171"/>
    </row>
    <row r="72" ht="14.25" customHeight="1">
      <c r="A72" s="171"/>
      <c r="B72" s="282"/>
      <c r="C72" s="171"/>
      <c r="D72" s="171"/>
      <c r="E72" s="171"/>
      <c r="F72" s="171"/>
      <c r="G72" s="171"/>
      <c r="H72" s="170"/>
      <c r="I72" s="171"/>
    </row>
    <row r="73" ht="14.25" customHeight="1">
      <c r="A73" s="171"/>
      <c r="B73" s="282"/>
      <c r="C73" s="171"/>
      <c r="D73" s="171"/>
      <c r="E73" s="171"/>
      <c r="F73" s="171"/>
      <c r="G73" s="171"/>
      <c r="H73" s="170"/>
      <c r="I73" s="171"/>
    </row>
    <row r="74" ht="14.25" customHeight="1">
      <c r="A74" s="171"/>
      <c r="B74" s="282"/>
      <c r="C74" s="171"/>
      <c r="D74" s="171"/>
      <c r="E74" s="171"/>
      <c r="F74" s="171"/>
      <c r="G74" s="171"/>
      <c r="H74" s="170"/>
      <c r="I74" s="171"/>
    </row>
    <row r="75" ht="14.25" customHeight="1">
      <c r="A75" s="171"/>
      <c r="B75" s="282"/>
      <c r="C75" s="171"/>
      <c r="D75" s="171"/>
      <c r="E75" s="171"/>
      <c r="F75" s="171"/>
      <c r="G75" s="171"/>
      <c r="H75" s="170"/>
      <c r="I75" s="171"/>
    </row>
    <row r="76" ht="14.25" customHeight="1">
      <c r="A76" s="171"/>
      <c r="B76" s="282"/>
      <c r="C76" s="171"/>
      <c r="D76" s="171"/>
      <c r="E76" s="171"/>
      <c r="F76" s="171"/>
      <c r="G76" s="171"/>
      <c r="H76" s="170"/>
      <c r="I76" s="171"/>
    </row>
    <row r="77" ht="14.25" customHeight="1">
      <c r="A77" s="171"/>
      <c r="B77" s="282"/>
      <c r="C77" s="171"/>
      <c r="D77" s="171"/>
      <c r="E77" s="171"/>
      <c r="F77" s="171"/>
      <c r="G77" s="171"/>
      <c r="H77" s="170"/>
      <c r="I77" s="171"/>
    </row>
    <row r="78" ht="14.25" customHeight="1">
      <c r="A78" s="171"/>
      <c r="B78" s="282"/>
      <c r="C78" s="171"/>
      <c r="D78" s="171"/>
      <c r="E78" s="171"/>
      <c r="F78" s="171"/>
      <c r="G78" s="171"/>
      <c r="H78" s="170"/>
      <c r="I78" s="171"/>
    </row>
    <row r="79" ht="14.25" customHeight="1">
      <c r="A79" s="171"/>
      <c r="B79" s="282"/>
      <c r="C79" s="171"/>
      <c r="D79" s="171"/>
      <c r="E79" s="171"/>
      <c r="F79" s="171"/>
      <c r="G79" s="171"/>
      <c r="H79" s="170"/>
      <c r="I79" s="171"/>
    </row>
    <row r="80" ht="14.25" customHeight="1">
      <c r="A80" s="171"/>
      <c r="B80" s="282"/>
      <c r="C80" s="171"/>
      <c r="D80" s="171"/>
      <c r="E80" s="171"/>
      <c r="F80" s="171"/>
      <c r="G80" s="171"/>
      <c r="H80" s="170"/>
      <c r="I80" s="171"/>
    </row>
    <row r="81" ht="14.25" customHeight="1">
      <c r="A81" s="171"/>
      <c r="B81" s="282"/>
      <c r="C81" s="171"/>
      <c r="D81" s="171"/>
      <c r="E81" s="171"/>
      <c r="F81" s="171"/>
      <c r="G81" s="171"/>
      <c r="H81" s="170"/>
      <c r="I81" s="171"/>
    </row>
    <row r="82" ht="14.25" customHeight="1">
      <c r="A82" s="171"/>
      <c r="B82" s="282"/>
      <c r="C82" s="171"/>
      <c r="D82" s="171"/>
      <c r="E82" s="171"/>
      <c r="F82" s="171"/>
      <c r="G82" s="171"/>
      <c r="H82" s="170"/>
      <c r="I82" s="171"/>
    </row>
    <row r="83" ht="14.25" customHeight="1">
      <c r="A83" s="171"/>
      <c r="B83" s="282"/>
      <c r="C83" s="171"/>
      <c r="D83" s="171"/>
      <c r="E83" s="171"/>
      <c r="F83" s="171"/>
      <c r="G83" s="171"/>
      <c r="H83" s="170"/>
      <c r="I83" s="171"/>
    </row>
    <row r="84" ht="14.25" customHeight="1">
      <c r="A84" s="171"/>
      <c r="B84" s="282"/>
      <c r="C84" s="171"/>
      <c r="D84" s="171"/>
      <c r="E84" s="171"/>
      <c r="F84" s="171"/>
      <c r="G84" s="171"/>
      <c r="H84" s="170"/>
      <c r="I84" s="171"/>
    </row>
    <row r="85" ht="14.25" customHeight="1">
      <c r="A85" s="171"/>
      <c r="B85" s="282"/>
      <c r="C85" s="171"/>
      <c r="D85" s="171"/>
      <c r="E85" s="171"/>
      <c r="F85" s="171"/>
      <c r="G85" s="171"/>
      <c r="H85" s="170"/>
      <c r="I85" s="171"/>
    </row>
    <row r="86" ht="14.25" customHeight="1">
      <c r="A86" s="171"/>
      <c r="B86" s="282"/>
      <c r="C86" s="171"/>
      <c r="D86" s="171"/>
      <c r="E86" s="171"/>
      <c r="F86" s="171"/>
      <c r="G86" s="171"/>
      <c r="H86" s="170"/>
      <c r="I86" s="171"/>
    </row>
    <row r="87" ht="14.25" customHeight="1">
      <c r="A87" s="171"/>
      <c r="B87" s="282"/>
      <c r="C87" s="171"/>
      <c r="D87" s="171"/>
      <c r="E87" s="171"/>
      <c r="F87" s="171"/>
      <c r="G87" s="171"/>
      <c r="H87" s="170"/>
      <c r="I87" s="171"/>
    </row>
    <row r="88" ht="14.25" customHeight="1">
      <c r="A88" s="171"/>
      <c r="B88" s="282"/>
      <c r="C88" s="171"/>
      <c r="D88" s="171"/>
      <c r="E88" s="171"/>
      <c r="F88" s="171"/>
      <c r="G88" s="171"/>
      <c r="H88" s="170"/>
      <c r="I88" s="171"/>
    </row>
    <row r="89" ht="14.25" customHeight="1">
      <c r="A89" s="171"/>
      <c r="B89" s="282"/>
      <c r="C89" s="171"/>
      <c r="D89" s="171"/>
      <c r="E89" s="171"/>
      <c r="F89" s="171"/>
      <c r="G89" s="171"/>
      <c r="H89" s="170"/>
      <c r="I89" s="171"/>
    </row>
    <row r="90" ht="14.25" customHeight="1">
      <c r="A90" s="171"/>
      <c r="B90" s="282"/>
      <c r="C90" s="171"/>
      <c r="D90" s="171"/>
      <c r="E90" s="171"/>
      <c r="F90" s="171"/>
      <c r="G90" s="171"/>
      <c r="H90" s="170"/>
      <c r="I90" s="171"/>
    </row>
    <row r="91" ht="14.25" customHeight="1">
      <c r="A91" s="171"/>
      <c r="B91" s="282"/>
      <c r="C91" s="171"/>
      <c r="D91" s="171"/>
      <c r="E91" s="171"/>
      <c r="F91" s="171"/>
      <c r="G91" s="171"/>
      <c r="H91" s="170"/>
      <c r="I91" s="171"/>
    </row>
    <row r="92" ht="14.25" customHeight="1">
      <c r="A92" s="171"/>
      <c r="B92" s="282"/>
      <c r="C92" s="171"/>
      <c r="D92" s="171"/>
      <c r="E92" s="171"/>
      <c r="F92" s="171"/>
      <c r="G92" s="171"/>
      <c r="H92" s="170"/>
      <c r="I92" s="171"/>
    </row>
    <row r="93" ht="14.25" customHeight="1">
      <c r="A93" s="171"/>
      <c r="B93" s="282"/>
      <c r="C93" s="171"/>
      <c r="D93" s="171"/>
      <c r="E93" s="171"/>
      <c r="F93" s="171"/>
      <c r="G93" s="171"/>
      <c r="H93" s="170"/>
      <c r="I93" s="171"/>
    </row>
    <row r="94" ht="14.25" customHeight="1">
      <c r="A94" s="171"/>
      <c r="B94" s="282"/>
      <c r="C94" s="171"/>
      <c r="D94" s="171"/>
      <c r="E94" s="171"/>
      <c r="F94" s="171"/>
      <c r="G94" s="171"/>
      <c r="H94" s="170"/>
      <c r="I94" s="171"/>
    </row>
    <row r="95" ht="14.25" customHeight="1">
      <c r="A95" s="171"/>
      <c r="B95" s="282"/>
      <c r="C95" s="171"/>
      <c r="D95" s="171"/>
      <c r="E95" s="171"/>
      <c r="F95" s="171"/>
      <c r="G95" s="171"/>
      <c r="H95" s="170"/>
      <c r="I95" s="171"/>
    </row>
    <row r="96" ht="14.25" customHeight="1">
      <c r="A96" s="171"/>
      <c r="B96" s="282"/>
      <c r="C96" s="171"/>
      <c r="D96" s="171"/>
      <c r="E96" s="171"/>
      <c r="F96" s="171"/>
      <c r="G96" s="171"/>
      <c r="H96" s="170"/>
      <c r="I96" s="171"/>
    </row>
    <row r="97" ht="14.25" customHeight="1">
      <c r="A97" s="171"/>
      <c r="B97" s="282"/>
      <c r="C97" s="171"/>
      <c r="D97" s="171"/>
      <c r="E97" s="171"/>
      <c r="F97" s="171"/>
      <c r="G97" s="171"/>
      <c r="H97" s="170"/>
      <c r="I97" s="171"/>
    </row>
    <row r="98" ht="14.25" customHeight="1">
      <c r="A98" s="171"/>
      <c r="B98" s="282"/>
      <c r="C98" s="171"/>
      <c r="D98" s="171"/>
      <c r="E98" s="171"/>
      <c r="F98" s="171"/>
      <c r="G98" s="171"/>
      <c r="H98" s="170"/>
      <c r="I98" s="171"/>
    </row>
    <row r="99" ht="14.25" customHeight="1">
      <c r="A99" s="171"/>
      <c r="B99" s="282"/>
      <c r="C99" s="171"/>
      <c r="D99" s="171"/>
      <c r="E99" s="171"/>
      <c r="F99" s="171"/>
      <c r="G99" s="171"/>
      <c r="H99" s="170"/>
      <c r="I99" s="171"/>
    </row>
    <row r="100" ht="14.25" customHeight="1">
      <c r="A100" s="171"/>
      <c r="B100" s="282"/>
      <c r="C100" s="171"/>
      <c r="D100" s="171"/>
      <c r="E100" s="171"/>
      <c r="F100" s="171"/>
      <c r="G100" s="171"/>
      <c r="H100" s="170"/>
      <c r="I100" s="171"/>
    </row>
    <row r="101" ht="14.25" customHeight="1">
      <c r="A101" s="171"/>
      <c r="B101" s="282"/>
      <c r="C101" s="171"/>
      <c r="D101" s="171"/>
      <c r="E101" s="171"/>
      <c r="F101" s="171"/>
      <c r="G101" s="171"/>
      <c r="H101" s="170"/>
      <c r="I101" s="171"/>
    </row>
    <row r="102" ht="14.25" customHeight="1">
      <c r="A102" s="171"/>
      <c r="B102" s="282"/>
      <c r="C102" s="171"/>
      <c r="D102" s="171"/>
      <c r="E102" s="171"/>
      <c r="F102" s="171"/>
      <c r="G102" s="171"/>
      <c r="H102" s="170"/>
      <c r="I102" s="171"/>
    </row>
    <row r="103" ht="14.25" customHeight="1">
      <c r="A103" s="171"/>
      <c r="B103" s="282"/>
      <c r="C103" s="171"/>
      <c r="D103" s="171"/>
      <c r="E103" s="171"/>
      <c r="F103" s="171"/>
      <c r="G103" s="171"/>
      <c r="H103" s="170"/>
      <c r="I103" s="171"/>
    </row>
    <row r="104" ht="14.25" customHeight="1">
      <c r="A104" s="171"/>
      <c r="B104" s="282"/>
      <c r="C104" s="171"/>
      <c r="D104" s="171"/>
      <c r="E104" s="171"/>
      <c r="F104" s="171"/>
      <c r="G104" s="171"/>
      <c r="H104" s="170"/>
      <c r="I104" s="171"/>
    </row>
    <row r="105" ht="14.25" customHeight="1">
      <c r="A105" s="171"/>
      <c r="B105" s="282"/>
      <c r="C105" s="171"/>
      <c r="D105" s="171"/>
      <c r="E105" s="171"/>
      <c r="F105" s="171"/>
      <c r="G105" s="171"/>
      <c r="H105" s="170"/>
      <c r="I105" s="171"/>
    </row>
    <row r="106" ht="14.25" customHeight="1">
      <c r="A106" s="171"/>
      <c r="B106" s="282"/>
      <c r="C106" s="171"/>
      <c r="D106" s="171"/>
      <c r="E106" s="171"/>
      <c r="F106" s="171"/>
      <c r="G106" s="171"/>
      <c r="H106" s="170"/>
      <c r="I106" s="171"/>
    </row>
    <row r="107" ht="14.25" customHeight="1">
      <c r="A107" s="171"/>
      <c r="B107" s="282"/>
      <c r="C107" s="171"/>
      <c r="D107" s="171"/>
      <c r="E107" s="171"/>
      <c r="F107" s="171"/>
      <c r="G107" s="171"/>
      <c r="H107" s="170"/>
      <c r="I107" s="171"/>
    </row>
    <row r="108" ht="14.25" customHeight="1">
      <c r="A108" s="171"/>
      <c r="B108" s="282"/>
      <c r="C108" s="171"/>
      <c r="D108" s="171"/>
      <c r="E108" s="171"/>
      <c r="F108" s="171"/>
      <c r="G108" s="171"/>
      <c r="H108" s="170"/>
      <c r="I108" s="171"/>
    </row>
    <row r="109" ht="14.25" customHeight="1">
      <c r="A109" s="171"/>
      <c r="B109" s="282"/>
      <c r="C109" s="171"/>
      <c r="D109" s="171"/>
      <c r="E109" s="171"/>
      <c r="F109" s="171"/>
      <c r="G109" s="171"/>
      <c r="H109" s="170"/>
      <c r="I109" s="171"/>
    </row>
    <row r="110" ht="14.25" customHeight="1">
      <c r="A110" s="171"/>
      <c r="B110" s="282"/>
      <c r="C110" s="171"/>
      <c r="D110" s="171"/>
      <c r="E110" s="171"/>
      <c r="F110" s="171"/>
      <c r="G110" s="171"/>
      <c r="H110" s="170"/>
      <c r="I110" s="171"/>
    </row>
    <row r="111" ht="14.25" customHeight="1">
      <c r="A111" s="171"/>
      <c r="B111" s="282"/>
      <c r="C111" s="171"/>
      <c r="D111" s="171"/>
      <c r="E111" s="171"/>
      <c r="F111" s="171"/>
      <c r="G111" s="171"/>
      <c r="H111" s="170"/>
      <c r="I111" s="171"/>
    </row>
    <row r="112" ht="14.25" customHeight="1">
      <c r="A112" s="171"/>
      <c r="B112" s="282"/>
      <c r="C112" s="171"/>
      <c r="D112" s="171"/>
      <c r="E112" s="171"/>
      <c r="F112" s="171"/>
      <c r="G112" s="171"/>
      <c r="H112" s="170"/>
      <c r="I112" s="171"/>
    </row>
    <row r="113" ht="14.25" customHeight="1">
      <c r="A113" s="171"/>
      <c r="B113" s="282"/>
      <c r="C113" s="171"/>
      <c r="D113" s="171"/>
      <c r="E113" s="171"/>
      <c r="F113" s="171"/>
      <c r="G113" s="171"/>
      <c r="H113" s="170"/>
      <c r="I113" s="171"/>
    </row>
    <row r="114" ht="14.25" customHeight="1">
      <c r="A114" s="171"/>
      <c r="B114" s="282"/>
      <c r="C114" s="171"/>
      <c r="D114" s="171"/>
      <c r="E114" s="171"/>
      <c r="F114" s="171"/>
      <c r="G114" s="171"/>
      <c r="H114" s="170"/>
      <c r="I114" s="171"/>
    </row>
    <row r="115" ht="14.25" customHeight="1">
      <c r="A115" s="171"/>
      <c r="B115" s="282"/>
      <c r="C115" s="171"/>
      <c r="D115" s="171"/>
      <c r="E115" s="171"/>
      <c r="F115" s="171"/>
      <c r="G115" s="171"/>
      <c r="H115" s="170"/>
      <c r="I115" s="171"/>
    </row>
    <row r="116" ht="14.25" customHeight="1">
      <c r="A116" s="171"/>
      <c r="B116" s="282"/>
      <c r="C116" s="171"/>
      <c r="D116" s="171"/>
      <c r="E116" s="171"/>
      <c r="F116" s="171"/>
      <c r="G116" s="171"/>
      <c r="H116" s="170"/>
      <c r="I116" s="171"/>
    </row>
    <row r="117" ht="14.25" customHeight="1">
      <c r="A117" s="171"/>
      <c r="B117" s="282"/>
      <c r="C117" s="171"/>
      <c r="D117" s="171"/>
      <c r="E117" s="171"/>
      <c r="F117" s="171"/>
      <c r="G117" s="171"/>
      <c r="H117" s="170"/>
      <c r="I117" s="171"/>
    </row>
    <row r="118" ht="14.25" customHeight="1">
      <c r="A118" s="171"/>
      <c r="B118" s="282"/>
      <c r="C118" s="171"/>
      <c r="D118" s="171"/>
      <c r="E118" s="171"/>
      <c r="F118" s="171"/>
      <c r="G118" s="171"/>
      <c r="H118" s="170"/>
      <c r="I118" s="171"/>
    </row>
    <row r="119" ht="14.25" customHeight="1">
      <c r="A119" s="171"/>
      <c r="B119" s="282"/>
      <c r="C119" s="171"/>
      <c r="D119" s="171"/>
      <c r="E119" s="171"/>
      <c r="F119" s="171"/>
      <c r="G119" s="171"/>
      <c r="H119" s="170"/>
      <c r="I119" s="171"/>
    </row>
    <row r="120" ht="14.25" customHeight="1">
      <c r="A120" s="171"/>
      <c r="B120" s="282"/>
      <c r="C120" s="171"/>
      <c r="D120" s="171"/>
      <c r="E120" s="171"/>
      <c r="F120" s="171"/>
      <c r="G120" s="171"/>
      <c r="H120" s="170"/>
      <c r="I120" s="171"/>
    </row>
    <row r="121" ht="14.25" customHeight="1">
      <c r="A121" s="171"/>
      <c r="B121" s="282"/>
      <c r="C121" s="171"/>
      <c r="D121" s="171"/>
      <c r="E121" s="171"/>
      <c r="F121" s="171"/>
      <c r="G121" s="171"/>
      <c r="H121" s="170"/>
      <c r="I121" s="171"/>
    </row>
    <row r="122" ht="14.25" customHeight="1">
      <c r="A122" s="171"/>
      <c r="B122" s="282"/>
      <c r="C122" s="171"/>
      <c r="D122" s="171"/>
      <c r="E122" s="171"/>
      <c r="F122" s="171"/>
      <c r="G122" s="171"/>
      <c r="H122" s="170"/>
      <c r="I122" s="171"/>
    </row>
    <row r="123" ht="14.25" customHeight="1">
      <c r="A123" s="171"/>
      <c r="B123" s="282"/>
      <c r="C123" s="171"/>
      <c r="D123" s="171"/>
      <c r="E123" s="171"/>
      <c r="F123" s="171"/>
      <c r="G123" s="171"/>
      <c r="H123" s="170"/>
      <c r="I123" s="171"/>
    </row>
    <row r="124" ht="14.25" customHeight="1">
      <c r="A124" s="171"/>
      <c r="B124" s="282"/>
      <c r="C124" s="171"/>
      <c r="D124" s="171"/>
      <c r="E124" s="171"/>
      <c r="F124" s="171"/>
      <c r="G124" s="171"/>
      <c r="H124" s="170"/>
      <c r="I124" s="171"/>
    </row>
    <row r="125" ht="14.25" customHeight="1">
      <c r="A125" s="171"/>
      <c r="B125" s="282"/>
      <c r="C125" s="171"/>
      <c r="D125" s="171"/>
      <c r="E125" s="171"/>
      <c r="F125" s="171"/>
      <c r="G125" s="171"/>
      <c r="H125" s="170"/>
      <c r="I125" s="171"/>
    </row>
    <row r="126" ht="14.25" customHeight="1">
      <c r="A126" s="171"/>
      <c r="B126" s="282"/>
      <c r="C126" s="171"/>
      <c r="D126" s="171"/>
      <c r="E126" s="171"/>
      <c r="F126" s="171"/>
      <c r="G126" s="171"/>
      <c r="H126" s="170"/>
      <c r="I126" s="171"/>
    </row>
    <row r="127" ht="14.25" customHeight="1">
      <c r="A127" s="171"/>
      <c r="B127" s="282"/>
      <c r="C127" s="171"/>
      <c r="D127" s="171"/>
      <c r="E127" s="171"/>
      <c r="F127" s="171"/>
      <c r="G127" s="171"/>
      <c r="H127" s="170"/>
      <c r="I127" s="171"/>
    </row>
    <row r="128" ht="14.25" customHeight="1">
      <c r="A128" s="171"/>
      <c r="B128" s="282"/>
      <c r="C128" s="171"/>
      <c r="D128" s="171"/>
      <c r="E128" s="171"/>
      <c r="F128" s="171"/>
      <c r="G128" s="171"/>
      <c r="H128" s="170"/>
      <c r="I128" s="171"/>
    </row>
    <row r="129" ht="14.25" customHeight="1">
      <c r="A129" s="171"/>
      <c r="B129" s="282"/>
      <c r="C129" s="171"/>
      <c r="D129" s="171"/>
      <c r="E129" s="171"/>
      <c r="F129" s="171"/>
      <c r="G129" s="171"/>
      <c r="H129" s="170"/>
      <c r="I129" s="171"/>
    </row>
    <row r="130" ht="14.25" customHeight="1">
      <c r="A130" s="171"/>
      <c r="B130" s="282"/>
      <c r="C130" s="171"/>
      <c r="D130" s="171"/>
      <c r="E130" s="171"/>
      <c r="F130" s="171"/>
      <c r="G130" s="171"/>
      <c r="H130" s="170"/>
      <c r="I130" s="171"/>
    </row>
    <row r="131" ht="14.25" customHeight="1">
      <c r="A131" s="171"/>
      <c r="B131" s="282"/>
      <c r="C131" s="171"/>
      <c r="D131" s="171"/>
      <c r="E131" s="171"/>
      <c r="F131" s="171"/>
      <c r="G131" s="171"/>
      <c r="H131" s="170"/>
      <c r="I131" s="171"/>
    </row>
    <row r="132" ht="14.25" customHeight="1">
      <c r="A132" s="171"/>
      <c r="B132" s="282"/>
      <c r="C132" s="171"/>
      <c r="D132" s="171"/>
      <c r="E132" s="171"/>
      <c r="F132" s="171"/>
      <c r="G132" s="171"/>
      <c r="H132" s="170"/>
      <c r="I132" s="171"/>
    </row>
    <row r="133" ht="14.25" customHeight="1">
      <c r="A133" s="171"/>
      <c r="B133" s="282"/>
      <c r="C133" s="171"/>
      <c r="D133" s="171"/>
      <c r="E133" s="171"/>
      <c r="F133" s="171"/>
      <c r="G133" s="171"/>
      <c r="H133" s="170"/>
      <c r="I133" s="171"/>
    </row>
    <row r="134" ht="14.25" customHeight="1">
      <c r="A134" s="171"/>
      <c r="B134" s="282"/>
      <c r="C134" s="171"/>
      <c r="D134" s="171"/>
      <c r="E134" s="171"/>
      <c r="F134" s="171"/>
      <c r="G134" s="171"/>
      <c r="H134" s="170"/>
      <c r="I134" s="171"/>
    </row>
    <row r="135" ht="14.25" customHeight="1">
      <c r="A135" s="171"/>
      <c r="B135" s="282"/>
      <c r="C135" s="171"/>
      <c r="D135" s="171"/>
      <c r="E135" s="171"/>
      <c r="F135" s="171"/>
      <c r="G135" s="171"/>
      <c r="H135" s="170"/>
      <c r="I135" s="171"/>
    </row>
    <row r="136" ht="14.25" customHeight="1">
      <c r="A136" s="171"/>
      <c r="B136" s="282"/>
      <c r="C136" s="171"/>
      <c r="D136" s="171"/>
      <c r="E136" s="171"/>
      <c r="F136" s="171"/>
      <c r="G136" s="171"/>
      <c r="H136" s="170"/>
      <c r="I136" s="171"/>
    </row>
    <row r="137" ht="14.25" customHeight="1">
      <c r="A137" s="171"/>
      <c r="B137" s="282"/>
      <c r="C137" s="171"/>
      <c r="D137" s="171"/>
      <c r="E137" s="171"/>
      <c r="F137" s="171"/>
      <c r="G137" s="171"/>
      <c r="H137" s="170"/>
      <c r="I137" s="171"/>
    </row>
    <row r="138" ht="14.25" customHeight="1">
      <c r="A138" s="171"/>
      <c r="B138" s="282"/>
      <c r="C138" s="171"/>
      <c r="D138" s="171"/>
      <c r="E138" s="171"/>
      <c r="F138" s="171"/>
      <c r="G138" s="171"/>
      <c r="H138" s="170"/>
      <c r="I138" s="171"/>
    </row>
    <row r="139" ht="14.25" customHeight="1">
      <c r="A139" s="171"/>
      <c r="B139" s="282"/>
      <c r="C139" s="171"/>
      <c r="D139" s="171"/>
      <c r="E139" s="171"/>
      <c r="F139" s="171"/>
      <c r="G139" s="171"/>
      <c r="H139" s="170"/>
      <c r="I139" s="171"/>
    </row>
    <row r="140" ht="14.25" customHeight="1">
      <c r="A140" s="171"/>
      <c r="B140" s="282"/>
      <c r="C140" s="171"/>
      <c r="D140" s="171"/>
      <c r="E140" s="171"/>
      <c r="F140" s="171"/>
      <c r="G140" s="171"/>
      <c r="H140" s="170"/>
      <c r="I140" s="171"/>
    </row>
    <row r="141" ht="14.25" customHeight="1">
      <c r="A141" s="171"/>
      <c r="B141" s="282"/>
      <c r="C141" s="171"/>
      <c r="D141" s="171"/>
      <c r="E141" s="171"/>
      <c r="F141" s="171"/>
      <c r="G141" s="171"/>
      <c r="H141" s="170"/>
      <c r="I141" s="171"/>
    </row>
    <row r="142" ht="14.25" customHeight="1">
      <c r="A142" s="171"/>
      <c r="B142" s="282"/>
      <c r="C142" s="171"/>
      <c r="D142" s="171"/>
      <c r="E142" s="171"/>
      <c r="F142" s="171"/>
      <c r="G142" s="171"/>
      <c r="H142" s="170"/>
      <c r="I142" s="171"/>
    </row>
    <row r="143" ht="14.25" customHeight="1">
      <c r="A143" s="171"/>
      <c r="B143" s="282"/>
      <c r="C143" s="171"/>
      <c r="D143" s="171"/>
      <c r="E143" s="171"/>
      <c r="F143" s="171"/>
      <c r="G143" s="171"/>
      <c r="H143" s="170"/>
      <c r="I143" s="171"/>
    </row>
    <row r="144" ht="14.25" customHeight="1">
      <c r="A144" s="171"/>
      <c r="B144" s="282"/>
      <c r="C144" s="171"/>
      <c r="D144" s="171"/>
      <c r="E144" s="171"/>
      <c r="F144" s="171"/>
      <c r="G144" s="171"/>
      <c r="H144" s="170"/>
      <c r="I144" s="171"/>
    </row>
    <row r="145" ht="14.25" customHeight="1">
      <c r="A145" s="171"/>
      <c r="B145" s="282"/>
      <c r="C145" s="171"/>
      <c r="D145" s="171"/>
      <c r="E145" s="171"/>
      <c r="F145" s="171"/>
      <c r="G145" s="171"/>
      <c r="H145" s="170"/>
      <c r="I145" s="171"/>
    </row>
    <row r="146" ht="14.25" customHeight="1">
      <c r="A146" s="171"/>
      <c r="B146" s="282"/>
      <c r="C146" s="171"/>
      <c r="D146" s="171"/>
      <c r="E146" s="171"/>
      <c r="F146" s="171"/>
      <c r="G146" s="171"/>
      <c r="H146" s="170"/>
      <c r="I146" s="171"/>
    </row>
    <row r="147" ht="14.25" customHeight="1">
      <c r="A147" s="171"/>
      <c r="B147" s="282"/>
      <c r="C147" s="171"/>
      <c r="D147" s="171"/>
      <c r="E147" s="171"/>
      <c r="F147" s="171"/>
      <c r="G147" s="171"/>
      <c r="H147" s="170"/>
      <c r="I147" s="171"/>
    </row>
    <row r="148" ht="14.25" customHeight="1">
      <c r="A148" s="171"/>
      <c r="B148" s="282"/>
      <c r="C148" s="171"/>
      <c r="D148" s="171"/>
      <c r="E148" s="171"/>
      <c r="F148" s="171"/>
      <c r="G148" s="171"/>
      <c r="H148" s="170"/>
      <c r="I148" s="171"/>
    </row>
    <row r="149" ht="14.25" customHeight="1">
      <c r="A149" s="171"/>
      <c r="B149" s="282"/>
      <c r="C149" s="171"/>
      <c r="D149" s="171"/>
      <c r="E149" s="171"/>
      <c r="F149" s="171"/>
      <c r="G149" s="171"/>
      <c r="H149" s="170"/>
      <c r="I149" s="171"/>
    </row>
    <row r="150" ht="14.25" customHeight="1">
      <c r="A150" s="171"/>
      <c r="B150" s="282"/>
      <c r="C150" s="171"/>
      <c r="D150" s="171"/>
      <c r="E150" s="171"/>
      <c r="F150" s="171"/>
      <c r="G150" s="171"/>
      <c r="H150" s="170"/>
      <c r="I150" s="171"/>
    </row>
    <row r="151" ht="14.25" customHeight="1">
      <c r="A151" s="171"/>
      <c r="B151" s="282"/>
      <c r="C151" s="171"/>
      <c r="D151" s="171"/>
      <c r="E151" s="171"/>
      <c r="F151" s="171"/>
      <c r="G151" s="171"/>
      <c r="H151" s="170"/>
      <c r="I151" s="171"/>
    </row>
    <row r="152" ht="14.25" customHeight="1">
      <c r="A152" s="171"/>
      <c r="B152" s="282"/>
      <c r="C152" s="171"/>
      <c r="D152" s="171"/>
      <c r="E152" s="171"/>
      <c r="F152" s="171"/>
      <c r="G152" s="171"/>
      <c r="H152" s="170"/>
      <c r="I152" s="171"/>
    </row>
    <row r="153" ht="14.25" customHeight="1">
      <c r="A153" s="171"/>
      <c r="B153" s="282"/>
      <c r="C153" s="171"/>
      <c r="D153" s="171"/>
      <c r="E153" s="171"/>
      <c r="F153" s="171"/>
      <c r="G153" s="171"/>
      <c r="H153" s="170"/>
      <c r="I153" s="171"/>
    </row>
    <row r="154" ht="14.25" customHeight="1">
      <c r="A154" s="171"/>
      <c r="B154" s="282"/>
      <c r="C154" s="171"/>
      <c r="D154" s="171"/>
      <c r="E154" s="171"/>
      <c r="F154" s="171"/>
      <c r="G154" s="171"/>
      <c r="H154" s="170"/>
      <c r="I154" s="171"/>
    </row>
    <row r="155" ht="14.25" customHeight="1">
      <c r="A155" s="171"/>
      <c r="B155" s="282"/>
      <c r="C155" s="171"/>
      <c r="D155" s="171"/>
      <c r="E155" s="171"/>
      <c r="F155" s="171"/>
      <c r="G155" s="171"/>
      <c r="H155" s="170"/>
      <c r="I155" s="171"/>
    </row>
    <row r="156" ht="14.25" customHeight="1">
      <c r="A156" s="171"/>
      <c r="B156" s="282"/>
      <c r="C156" s="171"/>
      <c r="D156" s="171"/>
      <c r="E156" s="171"/>
      <c r="F156" s="171"/>
      <c r="G156" s="171"/>
      <c r="H156" s="170"/>
      <c r="I156" s="171"/>
    </row>
    <row r="157" ht="14.25" customHeight="1">
      <c r="A157" s="171"/>
      <c r="B157" s="282"/>
      <c r="C157" s="171"/>
      <c r="D157" s="171"/>
      <c r="E157" s="171"/>
      <c r="F157" s="171"/>
      <c r="G157" s="171"/>
      <c r="H157" s="170"/>
      <c r="I157" s="171"/>
    </row>
    <row r="158" ht="14.25" customHeight="1">
      <c r="A158" s="171"/>
      <c r="B158" s="282"/>
      <c r="C158" s="171"/>
      <c r="D158" s="171"/>
      <c r="E158" s="171"/>
      <c r="F158" s="171"/>
      <c r="G158" s="171"/>
      <c r="H158" s="170"/>
      <c r="I158" s="171"/>
    </row>
    <row r="159" ht="14.25" customHeight="1">
      <c r="A159" s="171"/>
      <c r="B159" s="282"/>
      <c r="C159" s="171"/>
      <c r="D159" s="171"/>
      <c r="E159" s="171"/>
      <c r="F159" s="171"/>
      <c r="G159" s="171"/>
      <c r="H159" s="170"/>
      <c r="I159" s="171"/>
    </row>
    <row r="160" ht="14.25" customHeight="1">
      <c r="A160" s="171"/>
      <c r="B160" s="282"/>
      <c r="C160" s="171"/>
      <c r="D160" s="171"/>
      <c r="E160" s="171"/>
      <c r="F160" s="171"/>
      <c r="G160" s="171"/>
      <c r="H160" s="170"/>
      <c r="I160" s="171"/>
    </row>
    <row r="161" ht="14.25" customHeight="1">
      <c r="A161" s="171"/>
      <c r="B161" s="282"/>
      <c r="C161" s="171"/>
      <c r="D161" s="171"/>
      <c r="E161" s="171"/>
      <c r="F161" s="171"/>
      <c r="G161" s="171"/>
      <c r="H161" s="170"/>
      <c r="I161" s="171"/>
    </row>
    <row r="162" ht="14.25" customHeight="1">
      <c r="A162" s="171"/>
      <c r="B162" s="282"/>
      <c r="C162" s="171"/>
      <c r="D162" s="171"/>
      <c r="E162" s="171"/>
      <c r="F162" s="171"/>
      <c r="G162" s="171"/>
      <c r="H162" s="170"/>
      <c r="I162" s="171"/>
    </row>
    <row r="163" ht="14.25" customHeight="1">
      <c r="A163" s="171"/>
      <c r="B163" s="282"/>
      <c r="C163" s="171"/>
      <c r="D163" s="171"/>
      <c r="E163" s="171"/>
      <c r="F163" s="171"/>
      <c r="G163" s="171"/>
      <c r="H163" s="170"/>
      <c r="I163" s="171"/>
    </row>
    <row r="164" ht="14.25" customHeight="1">
      <c r="A164" s="171"/>
      <c r="B164" s="282"/>
      <c r="C164" s="171"/>
      <c r="D164" s="171"/>
      <c r="E164" s="171"/>
      <c r="F164" s="171"/>
      <c r="G164" s="171"/>
      <c r="H164" s="170"/>
      <c r="I164" s="171"/>
    </row>
    <row r="165" ht="14.25" customHeight="1">
      <c r="A165" s="171"/>
      <c r="B165" s="282"/>
      <c r="C165" s="171"/>
      <c r="D165" s="171"/>
      <c r="E165" s="171"/>
      <c r="F165" s="171"/>
      <c r="G165" s="171"/>
      <c r="H165" s="170"/>
      <c r="I165" s="171"/>
    </row>
    <row r="166" ht="14.25" customHeight="1">
      <c r="A166" s="171"/>
      <c r="B166" s="282"/>
      <c r="C166" s="171"/>
      <c r="D166" s="171"/>
      <c r="E166" s="171"/>
      <c r="F166" s="171"/>
      <c r="G166" s="171"/>
      <c r="H166" s="170"/>
      <c r="I166" s="171"/>
    </row>
    <row r="167" ht="14.25" customHeight="1">
      <c r="A167" s="171"/>
      <c r="B167" s="282"/>
      <c r="C167" s="171"/>
      <c r="D167" s="171"/>
      <c r="E167" s="171"/>
      <c r="F167" s="171"/>
      <c r="G167" s="171"/>
      <c r="H167" s="170"/>
      <c r="I167" s="171"/>
    </row>
    <row r="168" ht="14.25" customHeight="1">
      <c r="A168" s="171"/>
      <c r="B168" s="282"/>
      <c r="C168" s="171"/>
      <c r="D168" s="171"/>
      <c r="E168" s="171"/>
      <c r="F168" s="171"/>
      <c r="G168" s="171"/>
      <c r="H168" s="170"/>
      <c r="I168" s="171"/>
    </row>
    <row r="169" ht="14.25" customHeight="1">
      <c r="A169" s="171"/>
      <c r="B169" s="282"/>
      <c r="C169" s="171"/>
      <c r="D169" s="171"/>
      <c r="E169" s="171"/>
      <c r="F169" s="171"/>
      <c r="G169" s="171"/>
      <c r="H169" s="170"/>
      <c r="I169" s="171"/>
    </row>
    <row r="170" ht="14.25" customHeight="1">
      <c r="A170" s="171"/>
      <c r="B170" s="282"/>
      <c r="C170" s="171"/>
      <c r="D170" s="171"/>
      <c r="E170" s="171"/>
      <c r="F170" s="171"/>
      <c r="G170" s="171"/>
      <c r="H170" s="170"/>
      <c r="I170" s="171"/>
    </row>
    <row r="171" ht="14.25" customHeight="1">
      <c r="A171" s="171"/>
      <c r="B171" s="282"/>
      <c r="C171" s="171"/>
      <c r="D171" s="171"/>
      <c r="E171" s="171"/>
      <c r="F171" s="171"/>
      <c r="G171" s="171"/>
      <c r="H171" s="170"/>
      <c r="I171" s="171"/>
    </row>
    <row r="172" ht="14.25" customHeight="1">
      <c r="A172" s="171"/>
      <c r="B172" s="282"/>
      <c r="C172" s="171"/>
      <c r="D172" s="171"/>
      <c r="E172" s="171"/>
      <c r="F172" s="171"/>
      <c r="G172" s="171"/>
      <c r="H172" s="170"/>
      <c r="I172" s="171"/>
    </row>
    <row r="173" ht="14.25" customHeight="1">
      <c r="A173" s="171"/>
      <c r="B173" s="282"/>
      <c r="C173" s="171"/>
      <c r="D173" s="171"/>
      <c r="E173" s="171"/>
      <c r="F173" s="171"/>
      <c r="G173" s="171"/>
      <c r="H173" s="170"/>
      <c r="I173" s="171"/>
    </row>
    <row r="174" ht="14.25" customHeight="1">
      <c r="A174" s="171"/>
      <c r="B174" s="282"/>
      <c r="C174" s="171"/>
      <c r="D174" s="171"/>
      <c r="E174" s="171"/>
      <c r="F174" s="171"/>
      <c r="G174" s="171"/>
      <c r="H174" s="170"/>
      <c r="I174" s="171"/>
    </row>
    <row r="175" ht="14.25" customHeight="1">
      <c r="A175" s="171"/>
      <c r="B175" s="282"/>
      <c r="C175" s="171"/>
      <c r="D175" s="171"/>
      <c r="E175" s="171"/>
      <c r="F175" s="171"/>
      <c r="G175" s="171"/>
      <c r="H175" s="170"/>
      <c r="I175" s="171"/>
    </row>
    <row r="176" ht="14.25" customHeight="1">
      <c r="A176" s="171"/>
      <c r="B176" s="282"/>
      <c r="C176" s="171"/>
      <c r="D176" s="171"/>
      <c r="E176" s="171"/>
      <c r="F176" s="171"/>
      <c r="G176" s="171"/>
      <c r="H176" s="170"/>
      <c r="I176" s="171"/>
    </row>
    <row r="177" ht="14.25" customHeight="1">
      <c r="A177" s="171"/>
      <c r="B177" s="282"/>
      <c r="C177" s="171"/>
      <c r="D177" s="171"/>
      <c r="E177" s="171"/>
      <c r="F177" s="171"/>
      <c r="G177" s="171"/>
      <c r="H177" s="170"/>
      <c r="I177" s="171"/>
    </row>
    <row r="178" ht="14.25" customHeight="1">
      <c r="A178" s="171"/>
      <c r="B178" s="282"/>
      <c r="C178" s="171"/>
      <c r="D178" s="171"/>
      <c r="E178" s="171"/>
      <c r="F178" s="171"/>
      <c r="G178" s="171"/>
      <c r="H178" s="170"/>
      <c r="I178" s="171"/>
    </row>
    <row r="179" ht="14.25" customHeight="1">
      <c r="A179" s="171"/>
      <c r="B179" s="282"/>
      <c r="C179" s="171"/>
      <c r="D179" s="171"/>
      <c r="E179" s="171"/>
      <c r="F179" s="171"/>
      <c r="G179" s="171"/>
      <c r="H179" s="170"/>
      <c r="I179" s="171"/>
    </row>
    <row r="180" ht="14.25" customHeight="1">
      <c r="A180" s="171"/>
      <c r="B180" s="282"/>
      <c r="C180" s="171"/>
      <c r="D180" s="171"/>
      <c r="E180" s="171"/>
      <c r="F180" s="171"/>
      <c r="G180" s="171"/>
      <c r="H180" s="170"/>
      <c r="I180" s="171"/>
    </row>
    <row r="181" ht="14.25" customHeight="1">
      <c r="A181" s="171"/>
      <c r="B181" s="282"/>
      <c r="C181" s="171"/>
      <c r="D181" s="171"/>
      <c r="E181" s="171"/>
      <c r="F181" s="171"/>
      <c r="G181" s="171"/>
      <c r="H181" s="170"/>
      <c r="I181" s="171"/>
    </row>
    <row r="182" ht="14.25" customHeight="1">
      <c r="A182" s="171"/>
      <c r="B182" s="282"/>
      <c r="C182" s="171"/>
      <c r="D182" s="171"/>
      <c r="E182" s="171"/>
      <c r="F182" s="171"/>
      <c r="G182" s="171"/>
      <c r="H182" s="170"/>
      <c r="I182" s="171"/>
    </row>
    <row r="183" ht="14.25" customHeight="1">
      <c r="A183" s="171"/>
      <c r="B183" s="282"/>
      <c r="C183" s="171"/>
      <c r="D183" s="171"/>
      <c r="E183" s="171"/>
      <c r="F183" s="171"/>
      <c r="G183" s="171"/>
      <c r="H183" s="170"/>
      <c r="I183" s="171"/>
    </row>
    <row r="184" ht="14.25" customHeight="1">
      <c r="A184" s="171"/>
      <c r="B184" s="282"/>
      <c r="C184" s="171"/>
      <c r="D184" s="171"/>
      <c r="E184" s="171"/>
      <c r="F184" s="171"/>
      <c r="G184" s="171"/>
      <c r="H184" s="170"/>
      <c r="I184" s="171"/>
    </row>
    <row r="185" ht="14.25" customHeight="1">
      <c r="A185" s="171"/>
      <c r="B185" s="282"/>
      <c r="C185" s="171"/>
      <c r="D185" s="171"/>
      <c r="E185" s="171"/>
      <c r="F185" s="171"/>
      <c r="G185" s="171"/>
      <c r="H185" s="170"/>
      <c r="I185" s="171"/>
    </row>
    <row r="186" ht="14.25" customHeight="1">
      <c r="A186" s="171"/>
      <c r="B186" s="282"/>
      <c r="C186" s="171"/>
      <c r="D186" s="171"/>
      <c r="E186" s="171"/>
      <c r="F186" s="171"/>
      <c r="G186" s="171"/>
      <c r="H186" s="170"/>
      <c r="I186" s="171"/>
    </row>
    <row r="187" ht="14.25" customHeight="1">
      <c r="A187" s="171"/>
      <c r="B187" s="282"/>
      <c r="C187" s="171"/>
      <c r="D187" s="171"/>
      <c r="E187" s="171"/>
      <c r="F187" s="171"/>
      <c r="G187" s="171"/>
      <c r="H187" s="170"/>
      <c r="I187" s="171"/>
    </row>
    <row r="188" ht="14.25" customHeight="1">
      <c r="A188" s="171"/>
      <c r="B188" s="282"/>
      <c r="C188" s="171"/>
      <c r="D188" s="171"/>
      <c r="E188" s="171"/>
      <c r="F188" s="171"/>
      <c r="G188" s="171"/>
      <c r="H188" s="170"/>
      <c r="I188" s="171"/>
    </row>
    <row r="189" ht="14.25" customHeight="1">
      <c r="A189" s="171"/>
      <c r="B189" s="282"/>
      <c r="C189" s="171"/>
      <c r="D189" s="171"/>
      <c r="E189" s="171"/>
      <c r="F189" s="171"/>
      <c r="G189" s="171"/>
      <c r="H189" s="170"/>
      <c r="I189" s="171"/>
    </row>
    <row r="190" ht="14.25" customHeight="1">
      <c r="A190" s="171"/>
      <c r="B190" s="282"/>
      <c r="C190" s="171"/>
      <c r="D190" s="171"/>
      <c r="E190" s="171"/>
      <c r="F190" s="171"/>
      <c r="G190" s="171"/>
      <c r="H190" s="170"/>
      <c r="I190" s="171"/>
    </row>
    <row r="191" ht="14.25" customHeight="1">
      <c r="A191" s="171"/>
      <c r="B191" s="282"/>
      <c r="C191" s="171"/>
      <c r="D191" s="171"/>
      <c r="E191" s="171"/>
      <c r="F191" s="171"/>
      <c r="G191" s="171"/>
      <c r="H191" s="170"/>
      <c r="I191" s="171"/>
    </row>
    <row r="192" ht="14.25" customHeight="1">
      <c r="A192" s="171"/>
      <c r="B192" s="282"/>
      <c r="C192" s="171"/>
      <c r="D192" s="171"/>
      <c r="E192" s="171"/>
      <c r="F192" s="171"/>
      <c r="G192" s="171"/>
      <c r="H192" s="170"/>
      <c r="I192" s="171"/>
    </row>
    <row r="193" ht="14.25" customHeight="1">
      <c r="A193" s="171"/>
      <c r="B193" s="282"/>
      <c r="C193" s="171"/>
      <c r="D193" s="171"/>
      <c r="E193" s="171"/>
      <c r="F193" s="171"/>
      <c r="G193" s="171"/>
      <c r="H193" s="170"/>
      <c r="I193" s="171"/>
    </row>
    <row r="194" ht="14.25" customHeight="1">
      <c r="A194" s="171"/>
      <c r="B194" s="282"/>
      <c r="C194" s="171"/>
      <c r="D194" s="171"/>
      <c r="E194" s="171"/>
      <c r="F194" s="171"/>
      <c r="G194" s="171"/>
      <c r="H194" s="170"/>
      <c r="I194" s="171"/>
    </row>
    <row r="195" ht="14.25" customHeight="1">
      <c r="A195" s="171"/>
      <c r="B195" s="282"/>
      <c r="C195" s="171"/>
      <c r="D195" s="171"/>
      <c r="E195" s="171"/>
      <c r="F195" s="171"/>
      <c r="G195" s="171"/>
      <c r="H195" s="170"/>
      <c r="I195" s="171"/>
    </row>
    <row r="196" ht="14.25" customHeight="1">
      <c r="A196" s="171"/>
      <c r="B196" s="282"/>
      <c r="C196" s="171"/>
      <c r="D196" s="171"/>
      <c r="E196" s="171"/>
      <c r="F196" s="171"/>
      <c r="G196" s="171"/>
      <c r="H196" s="170"/>
      <c r="I196" s="171"/>
    </row>
    <row r="197" ht="14.25" customHeight="1">
      <c r="A197" s="171"/>
      <c r="B197" s="282"/>
      <c r="C197" s="171"/>
      <c r="D197" s="171"/>
      <c r="E197" s="171"/>
      <c r="F197" s="171"/>
      <c r="G197" s="171"/>
      <c r="H197" s="170"/>
      <c r="I197" s="171"/>
    </row>
    <row r="198" ht="14.25" customHeight="1">
      <c r="A198" s="171"/>
      <c r="B198" s="282"/>
      <c r="C198" s="171"/>
      <c r="D198" s="171"/>
      <c r="E198" s="171"/>
      <c r="F198" s="171"/>
      <c r="G198" s="171"/>
      <c r="H198" s="170"/>
      <c r="I198" s="171"/>
    </row>
    <row r="199" ht="14.25" customHeight="1">
      <c r="A199" s="171"/>
      <c r="B199" s="282"/>
      <c r="C199" s="171"/>
      <c r="D199" s="171"/>
      <c r="E199" s="171"/>
      <c r="F199" s="171"/>
      <c r="G199" s="171"/>
      <c r="H199" s="170"/>
      <c r="I199" s="171"/>
    </row>
    <row r="200" ht="14.25" customHeight="1">
      <c r="A200" s="171"/>
      <c r="B200" s="282"/>
      <c r="C200" s="171"/>
      <c r="D200" s="171"/>
      <c r="E200" s="171"/>
      <c r="F200" s="171"/>
      <c r="G200" s="171"/>
      <c r="H200" s="170"/>
      <c r="I200" s="171"/>
    </row>
    <row r="201" ht="14.25" customHeight="1">
      <c r="A201" s="171"/>
      <c r="B201" s="282"/>
      <c r="C201" s="171"/>
      <c r="D201" s="171"/>
      <c r="E201" s="171"/>
      <c r="F201" s="171"/>
      <c r="G201" s="171"/>
      <c r="H201" s="170"/>
      <c r="I201" s="171"/>
    </row>
    <row r="202" ht="14.25" customHeight="1">
      <c r="A202" s="171"/>
      <c r="B202" s="282"/>
      <c r="C202" s="171"/>
      <c r="D202" s="171"/>
      <c r="E202" s="171"/>
      <c r="F202" s="171"/>
      <c r="G202" s="171"/>
      <c r="H202" s="170"/>
      <c r="I202" s="171"/>
    </row>
    <row r="203" ht="14.25" customHeight="1">
      <c r="A203" s="171"/>
      <c r="B203" s="282"/>
      <c r="C203" s="171"/>
      <c r="D203" s="171"/>
      <c r="E203" s="171"/>
      <c r="F203" s="171"/>
      <c r="G203" s="171"/>
      <c r="H203" s="170"/>
      <c r="I203" s="171"/>
    </row>
    <row r="204" ht="14.25" customHeight="1">
      <c r="A204" s="171"/>
      <c r="B204" s="282"/>
      <c r="C204" s="171"/>
      <c r="D204" s="171"/>
      <c r="E204" s="171"/>
      <c r="F204" s="171"/>
      <c r="G204" s="171"/>
      <c r="H204" s="170"/>
      <c r="I204" s="171"/>
    </row>
    <row r="205" ht="14.25" customHeight="1">
      <c r="A205" s="171"/>
      <c r="B205" s="282"/>
      <c r="C205" s="171"/>
      <c r="D205" s="171"/>
      <c r="E205" s="171"/>
      <c r="F205" s="171"/>
      <c r="G205" s="171"/>
      <c r="H205" s="170"/>
      <c r="I205" s="171"/>
    </row>
    <row r="206" ht="14.25" customHeight="1">
      <c r="A206" s="171"/>
      <c r="B206" s="282"/>
      <c r="C206" s="171"/>
      <c r="D206" s="171"/>
      <c r="E206" s="171"/>
      <c r="F206" s="171"/>
      <c r="G206" s="171"/>
      <c r="H206" s="170"/>
      <c r="I206" s="171"/>
    </row>
    <row r="207" ht="14.25" customHeight="1">
      <c r="A207" s="171"/>
      <c r="B207" s="282"/>
      <c r="C207" s="171"/>
      <c r="D207" s="171"/>
      <c r="E207" s="171"/>
      <c r="F207" s="171"/>
      <c r="G207" s="171"/>
      <c r="H207" s="170"/>
      <c r="I207" s="171"/>
    </row>
    <row r="208" ht="14.25" customHeight="1">
      <c r="A208" s="171"/>
      <c r="B208" s="282"/>
      <c r="C208" s="171"/>
      <c r="D208" s="171"/>
      <c r="E208" s="171"/>
      <c r="F208" s="171"/>
      <c r="G208" s="171"/>
      <c r="H208" s="170"/>
      <c r="I208" s="171"/>
    </row>
    <row r="209" ht="14.25" customHeight="1">
      <c r="A209" s="171"/>
      <c r="B209" s="282"/>
      <c r="C209" s="171"/>
      <c r="D209" s="171"/>
      <c r="E209" s="171"/>
      <c r="F209" s="171"/>
      <c r="G209" s="171"/>
      <c r="H209" s="170"/>
      <c r="I209" s="171"/>
    </row>
    <row r="210" ht="14.25" customHeight="1">
      <c r="A210" s="171"/>
      <c r="B210" s="282"/>
      <c r="C210" s="171"/>
      <c r="D210" s="171"/>
      <c r="E210" s="171"/>
      <c r="F210" s="171"/>
      <c r="G210" s="171"/>
      <c r="H210" s="170"/>
      <c r="I210" s="171"/>
    </row>
    <row r="211" ht="14.25" customHeight="1">
      <c r="A211" s="171"/>
      <c r="B211" s="282"/>
      <c r="C211" s="171"/>
      <c r="D211" s="171"/>
      <c r="E211" s="171"/>
      <c r="F211" s="171"/>
      <c r="G211" s="171"/>
      <c r="H211" s="170"/>
      <c r="I211" s="171"/>
    </row>
    <row r="212" ht="14.25" customHeight="1">
      <c r="A212" s="171"/>
      <c r="B212" s="282"/>
      <c r="C212" s="171"/>
      <c r="D212" s="171"/>
      <c r="E212" s="171"/>
      <c r="F212" s="171"/>
      <c r="G212" s="171"/>
      <c r="H212" s="170"/>
      <c r="I212" s="171"/>
    </row>
    <row r="213" ht="14.25" customHeight="1">
      <c r="A213" s="171"/>
      <c r="B213" s="282"/>
      <c r="C213" s="171"/>
      <c r="D213" s="171"/>
      <c r="E213" s="171"/>
      <c r="F213" s="171"/>
      <c r="G213" s="171"/>
      <c r="H213" s="170"/>
      <c r="I213" s="171"/>
    </row>
    <row r="214" ht="14.25" customHeight="1">
      <c r="A214" s="171"/>
      <c r="B214" s="282"/>
      <c r="C214" s="171"/>
      <c r="D214" s="171"/>
      <c r="E214" s="171"/>
      <c r="F214" s="171"/>
      <c r="G214" s="171"/>
      <c r="H214" s="170"/>
      <c r="I214" s="171"/>
    </row>
    <row r="215" ht="14.25" customHeight="1">
      <c r="A215" s="171"/>
      <c r="B215" s="282"/>
      <c r="C215" s="171"/>
      <c r="D215" s="171"/>
      <c r="E215" s="171"/>
      <c r="F215" s="171"/>
      <c r="G215" s="171"/>
      <c r="H215" s="170"/>
      <c r="I215" s="171"/>
    </row>
    <row r="216" ht="14.25" customHeight="1">
      <c r="A216" s="171"/>
      <c r="B216" s="282"/>
      <c r="C216" s="171"/>
      <c r="D216" s="171"/>
      <c r="E216" s="171"/>
      <c r="F216" s="171"/>
      <c r="G216" s="171"/>
      <c r="H216" s="170"/>
      <c r="I216" s="171"/>
    </row>
    <row r="217" ht="14.25" customHeight="1">
      <c r="A217" s="171"/>
      <c r="B217" s="282"/>
      <c r="C217" s="171"/>
      <c r="D217" s="171"/>
      <c r="E217" s="171"/>
      <c r="F217" s="171"/>
      <c r="G217" s="171"/>
      <c r="H217" s="170"/>
      <c r="I217" s="171"/>
    </row>
    <row r="218" ht="14.25" customHeight="1">
      <c r="A218" s="171"/>
      <c r="B218" s="282"/>
      <c r="C218" s="171"/>
      <c r="D218" s="171"/>
      <c r="E218" s="171"/>
      <c r="F218" s="171"/>
      <c r="G218" s="171"/>
      <c r="H218" s="170"/>
      <c r="I218" s="171"/>
    </row>
    <row r="219" ht="14.25" customHeight="1">
      <c r="A219" s="171"/>
      <c r="B219" s="282"/>
      <c r="C219" s="171"/>
      <c r="D219" s="171"/>
      <c r="E219" s="171"/>
      <c r="F219" s="171"/>
      <c r="G219" s="171"/>
      <c r="H219" s="170"/>
      <c r="I219" s="171"/>
    </row>
    <row r="220" ht="14.25" customHeight="1">
      <c r="A220" s="171"/>
      <c r="B220" s="282"/>
      <c r="C220" s="171"/>
      <c r="D220" s="171"/>
      <c r="E220" s="171"/>
      <c r="F220" s="171"/>
      <c r="G220" s="171"/>
      <c r="H220" s="170"/>
      <c r="I220" s="171"/>
    </row>
    <row r="221" ht="14.25" customHeight="1">
      <c r="A221" s="171"/>
      <c r="B221" s="282"/>
      <c r="C221" s="171"/>
      <c r="D221" s="171"/>
      <c r="E221" s="171"/>
      <c r="F221" s="171"/>
      <c r="G221" s="171"/>
      <c r="H221" s="170"/>
      <c r="I221" s="171"/>
    </row>
    <row r="222" ht="14.25" customHeight="1">
      <c r="A222" s="171"/>
      <c r="B222" s="282"/>
      <c r="C222" s="171"/>
      <c r="D222" s="171"/>
      <c r="E222" s="171"/>
      <c r="F222" s="171"/>
      <c r="G222" s="171"/>
      <c r="H222" s="170"/>
      <c r="I222" s="171"/>
    </row>
    <row r="223" ht="14.25" customHeight="1">
      <c r="A223" s="171"/>
      <c r="B223" s="282"/>
      <c r="C223" s="171"/>
      <c r="D223" s="171"/>
      <c r="E223" s="171"/>
      <c r="F223" s="171"/>
      <c r="G223" s="171"/>
      <c r="H223" s="170"/>
      <c r="I223" s="171"/>
    </row>
    <row r="224" ht="14.25" customHeight="1">
      <c r="A224" s="171"/>
      <c r="B224" s="282"/>
      <c r="C224" s="171"/>
      <c r="D224" s="171"/>
      <c r="E224" s="171"/>
      <c r="F224" s="171"/>
      <c r="G224" s="171"/>
      <c r="H224" s="170"/>
      <c r="I224" s="171"/>
    </row>
    <row r="225" ht="14.25" customHeight="1">
      <c r="A225" s="171"/>
      <c r="B225" s="282"/>
      <c r="C225" s="171"/>
      <c r="D225" s="171"/>
      <c r="E225" s="171"/>
      <c r="F225" s="171"/>
      <c r="G225" s="171"/>
      <c r="H225" s="170"/>
      <c r="I225" s="171"/>
    </row>
    <row r="226" ht="14.25" customHeight="1">
      <c r="A226" s="171"/>
      <c r="B226" s="282"/>
      <c r="C226" s="171"/>
      <c r="D226" s="171"/>
      <c r="E226" s="171"/>
      <c r="F226" s="171"/>
      <c r="G226" s="171"/>
      <c r="H226" s="170"/>
      <c r="I226" s="171"/>
    </row>
    <row r="227" ht="14.25" customHeight="1">
      <c r="A227" s="171"/>
      <c r="B227" s="282"/>
      <c r="C227" s="171"/>
      <c r="D227" s="171"/>
      <c r="E227" s="171"/>
      <c r="F227" s="171"/>
      <c r="G227" s="171"/>
      <c r="H227" s="170"/>
      <c r="I227" s="171"/>
    </row>
    <row r="228" ht="14.25" customHeight="1">
      <c r="A228" s="171"/>
      <c r="B228" s="282"/>
      <c r="C228" s="171"/>
      <c r="D228" s="171"/>
      <c r="E228" s="171"/>
      <c r="F228" s="171"/>
      <c r="G228" s="171"/>
      <c r="H228" s="170"/>
      <c r="I228" s="171"/>
    </row>
    <row r="229" ht="14.25" customHeight="1">
      <c r="A229" s="171"/>
      <c r="B229" s="282"/>
      <c r="C229" s="171"/>
      <c r="D229" s="171"/>
      <c r="E229" s="171"/>
      <c r="F229" s="171"/>
      <c r="G229" s="171"/>
      <c r="H229" s="170"/>
      <c r="I229" s="171"/>
    </row>
    <row r="230" ht="14.25" customHeight="1">
      <c r="A230" s="171"/>
      <c r="B230" s="282"/>
      <c r="C230" s="171"/>
      <c r="D230" s="171"/>
      <c r="E230" s="171"/>
      <c r="F230" s="171"/>
      <c r="G230" s="171"/>
      <c r="H230" s="170"/>
      <c r="I230" s="171"/>
    </row>
    <row r="231" ht="14.25" customHeight="1">
      <c r="A231" s="171"/>
      <c r="B231" s="282"/>
      <c r="C231" s="171"/>
      <c r="D231" s="171"/>
      <c r="E231" s="171"/>
      <c r="F231" s="171"/>
      <c r="G231" s="171"/>
      <c r="H231" s="170"/>
      <c r="I231" s="171"/>
    </row>
    <row r="232" ht="14.25" customHeight="1">
      <c r="A232" s="171"/>
      <c r="B232" s="282"/>
      <c r="C232" s="171"/>
      <c r="D232" s="171"/>
      <c r="E232" s="171"/>
      <c r="F232" s="171"/>
      <c r="G232" s="171"/>
      <c r="H232" s="170"/>
      <c r="I232" s="171"/>
    </row>
    <row r="233" ht="14.25" customHeight="1">
      <c r="A233" s="171"/>
      <c r="B233" s="282"/>
      <c r="C233" s="171"/>
      <c r="D233" s="171"/>
      <c r="E233" s="171"/>
      <c r="F233" s="171"/>
      <c r="G233" s="171"/>
      <c r="H233" s="170"/>
      <c r="I233" s="171"/>
    </row>
    <row r="234" ht="14.25" customHeight="1">
      <c r="A234" s="171"/>
      <c r="B234" s="282"/>
      <c r="C234" s="171"/>
      <c r="D234" s="171"/>
      <c r="E234" s="171"/>
      <c r="F234" s="171"/>
      <c r="G234" s="171"/>
      <c r="H234" s="170"/>
      <c r="I234" s="171"/>
    </row>
    <row r="235" ht="14.25" customHeight="1">
      <c r="A235" s="171"/>
      <c r="B235" s="282"/>
      <c r="C235" s="171"/>
      <c r="D235" s="171"/>
      <c r="E235" s="171"/>
      <c r="F235" s="171"/>
      <c r="G235" s="171"/>
      <c r="H235" s="170"/>
      <c r="I235" s="171"/>
    </row>
    <row r="236" ht="14.25" customHeight="1">
      <c r="A236" s="171"/>
      <c r="B236" s="282"/>
      <c r="C236" s="171"/>
      <c r="D236" s="171"/>
      <c r="E236" s="171"/>
      <c r="F236" s="171"/>
      <c r="G236" s="171"/>
      <c r="H236" s="170"/>
      <c r="I236" s="171"/>
    </row>
    <row r="237" ht="14.25" customHeight="1">
      <c r="A237" s="171"/>
      <c r="B237" s="282"/>
      <c r="C237" s="171"/>
      <c r="D237" s="171"/>
      <c r="E237" s="171"/>
      <c r="F237" s="171"/>
      <c r="G237" s="171"/>
      <c r="H237" s="170"/>
      <c r="I237" s="171"/>
    </row>
    <row r="238" ht="14.25" customHeight="1">
      <c r="A238" s="171"/>
      <c r="B238" s="282"/>
      <c r="C238" s="171"/>
      <c r="D238" s="171"/>
      <c r="E238" s="171"/>
      <c r="F238" s="171"/>
      <c r="G238" s="171"/>
      <c r="H238" s="170"/>
      <c r="I238" s="171"/>
    </row>
    <row r="239" ht="14.25" customHeight="1">
      <c r="A239" s="171"/>
      <c r="B239" s="282"/>
      <c r="C239" s="171"/>
      <c r="D239" s="171"/>
      <c r="E239" s="171"/>
      <c r="F239" s="171"/>
      <c r="G239" s="171"/>
      <c r="H239" s="170"/>
      <c r="I239" s="171"/>
    </row>
    <row r="240" ht="14.25" customHeight="1">
      <c r="A240" s="171"/>
      <c r="B240" s="282"/>
      <c r="C240" s="171"/>
      <c r="D240" s="171"/>
      <c r="E240" s="171"/>
      <c r="F240" s="171"/>
      <c r="G240" s="171"/>
      <c r="H240" s="170"/>
      <c r="I240" s="171"/>
    </row>
    <row r="241" ht="14.25" customHeight="1">
      <c r="A241" s="171"/>
      <c r="B241" s="282"/>
      <c r="C241" s="171"/>
      <c r="D241" s="171"/>
      <c r="E241" s="171"/>
      <c r="F241" s="171"/>
      <c r="G241" s="171"/>
      <c r="H241" s="170"/>
      <c r="I241" s="171"/>
    </row>
    <row r="242" ht="14.25" customHeight="1">
      <c r="A242" s="171"/>
      <c r="B242" s="282"/>
      <c r="C242" s="171"/>
      <c r="D242" s="171"/>
      <c r="E242" s="171"/>
      <c r="F242" s="171"/>
      <c r="G242" s="171"/>
      <c r="H242" s="170"/>
      <c r="I242" s="171"/>
    </row>
    <row r="243" ht="14.25" customHeight="1">
      <c r="A243" s="171"/>
      <c r="B243" s="282"/>
      <c r="C243" s="171"/>
      <c r="D243" s="171"/>
      <c r="E243" s="171"/>
      <c r="F243" s="171"/>
      <c r="G243" s="171"/>
      <c r="H243" s="170"/>
      <c r="I243" s="171"/>
    </row>
    <row r="244" ht="14.25" customHeight="1">
      <c r="A244" s="171"/>
      <c r="B244" s="282"/>
      <c r="C244" s="171"/>
      <c r="D244" s="171"/>
      <c r="E244" s="171"/>
      <c r="F244" s="171"/>
      <c r="G244" s="171"/>
      <c r="H244" s="170"/>
      <c r="I244" s="171"/>
    </row>
    <row r="245" ht="14.25" customHeight="1">
      <c r="A245" s="171"/>
      <c r="B245" s="282"/>
      <c r="C245" s="171"/>
      <c r="D245" s="171"/>
      <c r="E245" s="171"/>
      <c r="F245" s="171"/>
      <c r="G245" s="171"/>
      <c r="H245" s="170"/>
      <c r="I245" s="171"/>
    </row>
    <row r="246" ht="14.25" customHeight="1">
      <c r="A246" s="171"/>
      <c r="B246" s="282"/>
      <c r="C246" s="171"/>
      <c r="D246" s="171"/>
      <c r="E246" s="171"/>
      <c r="F246" s="171"/>
      <c r="G246" s="171"/>
      <c r="H246" s="170"/>
      <c r="I246" s="171"/>
    </row>
    <row r="247" ht="14.25" customHeight="1">
      <c r="A247" s="171"/>
      <c r="B247" s="282"/>
      <c r="C247" s="171"/>
      <c r="D247" s="171"/>
      <c r="E247" s="171"/>
      <c r="F247" s="171"/>
      <c r="G247" s="171"/>
      <c r="H247" s="170"/>
      <c r="I247" s="171"/>
    </row>
    <row r="248" ht="14.25" customHeight="1">
      <c r="A248" s="171"/>
      <c r="B248" s="282"/>
      <c r="C248" s="171"/>
      <c r="D248" s="171"/>
      <c r="E248" s="171"/>
      <c r="F248" s="171"/>
      <c r="G248" s="171"/>
      <c r="H248" s="170"/>
      <c r="I248" s="171"/>
    </row>
    <row r="249" ht="14.25" customHeight="1">
      <c r="A249" s="171"/>
      <c r="B249" s="282"/>
      <c r="C249" s="171"/>
      <c r="D249" s="171"/>
      <c r="E249" s="171"/>
      <c r="F249" s="171"/>
      <c r="G249" s="171"/>
      <c r="H249" s="170"/>
      <c r="I249" s="171"/>
    </row>
    <row r="250" ht="14.25" customHeight="1">
      <c r="A250" s="171"/>
      <c r="B250" s="282"/>
      <c r="C250" s="171"/>
      <c r="D250" s="171"/>
      <c r="E250" s="171"/>
      <c r="F250" s="171"/>
      <c r="G250" s="171"/>
      <c r="H250" s="170"/>
      <c r="I250" s="171"/>
    </row>
    <row r="251" ht="14.25" customHeight="1">
      <c r="A251" s="171"/>
      <c r="B251" s="282"/>
      <c r="C251" s="171"/>
      <c r="D251" s="171"/>
      <c r="E251" s="171"/>
      <c r="F251" s="171"/>
      <c r="G251" s="171"/>
      <c r="H251" s="170"/>
      <c r="I251" s="171"/>
    </row>
    <row r="252" ht="14.25" customHeight="1">
      <c r="A252" s="171"/>
      <c r="B252" s="282"/>
      <c r="C252" s="171"/>
      <c r="D252" s="171"/>
      <c r="E252" s="171"/>
      <c r="F252" s="171"/>
      <c r="G252" s="171"/>
      <c r="H252" s="170"/>
      <c r="I252" s="171"/>
    </row>
    <row r="253" ht="14.25" customHeight="1">
      <c r="A253" s="171"/>
      <c r="B253" s="282"/>
      <c r="C253" s="171"/>
      <c r="D253" s="171"/>
      <c r="E253" s="171"/>
      <c r="F253" s="171"/>
      <c r="G253" s="171"/>
      <c r="H253" s="170"/>
      <c r="I253" s="171"/>
    </row>
    <row r="254" ht="14.25" customHeight="1">
      <c r="A254" s="171"/>
      <c r="B254" s="282"/>
      <c r="C254" s="171"/>
      <c r="D254" s="171"/>
      <c r="E254" s="171"/>
      <c r="F254" s="171"/>
      <c r="G254" s="171"/>
      <c r="H254" s="170"/>
      <c r="I254" s="171"/>
    </row>
    <row r="255" ht="14.25" customHeight="1">
      <c r="A255" s="171"/>
      <c r="B255" s="282"/>
      <c r="C255" s="171"/>
      <c r="D255" s="171"/>
      <c r="E255" s="171"/>
      <c r="F255" s="171"/>
      <c r="G255" s="171"/>
      <c r="H255" s="170"/>
      <c r="I255" s="171"/>
    </row>
    <row r="256" ht="14.25" customHeight="1">
      <c r="A256" s="171"/>
      <c r="B256" s="282"/>
      <c r="C256" s="171"/>
      <c r="D256" s="171"/>
      <c r="E256" s="171"/>
      <c r="F256" s="171"/>
      <c r="G256" s="171"/>
      <c r="H256" s="170"/>
      <c r="I256" s="171"/>
    </row>
    <row r="257" ht="14.25" customHeight="1">
      <c r="A257" s="171"/>
      <c r="B257" s="282"/>
      <c r="C257" s="171"/>
      <c r="D257" s="171"/>
      <c r="E257" s="171"/>
      <c r="F257" s="171"/>
      <c r="G257" s="171"/>
      <c r="H257" s="170"/>
      <c r="I257" s="171"/>
    </row>
    <row r="258" ht="14.25" customHeight="1">
      <c r="A258" s="171"/>
      <c r="B258" s="282"/>
      <c r="C258" s="171"/>
      <c r="D258" s="171"/>
      <c r="E258" s="171"/>
      <c r="F258" s="171"/>
      <c r="G258" s="171"/>
      <c r="H258" s="170"/>
      <c r="I258" s="171"/>
    </row>
    <row r="259" ht="14.25" customHeight="1">
      <c r="A259" s="171"/>
      <c r="B259" s="282"/>
      <c r="C259" s="171"/>
      <c r="D259" s="171"/>
      <c r="E259" s="171"/>
      <c r="F259" s="171"/>
      <c r="G259" s="171"/>
      <c r="H259" s="170"/>
      <c r="I259" s="171"/>
    </row>
    <row r="260" ht="14.25" customHeight="1">
      <c r="A260" s="171"/>
      <c r="B260" s="282"/>
      <c r="C260" s="171"/>
      <c r="D260" s="171"/>
      <c r="E260" s="171"/>
      <c r="F260" s="171"/>
      <c r="G260" s="171"/>
      <c r="H260" s="170"/>
      <c r="I260" s="171"/>
    </row>
    <row r="261" ht="14.25" customHeight="1">
      <c r="A261" s="171"/>
      <c r="B261" s="282"/>
      <c r="C261" s="171"/>
      <c r="D261" s="171"/>
      <c r="E261" s="171"/>
      <c r="F261" s="171"/>
      <c r="G261" s="171"/>
      <c r="H261" s="170"/>
      <c r="I261" s="171"/>
    </row>
    <row r="262" ht="14.25" customHeight="1">
      <c r="A262" s="171"/>
      <c r="B262" s="282"/>
      <c r="C262" s="171"/>
      <c r="D262" s="171"/>
      <c r="E262" s="171"/>
      <c r="F262" s="171"/>
      <c r="G262" s="171"/>
      <c r="H262" s="170"/>
      <c r="I262" s="171"/>
    </row>
    <row r="263" ht="14.25" customHeight="1">
      <c r="A263" s="171"/>
      <c r="B263" s="282"/>
      <c r="C263" s="171"/>
      <c r="D263" s="171"/>
      <c r="E263" s="171"/>
      <c r="F263" s="171"/>
      <c r="G263" s="171"/>
      <c r="H263" s="170"/>
      <c r="I263" s="171"/>
    </row>
    <row r="264" ht="14.25" customHeight="1">
      <c r="A264" s="171"/>
      <c r="B264" s="282"/>
      <c r="C264" s="171"/>
      <c r="D264" s="171"/>
      <c r="E264" s="171"/>
      <c r="F264" s="171"/>
      <c r="G264" s="171"/>
      <c r="H264" s="170"/>
      <c r="I264" s="171"/>
    </row>
    <row r="265" ht="14.25" customHeight="1">
      <c r="A265" s="171"/>
      <c r="B265" s="282"/>
      <c r="C265" s="171"/>
      <c r="D265" s="171"/>
      <c r="E265" s="171"/>
      <c r="F265" s="171"/>
      <c r="G265" s="171"/>
      <c r="H265" s="170"/>
      <c r="I265" s="171"/>
    </row>
    <row r="266" ht="14.25" customHeight="1">
      <c r="A266" s="171"/>
      <c r="B266" s="282"/>
      <c r="C266" s="171"/>
      <c r="D266" s="171"/>
      <c r="E266" s="171"/>
      <c r="F266" s="171"/>
      <c r="G266" s="171"/>
      <c r="H266" s="170"/>
      <c r="I266" s="171"/>
    </row>
    <row r="267" ht="14.25" customHeight="1">
      <c r="A267" s="171"/>
      <c r="B267" s="282"/>
      <c r="C267" s="171"/>
      <c r="D267" s="171"/>
      <c r="E267" s="171"/>
      <c r="F267" s="171"/>
      <c r="G267" s="171"/>
      <c r="H267" s="170"/>
      <c r="I267" s="171"/>
    </row>
    <row r="268" ht="14.25" customHeight="1">
      <c r="A268" s="171"/>
      <c r="B268" s="282"/>
      <c r="C268" s="171"/>
      <c r="D268" s="171"/>
      <c r="E268" s="171"/>
      <c r="F268" s="171"/>
      <c r="G268" s="171"/>
      <c r="H268" s="170"/>
      <c r="I268" s="171"/>
    </row>
    <row r="269" ht="14.25" customHeight="1">
      <c r="A269" s="171"/>
      <c r="B269" s="282"/>
      <c r="C269" s="171"/>
      <c r="D269" s="171"/>
      <c r="E269" s="171"/>
      <c r="F269" s="171"/>
      <c r="G269" s="171"/>
      <c r="H269" s="170"/>
      <c r="I269" s="171"/>
    </row>
    <row r="270" ht="14.25" customHeight="1">
      <c r="A270" s="171"/>
      <c r="B270" s="282"/>
      <c r="C270" s="171"/>
      <c r="D270" s="171"/>
      <c r="E270" s="171"/>
      <c r="F270" s="171"/>
      <c r="G270" s="171"/>
      <c r="H270" s="170"/>
      <c r="I270" s="171"/>
    </row>
    <row r="271" ht="14.25" customHeight="1">
      <c r="A271" s="171"/>
      <c r="B271" s="282"/>
      <c r="C271" s="171"/>
      <c r="D271" s="171"/>
      <c r="E271" s="171"/>
      <c r="F271" s="171"/>
      <c r="G271" s="171"/>
      <c r="H271" s="170"/>
      <c r="I271" s="171"/>
    </row>
    <row r="272" ht="14.25" customHeight="1">
      <c r="A272" s="171"/>
      <c r="B272" s="282"/>
      <c r="C272" s="171"/>
      <c r="D272" s="171"/>
      <c r="E272" s="171"/>
      <c r="F272" s="171"/>
      <c r="G272" s="171"/>
      <c r="H272" s="170"/>
      <c r="I272" s="171"/>
    </row>
    <row r="273" ht="14.25" customHeight="1">
      <c r="A273" s="171"/>
      <c r="B273" s="282"/>
      <c r="C273" s="171"/>
      <c r="D273" s="171"/>
      <c r="E273" s="171"/>
      <c r="F273" s="171"/>
      <c r="G273" s="171"/>
      <c r="H273" s="170"/>
      <c r="I273" s="171"/>
    </row>
    <row r="274" ht="14.25" customHeight="1">
      <c r="A274" s="171"/>
      <c r="B274" s="282"/>
      <c r="C274" s="171"/>
      <c r="D274" s="171"/>
      <c r="E274" s="171"/>
      <c r="F274" s="171"/>
      <c r="G274" s="171"/>
      <c r="H274" s="170"/>
      <c r="I274" s="171"/>
    </row>
    <row r="275" ht="14.25" customHeight="1">
      <c r="A275" s="171"/>
      <c r="B275" s="282"/>
      <c r="C275" s="171"/>
      <c r="D275" s="171"/>
      <c r="E275" s="171"/>
      <c r="F275" s="171"/>
      <c r="G275" s="171"/>
      <c r="H275" s="170"/>
      <c r="I275" s="171"/>
    </row>
    <row r="276" ht="14.25" customHeight="1">
      <c r="A276" s="171"/>
      <c r="B276" s="282"/>
      <c r="C276" s="171"/>
      <c r="D276" s="171"/>
      <c r="E276" s="171"/>
      <c r="F276" s="171"/>
      <c r="G276" s="171"/>
      <c r="H276" s="170"/>
      <c r="I276" s="171"/>
    </row>
    <row r="277" ht="14.25" customHeight="1">
      <c r="A277" s="171"/>
      <c r="B277" s="282"/>
      <c r="C277" s="171"/>
      <c r="D277" s="171"/>
      <c r="E277" s="171"/>
      <c r="F277" s="171"/>
      <c r="G277" s="171"/>
      <c r="H277" s="170"/>
      <c r="I277" s="171"/>
    </row>
    <row r="278" ht="14.25" customHeight="1">
      <c r="A278" s="171"/>
      <c r="B278" s="282"/>
      <c r="C278" s="171"/>
      <c r="D278" s="171"/>
      <c r="E278" s="171"/>
      <c r="F278" s="171"/>
      <c r="G278" s="171"/>
      <c r="H278" s="170"/>
      <c r="I278" s="171"/>
    </row>
    <row r="279" ht="14.25" customHeight="1">
      <c r="A279" s="171"/>
      <c r="B279" s="282"/>
      <c r="C279" s="171"/>
      <c r="D279" s="171"/>
      <c r="E279" s="171"/>
      <c r="F279" s="171"/>
      <c r="G279" s="171"/>
      <c r="H279" s="170"/>
      <c r="I279" s="171"/>
    </row>
    <row r="280" ht="14.25" customHeight="1">
      <c r="A280" s="171"/>
      <c r="B280" s="282"/>
      <c r="C280" s="171"/>
      <c r="D280" s="171"/>
      <c r="E280" s="171"/>
      <c r="F280" s="171"/>
      <c r="G280" s="171"/>
      <c r="H280" s="170"/>
      <c r="I280" s="171"/>
    </row>
    <row r="281" ht="14.25" customHeight="1">
      <c r="A281" s="171"/>
      <c r="B281" s="282"/>
      <c r="C281" s="171"/>
      <c r="D281" s="171"/>
      <c r="E281" s="171"/>
      <c r="F281" s="171"/>
      <c r="G281" s="171"/>
      <c r="H281" s="170"/>
      <c r="I281" s="171"/>
    </row>
    <row r="282" ht="14.25" customHeight="1">
      <c r="A282" s="171"/>
      <c r="B282" s="282"/>
      <c r="C282" s="171"/>
      <c r="D282" s="171"/>
      <c r="E282" s="171"/>
      <c r="F282" s="171"/>
      <c r="G282" s="171"/>
      <c r="H282" s="170"/>
      <c r="I282" s="171"/>
    </row>
    <row r="283" ht="14.25" customHeight="1">
      <c r="A283" s="171"/>
      <c r="B283" s="282"/>
      <c r="C283" s="171"/>
      <c r="D283" s="171"/>
      <c r="E283" s="171"/>
      <c r="F283" s="171"/>
      <c r="G283" s="171"/>
      <c r="H283" s="170"/>
      <c r="I283" s="171"/>
    </row>
    <row r="284" ht="14.25" customHeight="1">
      <c r="A284" s="171"/>
      <c r="B284" s="282"/>
      <c r="C284" s="171"/>
      <c r="D284" s="171"/>
      <c r="E284" s="171"/>
      <c r="F284" s="171"/>
      <c r="G284" s="171"/>
      <c r="H284" s="170"/>
      <c r="I284" s="171"/>
    </row>
    <row r="285" ht="14.25" customHeight="1">
      <c r="A285" s="171"/>
      <c r="B285" s="282"/>
      <c r="C285" s="171"/>
      <c r="D285" s="171"/>
      <c r="E285" s="171"/>
      <c r="F285" s="171"/>
      <c r="G285" s="171"/>
      <c r="H285" s="170"/>
      <c r="I285" s="171"/>
    </row>
    <row r="286" ht="14.25" customHeight="1">
      <c r="A286" s="171"/>
      <c r="B286" s="282"/>
      <c r="C286" s="171"/>
      <c r="D286" s="171"/>
      <c r="E286" s="171"/>
      <c r="F286" s="171"/>
      <c r="G286" s="171"/>
      <c r="H286" s="170"/>
      <c r="I286" s="171"/>
    </row>
    <row r="287" ht="14.25" customHeight="1">
      <c r="A287" s="171"/>
      <c r="B287" s="282"/>
      <c r="C287" s="171"/>
      <c r="D287" s="171"/>
      <c r="E287" s="171"/>
      <c r="F287" s="171"/>
      <c r="G287" s="171"/>
      <c r="H287" s="170"/>
      <c r="I287" s="171"/>
    </row>
    <row r="288" ht="14.25" customHeight="1">
      <c r="A288" s="171"/>
      <c r="B288" s="282"/>
      <c r="C288" s="171"/>
      <c r="D288" s="171"/>
      <c r="E288" s="171"/>
      <c r="F288" s="171"/>
      <c r="G288" s="171"/>
      <c r="H288" s="170"/>
      <c r="I288" s="171"/>
    </row>
    <row r="289" ht="14.25" customHeight="1">
      <c r="A289" s="171"/>
      <c r="B289" s="282"/>
      <c r="C289" s="171"/>
      <c r="D289" s="171"/>
      <c r="E289" s="171"/>
      <c r="F289" s="171"/>
      <c r="G289" s="171"/>
      <c r="H289" s="170"/>
      <c r="I289" s="171"/>
    </row>
    <row r="290" ht="14.25" customHeight="1">
      <c r="A290" s="171"/>
      <c r="B290" s="282"/>
      <c r="C290" s="171"/>
      <c r="D290" s="171"/>
      <c r="E290" s="171"/>
      <c r="F290" s="171"/>
      <c r="G290" s="171"/>
      <c r="H290" s="170"/>
      <c r="I290" s="171"/>
    </row>
    <row r="291" ht="14.25" customHeight="1">
      <c r="A291" s="171"/>
      <c r="B291" s="282"/>
      <c r="C291" s="171"/>
      <c r="D291" s="171"/>
      <c r="E291" s="171"/>
      <c r="F291" s="171"/>
      <c r="G291" s="171"/>
      <c r="H291" s="170"/>
      <c r="I291" s="171"/>
    </row>
    <row r="292" ht="14.25" customHeight="1">
      <c r="A292" s="171"/>
      <c r="B292" s="282"/>
      <c r="C292" s="171"/>
      <c r="D292" s="171"/>
      <c r="E292" s="171"/>
      <c r="F292" s="171"/>
      <c r="G292" s="171"/>
      <c r="H292" s="170"/>
      <c r="I292" s="171"/>
    </row>
    <row r="293" ht="14.25" customHeight="1">
      <c r="A293" s="171"/>
      <c r="B293" s="282"/>
      <c r="C293" s="171"/>
      <c r="D293" s="171"/>
      <c r="E293" s="171"/>
      <c r="F293" s="171"/>
      <c r="G293" s="171"/>
      <c r="H293" s="170"/>
      <c r="I293" s="171"/>
    </row>
    <row r="294" ht="14.25" customHeight="1">
      <c r="A294" s="171"/>
      <c r="B294" s="282"/>
      <c r="C294" s="171"/>
      <c r="D294" s="171"/>
      <c r="E294" s="171"/>
      <c r="F294" s="171"/>
      <c r="G294" s="171"/>
      <c r="H294" s="170"/>
      <c r="I294" s="171"/>
    </row>
    <row r="295" ht="14.25" customHeight="1">
      <c r="A295" s="171"/>
      <c r="B295" s="282"/>
      <c r="C295" s="171"/>
      <c r="D295" s="171"/>
      <c r="E295" s="171"/>
      <c r="F295" s="171"/>
      <c r="G295" s="171"/>
      <c r="H295" s="170"/>
      <c r="I295" s="171"/>
    </row>
    <row r="296" ht="14.25" customHeight="1">
      <c r="A296" s="171"/>
      <c r="B296" s="282"/>
      <c r="C296" s="171"/>
      <c r="D296" s="171"/>
      <c r="E296" s="171"/>
      <c r="F296" s="171"/>
      <c r="G296" s="171"/>
      <c r="H296" s="170"/>
      <c r="I296" s="171"/>
    </row>
    <row r="297" ht="14.25" customHeight="1">
      <c r="A297" s="171"/>
      <c r="B297" s="282"/>
      <c r="C297" s="171"/>
      <c r="D297" s="171"/>
      <c r="E297" s="171"/>
      <c r="F297" s="171"/>
      <c r="G297" s="171"/>
      <c r="H297" s="170"/>
      <c r="I297" s="171"/>
    </row>
    <row r="298" ht="14.25" customHeight="1">
      <c r="A298" s="171"/>
      <c r="B298" s="282"/>
      <c r="C298" s="171"/>
      <c r="D298" s="171"/>
      <c r="E298" s="171"/>
      <c r="F298" s="171"/>
      <c r="G298" s="171"/>
      <c r="H298" s="170"/>
      <c r="I298" s="171"/>
    </row>
    <row r="299" ht="14.25" customHeight="1">
      <c r="A299" s="171"/>
      <c r="B299" s="282"/>
      <c r="C299" s="171"/>
      <c r="D299" s="171"/>
      <c r="E299" s="171"/>
      <c r="F299" s="171"/>
      <c r="G299" s="171"/>
      <c r="H299" s="170"/>
      <c r="I299" s="171"/>
    </row>
    <row r="300" ht="14.25" customHeight="1">
      <c r="A300" s="171"/>
      <c r="B300" s="282"/>
      <c r="C300" s="171"/>
      <c r="D300" s="171"/>
      <c r="E300" s="171"/>
      <c r="F300" s="171"/>
      <c r="G300" s="171"/>
      <c r="H300" s="170"/>
      <c r="I300" s="171"/>
    </row>
    <row r="301" ht="14.25" customHeight="1">
      <c r="A301" s="171"/>
      <c r="B301" s="282"/>
      <c r="C301" s="171"/>
      <c r="D301" s="171"/>
      <c r="E301" s="171"/>
      <c r="F301" s="171"/>
      <c r="G301" s="171"/>
      <c r="H301" s="170"/>
      <c r="I301" s="171"/>
    </row>
    <row r="302" ht="14.25" customHeight="1">
      <c r="A302" s="171"/>
      <c r="B302" s="282"/>
      <c r="C302" s="171"/>
      <c r="D302" s="171"/>
      <c r="E302" s="171"/>
      <c r="F302" s="171"/>
      <c r="G302" s="171"/>
      <c r="H302" s="170"/>
      <c r="I302" s="171"/>
    </row>
    <row r="303" ht="14.25" customHeight="1">
      <c r="A303" s="171"/>
      <c r="B303" s="282"/>
      <c r="C303" s="171"/>
      <c r="D303" s="171"/>
      <c r="E303" s="171"/>
      <c r="F303" s="171"/>
      <c r="G303" s="171"/>
      <c r="H303" s="170"/>
      <c r="I303" s="171"/>
    </row>
    <row r="304" ht="14.25" customHeight="1">
      <c r="A304" s="171"/>
      <c r="B304" s="282"/>
      <c r="C304" s="171"/>
      <c r="D304" s="171"/>
      <c r="E304" s="171"/>
      <c r="F304" s="171"/>
      <c r="G304" s="171"/>
      <c r="H304" s="170"/>
      <c r="I304" s="171"/>
    </row>
    <row r="305" ht="14.25" customHeight="1">
      <c r="A305" s="171"/>
      <c r="B305" s="282"/>
      <c r="C305" s="171"/>
      <c r="D305" s="171"/>
      <c r="E305" s="171"/>
      <c r="F305" s="171"/>
      <c r="G305" s="171"/>
      <c r="H305" s="170"/>
      <c r="I305" s="171"/>
    </row>
    <row r="306" ht="14.25" customHeight="1">
      <c r="A306" s="171"/>
      <c r="B306" s="282"/>
      <c r="C306" s="171"/>
      <c r="D306" s="171"/>
      <c r="E306" s="171"/>
      <c r="F306" s="171"/>
      <c r="G306" s="171"/>
      <c r="H306" s="170"/>
      <c r="I306" s="171"/>
    </row>
    <row r="307" ht="14.25" customHeight="1">
      <c r="A307" s="171"/>
      <c r="B307" s="282"/>
      <c r="C307" s="171"/>
      <c r="D307" s="171"/>
      <c r="E307" s="171"/>
      <c r="F307" s="171"/>
      <c r="G307" s="171"/>
      <c r="H307" s="170"/>
      <c r="I307" s="171"/>
    </row>
    <row r="308" ht="14.25" customHeight="1">
      <c r="A308" s="171"/>
      <c r="B308" s="282"/>
      <c r="C308" s="171"/>
      <c r="D308" s="171"/>
      <c r="E308" s="171"/>
      <c r="F308" s="171"/>
      <c r="G308" s="171"/>
      <c r="H308" s="170"/>
      <c r="I308" s="171"/>
    </row>
    <row r="309" ht="14.25" customHeight="1">
      <c r="A309" s="171"/>
      <c r="B309" s="282"/>
      <c r="C309" s="171"/>
      <c r="D309" s="171"/>
      <c r="E309" s="171"/>
      <c r="F309" s="171"/>
      <c r="G309" s="171"/>
      <c r="H309" s="170"/>
      <c r="I309" s="171"/>
    </row>
    <row r="310" ht="14.25" customHeight="1">
      <c r="A310" s="171"/>
      <c r="B310" s="282"/>
      <c r="C310" s="171"/>
      <c r="D310" s="171"/>
      <c r="E310" s="171"/>
      <c r="F310" s="171"/>
      <c r="G310" s="171"/>
      <c r="H310" s="170"/>
      <c r="I310" s="171"/>
    </row>
    <row r="311" ht="14.25" customHeight="1">
      <c r="A311" s="171"/>
      <c r="B311" s="282"/>
      <c r="C311" s="171"/>
      <c r="D311" s="171"/>
      <c r="E311" s="171"/>
      <c r="F311" s="171"/>
      <c r="G311" s="171"/>
      <c r="H311" s="170"/>
      <c r="I311" s="171"/>
    </row>
    <row r="312" ht="14.25" customHeight="1">
      <c r="A312" s="171"/>
      <c r="B312" s="282"/>
      <c r="C312" s="171"/>
      <c r="D312" s="171"/>
      <c r="E312" s="171"/>
      <c r="F312" s="171"/>
      <c r="G312" s="171"/>
      <c r="H312" s="170"/>
      <c r="I312" s="171"/>
    </row>
    <row r="313" ht="14.25" customHeight="1">
      <c r="A313" s="171"/>
      <c r="B313" s="282"/>
      <c r="C313" s="171"/>
      <c r="D313" s="171"/>
      <c r="E313" s="171"/>
      <c r="F313" s="171"/>
      <c r="G313" s="171"/>
      <c r="H313" s="170"/>
      <c r="I313" s="171"/>
    </row>
    <row r="314" ht="14.25" customHeight="1">
      <c r="A314" s="171"/>
      <c r="B314" s="282"/>
      <c r="C314" s="171"/>
      <c r="D314" s="171"/>
      <c r="E314" s="171"/>
      <c r="F314" s="171"/>
      <c r="G314" s="171"/>
      <c r="H314" s="170"/>
      <c r="I314" s="171"/>
    </row>
    <row r="315" ht="14.25" customHeight="1">
      <c r="A315" s="171"/>
      <c r="B315" s="282"/>
      <c r="C315" s="171"/>
      <c r="D315" s="171"/>
      <c r="E315" s="171"/>
      <c r="F315" s="171"/>
      <c r="G315" s="171"/>
      <c r="H315" s="170"/>
      <c r="I315" s="171"/>
    </row>
    <row r="316" ht="14.25" customHeight="1">
      <c r="A316" s="171"/>
      <c r="B316" s="282"/>
      <c r="C316" s="171"/>
      <c r="D316" s="171"/>
      <c r="E316" s="171"/>
      <c r="F316" s="171"/>
      <c r="G316" s="171"/>
      <c r="H316" s="170"/>
      <c r="I316" s="171"/>
    </row>
    <row r="317" ht="14.25" customHeight="1">
      <c r="A317" s="171"/>
      <c r="B317" s="282"/>
      <c r="C317" s="171"/>
      <c r="D317" s="171"/>
      <c r="E317" s="171"/>
      <c r="F317" s="171"/>
      <c r="G317" s="171"/>
      <c r="H317" s="170"/>
      <c r="I317" s="171"/>
    </row>
    <row r="318" ht="14.25" customHeight="1">
      <c r="A318" s="171"/>
      <c r="B318" s="282"/>
      <c r="C318" s="171"/>
      <c r="D318" s="171"/>
      <c r="E318" s="171"/>
      <c r="F318" s="171"/>
      <c r="G318" s="171"/>
      <c r="H318" s="170"/>
      <c r="I318" s="171"/>
    </row>
    <row r="319" ht="14.25" customHeight="1">
      <c r="A319" s="171"/>
      <c r="B319" s="282"/>
      <c r="C319" s="171"/>
      <c r="D319" s="171"/>
      <c r="E319" s="171"/>
      <c r="F319" s="171"/>
      <c r="G319" s="171"/>
      <c r="H319" s="170"/>
      <c r="I319" s="171"/>
    </row>
    <row r="320" ht="14.25" customHeight="1">
      <c r="A320" s="171"/>
      <c r="B320" s="282"/>
      <c r="C320" s="171"/>
      <c r="D320" s="171"/>
      <c r="E320" s="171"/>
      <c r="F320" s="171"/>
      <c r="G320" s="171"/>
      <c r="H320" s="170"/>
      <c r="I320" s="171"/>
    </row>
    <row r="321" ht="14.25" customHeight="1">
      <c r="A321" s="171"/>
      <c r="B321" s="282"/>
      <c r="C321" s="171"/>
      <c r="D321" s="171"/>
      <c r="E321" s="171"/>
      <c r="F321" s="171"/>
      <c r="G321" s="171"/>
      <c r="H321" s="170"/>
      <c r="I321" s="171"/>
    </row>
    <row r="322" ht="14.25" customHeight="1">
      <c r="A322" s="171"/>
      <c r="B322" s="282"/>
      <c r="C322" s="171"/>
      <c r="D322" s="171"/>
      <c r="E322" s="171"/>
      <c r="F322" s="171"/>
      <c r="G322" s="171"/>
      <c r="H322" s="170"/>
      <c r="I322" s="171"/>
    </row>
    <row r="323" ht="14.25" customHeight="1">
      <c r="A323" s="171"/>
      <c r="B323" s="282"/>
      <c r="C323" s="171"/>
      <c r="D323" s="171"/>
      <c r="E323" s="171"/>
      <c r="F323" s="171"/>
      <c r="G323" s="171"/>
      <c r="H323" s="170"/>
      <c r="I323" s="171"/>
    </row>
    <row r="324" ht="14.25" customHeight="1">
      <c r="A324" s="171"/>
      <c r="B324" s="282"/>
      <c r="C324" s="171"/>
      <c r="D324" s="171"/>
      <c r="E324" s="171"/>
      <c r="F324" s="171"/>
      <c r="G324" s="171"/>
      <c r="H324" s="170"/>
      <c r="I324" s="171"/>
    </row>
    <row r="325" ht="14.25" customHeight="1">
      <c r="A325" s="171"/>
      <c r="B325" s="282"/>
      <c r="C325" s="171"/>
      <c r="D325" s="171"/>
      <c r="E325" s="171"/>
      <c r="F325" s="171"/>
      <c r="G325" s="171"/>
      <c r="H325" s="170"/>
      <c r="I325" s="171"/>
    </row>
    <row r="326" ht="14.25" customHeight="1">
      <c r="A326" s="171"/>
      <c r="B326" s="282"/>
      <c r="C326" s="171"/>
      <c r="D326" s="171"/>
      <c r="E326" s="171"/>
      <c r="F326" s="171"/>
      <c r="G326" s="171"/>
      <c r="H326" s="170"/>
      <c r="I326" s="171"/>
    </row>
    <row r="327" ht="14.25" customHeight="1">
      <c r="A327" s="171"/>
      <c r="B327" s="282"/>
      <c r="C327" s="171"/>
      <c r="D327" s="171"/>
      <c r="E327" s="171"/>
      <c r="F327" s="171"/>
      <c r="G327" s="171"/>
      <c r="H327" s="170"/>
      <c r="I327" s="171"/>
    </row>
    <row r="328" ht="14.25" customHeight="1">
      <c r="A328" s="171"/>
      <c r="B328" s="282"/>
      <c r="C328" s="171"/>
      <c r="D328" s="171"/>
      <c r="E328" s="171"/>
      <c r="F328" s="171"/>
      <c r="G328" s="171"/>
      <c r="H328" s="170"/>
      <c r="I328" s="171"/>
    </row>
    <row r="329" ht="14.25" customHeight="1">
      <c r="A329" s="171"/>
      <c r="B329" s="282"/>
      <c r="C329" s="171"/>
      <c r="D329" s="171"/>
      <c r="E329" s="171"/>
      <c r="F329" s="171"/>
      <c r="G329" s="171"/>
      <c r="H329" s="170"/>
      <c r="I329" s="171"/>
    </row>
    <row r="330" ht="14.25" customHeight="1">
      <c r="A330" s="171"/>
      <c r="B330" s="282"/>
      <c r="C330" s="171"/>
      <c r="D330" s="171"/>
      <c r="E330" s="171"/>
      <c r="F330" s="171"/>
      <c r="G330" s="171"/>
      <c r="H330" s="170"/>
      <c r="I330" s="171"/>
    </row>
    <row r="331" ht="14.25" customHeight="1">
      <c r="A331" s="171"/>
      <c r="B331" s="282"/>
      <c r="C331" s="171"/>
      <c r="D331" s="171"/>
      <c r="E331" s="171"/>
      <c r="F331" s="171"/>
      <c r="G331" s="171"/>
      <c r="H331" s="170"/>
      <c r="I331" s="171"/>
    </row>
    <row r="332" ht="14.25" customHeight="1">
      <c r="A332" s="171"/>
      <c r="B332" s="282"/>
      <c r="C332" s="171"/>
      <c r="D332" s="171"/>
      <c r="E332" s="171"/>
      <c r="F332" s="171"/>
      <c r="G332" s="171"/>
      <c r="H332" s="170"/>
      <c r="I332" s="171"/>
    </row>
    <row r="333" ht="14.25" customHeight="1">
      <c r="A333" s="171"/>
      <c r="B333" s="282"/>
      <c r="C333" s="171"/>
      <c r="D333" s="171"/>
      <c r="E333" s="171"/>
      <c r="F333" s="171"/>
      <c r="G333" s="171"/>
      <c r="H333" s="170"/>
      <c r="I333" s="171"/>
    </row>
    <row r="334" ht="14.25" customHeight="1">
      <c r="A334" s="171"/>
      <c r="B334" s="282"/>
      <c r="C334" s="171"/>
      <c r="D334" s="171"/>
      <c r="E334" s="171"/>
      <c r="F334" s="171"/>
      <c r="G334" s="171"/>
      <c r="H334" s="170"/>
      <c r="I334" s="171"/>
    </row>
    <row r="335" ht="14.25" customHeight="1">
      <c r="A335" s="171"/>
      <c r="B335" s="282"/>
      <c r="C335" s="171"/>
      <c r="D335" s="171"/>
      <c r="E335" s="171"/>
      <c r="F335" s="171"/>
      <c r="G335" s="171"/>
      <c r="H335" s="170"/>
      <c r="I335" s="171"/>
    </row>
    <row r="336" ht="14.25" customHeight="1">
      <c r="A336" s="171"/>
      <c r="B336" s="282"/>
      <c r="C336" s="171"/>
      <c r="D336" s="171"/>
      <c r="E336" s="171"/>
      <c r="F336" s="171"/>
      <c r="G336" s="171"/>
      <c r="H336" s="170"/>
      <c r="I336" s="171"/>
    </row>
    <row r="337" ht="14.25" customHeight="1">
      <c r="A337" s="171"/>
      <c r="B337" s="282"/>
      <c r="C337" s="171"/>
      <c r="D337" s="171"/>
      <c r="E337" s="171"/>
      <c r="F337" s="171"/>
      <c r="G337" s="171"/>
      <c r="H337" s="170"/>
      <c r="I337" s="171"/>
    </row>
    <row r="338" ht="14.25" customHeight="1">
      <c r="A338" s="171"/>
      <c r="B338" s="282"/>
      <c r="C338" s="171"/>
      <c r="D338" s="171"/>
      <c r="E338" s="171"/>
      <c r="F338" s="171"/>
      <c r="G338" s="171"/>
      <c r="H338" s="170"/>
      <c r="I338" s="171"/>
    </row>
    <row r="339" ht="14.25" customHeight="1">
      <c r="A339" s="171"/>
      <c r="B339" s="282"/>
      <c r="C339" s="171"/>
      <c r="D339" s="171"/>
      <c r="E339" s="171"/>
      <c r="F339" s="171"/>
      <c r="G339" s="171"/>
      <c r="H339" s="170"/>
      <c r="I339" s="171"/>
    </row>
    <row r="340" ht="14.25" customHeight="1">
      <c r="A340" s="171"/>
      <c r="B340" s="282"/>
      <c r="C340" s="171"/>
      <c r="D340" s="171"/>
      <c r="E340" s="171"/>
      <c r="F340" s="171"/>
      <c r="G340" s="171"/>
      <c r="H340" s="170"/>
      <c r="I340" s="171"/>
    </row>
    <row r="341" ht="14.25" customHeight="1">
      <c r="A341" s="171"/>
      <c r="B341" s="282"/>
      <c r="C341" s="171"/>
      <c r="D341" s="171"/>
      <c r="E341" s="171"/>
      <c r="F341" s="171"/>
      <c r="G341" s="171"/>
      <c r="H341" s="170"/>
      <c r="I341" s="171"/>
    </row>
    <row r="342" ht="14.25" customHeight="1">
      <c r="A342" s="171"/>
      <c r="B342" s="282"/>
      <c r="C342" s="171"/>
      <c r="D342" s="171"/>
      <c r="E342" s="171"/>
      <c r="F342" s="171"/>
      <c r="G342" s="171"/>
      <c r="H342" s="170"/>
      <c r="I342" s="171"/>
    </row>
    <row r="343" ht="14.25" customHeight="1">
      <c r="A343" s="171"/>
      <c r="B343" s="282"/>
      <c r="C343" s="171"/>
      <c r="D343" s="171"/>
      <c r="E343" s="171"/>
      <c r="F343" s="171"/>
      <c r="G343" s="171"/>
      <c r="H343" s="170"/>
      <c r="I343" s="171"/>
    </row>
    <row r="344" ht="14.25" customHeight="1">
      <c r="A344" s="171"/>
      <c r="B344" s="282"/>
      <c r="C344" s="171"/>
      <c r="D344" s="171"/>
      <c r="E344" s="171"/>
      <c r="F344" s="171"/>
      <c r="G344" s="171"/>
      <c r="H344" s="170"/>
      <c r="I344" s="171"/>
    </row>
    <row r="345" ht="14.25" customHeight="1">
      <c r="A345" s="171"/>
      <c r="B345" s="282"/>
      <c r="C345" s="171"/>
      <c r="D345" s="171"/>
      <c r="E345" s="171"/>
      <c r="F345" s="171"/>
      <c r="G345" s="171"/>
      <c r="H345" s="170"/>
      <c r="I345" s="171"/>
    </row>
    <row r="346" ht="14.25" customHeight="1">
      <c r="A346" s="171"/>
      <c r="B346" s="282"/>
      <c r="C346" s="171"/>
      <c r="D346" s="171"/>
      <c r="E346" s="171"/>
      <c r="F346" s="171"/>
      <c r="G346" s="171"/>
      <c r="H346" s="170"/>
      <c r="I346" s="171"/>
    </row>
    <row r="347" ht="14.25" customHeight="1">
      <c r="A347" s="171"/>
      <c r="B347" s="282"/>
      <c r="C347" s="171"/>
      <c r="D347" s="171"/>
      <c r="E347" s="171"/>
      <c r="F347" s="171"/>
      <c r="G347" s="171"/>
      <c r="H347" s="170"/>
      <c r="I347" s="171"/>
    </row>
    <row r="348" ht="14.25" customHeight="1">
      <c r="A348" s="171"/>
      <c r="B348" s="282"/>
      <c r="C348" s="171"/>
      <c r="D348" s="171"/>
      <c r="E348" s="171"/>
      <c r="F348" s="171"/>
      <c r="G348" s="171"/>
      <c r="H348" s="170"/>
      <c r="I348" s="171"/>
    </row>
    <row r="349" ht="14.25" customHeight="1">
      <c r="A349" s="171"/>
      <c r="B349" s="282"/>
      <c r="C349" s="171"/>
      <c r="D349" s="171"/>
      <c r="E349" s="171"/>
      <c r="F349" s="171"/>
      <c r="G349" s="171"/>
      <c r="H349" s="170"/>
      <c r="I349" s="171"/>
    </row>
    <row r="350" ht="14.25" customHeight="1">
      <c r="A350" s="171"/>
      <c r="B350" s="282"/>
      <c r="C350" s="171"/>
      <c r="D350" s="171"/>
      <c r="E350" s="171"/>
      <c r="F350" s="171"/>
      <c r="G350" s="171"/>
      <c r="H350" s="170"/>
      <c r="I350" s="171"/>
    </row>
    <row r="351" ht="14.25" customHeight="1">
      <c r="A351" s="171"/>
      <c r="B351" s="282"/>
      <c r="C351" s="171"/>
      <c r="D351" s="171"/>
      <c r="E351" s="171"/>
      <c r="F351" s="171"/>
      <c r="G351" s="171"/>
      <c r="H351" s="170"/>
      <c r="I351" s="171"/>
    </row>
    <row r="352" ht="14.25" customHeight="1">
      <c r="A352" s="171"/>
      <c r="B352" s="282"/>
      <c r="C352" s="171"/>
      <c r="D352" s="171"/>
      <c r="E352" s="171"/>
      <c r="F352" s="171"/>
      <c r="G352" s="171"/>
      <c r="H352" s="170"/>
      <c r="I352" s="171"/>
    </row>
    <row r="353" ht="14.25" customHeight="1">
      <c r="A353" s="171"/>
      <c r="B353" s="282"/>
      <c r="C353" s="171"/>
      <c r="D353" s="171"/>
      <c r="E353" s="171"/>
      <c r="F353" s="171"/>
      <c r="G353" s="171"/>
      <c r="H353" s="170"/>
      <c r="I353" s="171"/>
    </row>
    <row r="354" ht="14.25" customHeight="1">
      <c r="A354" s="171"/>
      <c r="B354" s="282"/>
      <c r="C354" s="171"/>
      <c r="D354" s="171"/>
      <c r="E354" s="171"/>
      <c r="F354" s="171"/>
      <c r="G354" s="171"/>
      <c r="H354" s="170"/>
      <c r="I354" s="171"/>
    </row>
    <row r="355" ht="14.25" customHeight="1">
      <c r="A355" s="171"/>
      <c r="B355" s="282"/>
      <c r="C355" s="171"/>
      <c r="D355" s="171"/>
      <c r="E355" s="171"/>
      <c r="F355" s="171"/>
      <c r="G355" s="171"/>
      <c r="H355" s="170"/>
      <c r="I355" s="171"/>
    </row>
    <row r="356" ht="14.25" customHeight="1">
      <c r="A356" s="171"/>
      <c r="B356" s="282"/>
      <c r="C356" s="171"/>
      <c r="D356" s="171"/>
      <c r="E356" s="171"/>
      <c r="F356" s="171"/>
      <c r="G356" s="171"/>
      <c r="H356" s="170"/>
      <c r="I356" s="171"/>
    </row>
    <row r="357" ht="14.25" customHeight="1">
      <c r="A357" s="171"/>
      <c r="B357" s="282"/>
      <c r="C357" s="171"/>
      <c r="D357" s="171"/>
      <c r="E357" s="171"/>
      <c r="F357" s="171"/>
      <c r="G357" s="171"/>
      <c r="H357" s="170"/>
      <c r="I357" s="171"/>
    </row>
    <row r="358" ht="14.25" customHeight="1">
      <c r="A358" s="171"/>
      <c r="B358" s="282"/>
      <c r="C358" s="171"/>
      <c r="D358" s="171"/>
      <c r="E358" s="171"/>
      <c r="F358" s="171"/>
      <c r="G358" s="171"/>
      <c r="H358" s="170"/>
      <c r="I358" s="171"/>
    </row>
    <row r="359" ht="14.25" customHeight="1">
      <c r="A359" s="171"/>
      <c r="B359" s="282"/>
      <c r="C359" s="171"/>
      <c r="D359" s="171"/>
      <c r="E359" s="171"/>
      <c r="F359" s="171"/>
      <c r="G359" s="171"/>
      <c r="H359" s="170"/>
      <c r="I359" s="171"/>
    </row>
    <row r="360" ht="14.25" customHeight="1">
      <c r="A360" s="171"/>
      <c r="B360" s="282"/>
      <c r="C360" s="171"/>
      <c r="D360" s="171"/>
      <c r="E360" s="171"/>
      <c r="F360" s="171"/>
      <c r="G360" s="171"/>
      <c r="H360" s="170"/>
      <c r="I360" s="171"/>
    </row>
    <row r="361" ht="14.25" customHeight="1">
      <c r="A361" s="171"/>
      <c r="B361" s="282"/>
      <c r="C361" s="171"/>
      <c r="D361" s="171"/>
      <c r="E361" s="171"/>
      <c r="F361" s="171"/>
      <c r="G361" s="171"/>
      <c r="H361" s="170"/>
      <c r="I361" s="171"/>
    </row>
    <row r="362" ht="14.25" customHeight="1">
      <c r="A362" s="171"/>
      <c r="B362" s="282"/>
      <c r="C362" s="171"/>
      <c r="D362" s="171"/>
      <c r="E362" s="171"/>
      <c r="F362" s="171"/>
      <c r="G362" s="171"/>
      <c r="H362" s="170"/>
      <c r="I362" s="171"/>
    </row>
    <row r="363" ht="14.25" customHeight="1">
      <c r="A363" s="171"/>
      <c r="B363" s="282"/>
      <c r="C363" s="171"/>
      <c r="D363" s="171"/>
      <c r="E363" s="171"/>
      <c r="F363" s="171"/>
      <c r="G363" s="171"/>
      <c r="H363" s="170"/>
      <c r="I363" s="171"/>
    </row>
    <row r="364" ht="14.25" customHeight="1">
      <c r="A364" s="171"/>
      <c r="B364" s="282"/>
      <c r="C364" s="171"/>
      <c r="D364" s="171"/>
      <c r="E364" s="171"/>
      <c r="F364" s="171"/>
      <c r="G364" s="171"/>
      <c r="H364" s="170"/>
      <c r="I364" s="171"/>
    </row>
    <row r="365" ht="14.25" customHeight="1">
      <c r="A365" s="171"/>
      <c r="B365" s="282"/>
      <c r="C365" s="171"/>
      <c r="D365" s="171"/>
      <c r="E365" s="171"/>
      <c r="F365" s="171"/>
      <c r="G365" s="171"/>
      <c r="H365" s="170"/>
      <c r="I365" s="171"/>
    </row>
    <row r="366" ht="14.25" customHeight="1">
      <c r="A366" s="171"/>
      <c r="B366" s="282"/>
      <c r="C366" s="171"/>
      <c r="D366" s="171"/>
      <c r="E366" s="171"/>
      <c r="F366" s="171"/>
      <c r="G366" s="171"/>
      <c r="H366" s="170"/>
      <c r="I366" s="171"/>
    </row>
    <row r="367" ht="14.25" customHeight="1">
      <c r="A367" s="171"/>
      <c r="B367" s="282"/>
      <c r="C367" s="171"/>
      <c r="D367" s="171"/>
      <c r="E367" s="171"/>
      <c r="F367" s="171"/>
      <c r="G367" s="171"/>
      <c r="H367" s="170"/>
      <c r="I367" s="171"/>
    </row>
    <row r="368" ht="14.25" customHeight="1">
      <c r="A368" s="171"/>
      <c r="B368" s="282"/>
      <c r="C368" s="171"/>
      <c r="D368" s="171"/>
      <c r="E368" s="171"/>
      <c r="F368" s="171"/>
      <c r="G368" s="171"/>
      <c r="H368" s="170"/>
      <c r="I368" s="171"/>
    </row>
    <row r="369" ht="14.25" customHeight="1">
      <c r="A369" s="171"/>
      <c r="B369" s="282"/>
      <c r="C369" s="171"/>
      <c r="D369" s="171"/>
      <c r="E369" s="171"/>
      <c r="F369" s="171"/>
      <c r="G369" s="171"/>
      <c r="H369" s="170"/>
      <c r="I369" s="171"/>
    </row>
    <row r="370" ht="14.25" customHeight="1">
      <c r="A370" s="171"/>
      <c r="B370" s="282"/>
      <c r="C370" s="171"/>
      <c r="D370" s="171"/>
      <c r="E370" s="171"/>
      <c r="F370" s="171"/>
      <c r="G370" s="171"/>
      <c r="H370" s="170"/>
      <c r="I370" s="171"/>
    </row>
    <row r="371" ht="14.25" customHeight="1">
      <c r="A371" s="171"/>
      <c r="B371" s="282"/>
      <c r="C371" s="171"/>
      <c r="D371" s="171"/>
      <c r="E371" s="171"/>
      <c r="F371" s="171"/>
      <c r="G371" s="171"/>
      <c r="H371" s="170"/>
      <c r="I371" s="171"/>
    </row>
    <row r="372" ht="14.25" customHeight="1">
      <c r="A372" s="171"/>
      <c r="B372" s="282"/>
      <c r="C372" s="171"/>
      <c r="D372" s="171"/>
      <c r="E372" s="171"/>
      <c r="F372" s="171"/>
      <c r="G372" s="171"/>
      <c r="H372" s="170"/>
      <c r="I372" s="171"/>
    </row>
    <row r="373" ht="14.25" customHeight="1">
      <c r="A373" s="171"/>
      <c r="B373" s="282"/>
      <c r="C373" s="171"/>
      <c r="D373" s="171"/>
      <c r="E373" s="171"/>
      <c r="F373" s="171"/>
      <c r="G373" s="171"/>
      <c r="H373" s="170"/>
      <c r="I373" s="171"/>
    </row>
    <row r="374" ht="14.25" customHeight="1">
      <c r="A374" s="171"/>
      <c r="B374" s="282"/>
      <c r="C374" s="171"/>
      <c r="D374" s="171"/>
      <c r="E374" s="171"/>
      <c r="F374" s="171"/>
      <c r="G374" s="171"/>
      <c r="H374" s="170"/>
      <c r="I374" s="171"/>
    </row>
    <row r="375" ht="14.25" customHeight="1">
      <c r="A375" s="171"/>
      <c r="B375" s="282"/>
      <c r="C375" s="171"/>
      <c r="D375" s="171"/>
      <c r="E375" s="171"/>
      <c r="F375" s="171"/>
      <c r="G375" s="171"/>
      <c r="H375" s="170"/>
      <c r="I375" s="171"/>
    </row>
    <row r="376" ht="14.25" customHeight="1">
      <c r="A376" s="171"/>
      <c r="B376" s="282"/>
      <c r="C376" s="171"/>
      <c r="D376" s="171"/>
      <c r="E376" s="171"/>
      <c r="F376" s="171"/>
      <c r="G376" s="171"/>
      <c r="H376" s="170"/>
      <c r="I376" s="171"/>
    </row>
    <row r="377" ht="14.25" customHeight="1">
      <c r="A377" s="171"/>
      <c r="B377" s="282"/>
      <c r="C377" s="171"/>
      <c r="D377" s="171"/>
      <c r="E377" s="171"/>
      <c r="F377" s="171"/>
      <c r="G377" s="171"/>
      <c r="H377" s="170"/>
      <c r="I377" s="171"/>
    </row>
    <row r="378" ht="14.25" customHeight="1">
      <c r="A378" s="171"/>
      <c r="B378" s="282"/>
      <c r="C378" s="171"/>
      <c r="D378" s="171"/>
      <c r="E378" s="171"/>
      <c r="F378" s="171"/>
      <c r="G378" s="171"/>
      <c r="H378" s="170"/>
      <c r="I378" s="171"/>
    </row>
    <row r="379" ht="14.25" customHeight="1">
      <c r="A379" s="171"/>
      <c r="B379" s="282"/>
      <c r="C379" s="171"/>
      <c r="D379" s="171"/>
      <c r="E379" s="171"/>
      <c r="F379" s="171"/>
      <c r="G379" s="171"/>
      <c r="H379" s="170"/>
      <c r="I379" s="171"/>
    </row>
    <row r="380" ht="14.25" customHeight="1">
      <c r="A380" s="171"/>
      <c r="B380" s="282"/>
      <c r="C380" s="171"/>
      <c r="D380" s="171"/>
      <c r="E380" s="171"/>
      <c r="F380" s="171"/>
      <c r="G380" s="171"/>
      <c r="H380" s="170"/>
      <c r="I380" s="171"/>
    </row>
    <row r="381" ht="14.25" customHeight="1">
      <c r="A381" s="171"/>
      <c r="B381" s="282"/>
      <c r="C381" s="171"/>
      <c r="D381" s="171"/>
      <c r="E381" s="171"/>
      <c r="F381" s="171"/>
      <c r="G381" s="171"/>
      <c r="H381" s="170"/>
      <c r="I381" s="171"/>
    </row>
    <row r="382" ht="14.25" customHeight="1">
      <c r="A382" s="171"/>
      <c r="B382" s="282"/>
      <c r="C382" s="171"/>
      <c r="D382" s="171"/>
      <c r="E382" s="171"/>
      <c r="F382" s="171"/>
      <c r="G382" s="171"/>
      <c r="H382" s="170"/>
      <c r="I382" s="171"/>
    </row>
    <row r="383" ht="14.25" customHeight="1">
      <c r="A383" s="171"/>
      <c r="B383" s="282"/>
      <c r="C383" s="171"/>
      <c r="D383" s="171"/>
      <c r="E383" s="171"/>
      <c r="F383" s="171"/>
      <c r="G383" s="171"/>
      <c r="H383" s="170"/>
      <c r="I383" s="171"/>
    </row>
    <row r="384" ht="14.25" customHeight="1">
      <c r="A384" s="171"/>
      <c r="B384" s="282"/>
      <c r="C384" s="171"/>
      <c r="D384" s="171"/>
      <c r="E384" s="171"/>
      <c r="F384" s="171"/>
      <c r="G384" s="171"/>
      <c r="H384" s="170"/>
      <c r="I384" s="171"/>
    </row>
    <row r="385" ht="14.25" customHeight="1">
      <c r="A385" s="171"/>
      <c r="B385" s="282"/>
      <c r="C385" s="171"/>
      <c r="D385" s="171"/>
      <c r="E385" s="171"/>
      <c r="F385" s="171"/>
      <c r="G385" s="171"/>
      <c r="H385" s="170"/>
      <c r="I385" s="171"/>
    </row>
    <row r="386" ht="14.25" customHeight="1">
      <c r="A386" s="171"/>
      <c r="B386" s="282"/>
      <c r="C386" s="171"/>
      <c r="D386" s="171"/>
      <c r="E386" s="171"/>
      <c r="F386" s="171"/>
      <c r="G386" s="171"/>
      <c r="H386" s="170"/>
      <c r="I386" s="171"/>
    </row>
    <row r="387" ht="14.25" customHeight="1">
      <c r="A387" s="171"/>
      <c r="B387" s="282"/>
      <c r="C387" s="171"/>
      <c r="D387" s="171"/>
      <c r="E387" s="171"/>
      <c r="F387" s="171"/>
      <c r="G387" s="171"/>
      <c r="H387" s="170"/>
      <c r="I387" s="171"/>
    </row>
    <row r="388" ht="14.25" customHeight="1">
      <c r="A388" s="171"/>
      <c r="B388" s="282"/>
      <c r="C388" s="171"/>
      <c r="D388" s="171"/>
      <c r="E388" s="171"/>
      <c r="F388" s="171"/>
      <c r="G388" s="171"/>
      <c r="H388" s="170"/>
      <c r="I388" s="171"/>
    </row>
    <row r="389" ht="14.25" customHeight="1">
      <c r="A389" s="171"/>
      <c r="B389" s="282"/>
      <c r="C389" s="171"/>
      <c r="D389" s="171"/>
      <c r="E389" s="171"/>
      <c r="F389" s="171"/>
      <c r="G389" s="171"/>
      <c r="H389" s="170"/>
      <c r="I389" s="171"/>
    </row>
    <row r="390" ht="14.25" customHeight="1">
      <c r="A390" s="171"/>
      <c r="B390" s="282"/>
      <c r="C390" s="171"/>
      <c r="D390" s="171"/>
      <c r="E390" s="171"/>
      <c r="F390" s="171"/>
      <c r="G390" s="171"/>
      <c r="H390" s="170"/>
      <c r="I390" s="171"/>
    </row>
    <row r="391" ht="14.25" customHeight="1">
      <c r="A391" s="171"/>
      <c r="B391" s="282"/>
      <c r="C391" s="171"/>
      <c r="D391" s="171"/>
      <c r="E391" s="171"/>
      <c r="F391" s="171"/>
      <c r="G391" s="171"/>
      <c r="H391" s="170"/>
      <c r="I391" s="171"/>
    </row>
    <row r="392" ht="14.25" customHeight="1">
      <c r="A392" s="171"/>
      <c r="B392" s="282"/>
      <c r="C392" s="171"/>
      <c r="D392" s="171"/>
      <c r="E392" s="171"/>
      <c r="F392" s="171"/>
      <c r="G392" s="171"/>
      <c r="H392" s="170"/>
      <c r="I392" s="171"/>
    </row>
    <row r="393" ht="14.25" customHeight="1">
      <c r="A393" s="171"/>
      <c r="B393" s="282"/>
      <c r="C393" s="171"/>
      <c r="D393" s="171"/>
      <c r="E393" s="171"/>
      <c r="F393" s="171"/>
      <c r="G393" s="171"/>
      <c r="H393" s="170"/>
      <c r="I393" s="171"/>
    </row>
    <row r="394" ht="14.25" customHeight="1">
      <c r="A394" s="171"/>
      <c r="B394" s="282"/>
      <c r="C394" s="171"/>
      <c r="D394" s="171"/>
      <c r="E394" s="171"/>
      <c r="F394" s="171"/>
      <c r="G394" s="171"/>
      <c r="H394" s="170"/>
      <c r="I394" s="171"/>
    </row>
    <row r="395" ht="14.25" customHeight="1">
      <c r="A395" s="171"/>
      <c r="B395" s="282"/>
      <c r="C395" s="171"/>
      <c r="D395" s="171"/>
      <c r="E395" s="171"/>
      <c r="F395" s="171"/>
      <c r="G395" s="171"/>
      <c r="H395" s="170"/>
      <c r="I395" s="171"/>
    </row>
    <row r="396" ht="14.25" customHeight="1">
      <c r="A396" s="171"/>
      <c r="B396" s="282"/>
      <c r="C396" s="171"/>
      <c r="D396" s="171"/>
      <c r="E396" s="171"/>
      <c r="F396" s="171"/>
      <c r="G396" s="171"/>
      <c r="H396" s="170"/>
      <c r="I396" s="171"/>
    </row>
    <row r="397" ht="14.25" customHeight="1">
      <c r="A397" s="171"/>
      <c r="B397" s="282"/>
      <c r="C397" s="171"/>
      <c r="D397" s="171"/>
      <c r="E397" s="171"/>
      <c r="F397" s="171"/>
      <c r="G397" s="171"/>
      <c r="H397" s="170"/>
      <c r="I397" s="171"/>
    </row>
    <row r="398" ht="14.25" customHeight="1">
      <c r="A398" s="171"/>
      <c r="B398" s="282"/>
      <c r="C398" s="171"/>
      <c r="D398" s="171"/>
      <c r="E398" s="171"/>
      <c r="F398" s="171"/>
      <c r="G398" s="171"/>
      <c r="H398" s="170"/>
      <c r="I398" s="171"/>
    </row>
    <row r="399" ht="14.25" customHeight="1">
      <c r="A399" s="171"/>
      <c r="B399" s="282"/>
      <c r="C399" s="171"/>
      <c r="D399" s="171"/>
      <c r="E399" s="171"/>
      <c r="F399" s="171"/>
      <c r="G399" s="171"/>
      <c r="H399" s="170"/>
      <c r="I399" s="171"/>
    </row>
    <row r="400" ht="14.25" customHeight="1">
      <c r="A400" s="171"/>
      <c r="B400" s="282"/>
      <c r="C400" s="171"/>
      <c r="D400" s="171"/>
      <c r="E400" s="171"/>
      <c r="F400" s="171"/>
      <c r="G400" s="171"/>
      <c r="H400" s="170"/>
      <c r="I400" s="171"/>
    </row>
    <row r="401" ht="14.25" customHeight="1">
      <c r="A401" s="171"/>
      <c r="B401" s="282"/>
      <c r="C401" s="171"/>
      <c r="D401" s="171"/>
      <c r="E401" s="171"/>
      <c r="F401" s="171"/>
      <c r="G401" s="171"/>
      <c r="H401" s="170"/>
      <c r="I401" s="171"/>
    </row>
    <row r="402" ht="14.25" customHeight="1">
      <c r="A402" s="171"/>
      <c r="B402" s="282"/>
      <c r="C402" s="171"/>
      <c r="D402" s="171"/>
      <c r="E402" s="171"/>
      <c r="F402" s="171"/>
      <c r="G402" s="171"/>
      <c r="H402" s="170"/>
      <c r="I402" s="171"/>
    </row>
    <row r="403" ht="14.25" customHeight="1">
      <c r="A403" s="171"/>
      <c r="B403" s="282"/>
      <c r="C403" s="171"/>
      <c r="D403" s="171"/>
      <c r="E403" s="171"/>
      <c r="F403" s="171"/>
      <c r="G403" s="171"/>
      <c r="H403" s="170"/>
      <c r="I403" s="171"/>
    </row>
    <row r="404" ht="14.25" customHeight="1">
      <c r="A404" s="171"/>
      <c r="B404" s="282"/>
      <c r="C404" s="171"/>
      <c r="D404" s="171"/>
      <c r="E404" s="171"/>
      <c r="F404" s="171"/>
      <c r="G404" s="171"/>
      <c r="H404" s="170"/>
      <c r="I404" s="171"/>
    </row>
    <row r="405" ht="14.25" customHeight="1">
      <c r="A405" s="171"/>
      <c r="B405" s="282"/>
      <c r="C405" s="171"/>
      <c r="D405" s="171"/>
      <c r="E405" s="171"/>
      <c r="F405" s="171"/>
      <c r="G405" s="171"/>
      <c r="H405" s="170"/>
      <c r="I405" s="171"/>
    </row>
    <row r="406" ht="14.25" customHeight="1">
      <c r="A406" s="171"/>
      <c r="B406" s="282"/>
      <c r="C406" s="171"/>
      <c r="D406" s="171"/>
      <c r="E406" s="171"/>
      <c r="F406" s="171"/>
      <c r="G406" s="171"/>
      <c r="H406" s="170"/>
      <c r="I406" s="171"/>
    </row>
    <row r="407" ht="14.25" customHeight="1">
      <c r="A407" s="171"/>
      <c r="B407" s="282"/>
      <c r="C407" s="171"/>
      <c r="D407" s="171"/>
      <c r="E407" s="171"/>
      <c r="F407" s="171"/>
      <c r="G407" s="171"/>
      <c r="H407" s="170"/>
      <c r="I407" s="171"/>
    </row>
    <row r="408" ht="14.25" customHeight="1">
      <c r="A408" s="171"/>
      <c r="B408" s="282"/>
      <c r="C408" s="171"/>
      <c r="D408" s="171"/>
      <c r="E408" s="171"/>
      <c r="F408" s="171"/>
      <c r="G408" s="171"/>
      <c r="H408" s="170"/>
      <c r="I408" s="171"/>
    </row>
    <row r="409" ht="14.25" customHeight="1">
      <c r="A409" s="171"/>
      <c r="B409" s="282"/>
      <c r="C409" s="171"/>
      <c r="D409" s="171"/>
      <c r="E409" s="171"/>
      <c r="F409" s="171"/>
      <c r="G409" s="171"/>
      <c r="H409" s="170"/>
      <c r="I409" s="171"/>
    </row>
    <row r="410" ht="14.25" customHeight="1">
      <c r="A410" s="171"/>
      <c r="B410" s="282"/>
      <c r="C410" s="171"/>
      <c r="D410" s="171"/>
      <c r="E410" s="171"/>
      <c r="F410" s="171"/>
      <c r="G410" s="171"/>
      <c r="H410" s="170"/>
      <c r="I410" s="171"/>
    </row>
    <row r="411" ht="14.25" customHeight="1">
      <c r="A411" s="171"/>
      <c r="B411" s="282"/>
      <c r="C411" s="171"/>
      <c r="D411" s="171"/>
      <c r="E411" s="171"/>
      <c r="F411" s="171"/>
      <c r="G411" s="171"/>
      <c r="H411" s="170"/>
      <c r="I411" s="171"/>
    </row>
    <row r="412" ht="14.25" customHeight="1">
      <c r="A412" s="171"/>
      <c r="B412" s="282"/>
      <c r="C412" s="171"/>
      <c r="D412" s="171"/>
      <c r="E412" s="171"/>
      <c r="F412" s="171"/>
      <c r="G412" s="171"/>
      <c r="H412" s="170"/>
      <c r="I412" s="171"/>
    </row>
    <row r="413" ht="14.25" customHeight="1">
      <c r="A413" s="171"/>
      <c r="B413" s="282"/>
      <c r="C413" s="171"/>
      <c r="D413" s="171"/>
      <c r="E413" s="171"/>
      <c r="F413" s="171"/>
      <c r="G413" s="171"/>
      <c r="H413" s="170"/>
      <c r="I413" s="171"/>
    </row>
    <row r="414" ht="14.25" customHeight="1">
      <c r="A414" s="171"/>
      <c r="B414" s="282"/>
      <c r="C414" s="171"/>
      <c r="D414" s="171"/>
      <c r="E414" s="171"/>
      <c r="F414" s="171"/>
      <c r="G414" s="171"/>
      <c r="H414" s="170"/>
      <c r="I414" s="171"/>
    </row>
    <row r="415" ht="14.25" customHeight="1">
      <c r="A415" s="171"/>
      <c r="B415" s="282"/>
      <c r="C415" s="171"/>
      <c r="D415" s="171"/>
      <c r="E415" s="171"/>
      <c r="F415" s="171"/>
      <c r="G415" s="171"/>
      <c r="H415" s="170"/>
      <c r="I415" s="171"/>
    </row>
    <row r="416" ht="14.25" customHeight="1">
      <c r="A416" s="171"/>
      <c r="B416" s="282"/>
      <c r="C416" s="171"/>
      <c r="D416" s="171"/>
      <c r="E416" s="171"/>
      <c r="F416" s="171"/>
      <c r="G416" s="171"/>
      <c r="H416" s="170"/>
      <c r="I416" s="171"/>
    </row>
    <row r="417" ht="14.25" customHeight="1">
      <c r="A417" s="171"/>
      <c r="B417" s="282"/>
      <c r="C417" s="171"/>
      <c r="D417" s="171"/>
      <c r="E417" s="171"/>
      <c r="F417" s="171"/>
      <c r="G417" s="171"/>
      <c r="H417" s="170"/>
      <c r="I417" s="171"/>
    </row>
    <row r="418" ht="14.25" customHeight="1">
      <c r="A418" s="171"/>
      <c r="B418" s="282"/>
      <c r="C418" s="171"/>
      <c r="D418" s="171"/>
      <c r="E418" s="171"/>
      <c r="F418" s="171"/>
      <c r="G418" s="171"/>
      <c r="H418" s="170"/>
      <c r="I418" s="171"/>
    </row>
    <row r="419" ht="14.25" customHeight="1">
      <c r="A419" s="171"/>
      <c r="B419" s="282"/>
      <c r="C419" s="171"/>
      <c r="D419" s="171"/>
      <c r="E419" s="171"/>
      <c r="F419" s="171"/>
      <c r="G419" s="171"/>
      <c r="H419" s="170"/>
      <c r="I419" s="171"/>
    </row>
    <row r="420" ht="14.25" customHeight="1">
      <c r="A420" s="171"/>
      <c r="B420" s="282"/>
      <c r="C420" s="171"/>
      <c r="D420" s="171"/>
      <c r="E420" s="171"/>
      <c r="F420" s="171"/>
      <c r="G420" s="171"/>
      <c r="H420" s="170"/>
      <c r="I420" s="171"/>
    </row>
    <row r="421" ht="14.25" customHeight="1">
      <c r="A421" s="171"/>
      <c r="B421" s="282"/>
      <c r="C421" s="171"/>
      <c r="D421" s="171"/>
      <c r="E421" s="171"/>
      <c r="F421" s="171"/>
      <c r="G421" s="171"/>
      <c r="H421" s="170"/>
      <c r="I421" s="171"/>
    </row>
    <row r="422" ht="14.25" customHeight="1">
      <c r="A422" s="171"/>
      <c r="B422" s="282"/>
      <c r="C422" s="171"/>
      <c r="D422" s="171"/>
      <c r="E422" s="171"/>
      <c r="F422" s="171"/>
      <c r="G422" s="171"/>
      <c r="H422" s="170"/>
      <c r="I422" s="171"/>
    </row>
    <row r="423" ht="14.25" customHeight="1">
      <c r="A423" s="171"/>
      <c r="B423" s="282"/>
      <c r="C423" s="171"/>
      <c r="D423" s="171"/>
      <c r="E423" s="171"/>
      <c r="F423" s="171"/>
      <c r="G423" s="171"/>
      <c r="H423" s="170"/>
      <c r="I423" s="171"/>
    </row>
    <row r="424" ht="14.25" customHeight="1">
      <c r="A424" s="171"/>
      <c r="B424" s="282"/>
      <c r="C424" s="171"/>
      <c r="D424" s="171"/>
      <c r="E424" s="171"/>
      <c r="F424" s="171"/>
      <c r="G424" s="171"/>
      <c r="H424" s="170"/>
      <c r="I424" s="171"/>
    </row>
    <row r="425" ht="14.25" customHeight="1">
      <c r="A425" s="171"/>
      <c r="B425" s="282"/>
      <c r="C425" s="171"/>
      <c r="D425" s="171"/>
      <c r="E425" s="171"/>
      <c r="F425" s="171"/>
      <c r="G425" s="171"/>
      <c r="H425" s="170"/>
      <c r="I425" s="171"/>
    </row>
    <row r="426" ht="14.25" customHeight="1">
      <c r="A426" s="171"/>
      <c r="B426" s="282"/>
      <c r="C426" s="171"/>
      <c r="D426" s="171"/>
      <c r="E426" s="171"/>
      <c r="F426" s="171"/>
      <c r="G426" s="171"/>
      <c r="H426" s="170"/>
      <c r="I426" s="171"/>
    </row>
    <row r="427" ht="14.25" customHeight="1">
      <c r="A427" s="171"/>
      <c r="B427" s="282"/>
      <c r="C427" s="171"/>
      <c r="D427" s="171"/>
      <c r="E427" s="171"/>
      <c r="F427" s="171"/>
      <c r="G427" s="171"/>
      <c r="H427" s="170"/>
      <c r="I427" s="171"/>
    </row>
    <row r="428" ht="14.25" customHeight="1">
      <c r="A428" s="171"/>
      <c r="B428" s="282"/>
      <c r="C428" s="171"/>
      <c r="D428" s="171"/>
      <c r="E428" s="171"/>
      <c r="F428" s="171"/>
      <c r="G428" s="171"/>
      <c r="H428" s="170"/>
      <c r="I428" s="171"/>
    </row>
    <row r="429" ht="14.25" customHeight="1">
      <c r="A429" s="171"/>
      <c r="B429" s="282"/>
      <c r="C429" s="171"/>
      <c r="D429" s="171"/>
      <c r="E429" s="171"/>
      <c r="F429" s="171"/>
      <c r="G429" s="171"/>
      <c r="H429" s="170"/>
      <c r="I429" s="171"/>
    </row>
    <row r="430" ht="14.25" customHeight="1">
      <c r="A430" s="171"/>
      <c r="B430" s="282"/>
      <c r="C430" s="171"/>
      <c r="D430" s="171"/>
      <c r="E430" s="171"/>
      <c r="F430" s="171"/>
      <c r="G430" s="171"/>
      <c r="H430" s="170"/>
      <c r="I430" s="171"/>
    </row>
    <row r="431" ht="14.25" customHeight="1">
      <c r="A431" s="171"/>
      <c r="B431" s="282"/>
      <c r="C431" s="171"/>
      <c r="D431" s="171"/>
      <c r="E431" s="171"/>
      <c r="F431" s="171"/>
      <c r="G431" s="171"/>
      <c r="H431" s="170"/>
      <c r="I431" s="171"/>
    </row>
    <row r="432" ht="14.25" customHeight="1">
      <c r="A432" s="171"/>
      <c r="B432" s="282"/>
      <c r="C432" s="171"/>
      <c r="D432" s="171"/>
      <c r="E432" s="171"/>
      <c r="F432" s="171"/>
      <c r="G432" s="171"/>
      <c r="H432" s="170"/>
      <c r="I432" s="171"/>
    </row>
    <row r="433" ht="14.25" customHeight="1">
      <c r="A433" s="171"/>
      <c r="B433" s="282"/>
      <c r="C433" s="171"/>
      <c r="D433" s="171"/>
      <c r="E433" s="171"/>
      <c r="F433" s="171"/>
      <c r="G433" s="171"/>
      <c r="H433" s="170"/>
      <c r="I433" s="171"/>
    </row>
    <row r="434" ht="14.25" customHeight="1">
      <c r="A434" s="171"/>
      <c r="B434" s="282"/>
      <c r="C434" s="171"/>
      <c r="D434" s="171"/>
      <c r="E434" s="171"/>
      <c r="F434" s="171"/>
      <c r="G434" s="171"/>
      <c r="H434" s="170"/>
      <c r="I434" s="171"/>
    </row>
    <row r="435" ht="14.25" customHeight="1">
      <c r="A435" s="171"/>
      <c r="B435" s="282"/>
      <c r="C435" s="171"/>
      <c r="D435" s="171"/>
      <c r="E435" s="171"/>
      <c r="F435" s="171"/>
      <c r="G435" s="171"/>
      <c r="H435" s="170"/>
      <c r="I435" s="171"/>
    </row>
    <row r="436" ht="14.25" customHeight="1">
      <c r="A436" s="171"/>
      <c r="B436" s="282"/>
      <c r="C436" s="171"/>
      <c r="D436" s="171"/>
      <c r="E436" s="171"/>
      <c r="F436" s="171"/>
      <c r="G436" s="171"/>
      <c r="H436" s="170"/>
      <c r="I436" s="171"/>
    </row>
    <row r="437" ht="14.25" customHeight="1">
      <c r="A437" s="171"/>
      <c r="B437" s="282"/>
      <c r="C437" s="171"/>
      <c r="D437" s="171"/>
      <c r="E437" s="171"/>
      <c r="F437" s="171"/>
      <c r="G437" s="171"/>
      <c r="H437" s="170"/>
      <c r="I437" s="171"/>
    </row>
    <row r="438" ht="14.25" customHeight="1">
      <c r="A438" s="171"/>
      <c r="B438" s="282"/>
      <c r="C438" s="171"/>
      <c r="D438" s="171"/>
      <c r="E438" s="171"/>
      <c r="F438" s="171"/>
      <c r="G438" s="171"/>
      <c r="H438" s="170"/>
      <c r="I438" s="171"/>
    </row>
    <row r="439" ht="14.25" customHeight="1">
      <c r="A439" s="171"/>
      <c r="B439" s="282"/>
      <c r="C439" s="171"/>
      <c r="D439" s="171"/>
      <c r="E439" s="171"/>
      <c r="F439" s="171"/>
      <c r="G439" s="171"/>
      <c r="H439" s="170"/>
      <c r="I439" s="171"/>
    </row>
    <row r="440" ht="14.25" customHeight="1">
      <c r="A440" s="171"/>
      <c r="B440" s="282"/>
      <c r="C440" s="171"/>
      <c r="D440" s="171"/>
      <c r="E440" s="171"/>
      <c r="F440" s="171"/>
      <c r="G440" s="171"/>
      <c r="H440" s="170"/>
      <c r="I440" s="171"/>
    </row>
    <row r="441" ht="14.25" customHeight="1">
      <c r="A441" s="171"/>
      <c r="B441" s="282"/>
      <c r="C441" s="171"/>
      <c r="D441" s="171"/>
      <c r="E441" s="171"/>
      <c r="F441" s="171"/>
      <c r="G441" s="171"/>
      <c r="H441" s="170"/>
      <c r="I441" s="171"/>
    </row>
    <row r="442" ht="14.25" customHeight="1">
      <c r="A442" s="171"/>
      <c r="B442" s="282"/>
      <c r="C442" s="171"/>
      <c r="D442" s="171"/>
      <c r="E442" s="171"/>
      <c r="F442" s="171"/>
      <c r="G442" s="171"/>
      <c r="H442" s="170"/>
      <c r="I442" s="171"/>
    </row>
    <row r="443" ht="14.25" customHeight="1">
      <c r="A443" s="171"/>
      <c r="B443" s="282"/>
      <c r="C443" s="171"/>
      <c r="D443" s="171"/>
      <c r="E443" s="171"/>
      <c r="F443" s="171"/>
      <c r="G443" s="171"/>
      <c r="H443" s="170"/>
      <c r="I443" s="171"/>
    </row>
    <row r="444" ht="14.25" customHeight="1">
      <c r="A444" s="171"/>
      <c r="B444" s="282"/>
      <c r="C444" s="171"/>
      <c r="D444" s="171"/>
      <c r="E444" s="171"/>
      <c r="F444" s="171"/>
      <c r="G444" s="171"/>
      <c r="H444" s="170"/>
      <c r="I444" s="171"/>
    </row>
    <row r="445" ht="14.25" customHeight="1">
      <c r="A445" s="171"/>
      <c r="B445" s="282"/>
      <c r="C445" s="171"/>
      <c r="D445" s="171"/>
      <c r="E445" s="171"/>
      <c r="F445" s="171"/>
      <c r="G445" s="171"/>
      <c r="H445" s="170"/>
      <c r="I445" s="171"/>
    </row>
    <row r="446" ht="14.25" customHeight="1">
      <c r="A446" s="171"/>
      <c r="B446" s="282"/>
      <c r="C446" s="171"/>
      <c r="D446" s="171"/>
      <c r="E446" s="171"/>
      <c r="F446" s="171"/>
      <c r="G446" s="171"/>
      <c r="H446" s="170"/>
      <c r="I446" s="171"/>
    </row>
    <row r="447" ht="14.25" customHeight="1">
      <c r="A447" s="171"/>
      <c r="B447" s="282"/>
      <c r="C447" s="171"/>
      <c r="D447" s="171"/>
      <c r="E447" s="171"/>
      <c r="F447" s="171"/>
      <c r="G447" s="171"/>
      <c r="H447" s="170"/>
      <c r="I447" s="171"/>
    </row>
    <row r="448" ht="14.25" customHeight="1">
      <c r="A448" s="171"/>
      <c r="B448" s="282"/>
      <c r="C448" s="171"/>
      <c r="D448" s="171"/>
      <c r="E448" s="171"/>
      <c r="F448" s="171"/>
      <c r="G448" s="171"/>
      <c r="H448" s="170"/>
      <c r="I448" s="171"/>
    </row>
    <row r="449" ht="14.25" customHeight="1">
      <c r="A449" s="171"/>
      <c r="B449" s="282"/>
      <c r="C449" s="171"/>
      <c r="D449" s="171"/>
      <c r="E449" s="171"/>
      <c r="F449" s="171"/>
      <c r="G449" s="171"/>
      <c r="H449" s="170"/>
      <c r="I449" s="171"/>
    </row>
    <row r="450" ht="14.25" customHeight="1">
      <c r="A450" s="171"/>
      <c r="B450" s="282"/>
      <c r="C450" s="171"/>
      <c r="D450" s="171"/>
      <c r="E450" s="171"/>
      <c r="F450" s="171"/>
      <c r="G450" s="171"/>
      <c r="H450" s="170"/>
      <c r="I450" s="171"/>
    </row>
    <row r="451" ht="14.25" customHeight="1">
      <c r="A451" s="171"/>
      <c r="B451" s="282"/>
      <c r="C451" s="171"/>
      <c r="D451" s="171"/>
      <c r="E451" s="171"/>
      <c r="F451" s="171"/>
      <c r="G451" s="171"/>
      <c r="H451" s="170"/>
      <c r="I451" s="171"/>
    </row>
    <row r="452" ht="14.25" customHeight="1">
      <c r="A452" s="171"/>
      <c r="B452" s="282"/>
      <c r="C452" s="171"/>
      <c r="D452" s="171"/>
      <c r="E452" s="171"/>
      <c r="F452" s="171"/>
      <c r="G452" s="171"/>
      <c r="H452" s="170"/>
      <c r="I452" s="171"/>
    </row>
    <row r="453" ht="14.25" customHeight="1">
      <c r="A453" s="171"/>
      <c r="B453" s="282"/>
      <c r="C453" s="171"/>
      <c r="D453" s="171"/>
      <c r="E453" s="171"/>
      <c r="F453" s="171"/>
      <c r="G453" s="171"/>
      <c r="H453" s="170"/>
      <c r="I453" s="171"/>
    </row>
    <row r="454" ht="14.25" customHeight="1">
      <c r="A454" s="171"/>
      <c r="B454" s="282"/>
      <c r="C454" s="171"/>
      <c r="D454" s="171"/>
      <c r="E454" s="171"/>
      <c r="F454" s="171"/>
      <c r="G454" s="171"/>
      <c r="H454" s="170"/>
      <c r="I454" s="171"/>
    </row>
    <row r="455" ht="14.25" customHeight="1">
      <c r="A455" s="171"/>
      <c r="B455" s="282"/>
      <c r="C455" s="171"/>
      <c r="D455" s="171"/>
      <c r="E455" s="171"/>
      <c r="F455" s="171"/>
      <c r="G455" s="171"/>
      <c r="H455" s="170"/>
      <c r="I455" s="171"/>
    </row>
    <row r="456" ht="14.25" customHeight="1">
      <c r="A456" s="171"/>
      <c r="B456" s="282"/>
      <c r="C456" s="171"/>
      <c r="D456" s="171"/>
      <c r="E456" s="171"/>
      <c r="F456" s="171"/>
      <c r="G456" s="171"/>
      <c r="H456" s="170"/>
      <c r="I456" s="171"/>
    </row>
    <row r="457" ht="14.25" customHeight="1">
      <c r="A457" s="171"/>
      <c r="B457" s="282"/>
      <c r="C457" s="171"/>
      <c r="D457" s="171"/>
      <c r="E457" s="171"/>
      <c r="F457" s="171"/>
      <c r="G457" s="171"/>
      <c r="H457" s="170"/>
      <c r="I457" s="171"/>
    </row>
    <row r="458" ht="14.25" customHeight="1">
      <c r="A458" s="171"/>
      <c r="B458" s="282"/>
      <c r="C458" s="171"/>
      <c r="D458" s="171"/>
      <c r="E458" s="171"/>
      <c r="F458" s="171"/>
      <c r="G458" s="171"/>
      <c r="H458" s="170"/>
      <c r="I458" s="171"/>
    </row>
    <row r="459" ht="14.25" customHeight="1">
      <c r="A459" s="171"/>
      <c r="B459" s="282"/>
      <c r="C459" s="171"/>
      <c r="D459" s="171"/>
      <c r="E459" s="171"/>
      <c r="F459" s="171"/>
      <c r="G459" s="171"/>
      <c r="H459" s="170"/>
      <c r="I459" s="171"/>
    </row>
    <row r="460" ht="14.25" customHeight="1">
      <c r="A460" s="171"/>
      <c r="B460" s="282"/>
      <c r="C460" s="171"/>
      <c r="D460" s="171"/>
      <c r="E460" s="171"/>
      <c r="F460" s="171"/>
      <c r="G460" s="171"/>
      <c r="H460" s="170"/>
      <c r="I460" s="171"/>
    </row>
    <row r="461" ht="14.25" customHeight="1">
      <c r="A461" s="171"/>
      <c r="B461" s="282"/>
      <c r="C461" s="171"/>
      <c r="D461" s="171"/>
      <c r="E461" s="171"/>
      <c r="F461" s="171"/>
      <c r="G461" s="171"/>
      <c r="H461" s="170"/>
      <c r="I461" s="171"/>
    </row>
    <row r="462" ht="14.25" customHeight="1">
      <c r="A462" s="171"/>
      <c r="B462" s="282"/>
      <c r="C462" s="171"/>
      <c r="D462" s="171"/>
      <c r="E462" s="171"/>
      <c r="F462" s="171"/>
      <c r="G462" s="171"/>
      <c r="H462" s="170"/>
      <c r="I462" s="171"/>
    </row>
    <row r="463" ht="14.25" customHeight="1">
      <c r="A463" s="171"/>
      <c r="B463" s="282"/>
      <c r="C463" s="171"/>
      <c r="D463" s="171"/>
      <c r="E463" s="171"/>
      <c r="F463" s="171"/>
      <c r="G463" s="171"/>
      <c r="H463" s="170"/>
      <c r="I463" s="171"/>
    </row>
    <row r="464" ht="14.25" customHeight="1">
      <c r="A464" s="171"/>
      <c r="B464" s="282"/>
      <c r="C464" s="171"/>
      <c r="D464" s="171"/>
      <c r="E464" s="171"/>
      <c r="F464" s="171"/>
      <c r="G464" s="171"/>
      <c r="H464" s="170"/>
      <c r="I464" s="171"/>
    </row>
    <row r="465" ht="14.25" customHeight="1">
      <c r="A465" s="171"/>
      <c r="B465" s="282"/>
      <c r="C465" s="171"/>
      <c r="D465" s="171"/>
      <c r="E465" s="171"/>
      <c r="F465" s="171"/>
      <c r="G465" s="171"/>
      <c r="H465" s="170"/>
      <c r="I465" s="171"/>
    </row>
    <row r="466" ht="14.25" customHeight="1">
      <c r="A466" s="171"/>
      <c r="B466" s="282"/>
      <c r="C466" s="171"/>
      <c r="D466" s="171"/>
      <c r="E466" s="171"/>
      <c r="F466" s="171"/>
      <c r="G466" s="171"/>
      <c r="H466" s="170"/>
      <c r="I466" s="171"/>
    </row>
    <row r="467" ht="14.25" customHeight="1">
      <c r="A467" s="171"/>
      <c r="B467" s="282"/>
      <c r="C467" s="171"/>
      <c r="D467" s="171"/>
      <c r="E467" s="171"/>
      <c r="F467" s="171"/>
      <c r="G467" s="171"/>
      <c r="H467" s="170"/>
      <c r="I467" s="171"/>
    </row>
    <row r="468" ht="14.25" customHeight="1">
      <c r="A468" s="171"/>
      <c r="B468" s="282"/>
      <c r="C468" s="171"/>
      <c r="D468" s="171"/>
      <c r="E468" s="171"/>
      <c r="F468" s="171"/>
      <c r="G468" s="171"/>
      <c r="H468" s="170"/>
      <c r="I468" s="171"/>
    </row>
    <row r="469" ht="14.25" customHeight="1">
      <c r="A469" s="171"/>
      <c r="B469" s="282"/>
      <c r="C469" s="171"/>
      <c r="D469" s="171"/>
      <c r="E469" s="171"/>
      <c r="F469" s="171"/>
      <c r="G469" s="171"/>
      <c r="H469" s="170"/>
      <c r="I469" s="171"/>
    </row>
    <row r="470" ht="14.25" customHeight="1">
      <c r="A470" s="171"/>
      <c r="B470" s="282"/>
      <c r="C470" s="171"/>
      <c r="D470" s="171"/>
      <c r="E470" s="171"/>
      <c r="F470" s="171"/>
      <c r="G470" s="171"/>
      <c r="H470" s="170"/>
      <c r="I470" s="171"/>
    </row>
    <row r="471" ht="14.25" customHeight="1">
      <c r="A471" s="171"/>
      <c r="B471" s="282"/>
      <c r="C471" s="171"/>
      <c r="D471" s="171"/>
      <c r="E471" s="171"/>
      <c r="F471" s="171"/>
      <c r="G471" s="171"/>
      <c r="H471" s="170"/>
      <c r="I471" s="171"/>
    </row>
    <row r="472" ht="14.25" customHeight="1">
      <c r="A472" s="171"/>
      <c r="B472" s="282"/>
      <c r="C472" s="171"/>
      <c r="D472" s="171"/>
      <c r="E472" s="171"/>
      <c r="F472" s="171"/>
      <c r="G472" s="171"/>
      <c r="H472" s="170"/>
      <c r="I472" s="171"/>
    </row>
    <row r="473" ht="14.25" customHeight="1">
      <c r="A473" s="171"/>
      <c r="B473" s="282"/>
      <c r="C473" s="171"/>
      <c r="D473" s="171"/>
      <c r="E473" s="171"/>
      <c r="F473" s="171"/>
      <c r="G473" s="171"/>
      <c r="H473" s="170"/>
      <c r="I473" s="171"/>
    </row>
    <row r="474" ht="14.25" customHeight="1">
      <c r="A474" s="171"/>
      <c r="B474" s="282"/>
      <c r="C474" s="171"/>
      <c r="D474" s="171"/>
      <c r="E474" s="171"/>
      <c r="F474" s="171"/>
      <c r="G474" s="171"/>
      <c r="H474" s="170"/>
      <c r="I474" s="171"/>
    </row>
    <row r="475" ht="14.25" customHeight="1">
      <c r="A475" s="171"/>
      <c r="B475" s="282"/>
      <c r="C475" s="171"/>
      <c r="D475" s="171"/>
      <c r="E475" s="171"/>
      <c r="F475" s="171"/>
      <c r="G475" s="171"/>
      <c r="H475" s="170"/>
      <c r="I475" s="171"/>
    </row>
    <row r="476" ht="14.25" customHeight="1">
      <c r="A476" s="171"/>
      <c r="B476" s="282"/>
      <c r="C476" s="171"/>
      <c r="D476" s="171"/>
      <c r="E476" s="171"/>
      <c r="F476" s="171"/>
      <c r="G476" s="171"/>
      <c r="H476" s="170"/>
      <c r="I476" s="171"/>
    </row>
    <row r="477" ht="14.25" customHeight="1">
      <c r="A477" s="171"/>
      <c r="B477" s="282"/>
      <c r="C477" s="171"/>
      <c r="D477" s="171"/>
      <c r="E477" s="171"/>
      <c r="F477" s="171"/>
      <c r="G477" s="171"/>
      <c r="H477" s="170"/>
      <c r="I477" s="171"/>
    </row>
    <row r="478" ht="14.25" customHeight="1">
      <c r="A478" s="171"/>
      <c r="B478" s="282"/>
      <c r="C478" s="171"/>
      <c r="D478" s="171"/>
      <c r="E478" s="171"/>
      <c r="F478" s="171"/>
      <c r="G478" s="171"/>
      <c r="H478" s="170"/>
      <c r="I478" s="171"/>
    </row>
    <row r="479" ht="14.25" customHeight="1">
      <c r="A479" s="171"/>
      <c r="B479" s="282"/>
      <c r="C479" s="171"/>
      <c r="D479" s="171"/>
      <c r="E479" s="171"/>
      <c r="F479" s="171"/>
      <c r="G479" s="171"/>
      <c r="H479" s="170"/>
      <c r="I479" s="171"/>
    </row>
    <row r="480" ht="14.25" customHeight="1">
      <c r="A480" s="171"/>
      <c r="B480" s="282"/>
      <c r="C480" s="171"/>
      <c r="D480" s="171"/>
      <c r="E480" s="171"/>
      <c r="F480" s="171"/>
      <c r="G480" s="171"/>
      <c r="H480" s="170"/>
      <c r="I480" s="171"/>
    </row>
    <row r="481" ht="14.25" customHeight="1">
      <c r="A481" s="171"/>
      <c r="B481" s="282"/>
      <c r="C481" s="171"/>
      <c r="D481" s="171"/>
      <c r="E481" s="171"/>
      <c r="F481" s="171"/>
      <c r="G481" s="171"/>
      <c r="H481" s="170"/>
      <c r="I481" s="171"/>
    </row>
    <row r="482" ht="14.25" customHeight="1">
      <c r="A482" s="171"/>
      <c r="B482" s="282"/>
      <c r="C482" s="171"/>
      <c r="D482" s="171"/>
      <c r="E482" s="171"/>
      <c r="F482" s="171"/>
      <c r="G482" s="171"/>
      <c r="H482" s="170"/>
      <c r="I482" s="171"/>
    </row>
    <row r="483" ht="14.25" customHeight="1">
      <c r="A483" s="171"/>
      <c r="B483" s="282"/>
      <c r="C483" s="171"/>
      <c r="D483" s="171"/>
      <c r="E483" s="171"/>
      <c r="F483" s="171"/>
      <c r="G483" s="171"/>
      <c r="H483" s="170"/>
      <c r="I483" s="171"/>
    </row>
    <row r="484" ht="14.25" customHeight="1">
      <c r="A484" s="171"/>
      <c r="B484" s="282"/>
      <c r="C484" s="171"/>
      <c r="D484" s="171"/>
      <c r="E484" s="171"/>
      <c r="F484" s="171"/>
      <c r="G484" s="171"/>
      <c r="H484" s="170"/>
      <c r="I484" s="171"/>
    </row>
    <row r="485" ht="14.25" customHeight="1">
      <c r="A485" s="171"/>
      <c r="B485" s="282"/>
      <c r="C485" s="171"/>
      <c r="D485" s="171"/>
      <c r="E485" s="171"/>
      <c r="F485" s="171"/>
      <c r="G485" s="171"/>
      <c r="H485" s="170"/>
      <c r="I485" s="171"/>
    </row>
    <row r="486" ht="14.25" customHeight="1">
      <c r="A486" s="171"/>
      <c r="B486" s="282"/>
      <c r="C486" s="171"/>
      <c r="D486" s="171"/>
      <c r="E486" s="171"/>
      <c r="F486" s="171"/>
      <c r="G486" s="171"/>
      <c r="H486" s="170"/>
      <c r="I486" s="171"/>
    </row>
    <row r="487" ht="14.25" customHeight="1">
      <c r="A487" s="171"/>
      <c r="B487" s="282"/>
      <c r="C487" s="171"/>
      <c r="D487" s="171"/>
      <c r="E487" s="171"/>
      <c r="F487" s="171"/>
      <c r="G487" s="171"/>
      <c r="H487" s="170"/>
      <c r="I487" s="171"/>
    </row>
    <row r="488" ht="14.25" customHeight="1">
      <c r="A488" s="171"/>
      <c r="B488" s="282"/>
      <c r="C488" s="171"/>
      <c r="D488" s="171"/>
      <c r="E488" s="171"/>
      <c r="F488" s="171"/>
      <c r="G488" s="171"/>
      <c r="H488" s="170"/>
      <c r="I488" s="171"/>
    </row>
    <row r="489" ht="14.25" customHeight="1">
      <c r="A489" s="171"/>
      <c r="B489" s="282"/>
      <c r="C489" s="171"/>
      <c r="D489" s="171"/>
      <c r="E489" s="171"/>
      <c r="F489" s="171"/>
      <c r="G489" s="171"/>
      <c r="H489" s="170"/>
      <c r="I489" s="171"/>
    </row>
    <row r="490" ht="14.25" customHeight="1">
      <c r="A490" s="171"/>
      <c r="B490" s="282"/>
      <c r="C490" s="171"/>
      <c r="D490" s="171"/>
      <c r="E490" s="171"/>
      <c r="F490" s="171"/>
      <c r="G490" s="171"/>
      <c r="H490" s="170"/>
      <c r="I490" s="171"/>
    </row>
    <row r="491" ht="14.25" customHeight="1">
      <c r="A491" s="171"/>
      <c r="B491" s="282"/>
      <c r="C491" s="171"/>
      <c r="D491" s="171"/>
      <c r="E491" s="171"/>
      <c r="F491" s="171"/>
      <c r="G491" s="171"/>
      <c r="H491" s="170"/>
      <c r="I491" s="171"/>
    </row>
    <row r="492" ht="14.25" customHeight="1">
      <c r="A492" s="171"/>
      <c r="B492" s="282"/>
      <c r="C492" s="171"/>
      <c r="D492" s="171"/>
      <c r="E492" s="171"/>
      <c r="F492" s="171"/>
      <c r="G492" s="171"/>
      <c r="H492" s="170"/>
      <c r="I492" s="171"/>
    </row>
    <row r="493" ht="14.25" customHeight="1">
      <c r="A493" s="171"/>
      <c r="B493" s="282"/>
      <c r="C493" s="171"/>
      <c r="D493" s="171"/>
      <c r="E493" s="171"/>
      <c r="F493" s="171"/>
      <c r="G493" s="171"/>
      <c r="H493" s="170"/>
      <c r="I493" s="171"/>
    </row>
    <row r="494" ht="14.25" customHeight="1">
      <c r="A494" s="171"/>
      <c r="B494" s="282"/>
      <c r="C494" s="171"/>
      <c r="D494" s="171"/>
      <c r="E494" s="171"/>
      <c r="F494" s="171"/>
      <c r="G494" s="171"/>
      <c r="H494" s="170"/>
      <c r="I494" s="171"/>
    </row>
    <row r="495" ht="14.25" customHeight="1">
      <c r="A495" s="171"/>
      <c r="B495" s="282"/>
      <c r="C495" s="171"/>
      <c r="D495" s="171"/>
      <c r="E495" s="171"/>
      <c r="F495" s="171"/>
      <c r="G495" s="171"/>
      <c r="H495" s="170"/>
      <c r="I495" s="171"/>
    </row>
    <row r="496" ht="14.25" customHeight="1">
      <c r="A496" s="171"/>
      <c r="B496" s="282"/>
      <c r="C496" s="171"/>
      <c r="D496" s="171"/>
      <c r="E496" s="171"/>
      <c r="F496" s="171"/>
      <c r="G496" s="171"/>
      <c r="H496" s="170"/>
      <c r="I496" s="171"/>
    </row>
    <row r="497" ht="14.25" customHeight="1">
      <c r="A497" s="171"/>
      <c r="B497" s="282"/>
      <c r="C497" s="171"/>
      <c r="D497" s="171"/>
      <c r="E497" s="171"/>
      <c r="F497" s="171"/>
      <c r="G497" s="171"/>
      <c r="H497" s="170"/>
      <c r="I497" s="171"/>
    </row>
    <row r="498" ht="14.25" customHeight="1">
      <c r="A498" s="171"/>
      <c r="B498" s="282"/>
      <c r="C498" s="171"/>
      <c r="D498" s="171"/>
      <c r="E498" s="171"/>
      <c r="F498" s="171"/>
      <c r="G498" s="171"/>
      <c r="H498" s="170"/>
      <c r="I498" s="171"/>
    </row>
    <row r="499" ht="14.25" customHeight="1">
      <c r="A499" s="171"/>
      <c r="B499" s="282"/>
      <c r="C499" s="171"/>
      <c r="D499" s="171"/>
      <c r="E499" s="171"/>
      <c r="F499" s="171"/>
      <c r="G499" s="171"/>
      <c r="H499" s="170"/>
      <c r="I499" s="171"/>
    </row>
    <row r="500" ht="14.25" customHeight="1">
      <c r="A500" s="171"/>
      <c r="B500" s="282"/>
      <c r="C500" s="171"/>
      <c r="D500" s="171"/>
      <c r="E500" s="171"/>
      <c r="F500" s="171"/>
      <c r="G500" s="171"/>
      <c r="H500" s="170"/>
      <c r="I500" s="171"/>
    </row>
    <row r="501" ht="14.25" customHeight="1">
      <c r="A501" s="171"/>
      <c r="B501" s="282"/>
      <c r="C501" s="171"/>
      <c r="D501" s="171"/>
      <c r="E501" s="171"/>
      <c r="F501" s="171"/>
      <c r="G501" s="171"/>
      <c r="H501" s="170"/>
      <c r="I501" s="171"/>
    </row>
    <row r="502" ht="14.25" customHeight="1">
      <c r="A502" s="171"/>
      <c r="B502" s="282"/>
      <c r="C502" s="171"/>
      <c r="D502" s="171"/>
      <c r="E502" s="171"/>
      <c r="F502" s="171"/>
      <c r="G502" s="171"/>
      <c r="H502" s="170"/>
      <c r="I502" s="171"/>
    </row>
    <row r="503" ht="14.25" customHeight="1">
      <c r="A503" s="171"/>
      <c r="B503" s="282"/>
      <c r="C503" s="171"/>
      <c r="D503" s="171"/>
      <c r="E503" s="171"/>
      <c r="F503" s="171"/>
      <c r="G503" s="171"/>
      <c r="H503" s="170"/>
      <c r="I503" s="171"/>
    </row>
    <row r="504" ht="14.25" customHeight="1">
      <c r="A504" s="171"/>
      <c r="B504" s="282"/>
      <c r="C504" s="171"/>
      <c r="D504" s="171"/>
      <c r="E504" s="171"/>
      <c r="F504" s="171"/>
      <c r="G504" s="171"/>
      <c r="H504" s="170"/>
      <c r="I504" s="171"/>
    </row>
    <row r="505" ht="14.25" customHeight="1">
      <c r="A505" s="171"/>
      <c r="B505" s="282"/>
      <c r="C505" s="171"/>
      <c r="D505" s="171"/>
      <c r="E505" s="171"/>
      <c r="F505" s="171"/>
      <c r="G505" s="171"/>
      <c r="H505" s="170"/>
      <c r="I505" s="171"/>
    </row>
    <row r="506" ht="14.25" customHeight="1">
      <c r="A506" s="171"/>
      <c r="B506" s="282"/>
      <c r="C506" s="171"/>
      <c r="D506" s="171"/>
      <c r="E506" s="171"/>
      <c r="F506" s="171"/>
      <c r="G506" s="171"/>
      <c r="H506" s="170"/>
      <c r="I506" s="171"/>
    </row>
    <row r="507" ht="14.25" customHeight="1">
      <c r="A507" s="171"/>
      <c r="B507" s="282"/>
      <c r="C507" s="171"/>
      <c r="D507" s="171"/>
      <c r="E507" s="171"/>
      <c r="F507" s="171"/>
      <c r="G507" s="171"/>
      <c r="H507" s="170"/>
      <c r="I507" s="171"/>
    </row>
    <row r="508" ht="14.25" customHeight="1">
      <c r="A508" s="171"/>
      <c r="B508" s="282"/>
      <c r="C508" s="171"/>
      <c r="D508" s="171"/>
      <c r="E508" s="171"/>
      <c r="F508" s="171"/>
      <c r="G508" s="171"/>
      <c r="H508" s="170"/>
      <c r="I508" s="171"/>
    </row>
    <row r="509" ht="14.25" customHeight="1">
      <c r="A509" s="171"/>
      <c r="B509" s="282"/>
      <c r="C509" s="171"/>
      <c r="D509" s="171"/>
      <c r="E509" s="171"/>
      <c r="F509" s="171"/>
      <c r="G509" s="171"/>
      <c r="H509" s="170"/>
      <c r="I509" s="171"/>
    </row>
    <row r="510" ht="14.25" customHeight="1">
      <c r="A510" s="171"/>
      <c r="B510" s="282"/>
      <c r="C510" s="171"/>
      <c r="D510" s="171"/>
      <c r="E510" s="171"/>
      <c r="F510" s="171"/>
      <c r="G510" s="171"/>
      <c r="H510" s="170"/>
      <c r="I510" s="171"/>
    </row>
    <row r="511" ht="14.25" customHeight="1">
      <c r="A511" s="171"/>
      <c r="B511" s="282"/>
      <c r="C511" s="171"/>
      <c r="D511" s="171"/>
      <c r="E511" s="171"/>
      <c r="F511" s="171"/>
      <c r="G511" s="171"/>
      <c r="H511" s="170"/>
      <c r="I511" s="171"/>
    </row>
    <row r="512" ht="14.25" customHeight="1">
      <c r="A512" s="171"/>
      <c r="B512" s="282"/>
      <c r="C512" s="171"/>
      <c r="D512" s="171"/>
      <c r="E512" s="171"/>
      <c r="F512" s="171"/>
      <c r="G512" s="171"/>
      <c r="H512" s="170"/>
      <c r="I512" s="171"/>
    </row>
    <row r="513" ht="14.25" customHeight="1">
      <c r="A513" s="171"/>
      <c r="B513" s="282"/>
      <c r="C513" s="171"/>
      <c r="D513" s="171"/>
      <c r="E513" s="171"/>
      <c r="F513" s="171"/>
      <c r="G513" s="171"/>
      <c r="H513" s="170"/>
      <c r="I513" s="171"/>
    </row>
    <row r="514" ht="14.25" customHeight="1">
      <c r="A514" s="171"/>
      <c r="B514" s="282"/>
      <c r="C514" s="171"/>
      <c r="D514" s="171"/>
      <c r="E514" s="171"/>
      <c r="F514" s="171"/>
      <c r="G514" s="171"/>
      <c r="H514" s="170"/>
      <c r="I514" s="171"/>
    </row>
    <row r="515" ht="14.25" customHeight="1">
      <c r="A515" s="171"/>
      <c r="B515" s="282"/>
      <c r="C515" s="171"/>
      <c r="D515" s="171"/>
      <c r="E515" s="171"/>
      <c r="F515" s="171"/>
      <c r="G515" s="171"/>
      <c r="H515" s="170"/>
      <c r="I515" s="171"/>
    </row>
    <row r="516" ht="14.25" customHeight="1">
      <c r="A516" s="171"/>
      <c r="B516" s="282"/>
      <c r="C516" s="171"/>
      <c r="D516" s="171"/>
      <c r="E516" s="171"/>
      <c r="F516" s="171"/>
      <c r="G516" s="171"/>
      <c r="H516" s="170"/>
      <c r="I516" s="171"/>
    </row>
    <row r="517" ht="14.25" customHeight="1">
      <c r="A517" s="171"/>
      <c r="B517" s="282"/>
      <c r="C517" s="171"/>
      <c r="D517" s="171"/>
      <c r="E517" s="171"/>
      <c r="F517" s="171"/>
      <c r="G517" s="171"/>
      <c r="H517" s="170"/>
      <c r="I517" s="171"/>
    </row>
    <row r="518" ht="14.25" customHeight="1">
      <c r="A518" s="171"/>
      <c r="B518" s="282"/>
      <c r="C518" s="171"/>
      <c r="D518" s="171"/>
      <c r="E518" s="171"/>
      <c r="F518" s="171"/>
      <c r="G518" s="171"/>
      <c r="H518" s="170"/>
      <c r="I518" s="171"/>
    </row>
    <row r="519" ht="14.25" customHeight="1">
      <c r="A519" s="171"/>
      <c r="B519" s="282"/>
      <c r="C519" s="171"/>
      <c r="D519" s="171"/>
      <c r="E519" s="171"/>
      <c r="F519" s="171"/>
      <c r="G519" s="171"/>
      <c r="H519" s="170"/>
      <c r="I519" s="171"/>
    </row>
    <row r="520" ht="14.25" customHeight="1">
      <c r="A520" s="171"/>
      <c r="B520" s="282"/>
      <c r="C520" s="171"/>
      <c r="D520" s="171"/>
      <c r="E520" s="171"/>
      <c r="F520" s="171"/>
      <c r="G520" s="171"/>
      <c r="H520" s="170"/>
      <c r="I520" s="171"/>
    </row>
    <row r="521" ht="14.25" customHeight="1">
      <c r="A521" s="171"/>
      <c r="B521" s="282"/>
      <c r="C521" s="171"/>
      <c r="D521" s="171"/>
      <c r="E521" s="171"/>
      <c r="F521" s="171"/>
      <c r="G521" s="171"/>
      <c r="H521" s="170"/>
      <c r="I521" s="171"/>
    </row>
    <row r="522" ht="14.25" customHeight="1">
      <c r="A522" s="171"/>
      <c r="B522" s="282"/>
      <c r="C522" s="171"/>
      <c r="D522" s="171"/>
      <c r="E522" s="171"/>
      <c r="F522" s="171"/>
      <c r="G522" s="171"/>
      <c r="H522" s="170"/>
      <c r="I522" s="171"/>
    </row>
    <row r="523" ht="14.25" customHeight="1">
      <c r="A523" s="171"/>
      <c r="B523" s="282"/>
      <c r="C523" s="171"/>
      <c r="D523" s="171"/>
      <c r="E523" s="171"/>
      <c r="F523" s="171"/>
      <c r="G523" s="171"/>
      <c r="H523" s="170"/>
      <c r="I523" s="171"/>
    </row>
    <row r="524" ht="14.25" customHeight="1">
      <c r="A524" s="171"/>
      <c r="B524" s="282"/>
      <c r="C524" s="171"/>
      <c r="D524" s="171"/>
      <c r="E524" s="171"/>
      <c r="F524" s="171"/>
      <c r="G524" s="171"/>
      <c r="H524" s="170"/>
      <c r="I524" s="171"/>
    </row>
    <row r="525" ht="14.25" customHeight="1">
      <c r="A525" s="171"/>
      <c r="B525" s="282"/>
      <c r="C525" s="171"/>
      <c r="D525" s="171"/>
      <c r="E525" s="171"/>
      <c r="F525" s="171"/>
      <c r="G525" s="171"/>
      <c r="H525" s="170"/>
      <c r="I525" s="171"/>
    </row>
    <row r="526" ht="14.25" customHeight="1">
      <c r="A526" s="171"/>
      <c r="B526" s="282"/>
      <c r="C526" s="171"/>
      <c r="D526" s="171"/>
      <c r="E526" s="171"/>
      <c r="F526" s="171"/>
      <c r="G526" s="171"/>
      <c r="H526" s="170"/>
      <c r="I526" s="171"/>
    </row>
    <row r="527" ht="14.25" customHeight="1">
      <c r="A527" s="171"/>
      <c r="B527" s="282"/>
      <c r="C527" s="171"/>
      <c r="D527" s="171"/>
      <c r="E527" s="171"/>
      <c r="F527" s="171"/>
      <c r="G527" s="171"/>
      <c r="H527" s="170"/>
      <c r="I527" s="171"/>
    </row>
    <row r="528" ht="14.25" customHeight="1">
      <c r="A528" s="171"/>
      <c r="B528" s="282"/>
      <c r="C528" s="171"/>
      <c r="D528" s="171"/>
      <c r="E528" s="171"/>
      <c r="F528" s="171"/>
      <c r="G528" s="171"/>
      <c r="H528" s="170"/>
      <c r="I528" s="171"/>
    </row>
    <row r="529" ht="14.25" customHeight="1">
      <c r="A529" s="171"/>
      <c r="B529" s="282"/>
      <c r="C529" s="171"/>
      <c r="D529" s="171"/>
      <c r="E529" s="171"/>
      <c r="F529" s="171"/>
      <c r="G529" s="171"/>
      <c r="H529" s="170"/>
      <c r="I529" s="171"/>
    </row>
    <row r="530" ht="14.25" customHeight="1">
      <c r="A530" s="171"/>
      <c r="B530" s="282"/>
      <c r="C530" s="171"/>
      <c r="D530" s="171"/>
      <c r="E530" s="171"/>
      <c r="F530" s="171"/>
      <c r="G530" s="171"/>
      <c r="H530" s="170"/>
      <c r="I530" s="171"/>
    </row>
    <row r="531" ht="14.25" customHeight="1">
      <c r="A531" s="171"/>
      <c r="B531" s="282"/>
      <c r="C531" s="171"/>
      <c r="D531" s="171"/>
      <c r="E531" s="171"/>
      <c r="F531" s="171"/>
      <c r="G531" s="171"/>
      <c r="H531" s="170"/>
      <c r="I531" s="171"/>
    </row>
    <row r="532" ht="14.25" customHeight="1">
      <c r="A532" s="171"/>
      <c r="B532" s="282"/>
      <c r="C532" s="171"/>
      <c r="D532" s="171"/>
      <c r="E532" s="171"/>
      <c r="F532" s="171"/>
      <c r="G532" s="171"/>
      <c r="H532" s="170"/>
      <c r="I532" s="171"/>
    </row>
    <row r="533" ht="14.25" customHeight="1">
      <c r="A533" s="171"/>
      <c r="B533" s="282"/>
      <c r="C533" s="171"/>
      <c r="D533" s="171"/>
      <c r="E533" s="171"/>
      <c r="F533" s="171"/>
      <c r="G533" s="171"/>
      <c r="H533" s="170"/>
      <c r="I533" s="171"/>
    </row>
    <row r="534" ht="14.25" customHeight="1">
      <c r="A534" s="171"/>
      <c r="B534" s="282"/>
      <c r="C534" s="171"/>
      <c r="D534" s="171"/>
      <c r="E534" s="171"/>
      <c r="F534" s="171"/>
      <c r="G534" s="171"/>
      <c r="H534" s="170"/>
      <c r="I534" s="171"/>
    </row>
    <row r="535" ht="14.25" customHeight="1">
      <c r="A535" s="171"/>
      <c r="B535" s="282"/>
      <c r="C535" s="171"/>
      <c r="D535" s="171"/>
      <c r="E535" s="171"/>
      <c r="F535" s="171"/>
      <c r="G535" s="171"/>
      <c r="H535" s="170"/>
      <c r="I535" s="171"/>
    </row>
    <row r="536" ht="14.25" customHeight="1">
      <c r="A536" s="171"/>
      <c r="B536" s="282"/>
      <c r="C536" s="171"/>
      <c r="D536" s="171"/>
      <c r="E536" s="171"/>
      <c r="F536" s="171"/>
      <c r="G536" s="171"/>
      <c r="H536" s="170"/>
      <c r="I536" s="171"/>
    </row>
    <row r="537" ht="14.25" customHeight="1">
      <c r="A537" s="171"/>
      <c r="B537" s="282"/>
      <c r="C537" s="171"/>
      <c r="D537" s="171"/>
      <c r="E537" s="171"/>
      <c r="F537" s="171"/>
      <c r="G537" s="171"/>
      <c r="H537" s="170"/>
      <c r="I537" s="171"/>
    </row>
    <row r="538" ht="14.25" customHeight="1">
      <c r="A538" s="171"/>
      <c r="B538" s="282"/>
      <c r="C538" s="171"/>
      <c r="D538" s="171"/>
      <c r="E538" s="171"/>
      <c r="F538" s="171"/>
      <c r="G538" s="171"/>
      <c r="H538" s="170"/>
      <c r="I538" s="171"/>
    </row>
    <row r="539" ht="14.25" customHeight="1">
      <c r="A539" s="171"/>
      <c r="B539" s="282"/>
      <c r="C539" s="171"/>
      <c r="D539" s="171"/>
      <c r="E539" s="171"/>
      <c r="F539" s="171"/>
      <c r="G539" s="171"/>
      <c r="H539" s="170"/>
      <c r="I539" s="171"/>
    </row>
    <row r="540" ht="14.25" customHeight="1">
      <c r="A540" s="171"/>
      <c r="B540" s="282"/>
      <c r="C540" s="171"/>
      <c r="D540" s="171"/>
      <c r="E540" s="171"/>
      <c r="F540" s="171"/>
      <c r="G540" s="171"/>
      <c r="H540" s="170"/>
      <c r="I540" s="171"/>
    </row>
    <row r="541" ht="14.25" customHeight="1">
      <c r="A541" s="171"/>
      <c r="B541" s="282"/>
      <c r="C541" s="171"/>
      <c r="D541" s="171"/>
      <c r="E541" s="171"/>
      <c r="F541" s="171"/>
      <c r="G541" s="171"/>
      <c r="H541" s="170"/>
      <c r="I541" s="171"/>
    </row>
    <row r="542" ht="14.25" customHeight="1">
      <c r="A542" s="171"/>
      <c r="B542" s="282"/>
      <c r="C542" s="171"/>
      <c r="D542" s="171"/>
      <c r="E542" s="171"/>
      <c r="F542" s="171"/>
      <c r="G542" s="171"/>
      <c r="H542" s="170"/>
      <c r="I542" s="171"/>
    </row>
    <row r="543" ht="14.25" customHeight="1">
      <c r="A543" s="171"/>
      <c r="B543" s="282"/>
      <c r="C543" s="171"/>
      <c r="D543" s="171"/>
      <c r="E543" s="171"/>
      <c r="F543" s="171"/>
      <c r="G543" s="171"/>
      <c r="H543" s="170"/>
      <c r="I543" s="171"/>
    </row>
    <row r="544" ht="14.25" customHeight="1">
      <c r="A544" s="171"/>
      <c r="B544" s="282"/>
      <c r="C544" s="171"/>
      <c r="D544" s="171"/>
      <c r="E544" s="171"/>
      <c r="F544" s="171"/>
      <c r="G544" s="171"/>
      <c r="H544" s="170"/>
      <c r="I544" s="171"/>
    </row>
    <row r="545" ht="14.25" customHeight="1">
      <c r="A545" s="171"/>
      <c r="B545" s="282"/>
      <c r="C545" s="171"/>
      <c r="D545" s="171"/>
      <c r="E545" s="171"/>
      <c r="F545" s="171"/>
      <c r="G545" s="171"/>
      <c r="H545" s="170"/>
      <c r="I545" s="171"/>
    </row>
    <row r="546" ht="14.25" customHeight="1">
      <c r="A546" s="171"/>
      <c r="B546" s="282"/>
      <c r="C546" s="171"/>
      <c r="D546" s="171"/>
      <c r="E546" s="171"/>
      <c r="F546" s="171"/>
      <c r="G546" s="171"/>
      <c r="H546" s="170"/>
      <c r="I546" s="171"/>
    </row>
    <row r="547" ht="14.25" customHeight="1">
      <c r="A547" s="171"/>
      <c r="B547" s="282"/>
      <c r="C547" s="171"/>
      <c r="D547" s="171"/>
      <c r="E547" s="171"/>
      <c r="F547" s="171"/>
      <c r="G547" s="171"/>
      <c r="H547" s="170"/>
      <c r="I547" s="171"/>
    </row>
    <row r="548" ht="14.25" customHeight="1">
      <c r="A548" s="171"/>
      <c r="B548" s="282"/>
      <c r="C548" s="171"/>
      <c r="D548" s="171"/>
      <c r="E548" s="171"/>
      <c r="F548" s="171"/>
      <c r="G548" s="171"/>
      <c r="H548" s="170"/>
      <c r="I548" s="171"/>
    </row>
    <row r="549" ht="14.25" customHeight="1">
      <c r="A549" s="171"/>
      <c r="B549" s="282"/>
      <c r="C549" s="171"/>
      <c r="D549" s="171"/>
      <c r="E549" s="171"/>
      <c r="F549" s="171"/>
      <c r="G549" s="171"/>
      <c r="H549" s="170"/>
      <c r="I549" s="171"/>
    </row>
    <row r="550" ht="14.25" customHeight="1">
      <c r="A550" s="171"/>
      <c r="B550" s="282"/>
      <c r="C550" s="171"/>
      <c r="D550" s="171"/>
      <c r="E550" s="171"/>
      <c r="F550" s="171"/>
      <c r="G550" s="171"/>
      <c r="H550" s="170"/>
      <c r="I550" s="171"/>
    </row>
    <row r="551" ht="14.25" customHeight="1">
      <c r="A551" s="171"/>
      <c r="B551" s="282"/>
      <c r="C551" s="171"/>
      <c r="D551" s="171"/>
      <c r="E551" s="171"/>
      <c r="F551" s="171"/>
      <c r="G551" s="171"/>
      <c r="H551" s="170"/>
      <c r="I551" s="171"/>
    </row>
    <row r="552" ht="14.25" customHeight="1">
      <c r="A552" s="171"/>
      <c r="B552" s="282"/>
      <c r="C552" s="171"/>
      <c r="D552" s="171"/>
      <c r="E552" s="171"/>
      <c r="F552" s="171"/>
      <c r="G552" s="171"/>
      <c r="H552" s="170"/>
      <c r="I552" s="171"/>
    </row>
    <row r="553" ht="14.25" customHeight="1">
      <c r="A553" s="171"/>
      <c r="B553" s="282"/>
      <c r="C553" s="171"/>
      <c r="D553" s="171"/>
      <c r="E553" s="171"/>
      <c r="F553" s="171"/>
      <c r="G553" s="171"/>
      <c r="H553" s="170"/>
      <c r="I553" s="171"/>
    </row>
    <row r="554" ht="14.25" customHeight="1">
      <c r="A554" s="171"/>
      <c r="B554" s="282"/>
      <c r="C554" s="171"/>
      <c r="D554" s="171"/>
      <c r="E554" s="171"/>
      <c r="F554" s="171"/>
      <c r="G554" s="171"/>
      <c r="H554" s="170"/>
      <c r="I554" s="171"/>
    </row>
    <row r="555" ht="14.25" customHeight="1">
      <c r="A555" s="171"/>
      <c r="B555" s="282"/>
      <c r="C555" s="171"/>
      <c r="D555" s="171"/>
      <c r="E555" s="171"/>
      <c r="F555" s="171"/>
      <c r="G555" s="171"/>
      <c r="H555" s="170"/>
      <c r="I555" s="171"/>
    </row>
    <row r="556" ht="14.25" customHeight="1">
      <c r="A556" s="171"/>
      <c r="B556" s="282"/>
      <c r="C556" s="171"/>
      <c r="D556" s="171"/>
      <c r="E556" s="171"/>
      <c r="F556" s="171"/>
      <c r="G556" s="171"/>
      <c r="H556" s="170"/>
      <c r="I556" s="171"/>
    </row>
    <row r="557" ht="14.25" customHeight="1">
      <c r="A557" s="171"/>
      <c r="B557" s="282"/>
      <c r="C557" s="171"/>
      <c r="D557" s="171"/>
      <c r="E557" s="171"/>
      <c r="F557" s="171"/>
      <c r="G557" s="171"/>
      <c r="H557" s="170"/>
      <c r="I557" s="171"/>
    </row>
    <row r="558" ht="14.25" customHeight="1">
      <c r="A558" s="171"/>
      <c r="B558" s="282"/>
      <c r="C558" s="171"/>
      <c r="D558" s="171"/>
      <c r="E558" s="171"/>
      <c r="F558" s="171"/>
      <c r="G558" s="171"/>
      <c r="H558" s="170"/>
      <c r="I558" s="171"/>
    </row>
    <row r="559" ht="14.25" customHeight="1">
      <c r="A559" s="171"/>
      <c r="B559" s="282"/>
      <c r="C559" s="171"/>
      <c r="D559" s="171"/>
      <c r="E559" s="171"/>
      <c r="F559" s="171"/>
      <c r="G559" s="171"/>
      <c r="H559" s="170"/>
      <c r="I559" s="171"/>
    </row>
    <row r="560" ht="14.25" customHeight="1">
      <c r="A560" s="171"/>
      <c r="B560" s="282"/>
      <c r="C560" s="171"/>
      <c r="D560" s="171"/>
      <c r="E560" s="171"/>
      <c r="F560" s="171"/>
      <c r="G560" s="171"/>
      <c r="H560" s="170"/>
      <c r="I560" s="171"/>
    </row>
    <row r="561" ht="14.25" customHeight="1">
      <c r="A561" s="171"/>
      <c r="B561" s="282"/>
      <c r="C561" s="171"/>
      <c r="D561" s="171"/>
      <c r="E561" s="171"/>
      <c r="F561" s="171"/>
      <c r="G561" s="171"/>
      <c r="H561" s="170"/>
      <c r="I561" s="171"/>
    </row>
    <row r="562" ht="14.25" customHeight="1">
      <c r="A562" s="171"/>
      <c r="B562" s="282"/>
      <c r="C562" s="171"/>
      <c r="D562" s="171"/>
      <c r="E562" s="171"/>
      <c r="F562" s="171"/>
      <c r="G562" s="171"/>
      <c r="H562" s="170"/>
      <c r="I562" s="171"/>
    </row>
    <row r="563" ht="14.25" customHeight="1">
      <c r="A563" s="171"/>
      <c r="B563" s="282"/>
      <c r="C563" s="171"/>
      <c r="D563" s="171"/>
      <c r="E563" s="171"/>
      <c r="F563" s="171"/>
      <c r="G563" s="171"/>
      <c r="H563" s="170"/>
      <c r="I563" s="171"/>
    </row>
    <row r="564" ht="14.25" customHeight="1">
      <c r="A564" s="171"/>
      <c r="B564" s="282"/>
      <c r="C564" s="171"/>
      <c r="D564" s="171"/>
      <c r="E564" s="171"/>
      <c r="F564" s="171"/>
      <c r="G564" s="171"/>
      <c r="H564" s="170"/>
      <c r="I564" s="171"/>
    </row>
    <row r="565" ht="14.25" customHeight="1">
      <c r="A565" s="171"/>
      <c r="B565" s="282"/>
      <c r="C565" s="171"/>
      <c r="D565" s="171"/>
      <c r="E565" s="171"/>
      <c r="F565" s="171"/>
      <c r="G565" s="171"/>
      <c r="H565" s="170"/>
      <c r="I565" s="171"/>
    </row>
    <row r="566" ht="14.25" customHeight="1">
      <c r="A566" s="171"/>
      <c r="B566" s="282"/>
      <c r="C566" s="171"/>
      <c r="D566" s="171"/>
      <c r="E566" s="171"/>
      <c r="F566" s="171"/>
      <c r="G566" s="171"/>
      <c r="H566" s="170"/>
      <c r="I566" s="171"/>
    </row>
    <row r="567" ht="14.25" customHeight="1">
      <c r="A567" s="171"/>
      <c r="B567" s="282"/>
      <c r="C567" s="171"/>
      <c r="D567" s="171"/>
      <c r="E567" s="171"/>
      <c r="F567" s="171"/>
      <c r="G567" s="171"/>
      <c r="H567" s="170"/>
      <c r="I567" s="171"/>
    </row>
    <row r="568" ht="14.25" customHeight="1">
      <c r="A568" s="171"/>
      <c r="B568" s="282"/>
      <c r="C568" s="171"/>
      <c r="D568" s="171"/>
      <c r="E568" s="171"/>
      <c r="F568" s="171"/>
      <c r="G568" s="171"/>
      <c r="H568" s="170"/>
      <c r="I568" s="171"/>
    </row>
    <row r="569" ht="14.25" customHeight="1">
      <c r="A569" s="171"/>
      <c r="B569" s="282"/>
      <c r="C569" s="171"/>
      <c r="D569" s="171"/>
      <c r="E569" s="171"/>
      <c r="F569" s="171"/>
      <c r="G569" s="171"/>
      <c r="H569" s="170"/>
      <c r="I569" s="171"/>
    </row>
    <row r="570" ht="14.25" customHeight="1">
      <c r="A570" s="171"/>
      <c r="B570" s="282"/>
      <c r="C570" s="171"/>
      <c r="D570" s="171"/>
      <c r="E570" s="171"/>
      <c r="F570" s="171"/>
      <c r="G570" s="171"/>
      <c r="H570" s="170"/>
      <c r="I570" s="171"/>
    </row>
    <row r="571" ht="14.25" customHeight="1">
      <c r="A571" s="171"/>
      <c r="B571" s="282"/>
      <c r="C571" s="171"/>
      <c r="D571" s="171"/>
      <c r="E571" s="171"/>
      <c r="F571" s="171"/>
      <c r="G571" s="171"/>
      <c r="H571" s="170"/>
      <c r="I571" s="171"/>
    </row>
    <row r="572" ht="14.25" customHeight="1">
      <c r="A572" s="171"/>
      <c r="B572" s="282"/>
      <c r="C572" s="171"/>
      <c r="D572" s="171"/>
      <c r="E572" s="171"/>
      <c r="F572" s="171"/>
      <c r="G572" s="171"/>
      <c r="H572" s="170"/>
      <c r="I572" s="171"/>
    </row>
    <row r="573" ht="14.25" customHeight="1">
      <c r="A573" s="171"/>
      <c r="B573" s="282"/>
      <c r="C573" s="171"/>
      <c r="D573" s="171"/>
      <c r="E573" s="171"/>
      <c r="F573" s="171"/>
      <c r="G573" s="171"/>
      <c r="H573" s="170"/>
      <c r="I573" s="171"/>
    </row>
    <row r="574" ht="14.25" customHeight="1">
      <c r="A574" s="171"/>
      <c r="B574" s="282"/>
      <c r="C574" s="171"/>
      <c r="D574" s="171"/>
      <c r="E574" s="171"/>
      <c r="F574" s="171"/>
      <c r="G574" s="171"/>
      <c r="H574" s="170"/>
      <c r="I574" s="171"/>
    </row>
    <row r="575" ht="14.25" customHeight="1">
      <c r="A575" s="171"/>
      <c r="B575" s="282"/>
      <c r="C575" s="171"/>
      <c r="D575" s="171"/>
      <c r="E575" s="171"/>
      <c r="F575" s="171"/>
      <c r="G575" s="171"/>
      <c r="H575" s="170"/>
      <c r="I575" s="171"/>
    </row>
    <row r="576" ht="14.25" customHeight="1">
      <c r="A576" s="171"/>
      <c r="B576" s="282"/>
      <c r="C576" s="171"/>
      <c r="D576" s="171"/>
      <c r="E576" s="171"/>
      <c r="F576" s="171"/>
      <c r="G576" s="171"/>
      <c r="H576" s="170"/>
      <c r="I576" s="171"/>
    </row>
    <row r="577" ht="14.25" customHeight="1">
      <c r="A577" s="171"/>
      <c r="B577" s="282"/>
      <c r="C577" s="171"/>
      <c r="D577" s="171"/>
      <c r="E577" s="171"/>
      <c r="F577" s="171"/>
      <c r="G577" s="171"/>
      <c r="H577" s="170"/>
      <c r="I577" s="171"/>
    </row>
    <row r="578" ht="14.25" customHeight="1">
      <c r="A578" s="171"/>
      <c r="B578" s="282"/>
      <c r="C578" s="171"/>
      <c r="D578" s="171"/>
      <c r="E578" s="171"/>
      <c r="F578" s="171"/>
      <c r="G578" s="171"/>
      <c r="H578" s="170"/>
      <c r="I578" s="171"/>
    </row>
    <row r="579" ht="14.25" customHeight="1">
      <c r="A579" s="171"/>
      <c r="B579" s="282"/>
      <c r="C579" s="171"/>
      <c r="D579" s="171"/>
      <c r="E579" s="171"/>
      <c r="F579" s="171"/>
      <c r="G579" s="171"/>
      <c r="H579" s="170"/>
      <c r="I579" s="171"/>
    </row>
    <row r="580" ht="14.25" customHeight="1">
      <c r="A580" s="171"/>
      <c r="B580" s="282"/>
      <c r="C580" s="171"/>
      <c r="D580" s="171"/>
      <c r="E580" s="171"/>
      <c r="F580" s="171"/>
      <c r="G580" s="171"/>
      <c r="H580" s="170"/>
      <c r="I580" s="171"/>
    </row>
    <row r="581" ht="14.25" customHeight="1">
      <c r="A581" s="171"/>
      <c r="B581" s="282"/>
      <c r="C581" s="171"/>
      <c r="D581" s="171"/>
      <c r="E581" s="171"/>
      <c r="F581" s="171"/>
      <c r="G581" s="171"/>
      <c r="H581" s="170"/>
      <c r="I581" s="171"/>
    </row>
    <row r="582" ht="14.25" customHeight="1">
      <c r="A582" s="171"/>
      <c r="B582" s="282"/>
      <c r="C582" s="171"/>
      <c r="D582" s="171"/>
      <c r="E582" s="171"/>
      <c r="F582" s="171"/>
      <c r="G582" s="171"/>
      <c r="H582" s="170"/>
      <c r="I582" s="171"/>
    </row>
    <row r="583" ht="14.25" customHeight="1">
      <c r="A583" s="171"/>
      <c r="B583" s="282"/>
      <c r="C583" s="171"/>
      <c r="D583" s="171"/>
      <c r="E583" s="171"/>
      <c r="F583" s="171"/>
      <c r="G583" s="171"/>
      <c r="H583" s="170"/>
      <c r="I583" s="171"/>
    </row>
    <row r="584" ht="14.25" customHeight="1">
      <c r="A584" s="171"/>
      <c r="B584" s="282"/>
      <c r="C584" s="171"/>
      <c r="D584" s="171"/>
      <c r="E584" s="171"/>
      <c r="F584" s="171"/>
      <c r="G584" s="171"/>
      <c r="H584" s="170"/>
      <c r="I584" s="171"/>
    </row>
    <row r="585" ht="14.25" customHeight="1">
      <c r="A585" s="171"/>
      <c r="B585" s="282"/>
      <c r="C585" s="171"/>
      <c r="D585" s="171"/>
      <c r="E585" s="171"/>
      <c r="F585" s="171"/>
      <c r="G585" s="171"/>
      <c r="H585" s="170"/>
      <c r="I585" s="171"/>
    </row>
    <row r="586" ht="14.25" customHeight="1">
      <c r="A586" s="171"/>
      <c r="B586" s="282"/>
      <c r="C586" s="171"/>
      <c r="D586" s="171"/>
      <c r="E586" s="171"/>
      <c r="F586" s="171"/>
      <c r="G586" s="171"/>
      <c r="H586" s="170"/>
      <c r="I586" s="171"/>
    </row>
    <row r="587" ht="14.25" customHeight="1">
      <c r="A587" s="171"/>
      <c r="B587" s="282"/>
      <c r="C587" s="171"/>
      <c r="D587" s="171"/>
      <c r="E587" s="171"/>
      <c r="F587" s="171"/>
      <c r="G587" s="171"/>
      <c r="H587" s="170"/>
      <c r="I587" s="171"/>
    </row>
    <row r="588" ht="14.25" customHeight="1">
      <c r="A588" s="171"/>
      <c r="B588" s="282"/>
      <c r="C588" s="171"/>
      <c r="D588" s="171"/>
      <c r="E588" s="171"/>
      <c r="F588" s="171"/>
      <c r="G588" s="171"/>
      <c r="H588" s="170"/>
      <c r="I588" s="171"/>
    </row>
    <row r="589" ht="14.25" customHeight="1">
      <c r="A589" s="171"/>
      <c r="B589" s="282"/>
      <c r="C589" s="171"/>
      <c r="D589" s="171"/>
      <c r="E589" s="171"/>
      <c r="F589" s="171"/>
      <c r="G589" s="171"/>
      <c r="H589" s="170"/>
      <c r="I589" s="171"/>
    </row>
    <row r="590" ht="14.25" customHeight="1">
      <c r="A590" s="171"/>
      <c r="B590" s="282"/>
      <c r="C590" s="171"/>
      <c r="D590" s="171"/>
      <c r="E590" s="171"/>
      <c r="F590" s="171"/>
      <c r="G590" s="171"/>
      <c r="H590" s="170"/>
      <c r="I590" s="171"/>
    </row>
    <row r="591" ht="14.25" customHeight="1">
      <c r="A591" s="171"/>
      <c r="B591" s="282"/>
      <c r="C591" s="171"/>
      <c r="D591" s="171"/>
      <c r="E591" s="171"/>
      <c r="F591" s="171"/>
      <c r="G591" s="171"/>
      <c r="H591" s="170"/>
      <c r="I591" s="171"/>
    </row>
    <row r="592" ht="14.25" customHeight="1">
      <c r="A592" s="171"/>
      <c r="B592" s="282"/>
      <c r="C592" s="171"/>
      <c r="D592" s="171"/>
      <c r="E592" s="171"/>
      <c r="F592" s="171"/>
      <c r="G592" s="171"/>
      <c r="H592" s="170"/>
      <c r="I592" s="171"/>
    </row>
    <row r="593" ht="14.25" customHeight="1">
      <c r="A593" s="171"/>
      <c r="B593" s="282"/>
      <c r="C593" s="171"/>
      <c r="D593" s="171"/>
      <c r="E593" s="171"/>
      <c r="F593" s="171"/>
      <c r="G593" s="171"/>
      <c r="H593" s="170"/>
      <c r="I593" s="171"/>
    </row>
    <row r="594" ht="14.25" customHeight="1">
      <c r="A594" s="171"/>
      <c r="B594" s="282"/>
      <c r="C594" s="171"/>
      <c r="D594" s="171"/>
      <c r="E594" s="171"/>
      <c r="F594" s="171"/>
      <c r="G594" s="171"/>
      <c r="H594" s="170"/>
      <c r="I594" s="171"/>
    </row>
    <row r="595" ht="14.25" customHeight="1">
      <c r="A595" s="171"/>
      <c r="B595" s="282"/>
      <c r="C595" s="171"/>
      <c r="D595" s="171"/>
      <c r="E595" s="171"/>
      <c r="F595" s="171"/>
      <c r="G595" s="171"/>
      <c r="H595" s="170"/>
      <c r="I595" s="171"/>
    </row>
    <row r="596" ht="14.25" customHeight="1">
      <c r="A596" s="171"/>
      <c r="B596" s="282"/>
      <c r="C596" s="171"/>
      <c r="D596" s="171"/>
      <c r="E596" s="171"/>
      <c r="F596" s="171"/>
      <c r="G596" s="171"/>
      <c r="H596" s="170"/>
      <c r="I596" s="171"/>
    </row>
    <row r="597" ht="14.25" customHeight="1">
      <c r="A597" s="171"/>
      <c r="B597" s="282"/>
      <c r="C597" s="171"/>
      <c r="D597" s="171"/>
      <c r="E597" s="171"/>
      <c r="F597" s="171"/>
      <c r="G597" s="171"/>
      <c r="H597" s="170"/>
      <c r="I597" s="171"/>
    </row>
    <row r="598" ht="14.25" customHeight="1">
      <c r="A598" s="171"/>
      <c r="B598" s="282"/>
      <c r="C598" s="171"/>
      <c r="D598" s="171"/>
      <c r="E598" s="171"/>
      <c r="F598" s="171"/>
      <c r="G598" s="171"/>
      <c r="H598" s="170"/>
      <c r="I598" s="171"/>
    </row>
    <row r="599" ht="14.25" customHeight="1">
      <c r="A599" s="171"/>
      <c r="B599" s="282"/>
      <c r="C599" s="171"/>
      <c r="D599" s="171"/>
      <c r="E599" s="171"/>
      <c r="F599" s="171"/>
      <c r="G599" s="171"/>
      <c r="H599" s="170"/>
      <c r="I599" s="171"/>
    </row>
    <row r="600" ht="14.25" customHeight="1">
      <c r="A600" s="171"/>
      <c r="B600" s="282"/>
      <c r="C600" s="171"/>
      <c r="D600" s="171"/>
      <c r="E600" s="171"/>
      <c r="F600" s="171"/>
      <c r="G600" s="171"/>
      <c r="H600" s="170"/>
      <c r="I600" s="171"/>
    </row>
    <row r="601" ht="14.25" customHeight="1">
      <c r="A601" s="171"/>
      <c r="B601" s="282"/>
      <c r="C601" s="171"/>
      <c r="D601" s="171"/>
      <c r="E601" s="171"/>
      <c r="F601" s="171"/>
      <c r="G601" s="171"/>
      <c r="H601" s="170"/>
      <c r="I601" s="171"/>
    </row>
    <row r="602" ht="14.25" customHeight="1">
      <c r="A602" s="171"/>
      <c r="B602" s="282"/>
      <c r="C602" s="171"/>
      <c r="D602" s="171"/>
      <c r="E602" s="171"/>
      <c r="F602" s="171"/>
      <c r="G602" s="171"/>
      <c r="H602" s="170"/>
      <c r="I602" s="171"/>
    </row>
    <row r="603" ht="14.25" customHeight="1">
      <c r="A603" s="171"/>
      <c r="B603" s="282"/>
      <c r="C603" s="171"/>
      <c r="D603" s="171"/>
      <c r="E603" s="171"/>
      <c r="F603" s="171"/>
      <c r="G603" s="171"/>
      <c r="H603" s="170"/>
      <c r="I603" s="171"/>
    </row>
    <row r="604" ht="14.25" customHeight="1">
      <c r="A604" s="171"/>
      <c r="B604" s="282"/>
      <c r="C604" s="171"/>
      <c r="D604" s="171"/>
      <c r="E604" s="171"/>
      <c r="F604" s="171"/>
      <c r="G604" s="171"/>
      <c r="H604" s="170"/>
      <c r="I604" s="171"/>
    </row>
    <row r="605" ht="14.25" customHeight="1">
      <c r="A605" s="171"/>
      <c r="B605" s="282"/>
      <c r="C605" s="171"/>
      <c r="D605" s="171"/>
      <c r="E605" s="171"/>
      <c r="F605" s="171"/>
      <c r="G605" s="171"/>
      <c r="H605" s="170"/>
      <c r="I605" s="171"/>
    </row>
    <row r="606" ht="14.25" customHeight="1">
      <c r="A606" s="171"/>
      <c r="B606" s="282"/>
      <c r="C606" s="171"/>
      <c r="D606" s="171"/>
      <c r="E606" s="171"/>
      <c r="F606" s="171"/>
      <c r="G606" s="171"/>
      <c r="H606" s="170"/>
      <c r="I606" s="171"/>
    </row>
    <row r="607" ht="14.25" customHeight="1">
      <c r="A607" s="171"/>
      <c r="B607" s="282"/>
      <c r="C607" s="171"/>
      <c r="D607" s="171"/>
      <c r="E607" s="171"/>
      <c r="F607" s="171"/>
      <c r="G607" s="171"/>
      <c r="H607" s="170"/>
      <c r="I607" s="171"/>
    </row>
    <row r="608" ht="14.25" customHeight="1">
      <c r="A608" s="171"/>
      <c r="B608" s="282"/>
      <c r="C608" s="171"/>
      <c r="D608" s="171"/>
      <c r="E608" s="171"/>
      <c r="F608" s="171"/>
      <c r="G608" s="171"/>
      <c r="H608" s="170"/>
      <c r="I608" s="171"/>
    </row>
    <row r="609" ht="14.25" customHeight="1">
      <c r="A609" s="171"/>
      <c r="B609" s="282"/>
      <c r="C609" s="171"/>
      <c r="D609" s="171"/>
      <c r="E609" s="171"/>
      <c r="F609" s="171"/>
      <c r="G609" s="171"/>
      <c r="H609" s="170"/>
      <c r="I609" s="171"/>
    </row>
    <row r="610" ht="14.25" customHeight="1">
      <c r="A610" s="171"/>
      <c r="B610" s="282"/>
      <c r="C610" s="171"/>
      <c r="D610" s="171"/>
      <c r="E610" s="171"/>
      <c r="F610" s="171"/>
      <c r="G610" s="171"/>
      <c r="H610" s="170"/>
      <c r="I610" s="171"/>
    </row>
    <row r="611" ht="14.25" customHeight="1">
      <c r="A611" s="171"/>
      <c r="B611" s="282"/>
      <c r="C611" s="171"/>
      <c r="D611" s="171"/>
      <c r="E611" s="171"/>
      <c r="F611" s="171"/>
      <c r="G611" s="171"/>
      <c r="H611" s="170"/>
      <c r="I611" s="171"/>
    </row>
    <row r="612" ht="14.25" customHeight="1">
      <c r="A612" s="171"/>
      <c r="B612" s="282"/>
      <c r="C612" s="171"/>
      <c r="D612" s="171"/>
      <c r="E612" s="171"/>
      <c r="F612" s="171"/>
      <c r="G612" s="171"/>
      <c r="H612" s="170"/>
      <c r="I612" s="171"/>
    </row>
    <row r="613" ht="14.25" customHeight="1">
      <c r="A613" s="171"/>
      <c r="B613" s="282"/>
      <c r="C613" s="171"/>
      <c r="D613" s="171"/>
      <c r="E613" s="171"/>
      <c r="F613" s="171"/>
      <c r="G613" s="171"/>
      <c r="H613" s="170"/>
      <c r="I613" s="171"/>
    </row>
    <row r="614" ht="14.25" customHeight="1">
      <c r="A614" s="171"/>
      <c r="B614" s="282"/>
      <c r="C614" s="171"/>
      <c r="D614" s="171"/>
      <c r="E614" s="171"/>
      <c r="F614" s="171"/>
      <c r="G614" s="171"/>
      <c r="H614" s="170"/>
      <c r="I614" s="171"/>
    </row>
    <row r="615" ht="14.25" customHeight="1">
      <c r="A615" s="171"/>
      <c r="B615" s="282"/>
      <c r="C615" s="171"/>
      <c r="D615" s="171"/>
      <c r="E615" s="171"/>
      <c r="F615" s="171"/>
      <c r="G615" s="171"/>
      <c r="H615" s="170"/>
      <c r="I615" s="171"/>
    </row>
    <row r="616" ht="14.25" customHeight="1">
      <c r="A616" s="171"/>
      <c r="B616" s="282"/>
      <c r="C616" s="171"/>
      <c r="D616" s="171"/>
      <c r="E616" s="171"/>
      <c r="F616" s="171"/>
      <c r="G616" s="171"/>
      <c r="H616" s="170"/>
      <c r="I616" s="171"/>
    </row>
    <row r="617" ht="14.25" customHeight="1">
      <c r="A617" s="171"/>
      <c r="B617" s="282"/>
      <c r="C617" s="171"/>
      <c r="D617" s="171"/>
      <c r="E617" s="171"/>
      <c r="F617" s="171"/>
      <c r="G617" s="171"/>
      <c r="H617" s="170"/>
      <c r="I617" s="171"/>
    </row>
    <row r="618" ht="14.25" customHeight="1">
      <c r="A618" s="171"/>
      <c r="B618" s="282"/>
      <c r="C618" s="171"/>
      <c r="D618" s="171"/>
      <c r="E618" s="171"/>
      <c r="F618" s="171"/>
      <c r="G618" s="171"/>
      <c r="H618" s="170"/>
      <c r="I618" s="171"/>
    </row>
    <row r="619" ht="14.25" customHeight="1">
      <c r="A619" s="171"/>
      <c r="B619" s="282"/>
      <c r="C619" s="171"/>
      <c r="D619" s="171"/>
      <c r="E619" s="171"/>
      <c r="F619" s="171"/>
      <c r="G619" s="171"/>
      <c r="H619" s="170"/>
      <c r="I619" s="171"/>
    </row>
    <row r="620" ht="14.25" customHeight="1">
      <c r="A620" s="171"/>
      <c r="B620" s="282"/>
      <c r="C620" s="171"/>
      <c r="D620" s="171"/>
      <c r="E620" s="171"/>
      <c r="F620" s="171"/>
      <c r="G620" s="171"/>
      <c r="H620" s="170"/>
      <c r="I620" s="171"/>
    </row>
    <row r="621" ht="14.25" customHeight="1">
      <c r="A621" s="171"/>
      <c r="B621" s="282"/>
      <c r="C621" s="171"/>
      <c r="D621" s="171"/>
      <c r="E621" s="171"/>
      <c r="F621" s="171"/>
      <c r="G621" s="171"/>
      <c r="H621" s="170"/>
      <c r="I621" s="171"/>
    </row>
    <row r="622" ht="14.25" customHeight="1">
      <c r="A622" s="171"/>
      <c r="B622" s="282"/>
      <c r="C622" s="171"/>
      <c r="D622" s="171"/>
      <c r="E622" s="171"/>
      <c r="F622" s="171"/>
      <c r="G622" s="171"/>
      <c r="H622" s="170"/>
      <c r="I622" s="171"/>
    </row>
    <row r="623" ht="14.25" customHeight="1">
      <c r="A623" s="171"/>
      <c r="B623" s="282"/>
      <c r="C623" s="171"/>
      <c r="D623" s="171"/>
      <c r="E623" s="171"/>
      <c r="F623" s="171"/>
      <c r="G623" s="171"/>
      <c r="H623" s="170"/>
      <c r="I623" s="171"/>
    </row>
    <row r="624" ht="14.25" customHeight="1">
      <c r="A624" s="171"/>
      <c r="B624" s="282"/>
      <c r="C624" s="171"/>
      <c r="D624" s="171"/>
      <c r="E624" s="171"/>
      <c r="F624" s="171"/>
      <c r="G624" s="171"/>
      <c r="H624" s="170"/>
      <c r="I624" s="171"/>
    </row>
    <row r="625" ht="14.25" customHeight="1">
      <c r="A625" s="171"/>
      <c r="B625" s="282"/>
      <c r="C625" s="171"/>
      <c r="D625" s="171"/>
      <c r="E625" s="171"/>
      <c r="F625" s="171"/>
      <c r="G625" s="171"/>
      <c r="H625" s="170"/>
      <c r="I625" s="171"/>
    </row>
    <row r="626" ht="14.25" customHeight="1">
      <c r="A626" s="171"/>
      <c r="B626" s="282"/>
      <c r="C626" s="171"/>
      <c r="D626" s="171"/>
      <c r="E626" s="171"/>
      <c r="F626" s="171"/>
      <c r="G626" s="171"/>
      <c r="H626" s="170"/>
      <c r="I626" s="171"/>
    </row>
    <row r="627" ht="14.25" customHeight="1">
      <c r="A627" s="171"/>
      <c r="B627" s="282"/>
      <c r="C627" s="171"/>
      <c r="D627" s="171"/>
      <c r="E627" s="171"/>
      <c r="F627" s="171"/>
      <c r="G627" s="171"/>
      <c r="H627" s="170"/>
      <c r="I627" s="171"/>
    </row>
    <row r="628" ht="14.25" customHeight="1">
      <c r="A628" s="171"/>
      <c r="B628" s="282"/>
      <c r="C628" s="171"/>
      <c r="D628" s="171"/>
      <c r="E628" s="171"/>
      <c r="F628" s="171"/>
      <c r="G628" s="171"/>
      <c r="H628" s="170"/>
      <c r="I628" s="171"/>
    </row>
    <row r="629" ht="14.25" customHeight="1">
      <c r="A629" s="171"/>
      <c r="B629" s="282"/>
      <c r="C629" s="171"/>
      <c r="D629" s="171"/>
      <c r="E629" s="171"/>
      <c r="F629" s="171"/>
      <c r="G629" s="171"/>
      <c r="H629" s="170"/>
      <c r="I629" s="171"/>
    </row>
    <row r="630" ht="14.25" customHeight="1">
      <c r="A630" s="171"/>
      <c r="B630" s="282"/>
      <c r="C630" s="171"/>
      <c r="D630" s="171"/>
      <c r="E630" s="171"/>
      <c r="F630" s="171"/>
      <c r="G630" s="171"/>
      <c r="H630" s="170"/>
      <c r="I630" s="171"/>
    </row>
    <row r="631" ht="14.25" customHeight="1">
      <c r="A631" s="171"/>
      <c r="B631" s="282"/>
      <c r="C631" s="171"/>
      <c r="D631" s="171"/>
      <c r="E631" s="171"/>
      <c r="F631" s="171"/>
      <c r="G631" s="171"/>
      <c r="H631" s="170"/>
      <c r="I631" s="171"/>
    </row>
    <row r="632" ht="14.25" customHeight="1">
      <c r="A632" s="171"/>
      <c r="B632" s="282"/>
      <c r="C632" s="171"/>
      <c r="D632" s="171"/>
      <c r="E632" s="171"/>
      <c r="F632" s="171"/>
      <c r="G632" s="171"/>
      <c r="H632" s="170"/>
      <c r="I632" s="171"/>
    </row>
    <row r="633" ht="14.25" customHeight="1">
      <c r="A633" s="171"/>
      <c r="B633" s="282"/>
      <c r="C633" s="171"/>
      <c r="D633" s="171"/>
      <c r="E633" s="171"/>
      <c r="F633" s="171"/>
      <c r="G633" s="171"/>
      <c r="H633" s="170"/>
      <c r="I633" s="171"/>
    </row>
    <row r="634" ht="14.25" customHeight="1">
      <c r="A634" s="171"/>
      <c r="B634" s="282"/>
      <c r="C634" s="171"/>
      <c r="D634" s="171"/>
      <c r="E634" s="171"/>
      <c r="F634" s="171"/>
      <c r="G634" s="171"/>
      <c r="H634" s="170"/>
      <c r="I634" s="171"/>
    </row>
    <row r="635" ht="14.25" customHeight="1">
      <c r="A635" s="171"/>
      <c r="B635" s="282"/>
      <c r="C635" s="171"/>
      <c r="D635" s="171"/>
      <c r="E635" s="171"/>
      <c r="F635" s="171"/>
      <c r="G635" s="171"/>
      <c r="H635" s="170"/>
      <c r="I635" s="171"/>
    </row>
    <row r="636" ht="14.25" customHeight="1">
      <c r="A636" s="171"/>
      <c r="B636" s="282"/>
      <c r="C636" s="171"/>
      <c r="D636" s="171"/>
      <c r="E636" s="171"/>
      <c r="F636" s="171"/>
      <c r="G636" s="171"/>
      <c r="H636" s="170"/>
      <c r="I636" s="171"/>
    </row>
    <row r="637" ht="14.25" customHeight="1">
      <c r="A637" s="171"/>
      <c r="B637" s="282"/>
      <c r="C637" s="171"/>
      <c r="D637" s="171"/>
      <c r="E637" s="171"/>
      <c r="F637" s="171"/>
      <c r="G637" s="171"/>
      <c r="H637" s="170"/>
      <c r="I637" s="171"/>
    </row>
    <row r="638" ht="14.25" customHeight="1">
      <c r="A638" s="171"/>
      <c r="B638" s="282"/>
      <c r="C638" s="171"/>
      <c r="D638" s="171"/>
      <c r="E638" s="171"/>
      <c r="F638" s="171"/>
      <c r="G638" s="171"/>
      <c r="H638" s="170"/>
      <c r="I638" s="171"/>
    </row>
    <row r="639" ht="14.25" customHeight="1">
      <c r="A639" s="171"/>
      <c r="B639" s="282"/>
      <c r="C639" s="171"/>
      <c r="D639" s="171"/>
      <c r="E639" s="171"/>
      <c r="F639" s="171"/>
      <c r="G639" s="171"/>
      <c r="H639" s="170"/>
      <c r="I639" s="171"/>
    </row>
    <row r="640" ht="14.25" customHeight="1">
      <c r="A640" s="171"/>
      <c r="B640" s="282"/>
      <c r="C640" s="171"/>
      <c r="D640" s="171"/>
      <c r="E640" s="171"/>
      <c r="F640" s="171"/>
      <c r="G640" s="171"/>
      <c r="H640" s="170"/>
      <c r="I640" s="171"/>
    </row>
    <row r="641" ht="14.25" customHeight="1">
      <c r="A641" s="171"/>
      <c r="B641" s="282"/>
      <c r="C641" s="171"/>
      <c r="D641" s="171"/>
      <c r="E641" s="171"/>
      <c r="F641" s="171"/>
      <c r="G641" s="171"/>
      <c r="H641" s="170"/>
      <c r="I641" s="171"/>
    </row>
    <row r="642" ht="14.25" customHeight="1">
      <c r="A642" s="171"/>
      <c r="B642" s="282"/>
      <c r="C642" s="171"/>
      <c r="D642" s="171"/>
      <c r="E642" s="171"/>
      <c r="F642" s="171"/>
      <c r="G642" s="171"/>
      <c r="H642" s="170"/>
      <c r="I642" s="171"/>
    </row>
    <row r="643" ht="14.25" customHeight="1">
      <c r="A643" s="171"/>
      <c r="B643" s="282"/>
      <c r="C643" s="171"/>
      <c r="D643" s="171"/>
      <c r="E643" s="171"/>
      <c r="F643" s="171"/>
      <c r="G643" s="171"/>
      <c r="H643" s="170"/>
      <c r="I643" s="171"/>
    </row>
    <row r="644" ht="14.25" customHeight="1">
      <c r="A644" s="171"/>
      <c r="B644" s="282"/>
      <c r="C644" s="171"/>
      <c r="D644" s="171"/>
      <c r="E644" s="171"/>
      <c r="F644" s="171"/>
      <c r="G644" s="171"/>
      <c r="H644" s="170"/>
      <c r="I644" s="171"/>
    </row>
    <row r="645" ht="14.25" customHeight="1">
      <c r="A645" s="171"/>
      <c r="B645" s="282"/>
      <c r="C645" s="171"/>
      <c r="D645" s="171"/>
      <c r="E645" s="171"/>
      <c r="F645" s="171"/>
      <c r="G645" s="171"/>
      <c r="H645" s="170"/>
      <c r="I645" s="171"/>
    </row>
    <row r="646" ht="14.25" customHeight="1">
      <c r="A646" s="171"/>
      <c r="B646" s="282"/>
      <c r="C646" s="171"/>
      <c r="D646" s="171"/>
      <c r="E646" s="171"/>
      <c r="F646" s="171"/>
      <c r="G646" s="171"/>
      <c r="H646" s="170"/>
      <c r="I646" s="171"/>
    </row>
    <row r="647" ht="14.25" customHeight="1">
      <c r="A647" s="171"/>
      <c r="B647" s="282"/>
      <c r="C647" s="171"/>
      <c r="D647" s="171"/>
      <c r="E647" s="171"/>
      <c r="F647" s="171"/>
      <c r="G647" s="171"/>
      <c r="H647" s="170"/>
      <c r="I647" s="171"/>
    </row>
    <row r="648" ht="14.25" customHeight="1">
      <c r="A648" s="171"/>
      <c r="B648" s="282"/>
      <c r="C648" s="171"/>
      <c r="D648" s="171"/>
      <c r="E648" s="171"/>
      <c r="F648" s="171"/>
      <c r="G648" s="171"/>
      <c r="H648" s="170"/>
      <c r="I648" s="171"/>
    </row>
    <row r="649" ht="14.25" customHeight="1">
      <c r="A649" s="171"/>
      <c r="B649" s="282"/>
      <c r="C649" s="171"/>
      <c r="D649" s="171"/>
      <c r="E649" s="171"/>
      <c r="F649" s="171"/>
      <c r="G649" s="171"/>
      <c r="H649" s="170"/>
      <c r="I649" s="171"/>
    </row>
    <row r="650" ht="14.25" customHeight="1">
      <c r="A650" s="171"/>
      <c r="B650" s="282"/>
      <c r="C650" s="171"/>
      <c r="D650" s="171"/>
      <c r="E650" s="171"/>
      <c r="F650" s="171"/>
      <c r="G650" s="171"/>
      <c r="H650" s="170"/>
      <c r="I650" s="171"/>
    </row>
    <row r="651" ht="14.25" customHeight="1">
      <c r="A651" s="171"/>
      <c r="B651" s="282"/>
      <c r="C651" s="171"/>
      <c r="D651" s="171"/>
      <c r="E651" s="171"/>
      <c r="F651" s="171"/>
      <c r="G651" s="171"/>
      <c r="H651" s="170"/>
      <c r="I651" s="171"/>
    </row>
    <row r="652" ht="14.25" customHeight="1">
      <c r="A652" s="171"/>
      <c r="B652" s="282"/>
      <c r="C652" s="171"/>
      <c r="D652" s="171"/>
      <c r="E652" s="171"/>
      <c r="F652" s="171"/>
      <c r="G652" s="171"/>
      <c r="H652" s="170"/>
      <c r="I652" s="171"/>
    </row>
    <row r="653" ht="14.25" customHeight="1">
      <c r="A653" s="171"/>
      <c r="B653" s="282"/>
      <c r="C653" s="171"/>
      <c r="D653" s="171"/>
      <c r="E653" s="171"/>
      <c r="F653" s="171"/>
      <c r="G653" s="171"/>
      <c r="H653" s="170"/>
      <c r="I653" s="171"/>
    </row>
    <row r="654" ht="14.25" customHeight="1">
      <c r="A654" s="171"/>
      <c r="B654" s="282"/>
      <c r="C654" s="171"/>
      <c r="D654" s="171"/>
      <c r="E654" s="171"/>
      <c r="F654" s="171"/>
      <c r="G654" s="171"/>
      <c r="H654" s="170"/>
      <c r="I654" s="171"/>
    </row>
    <row r="655" ht="14.25" customHeight="1">
      <c r="A655" s="171"/>
      <c r="B655" s="282"/>
      <c r="C655" s="171"/>
      <c r="D655" s="171"/>
      <c r="E655" s="171"/>
      <c r="F655" s="171"/>
      <c r="G655" s="171"/>
      <c r="H655" s="170"/>
      <c r="I655" s="171"/>
    </row>
    <row r="656" ht="14.25" customHeight="1">
      <c r="A656" s="171"/>
      <c r="B656" s="282"/>
      <c r="C656" s="171"/>
      <c r="D656" s="171"/>
      <c r="E656" s="171"/>
      <c r="F656" s="171"/>
      <c r="G656" s="171"/>
      <c r="H656" s="170"/>
      <c r="I656" s="171"/>
    </row>
    <row r="657" ht="14.25" customHeight="1">
      <c r="A657" s="171"/>
      <c r="B657" s="282"/>
      <c r="C657" s="171"/>
      <c r="D657" s="171"/>
      <c r="E657" s="171"/>
      <c r="F657" s="171"/>
      <c r="G657" s="171"/>
      <c r="H657" s="170"/>
      <c r="I657" s="171"/>
    </row>
    <row r="658" ht="14.25" customHeight="1">
      <c r="A658" s="171"/>
      <c r="B658" s="282"/>
      <c r="C658" s="171"/>
      <c r="D658" s="171"/>
      <c r="E658" s="171"/>
      <c r="F658" s="171"/>
      <c r="G658" s="171"/>
      <c r="H658" s="170"/>
      <c r="I658" s="171"/>
    </row>
    <row r="659" ht="14.25" customHeight="1">
      <c r="A659" s="171"/>
      <c r="B659" s="282"/>
      <c r="C659" s="171"/>
      <c r="D659" s="171"/>
      <c r="E659" s="171"/>
      <c r="F659" s="171"/>
      <c r="G659" s="171"/>
      <c r="H659" s="170"/>
      <c r="I659" s="171"/>
    </row>
    <row r="660" ht="14.25" customHeight="1">
      <c r="A660" s="171"/>
      <c r="B660" s="282"/>
      <c r="C660" s="171"/>
      <c r="D660" s="171"/>
      <c r="E660" s="171"/>
      <c r="F660" s="171"/>
      <c r="G660" s="171"/>
      <c r="H660" s="170"/>
      <c r="I660" s="171"/>
    </row>
    <row r="661" ht="14.25" customHeight="1">
      <c r="A661" s="171"/>
      <c r="B661" s="282"/>
      <c r="C661" s="171"/>
      <c r="D661" s="171"/>
      <c r="E661" s="171"/>
      <c r="F661" s="171"/>
      <c r="G661" s="171"/>
      <c r="H661" s="170"/>
      <c r="I661" s="171"/>
    </row>
    <row r="662" ht="14.25" customHeight="1">
      <c r="A662" s="171"/>
      <c r="B662" s="282"/>
      <c r="C662" s="171"/>
      <c r="D662" s="171"/>
      <c r="E662" s="171"/>
      <c r="F662" s="171"/>
      <c r="G662" s="171"/>
      <c r="H662" s="170"/>
      <c r="I662" s="171"/>
    </row>
    <row r="663" ht="14.25" customHeight="1">
      <c r="A663" s="171"/>
      <c r="B663" s="282"/>
      <c r="C663" s="171"/>
      <c r="D663" s="171"/>
      <c r="E663" s="171"/>
      <c r="F663" s="171"/>
      <c r="G663" s="171"/>
      <c r="H663" s="170"/>
      <c r="I663" s="171"/>
    </row>
    <row r="664" ht="14.25" customHeight="1">
      <c r="A664" s="171"/>
      <c r="B664" s="282"/>
      <c r="C664" s="171"/>
      <c r="D664" s="171"/>
      <c r="E664" s="171"/>
      <c r="F664" s="171"/>
      <c r="G664" s="171"/>
      <c r="H664" s="170"/>
      <c r="I664" s="171"/>
    </row>
    <row r="665" ht="14.25" customHeight="1">
      <c r="A665" s="171"/>
      <c r="B665" s="282"/>
      <c r="C665" s="171"/>
      <c r="D665" s="171"/>
      <c r="E665" s="171"/>
      <c r="F665" s="171"/>
      <c r="G665" s="171"/>
      <c r="H665" s="170"/>
      <c r="I665" s="171"/>
    </row>
    <row r="666" ht="14.25" customHeight="1">
      <c r="A666" s="171"/>
      <c r="B666" s="282"/>
      <c r="C666" s="171"/>
      <c r="D666" s="171"/>
      <c r="E666" s="171"/>
      <c r="F666" s="171"/>
      <c r="G666" s="171"/>
      <c r="H666" s="170"/>
      <c r="I666" s="171"/>
    </row>
    <row r="667" ht="14.25" customHeight="1">
      <c r="A667" s="171"/>
      <c r="B667" s="282"/>
      <c r="C667" s="171"/>
      <c r="D667" s="171"/>
      <c r="E667" s="171"/>
      <c r="F667" s="171"/>
      <c r="G667" s="171"/>
      <c r="H667" s="170"/>
      <c r="I667" s="171"/>
    </row>
    <row r="668" ht="14.25" customHeight="1">
      <c r="A668" s="171"/>
      <c r="B668" s="282"/>
      <c r="C668" s="171"/>
      <c r="D668" s="171"/>
      <c r="E668" s="171"/>
      <c r="F668" s="171"/>
      <c r="G668" s="171"/>
      <c r="H668" s="170"/>
      <c r="I668" s="171"/>
    </row>
    <row r="669" ht="14.25" customHeight="1">
      <c r="A669" s="171"/>
      <c r="B669" s="282"/>
      <c r="C669" s="171"/>
      <c r="D669" s="171"/>
      <c r="E669" s="171"/>
      <c r="F669" s="171"/>
      <c r="G669" s="171"/>
      <c r="H669" s="170"/>
      <c r="I669" s="171"/>
    </row>
    <row r="670" ht="14.25" customHeight="1">
      <c r="A670" s="171"/>
      <c r="B670" s="282"/>
      <c r="C670" s="171"/>
      <c r="D670" s="171"/>
      <c r="E670" s="171"/>
      <c r="F670" s="171"/>
      <c r="G670" s="171"/>
      <c r="H670" s="170"/>
      <c r="I670" s="171"/>
    </row>
    <row r="671" ht="14.25" customHeight="1">
      <c r="A671" s="171"/>
      <c r="B671" s="282"/>
      <c r="C671" s="171"/>
      <c r="D671" s="171"/>
      <c r="E671" s="171"/>
      <c r="F671" s="171"/>
      <c r="G671" s="171"/>
      <c r="H671" s="170"/>
      <c r="I671" s="171"/>
    </row>
    <row r="672" ht="14.25" customHeight="1">
      <c r="A672" s="171"/>
      <c r="B672" s="282"/>
      <c r="C672" s="171"/>
      <c r="D672" s="171"/>
      <c r="E672" s="171"/>
      <c r="F672" s="171"/>
      <c r="G672" s="171"/>
      <c r="H672" s="170"/>
      <c r="I672" s="171"/>
    </row>
    <row r="673" ht="14.25" customHeight="1">
      <c r="A673" s="171"/>
      <c r="B673" s="282"/>
      <c r="C673" s="171"/>
      <c r="D673" s="171"/>
      <c r="E673" s="171"/>
      <c r="F673" s="171"/>
      <c r="G673" s="171"/>
      <c r="H673" s="170"/>
      <c r="I673" s="171"/>
    </row>
    <row r="674" ht="14.25" customHeight="1">
      <c r="A674" s="171"/>
      <c r="B674" s="282"/>
      <c r="C674" s="171"/>
      <c r="D674" s="171"/>
      <c r="E674" s="171"/>
      <c r="F674" s="171"/>
      <c r="G674" s="171"/>
      <c r="H674" s="170"/>
      <c r="I674" s="171"/>
    </row>
    <row r="675" ht="14.25" customHeight="1">
      <c r="A675" s="171"/>
      <c r="B675" s="282"/>
      <c r="C675" s="171"/>
      <c r="D675" s="171"/>
      <c r="E675" s="171"/>
      <c r="F675" s="171"/>
      <c r="G675" s="171"/>
      <c r="H675" s="170"/>
      <c r="I675" s="171"/>
    </row>
    <row r="676" ht="14.25" customHeight="1">
      <c r="A676" s="171"/>
      <c r="B676" s="282"/>
      <c r="C676" s="171"/>
      <c r="D676" s="171"/>
      <c r="E676" s="171"/>
      <c r="F676" s="171"/>
      <c r="G676" s="171"/>
      <c r="H676" s="170"/>
      <c r="I676" s="171"/>
    </row>
    <row r="677" ht="14.25" customHeight="1">
      <c r="A677" s="171"/>
      <c r="B677" s="282"/>
      <c r="C677" s="171"/>
      <c r="D677" s="171"/>
      <c r="E677" s="171"/>
      <c r="F677" s="171"/>
      <c r="G677" s="171"/>
      <c r="H677" s="170"/>
      <c r="I677" s="171"/>
    </row>
    <row r="678" ht="14.25" customHeight="1">
      <c r="A678" s="171"/>
      <c r="B678" s="282"/>
      <c r="C678" s="171"/>
      <c r="D678" s="171"/>
      <c r="E678" s="171"/>
      <c r="F678" s="171"/>
      <c r="G678" s="171"/>
      <c r="H678" s="170"/>
      <c r="I678" s="171"/>
    </row>
    <row r="679" ht="14.25" customHeight="1">
      <c r="A679" s="171"/>
      <c r="B679" s="282"/>
      <c r="C679" s="171"/>
      <c r="D679" s="171"/>
      <c r="E679" s="171"/>
      <c r="F679" s="171"/>
      <c r="G679" s="171"/>
      <c r="H679" s="170"/>
      <c r="I679" s="171"/>
    </row>
    <row r="680" ht="14.25" customHeight="1">
      <c r="A680" s="171"/>
      <c r="B680" s="282"/>
      <c r="C680" s="171"/>
      <c r="D680" s="171"/>
      <c r="E680" s="171"/>
      <c r="F680" s="171"/>
      <c r="G680" s="171"/>
      <c r="H680" s="170"/>
      <c r="I680" s="171"/>
    </row>
    <row r="681" ht="14.25" customHeight="1">
      <c r="A681" s="171"/>
      <c r="B681" s="282"/>
      <c r="C681" s="171"/>
      <c r="D681" s="171"/>
      <c r="E681" s="171"/>
      <c r="F681" s="171"/>
      <c r="G681" s="171"/>
      <c r="H681" s="170"/>
      <c r="I681" s="171"/>
    </row>
    <row r="682" ht="14.25" customHeight="1">
      <c r="A682" s="171"/>
      <c r="B682" s="282"/>
      <c r="C682" s="171"/>
      <c r="D682" s="171"/>
      <c r="E682" s="171"/>
      <c r="F682" s="171"/>
      <c r="G682" s="171"/>
      <c r="H682" s="170"/>
      <c r="I682" s="171"/>
    </row>
    <row r="683" ht="14.25" customHeight="1">
      <c r="A683" s="171"/>
      <c r="B683" s="282"/>
      <c r="C683" s="171"/>
      <c r="D683" s="171"/>
      <c r="E683" s="171"/>
      <c r="F683" s="171"/>
      <c r="G683" s="171"/>
      <c r="H683" s="170"/>
      <c r="I683" s="171"/>
    </row>
    <row r="684" ht="14.25" customHeight="1">
      <c r="A684" s="171"/>
      <c r="B684" s="282"/>
      <c r="C684" s="171"/>
      <c r="D684" s="171"/>
      <c r="E684" s="171"/>
      <c r="F684" s="171"/>
      <c r="G684" s="171"/>
      <c r="H684" s="170"/>
      <c r="I684" s="171"/>
    </row>
    <row r="685" ht="14.25" customHeight="1">
      <c r="A685" s="171"/>
      <c r="B685" s="282"/>
      <c r="C685" s="171"/>
      <c r="D685" s="171"/>
      <c r="E685" s="171"/>
      <c r="F685" s="171"/>
      <c r="G685" s="171"/>
      <c r="H685" s="170"/>
      <c r="I685" s="171"/>
    </row>
    <row r="686" ht="14.25" customHeight="1">
      <c r="A686" s="171"/>
      <c r="B686" s="282"/>
      <c r="C686" s="171"/>
      <c r="D686" s="171"/>
      <c r="E686" s="171"/>
      <c r="F686" s="171"/>
      <c r="G686" s="171"/>
      <c r="H686" s="170"/>
      <c r="I686" s="171"/>
    </row>
    <row r="687" ht="14.25" customHeight="1">
      <c r="A687" s="171"/>
      <c r="B687" s="282"/>
      <c r="C687" s="171"/>
      <c r="D687" s="171"/>
      <c r="E687" s="171"/>
      <c r="F687" s="171"/>
      <c r="G687" s="171"/>
      <c r="H687" s="170"/>
      <c r="I687" s="171"/>
    </row>
    <row r="688" ht="14.25" customHeight="1">
      <c r="A688" s="171"/>
      <c r="B688" s="282"/>
      <c r="C688" s="171"/>
      <c r="D688" s="171"/>
      <c r="E688" s="171"/>
      <c r="F688" s="171"/>
      <c r="G688" s="171"/>
      <c r="H688" s="170"/>
      <c r="I688" s="171"/>
    </row>
    <row r="689" ht="14.25" customHeight="1">
      <c r="A689" s="171"/>
      <c r="B689" s="282"/>
      <c r="C689" s="171"/>
      <c r="D689" s="171"/>
      <c r="E689" s="171"/>
      <c r="F689" s="171"/>
      <c r="G689" s="171"/>
      <c r="H689" s="170"/>
      <c r="I689" s="171"/>
    </row>
    <row r="690" ht="14.25" customHeight="1">
      <c r="A690" s="171"/>
      <c r="B690" s="282"/>
      <c r="C690" s="171"/>
      <c r="D690" s="171"/>
      <c r="E690" s="171"/>
      <c r="F690" s="171"/>
      <c r="G690" s="171"/>
      <c r="H690" s="170"/>
      <c r="I690" s="171"/>
    </row>
    <row r="691" ht="14.25" customHeight="1">
      <c r="A691" s="171"/>
      <c r="B691" s="282"/>
      <c r="C691" s="171"/>
      <c r="D691" s="171"/>
      <c r="E691" s="171"/>
      <c r="F691" s="171"/>
      <c r="G691" s="171"/>
      <c r="H691" s="170"/>
      <c r="I691" s="171"/>
    </row>
    <row r="692" ht="14.25" customHeight="1">
      <c r="A692" s="171"/>
      <c r="B692" s="282"/>
      <c r="C692" s="171"/>
      <c r="D692" s="171"/>
      <c r="E692" s="171"/>
      <c r="F692" s="171"/>
      <c r="G692" s="171"/>
      <c r="H692" s="170"/>
      <c r="I692" s="171"/>
    </row>
    <row r="693" ht="14.25" customHeight="1">
      <c r="A693" s="171"/>
      <c r="B693" s="282"/>
      <c r="C693" s="171"/>
      <c r="D693" s="171"/>
      <c r="E693" s="171"/>
      <c r="F693" s="171"/>
      <c r="G693" s="171"/>
      <c r="H693" s="170"/>
      <c r="I693" s="171"/>
    </row>
    <row r="694" ht="14.25" customHeight="1">
      <c r="A694" s="171"/>
      <c r="B694" s="282"/>
      <c r="C694" s="171"/>
      <c r="D694" s="171"/>
      <c r="E694" s="171"/>
      <c r="F694" s="171"/>
      <c r="G694" s="171"/>
      <c r="H694" s="170"/>
      <c r="I694" s="171"/>
    </row>
    <row r="695" ht="14.25" customHeight="1">
      <c r="A695" s="171"/>
      <c r="B695" s="282"/>
      <c r="C695" s="171"/>
      <c r="D695" s="171"/>
      <c r="E695" s="171"/>
      <c r="F695" s="171"/>
      <c r="G695" s="171"/>
      <c r="H695" s="170"/>
      <c r="I695" s="171"/>
    </row>
    <row r="696" ht="14.25" customHeight="1">
      <c r="A696" s="171"/>
      <c r="B696" s="282"/>
      <c r="C696" s="171"/>
      <c r="D696" s="171"/>
      <c r="E696" s="171"/>
      <c r="F696" s="171"/>
      <c r="G696" s="171"/>
      <c r="H696" s="170"/>
      <c r="I696" s="171"/>
    </row>
    <row r="697" ht="14.25" customHeight="1">
      <c r="A697" s="171"/>
      <c r="B697" s="282"/>
      <c r="C697" s="171"/>
      <c r="D697" s="171"/>
      <c r="E697" s="171"/>
      <c r="F697" s="171"/>
      <c r="G697" s="171"/>
      <c r="H697" s="170"/>
      <c r="I697" s="171"/>
    </row>
    <row r="698" ht="14.25" customHeight="1">
      <c r="A698" s="171"/>
      <c r="B698" s="282"/>
      <c r="C698" s="171"/>
      <c r="D698" s="171"/>
      <c r="E698" s="171"/>
      <c r="F698" s="171"/>
      <c r="G698" s="171"/>
      <c r="H698" s="170"/>
      <c r="I698" s="171"/>
    </row>
    <row r="699" ht="14.25" customHeight="1">
      <c r="A699" s="171"/>
      <c r="B699" s="282"/>
      <c r="C699" s="171"/>
      <c r="D699" s="171"/>
      <c r="E699" s="171"/>
      <c r="F699" s="171"/>
      <c r="G699" s="171"/>
      <c r="H699" s="170"/>
      <c r="I699" s="171"/>
    </row>
    <row r="700" ht="14.25" customHeight="1">
      <c r="A700" s="171"/>
      <c r="B700" s="282"/>
      <c r="C700" s="171"/>
      <c r="D700" s="171"/>
      <c r="E700" s="171"/>
      <c r="F700" s="171"/>
      <c r="G700" s="171"/>
      <c r="H700" s="170"/>
      <c r="I700" s="171"/>
    </row>
    <row r="701" ht="14.25" customHeight="1">
      <c r="A701" s="171"/>
      <c r="B701" s="282"/>
      <c r="C701" s="171"/>
      <c r="D701" s="171"/>
      <c r="E701" s="171"/>
      <c r="F701" s="171"/>
      <c r="G701" s="171"/>
      <c r="H701" s="170"/>
      <c r="I701" s="171"/>
    </row>
    <row r="702" ht="14.25" customHeight="1">
      <c r="A702" s="171"/>
      <c r="B702" s="282"/>
      <c r="C702" s="171"/>
      <c r="D702" s="171"/>
      <c r="E702" s="171"/>
      <c r="F702" s="171"/>
      <c r="G702" s="171"/>
      <c r="H702" s="170"/>
      <c r="I702" s="171"/>
    </row>
    <row r="703" ht="14.25" customHeight="1">
      <c r="A703" s="171"/>
      <c r="B703" s="282"/>
      <c r="C703" s="171"/>
      <c r="D703" s="171"/>
      <c r="E703" s="171"/>
      <c r="F703" s="171"/>
      <c r="G703" s="171"/>
      <c r="H703" s="170"/>
      <c r="I703" s="171"/>
    </row>
    <row r="704" ht="14.25" customHeight="1">
      <c r="A704" s="171"/>
      <c r="B704" s="282"/>
      <c r="C704" s="171"/>
      <c r="D704" s="171"/>
      <c r="E704" s="171"/>
      <c r="F704" s="171"/>
      <c r="G704" s="171"/>
      <c r="H704" s="170"/>
      <c r="I704" s="171"/>
    </row>
    <row r="705" ht="14.25" customHeight="1">
      <c r="A705" s="171"/>
      <c r="B705" s="282"/>
      <c r="C705" s="171"/>
      <c r="D705" s="171"/>
      <c r="E705" s="171"/>
      <c r="F705" s="171"/>
      <c r="G705" s="171"/>
      <c r="H705" s="170"/>
      <c r="I705" s="171"/>
    </row>
    <row r="706" ht="14.25" customHeight="1">
      <c r="A706" s="171"/>
      <c r="B706" s="282"/>
      <c r="C706" s="171"/>
      <c r="D706" s="171"/>
      <c r="E706" s="171"/>
      <c r="F706" s="171"/>
      <c r="G706" s="171"/>
      <c r="H706" s="170"/>
      <c r="I706" s="171"/>
    </row>
    <row r="707" ht="14.25" customHeight="1">
      <c r="A707" s="171"/>
      <c r="B707" s="282"/>
      <c r="C707" s="171"/>
      <c r="D707" s="171"/>
      <c r="E707" s="171"/>
      <c r="F707" s="171"/>
      <c r="G707" s="171"/>
      <c r="H707" s="170"/>
      <c r="I707" s="171"/>
    </row>
    <row r="708" ht="14.25" customHeight="1">
      <c r="A708" s="171"/>
      <c r="B708" s="282"/>
      <c r="C708" s="171"/>
      <c r="D708" s="171"/>
      <c r="E708" s="171"/>
      <c r="F708" s="171"/>
      <c r="G708" s="171"/>
      <c r="H708" s="170"/>
      <c r="I708" s="171"/>
    </row>
    <row r="709" ht="14.25" customHeight="1">
      <c r="A709" s="171"/>
      <c r="B709" s="282"/>
      <c r="C709" s="171"/>
      <c r="D709" s="171"/>
      <c r="E709" s="171"/>
      <c r="F709" s="171"/>
      <c r="G709" s="171"/>
      <c r="H709" s="170"/>
      <c r="I709" s="171"/>
    </row>
    <row r="710" ht="14.25" customHeight="1">
      <c r="A710" s="171"/>
      <c r="B710" s="282"/>
      <c r="C710" s="171"/>
      <c r="D710" s="171"/>
      <c r="E710" s="171"/>
      <c r="F710" s="171"/>
      <c r="G710" s="171"/>
      <c r="H710" s="170"/>
      <c r="I710" s="171"/>
    </row>
    <row r="711" ht="14.25" customHeight="1">
      <c r="A711" s="171"/>
      <c r="B711" s="282"/>
      <c r="C711" s="171"/>
      <c r="D711" s="171"/>
      <c r="E711" s="171"/>
      <c r="F711" s="171"/>
      <c r="G711" s="171"/>
      <c r="H711" s="170"/>
      <c r="I711" s="171"/>
    </row>
    <row r="712" ht="14.25" customHeight="1">
      <c r="A712" s="171"/>
      <c r="B712" s="282"/>
      <c r="C712" s="171"/>
      <c r="D712" s="171"/>
      <c r="E712" s="171"/>
      <c r="F712" s="171"/>
      <c r="G712" s="171"/>
      <c r="H712" s="170"/>
      <c r="I712" s="171"/>
    </row>
    <row r="713" ht="14.25" customHeight="1">
      <c r="A713" s="171"/>
      <c r="B713" s="282"/>
      <c r="C713" s="171"/>
      <c r="D713" s="171"/>
      <c r="E713" s="171"/>
      <c r="F713" s="171"/>
      <c r="G713" s="171"/>
      <c r="H713" s="170"/>
      <c r="I713" s="171"/>
    </row>
    <row r="714" ht="14.25" customHeight="1">
      <c r="A714" s="171"/>
      <c r="B714" s="282"/>
      <c r="C714" s="171"/>
      <c r="D714" s="171"/>
      <c r="E714" s="171"/>
      <c r="F714" s="171"/>
      <c r="G714" s="171"/>
      <c r="H714" s="170"/>
      <c r="I714" s="171"/>
    </row>
    <row r="715" ht="14.25" customHeight="1">
      <c r="A715" s="171"/>
      <c r="B715" s="282"/>
      <c r="C715" s="171"/>
      <c r="D715" s="171"/>
      <c r="E715" s="171"/>
      <c r="F715" s="171"/>
      <c r="G715" s="171"/>
      <c r="H715" s="170"/>
      <c r="I715" s="171"/>
    </row>
    <row r="716" ht="14.25" customHeight="1">
      <c r="A716" s="171"/>
      <c r="B716" s="282"/>
      <c r="C716" s="171"/>
      <c r="D716" s="171"/>
      <c r="E716" s="171"/>
      <c r="F716" s="171"/>
      <c r="G716" s="171"/>
      <c r="H716" s="170"/>
      <c r="I716" s="171"/>
    </row>
    <row r="717" ht="14.25" customHeight="1">
      <c r="A717" s="171"/>
      <c r="B717" s="282"/>
      <c r="C717" s="171"/>
      <c r="D717" s="171"/>
      <c r="E717" s="171"/>
      <c r="F717" s="171"/>
      <c r="G717" s="171"/>
      <c r="H717" s="170"/>
      <c r="I717" s="171"/>
    </row>
    <row r="718" ht="14.25" customHeight="1">
      <c r="A718" s="171"/>
      <c r="B718" s="282"/>
      <c r="C718" s="171"/>
      <c r="D718" s="171"/>
      <c r="E718" s="171"/>
      <c r="F718" s="171"/>
      <c r="G718" s="171"/>
      <c r="H718" s="170"/>
      <c r="I718" s="171"/>
    </row>
    <row r="719" ht="14.25" customHeight="1">
      <c r="A719" s="171"/>
      <c r="B719" s="282"/>
      <c r="C719" s="171"/>
      <c r="D719" s="171"/>
      <c r="E719" s="171"/>
      <c r="F719" s="171"/>
      <c r="G719" s="171"/>
      <c r="H719" s="170"/>
      <c r="I719" s="171"/>
    </row>
    <row r="720" ht="14.25" customHeight="1">
      <c r="A720" s="171"/>
      <c r="B720" s="282"/>
      <c r="C720" s="171"/>
      <c r="D720" s="171"/>
      <c r="E720" s="171"/>
      <c r="F720" s="171"/>
      <c r="G720" s="171"/>
      <c r="H720" s="170"/>
      <c r="I720" s="171"/>
    </row>
    <row r="721" ht="14.25" customHeight="1">
      <c r="A721" s="171"/>
      <c r="B721" s="282"/>
      <c r="C721" s="171"/>
      <c r="D721" s="171"/>
      <c r="E721" s="171"/>
      <c r="F721" s="171"/>
      <c r="G721" s="171"/>
      <c r="H721" s="170"/>
      <c r="I721" s="171"/>
    </row>
    <row r="722" ht="14.25" customHeight="1">
      <c r="A722" s="171"/>
      <c r="B722" s="282"/>
      <c r="C722" s="171"/>
      <c r="D722" s="171"/>
      <c r="E722" s="171"/>
      <c r="F722" s="171"/>
      <c r="G722" s="171"/>
      <c r="H722" s="170"/>
      <c r="I722" s="171"/>
    </row>
    <row r="723" ht="14.25" customHeight="1">
      <c r="A723" s="171"/>
      <c r="B723" s="282"/>
      <c r="C723" s="171"/>
      <c r="D723" s="171"/>
      <c r="E723" s="171"/>
      <c r="F723" s="171"/>
      <c r="G723" s="171"/>
      <c r="H723" s="170"/>
      <c r="I723" s="171"/>
    </row>
    <row r="724" ht="14.25" customHeight="1">
      <c r="A724" s="171"/>
      <c r="B724" s="282"/>
      <c r="C724" s="171"/>
      <c r="D724" s="171"/>
      <c r="E724" s="171"/>
      <c r="F724" s="171"/>
      <c r="G724" s="171"/>
      <c r="H724" s="170"/>
      <c r="I724" s="171"/>
    </row>
    <row r="725" ht="14.25" customHeight="1">
      <c r="A725" s="171"/>
      <c r="B725" s="282"/>
      <c r="C725" s="171"/>
      <c r="D725" s="171"/>
      <c r="E725" s="171"/>
      <c r="F725" s="171"/>
      <c r="G725" s="171"/>
      <c r="H725" s="170"/>
      <c r="I725" s="171"/>
    </row>
    <row r="726" ht="14.25" customHeight="1">
      <c r="A726" s="171"/>
      <c r="B726" s="282"/>
      <c r="C726" s="171"/>
      <c r="D726" s="171"/>
      <c r="E726" s="171"/>
      <c r="F726" s="171"/>
      <c r="G726" s="171"/>
      <c r="H726" s="170"/>
      <c r="I726" s="171"/>
    </row>
    <row r="727" ht="14.25" customHeight="1">
      <c r="A727" s="171"/>
      <c r="B727" s="282"/>
      <c r="C727" s="171"/>
      <c r="D727" s="171"/>
      <c r="E727" s="171"/>
      <c r="F727" s="171"/>
      <c r="G727" s="171"/>
      <c r="H727" s="170"/>
      <c r="I727" s="171"/>
    </row>
    <row r="728" ht="14.25" customHeight="1">
      <c r="A728" s="171"/>
      <c r="B728" s="282"/>
      <c r="C728" s="171"/>
      <c r="D728" s="171"/>
      <c r="E728" s="171"/>
      <c r="F728" s="171"/>
      <c r="G728" s="171"/>
      <c r="H728" s="170"/>
      <c r="I728" s="171"/>
    </row>
    <row r="729" ht="14.25" customHeight="1">
      <c r="A729" s="171"/>
      <c r="B729" s="282"/>
      <c r="C729" s="171"/>
      <c r="D729" s="171"/>
      <c r="E729" s="171"/>
      <c r="F729" s="171"/>
      <c r="G729" s="171"/>
      <c r="H729" s="170"/>
      <c r="I729" s="171"/>
    </row>
    <row r="730" ht="14.25" customHeight="1">
      <c r="A730" s="171"/>
      <c r="B730" s="282"/>
      <c r="C730" s="171"/>
      <c r="D730" s="171"/>
      <c r="E730" s="171"/>
      <c r="F730" s="171"/>
      <c r="G730" s="171"/>
      <c r="H730" s="170"/>
      <c r="I730" s="171"/>
    </row>
    <row r="731" ht="14.25" customHeight="1">
      <c r="A731" s="171"/>
      <c r="B731" s="282"/>
      <c r="C731" s="171"/>
      <c r="D731" s="171"/>
      <c r="E731" s="171"/>
      <c r="F731" s="171"/>
      <c r="G731" s="171"/>
      <c r="H731" s="170"/>
      <c r="I731" s="171"/>
    </row>
    <row r="732" ht="14.25" customHeight="1">
      <c r="A732" s="171"/>
      <c r="B732" s="282"/>
      <c r="C732" s="171"/>
      <c r="D732" s="171"/>
      <c r="E732" s="171"/>
      <c r="F732" s="171"/>
      <c r="G732" s="171"/>
      <c r="H732" s="170"/>
      <c r="I732" s="171"/>
    </row>
    <row r="733" ht="14.25" customHeight="1">
      <c r="A733" s="171"/>
      <c r="B733" s="282"/>
      <c r="C733" s="171"/>
      <c r="D733" s="171"/>
      <c r="E733" s="171"/>
      <c r="F733" s="171"/>
      <c r="G733" s="171"/>
      <c r="H733" s="170"/>
      <c r="I733" s="171"/>
    </row>
    <row r="734" ht="14.25" customHeight="1">
      <c r="A734" s="171"/>
      <c r="B734" s="282"/>
      <c r="C734" s="171"/>
      <c r="D734" s="171"/>
      <c r="E734" s="171"/>
      <c r="F734" s="171"/>
      <c r="G734" s="171"/>
      <c r="H734" s="170"/>
      <c r="I734" s="171"/>
    </row>
    <row r="735" ht="14.25" customHeight="1">
      <c r="A735" s="171"/>
      <c r="B735" s="282"/>
      <c r="C735" s="171"/>
      <c r="D735" s="171"/>
      <c r="E735" s="171"/>
      <c r="F735" s="171"/>
      <c r="G735" s="171"/>
      <c r="H735" s="170"/>
      <c r="I735" s="171"/>
    </row>
    <row r="736" ht="14.25" customHeight="1">
      <c r="A736" s="171"/>
      <c r="B736" s="282"/>
      <c r="C736" s="171"/>
      <c r="D736" s="171"/>
      <c r="E736" s="171"/>
      <c r="F736" s="171"/>
      <c r="G736" s="171"/>
      <c r="H736" s="170"/>
      <c r="I736" s="171"/>
    </row>
    <row r="737" ht="14.25" customHeight="1">
      <c r="A737" s="171"/>
      <c r="B737" s="282"/>
      <c r="C737" s="171"/>
      <c r="D737" s="171"/>
      <c r="E737" s="171"/>
      <c r="F737" s="171"/>
      <c r="G737" s="171"/>
      <c r="H737" s="170"/>
      <c r="I737" s="171"/>
    </row>
    <row r="738" ht="14.25" customHeight="1">
      <c r="A738" s="171"/>
      <c r="B738" s="282"/>
      <c r="C738" s="171"/>
      <c r="D738" s="171"/>
      <c r="E738" s="171"/>
      <c r="F738" s="171"/>
      <c r="G738" s="171"/>
      <c r="H738" s="170"/>
      <c r="I738" s="171"/>
    </row>
    <row r="739" ht="14.25" customHeight="1">
      <c r="A739" s="171"/>
      <c r="B739" s="282"/>
      <c r="C739" s="171"/>
      <c r="D739" s="171"/>
      <c r="E739" s="171"/>
      <c r="F739" s="171"/>
      <c r="G739" s="171"/>
      <c r="H739" s="170"/>
      <c r="I739" s="171"/>
    </row>
    <row r="740" ht="14.25" customHeight="1">
      <c r="A740" s="171"/>
      <c r="B740" s="282"/>
      <c r="C740" s="171"/>
      <c r="D740" s="171"/>
      <c r="E740" s="171"/>
      <c r="F740" s="171"/>
      <c r="G740" s="171"/>
      <c r="H740" s="170"/>
      <c r="I740" s="171"/>
    </row>
    <row r="741" ht="14.25" customHeight="1">
      <c r="A741" s="171"/>
      <c r="B741" s="282"/>
      <c r="C741" s="171"/>
      <c r="D741" s="171"/>
      <c r="E741" s="171"/>
      <c r="F741" s="171"/>
      <c r="G741" s="171"/>
      <c r="H741" s="170"/>
      <c r="I741" s="171"/>
    </row>
    <row r="742" ht="14.25" customHeight="1">
      <c r="A742" s="171"/>
      <c r="B742" s="282"/>
      <c r="C742" s="171"/>
      <c r="D742" s="171"/>
      <c r="E742" s="171"/>
      <c r="F742" s="171"/>
      <c r="G742" s="171"/>
      <c r="H742" s="170"/>
      <c r="I742" s="171"/>
    </row>
    <row r="743" ht="14.25" customHeight="1">
      <c r="A743" s="171"/>
      <c r="B743" s="282"/>
      <c r="C743" s="171"/>
      <c r="D743" s="171"/>
      <c r="E743" s="171"/>
      <c r="F743" s="171"/>
      <c r="G743" s="171"/>
      <c r="H743" s="170"/>
      <c r="I743" s="171"/>
    </row>
    <row r="744" ht="14.25" customHeight="1">
      <c r="A744" s="171"/>
      <c r="B744" s="282"/>
      <c r="C744" s="171"/>
      <c r="D744" s="171"/>
      <c r="E744" s="171"/>
      <c r="F744" s="171"/>
      <c r="G744" s="171"/>
      <c r="H744" s="170"/>
      <c r="I744" s="171"/>
    </row>
    <row r="745" ht="14.25" customHeight="1">
      <c r="A745" s="171"/>
      <c r="B745" s="282"/>
      <c r="C745" s="171"/>
      <c r="D745" s="171"/>
      <c r="E745" s="171"/>
      <c r="F745" s="171"/>
      <c r="G745" s="171"/>
      <c r="H745" s="170"/>
      <c r="I745" s="171"/>
    </row>
    <row r="746" ht="14.25" customHeight="1">
      <c r="A746" s="171"/>
      <c r="B746" s="282"/>
      <c r="C746" s="171"/>
      <c r="D746" s="171"/>
      <c r="E746" s="171"/>
      <c r="F746" s="171"/>
      <c r="G746" s="171"/>
      <c r="H746" s="170"/>
      <c r="I746" s="171"/>
    </row>
    <row r="747" ht="14.25" customHeight="1">
      <c r="A747" s="171"/>
      <c r="B747" s="282"/>
      <c r="C747" s="171"/>
      <c r="D747" s="171"/>
      <c r="E747" s="171"/>
      <c r="F747" s="171"/>
      <c r="G747" s="171"/>
      <c r="H747" s="170"/>
      <c r="I747" s="171"/>
    </row>
    <row r="748" ht="14.25" customHeight="1">
      <c r="A748" s="171"/>
      <c r="B748" s="282"/>
      <c r="C748" s="171"/>
      <c r="D748" s="171"/>
      <c r="E748" s="171"/>
      <c r="F748" s="171"/>
      <c r="G748" s="171"/>
      <c r="H748" s="170"/>
      <c r="I748" s="171"/>
    </row>
    <row r="749" ht="14.25" customHeight="1">
      <c r="A749" s="171"/>
      <c r="B749" s="282"/>
      <c r="C749" s="171"/>
      <c r="D749" s="171"/>
      <c r="E749" s="171"/>
      <c r="F749" s="171"/>
      <c r="G749" s="171"/>
      <c r="H749" s="170"/>
      <c r="I749" s="171"/>
    </row>
    <row r="750" ht="14.25" customHeight="1">
      <c r="A750" s="171"/>
      <c r="B750" s="282"/>
      <c r="C750" s="171"/>
      <c r="D750" s="171"/>
      <c r="E750" s="171"/>
      <c r="F750" s="171"/>
      <c r="G750" s="171"/>
      <c r="H750" s="170"/>
      <c r="I750" s="171"/>
    </row>
    <row r="751" ht="14.25" customHeight="1">
      <c r="A751" s="171"/>
      <c r="B751" s="282"/>
      <c r="C751" s="171"/>
      <c r="D751" s="171"/>
      <c r="E751" s="171"/>
      <c r="F751" s="171"/>
      <c r="G751" s="171"/>
      <c r="H751" s="170"/>
      <c r="I751" s="171"/>
    </row>
    <row r="752" ht="14.25" customHeight="1">
      <c r="A752" s="171"/>
      <c r="B752" s="282"/>
      <c r="C752" s="171"/>
      <c r="D752" s="171"/>
      <c r="E752" s="171"/>
      <c r="F752" s="171"/>
      <c r="G752" s="171"/>
      <c r="H752" s="170"/>
      <c r="I752" s="171"/>
    </row>
    <row r="753" ht="14.25" customHeight="1">
      <c r="A753" s="171"/>
      <c r="B753" s="282"/>
      <c r="C753" s="171"/>
      <c r="D753" s="171"/>
      <c r="E753" s="171"/>
      <c r="F753" s="171"/>
      <c r="G753" s="171"/>
      <c r="H753" s="170"/>
      <c r="I753" s="171"/>
    </row>
    <row r="754" ht="14.25" customHeight="1">
      <c r="A754" s="171"/>
      <c r="B754" s="282"/>
      <c r="C754" s="171"/>
      <c r="D754" s="171"/>
      <c r="E754" s="171"/>
      <c r="F754" s="171"/>
      <c r="G754" s="171"/>
      <c r="H754" s="170"/>
      <c r="I754" s="171"/>
    </row>
    <row r="755" ht="14.25" customHeight="1">
      <c r="A755" s="171"/>
      <c r="B755" s="282"/>
      <c r="C755" s="171"/>
      <c r="D755" s="171"/>
      <c r="E755" s="171"/>
      <c r="F755" s="171"/>
      <c r="G755" s="171"/>
      <c r="H755" s="170"/>
      <c r="I755" s="171"/>
    </row>
    <row r="756" ht="14.25" customHeight="1">
      <c r="A756" s="171"/>
      <c r="B756" s="282"/>
      <c r="C756" s="171"/>
      <c r="D756" s="171"/>
      <c r="E756" s="171"/>
      <c r="F756" s="171"/>
      <c r="G756" s="171"/>
      <c r="H756" s="170"/>
      <c r="I756" s="171"/>
    </row>
    <row r="757" ht="14.25" customHeight="1">
      <c r="A757" s="171"/>
      <c r="B757" s="282"/>
      <c r="C757" s="171"/>
      <c r="D757" s="171"/>
      <c r="E757" s="171"/>
      <c r="F757" s="171"/>
      <c r="G757" s="171"/>
      <c r="H757" s="170"/>
      <c r="I757" s="171"/>
    </row>
    <row r="758" ht="14.25" customHeight="1">
      <c r="A758" s="171"/>
      <c r="B758" s="282"/>
      <c r="C758" s="171"/>
      <c r="D758" s="171"/>
      <c r="E758" s="171"/>
      <c r="F758" s="171"/>
      <c r="G758" s="171"/>
      <c r="H758" s="170"/>
      <c r="I758" s="171"/>
    </row>
    <row r="759" ht="14.25" customHeight="1">
      <c r="A759" s="171"/>
      <c r="B759" s="282"/>
      <c r="C759" s="171"/>
      <c r="D759" s="171"/>
      <c r="E759" s="171"/>
      <c r="F759" s="171"/>
      <c r="G759" s="171"/>
      <c r="H759" s="170"/>
      <c r="I759" s="171"/>
    </row>
    <row r="760" ht="14.25" customHeight="1">
      <c r="A760" s="171"/>
      <c r="B760" s="282"/>
      <c r="C760" s="171"/>
      <c r="D760" s="171"/>
      <c r="E760" s="171"/>
      <c r="F760" s="171"/>
      <c r="G760" s="171"/>
      <c r="H760" s="170"/>
      <c r="I760" s="171"/>
    </row>
    <row r="761" ht="14.25" customHeight="1">
      <c r="A761" s="171"/>
      <c r="B761" s="282"/>
      <c r="C761" s="171"/>
      <c r="D761" s="171"/>
      <c r="E761" s="171"/>
      <c r="F761" s="171"/>
      <c r="G761" s="171"/>
      <c r="H761" s="170"/>
      <c r="I761" s="171"/>
    </row>
    <row r="762" ht="14.25" customHeight="1">
      <c r="A762" s="171"/>
      <c r="B762" s="282"/>
      <c r="C762" s="171"/>
      <c r="D762" s="171"/>
      <c r="E762" s="171"/>
      <c r="F762" s="171"/>
      <c r="G762" s="171"/>
      <c r="H762" s="170"/>
      <c r="I762" s="171"/>
    </row>
    <row r="763" ht="14.25" customHeight="1">
      <c r="A763" s="171"/>
      <c r="B763" s="282"/>
      <c r="C763" s="171"/>
      <c r="D763" s="171"/>
      <c r="E763" s="171"/>
      <c r="F763" s="171"/>
      <c r="G763" s="171"/>
      <c r="H763" s="170"/>
      <c r="I763" s="171"/>
    </row>
    <row r="764" ht="14.25" customHeight="1">
      <c r="A764" s="171"/>
      <c r="B764" s="282"/>
      <c r="C764" s="171"/>
      <c r="D764" s="171"/>
      <c r="E764" s="171"/>
      <c r="F764" s="171"/>
      <c r="G764" s="171"/>
      <c r="H764" s="170"/>
      <c r="I764" s="171"/>
    </row>
    <row r="765" ht="14.25" customHeight="1">
      <c r="A765" s="171"/>
      <c r="B765" s="282"/>
      <c r="C765" s="171"/>
      <c r="D765" s="171"/>
      <c r="E765" s="171"/>
      <c r="F765" s="171"/>
      <c r="G765" s="171"/>
      <c r="H765" s="170"/>
      <c r="I765" s="171"/>
    </row>
    <row r="766" ht="14.25" customHeight="1">
      <c r="A766" s="171"/>
      <c r="B766" s="282"/>
      <c r="C766" s="171"/>
      <c r="D766" s="171"/>
      <c r="E766" s="171"/>
      <c r="F766" s="171"/>
      <c r="G766" s="171"/>
      <c r="H766" s="170"/>
      <c r="I766" s="171"/>
    </row>
    <row r="767" ht="14.25" customHeight="1">
      <c r="A767" s="171"/>
      <c r="B767" s="282"/>
      <c r="C767" s="171"/>
      <c r="D767" s="171"/>
      <c r="E767" s="171"/>
      <c r="F767" s="171"/>
      <c r="G767" s="171"/>
      <c r="H767" s="170"/>
      <c r="I767" s="171"/>
    </row>
    <row r="768" ht="14.25" customHeight="1">
      <c r="A768" s="171"/>
      <c r="B768" s="282"/>
      <c r="C768" s="171"/>
      <c r="D768" s="171"/>
      <c r="E768" s="171"/>
      <c r="F768" s="171"/>
      <c r="G768" s="171"/>
      <c r="H768" s="170"/>
      <c r="I768" s="171"/>
    </row>
    <row r="769" ht="14.25" customHeight="1">
      <c r="A769" s="171"/>
      <c r="B769" s="282"/>
      <c r="C769" s="171"/>
      <c r="D769" s="171"/>
      <c r="E769" s="171"/>
      <c r="F769" s="171"/>
      <c r="G769" s="171"/>
      <c r="H769" s="170"/>
      <c r="I769" s="171"/>
    </row>
    <row r="770" ht="14.25" customHeight="1">
      <c r="A770" s="171"/>
      <c r="B770" s="282"/>
      <c r="C770" s="171"/>
      <c r="D770" s="171"/>
      <c r="E770" s="171"/>
      <c r="F770" s="171"/>
      <c r="G770" s="171"/>
      <c r="H770" s="170"/>
      <c r="I770" s="171"/>
    </row>
    <row r="771" ht="14.25" customHeight="1">
      <c r="A771" s="171"/>
      <c r="B771" s="282"/>
      <c r="C771" s="171"/>
      <c r="D771" s="171"/>
      <c r="E771" s="171"/>
      <c r="F771" s="171"/>
      <c r="G771" s="171"/>
      <c r="H771" s="170"/>
      <c r="I771" s="171"/>
    </row>
    <row r="772" ht="14.25" customHeight="1">
      <c r="A772" s="171"/>
      <c r="B772" s="282"/>
      <c r="C772" s="171"/>
      <c r="D772" s="171"/>
      <c r="E772" s="171"/>
      <c r="F772" s="171"/>
      <c r="G772" s="171"/>
      <c r="H772" s="170"/>
      <c r="I772" s="171"/>
    </row>
    <row r="773" ht="14.25" customHeight="1">
      <c r="A773" s="171"/>
      <c r="B773" s="282"/>
      <c r="C773" s="171"/>
      <c r="D773" s="171"/>
      <c r="E773" s="171"/>
      <c r="F773" s="171"/>
      <c r="G773" s="171"/>
      <c r="H773" s="170"/>
      <c r="I773" s="171"/>
    </row>
    <row r="774" ht="14.25" customHeight="1">
      <c r="A774" s="171"/>
      <c r="B774" s="282"/>
      <c r="C774" s="171"/>
      <c r="D774" s="171"/>
      <c r="E774" s="171"/>
      <c r="F774" s="171"/>
      <c r="G774" s="171"/>
      <c r="H774" s="170"/>
      <c r="I774" s="171"/>
    </row>
    <row r="775" ht="14.25" customHeight="1">
      <c r="A775" s="171"/>
      <c r="B775" s="282"/>
      <c r="C775" s="171"/>
      <c r="D775" s="171"/>
      <c r="E775" s="171"/>
      <c r="F775" s="171"/>
      <c r="G775" s="171"/>
      <c r="H775" s="170"/>
      <c r="I775" s="171"/>
    </row>
    <row r="776" ht="14.25" customHeight="1">
      <c r="A776" s="171"/>
      <c r="B776" s="282"/>
      <c r="C776" s="171"/>
      <c r="D776" s="171"/>
      <c r="E776" s="171"/>
      <c r="F776" s="171"/>
      <c r="G776" s="171"/>
      <c r="H776" s="170"/>
      <c r="I776" s="171"/>
    </row>
    <row r="777" ht="14.25" customHeight="1">
      <c r="A777" s="171"/>
      <c r="B777" s="282"/>
      <c r="C777" s="171"/>
      <c r="D777" s="171"/>
      <c r="E777" s="171"/>
      <c r="F777" s="171"/>
      <c r="G777" s="171"/>
      <c r="H777" s="170"/>
      <c r="I777" s="171"/>
    </row>
    <row r="778" ht="14.25" customHeight="1">
      <c r="A778" s="171"/>
      <c r="B778" s="282"/>
      <c r="C778" s="171"/>
      <c r="D778" s="171"/>
      <c r="E778" s="171"/>
      <c r="F778" s="171"/>
      <c r="G778" s="171"/>
      <c r="H778" s="170"/>
      <c r="I778" s="171"/>
    </row>
    <row r="779" ht="14.25" customHeight="1">
      <c r="A779" s="171"/>
      <c r="B779" s="282"/>
      <c r="C779" s="171"/>
      <c r="D779" s="171"/>
      <c r="E779" s="171"/>
      <c r="F779" s="171"/>
      <c r="G779" s="171"/>
      <c r="H779" s="170"/>
      <c r="I779" s="171"/>
    </row>
    <row r="780" ht="14.25" customHeight="1">
      <c r="A780" s="171"/>
      <c r="B780" s="282"/>
      <c r="C780" s="171"/>
      <c r="D780" s="171"/>
      <c r="E780" s="171"/>
      <c r="F780" s="171"/>
      <c r="G780" s="171"/>
      <c r="H780" s="170"/>
      <c r="I780" s="171"/>
    </row>
    <row r="781" ht="14.25" customHeight="1">
      <c r="A781" s="171"/>
      <c r="B781" s="282"/>
      <c r="C781" s="171"/>
      <c r="D781" s="171"/>
      <c r="E781" s="171"/>
      <c r="F781" s="171"/>
      <c r="G781" s="171"/>
      <c r="H781" s="170"/>
      <c r="I781" s="171"/>
    </row>
    <row r="782" ht="14.25" customHeight="1">
      <c r="A782" s="171"/>
      <c r="B782" s="282"/>
      <c r="C782" s="171"/>
      <c r="D782" s="171"/>
      <c r="E782" s="171"/>
      <c r="F782" s="171"/>
      <c r="G782" s="171"/>
      <c r="H782" s="170"/>
      <c r="I782" s="171"/>
    </row>
    <row r="783" ht="14.25" customHeight="1">
      <c r="A783" s="171"/>
      <c r="B783" s="282"/>
      <c r="C783" s="171"/>
      <c r="D783" s="171"/>
      <c r="E783" s="171"/>
      <c r="F783" s="171"/>
      <c r="G783" s="171"/>
      <c r="H783" s="170"/>
      <c r="I783" s="171"/>
    </row>
    <row r="784" ht="14.25" customHeight="1">
      <c r="A784" s="171"/>
      <c r="B784" s="282"/>
      <c r="C784" s="171"/>
      <c r="D784" s="171"/>
      <c r="E784" s="171"/>
      <c r="F784" s="171"/>
      <c r="G784" s="171"/>
      <c r="H784" s="170"/>
      <c r="I784" s="171"/>
    </row>
    <row r="785" ht="14.25" customHeight="1">
      <c r="A785" s="171"/>
      <c r="B785" s="282"/>
      <c r="C785" s="171"/>
      <c r="D785" s="171"/>
      <c r="E785" s="171"/>
      <c r="F785" s="171"/>
      <c r="G785" s="171"/>
      <c r="H785" s="170"/>
      <c r="I785" s="171"/>
    </row>
    <row r="786" ht="14.25" customHeight="1">
      <c r="A786" s="171"/>
      <c r="B786" s="282"/>
      <c r="C786" s="171"/>
      <c r="D786" s="171"/>
      <c r="E786" s="171"/>
      <c r="F786" s="171"/>
      <c r="G786" s="171"/>
      <c r="H786" s="170"/>
      <c r="I786" s="171"/>
    </row>
    <row r="787" ht="14.25" customHeight="1">
      <c r="A787" s="171"/>
      <c r="B787" s="282"/>
      <c r="C787" s="171"/>
      <c r="D787" s="171"/>
      <c r="E787" s="171"/>
      <c r="F787" s="171"/>
      <c r="G787" s="171"/>
      <c r="H787" s="170"/>
      <c r="I787" s="171"/>
    </row>
    <row r="788" ht="14.25" customHeight="1">
      <c r="A788" s="171"/>
      <c r="B788" s="282"/>
      <c r="C788" s="171"/>
      <c r="D788" s="171"/>
      <c r="E788" s="171"/>
      <c r="F788" s="171"/>
      <c r="G788" s="171"/>
      <c r="H788" s="170"/>
      <c r="I788" s="171"/>
    </row>
    <row r="789" ht="14.25" customHeight="1">
      <c r="A789" s="171"/>
      <c r="B789" s="282"/>
      <c r="C789" s="171"/>
      <c r="D789" s="171"/>
      <c r="E789" s="171"/>
      <c r="F789" s="171"/>
      <c r="G789" s="171"/>
      <c r="H789" s="170"/>
      <c r="I789" s="171"/>
    </row>
    <row r="790" ht="14.25" customHeight="1">
      <c r="A790" s="171"/>
      <c r="B790" s="282"/>
      <c r="C790" s="171"/>
      <c r="D790" s="171"/>
      <c r="E790" s="171"/>
      <c r="F790" s="171"/>
      <c r="G790" s="171"/>
      <c r="H790" s="170"/>
      <c r="I790" s="171"/>
    </row>
    <row r="791" ht="14.25" customHeight="1">
      <c r="A791" s="171"/>
      <c r="B791" s="282"/>
      <c r="C791" s="171"/>
      <c r="D791" s="171"/>
      <c r="E791" s="171"/>
      <c r="F791" s="171"/>
      <c r="G791" s="171"/>
      <c r="H791" s="170"/>
      <c r="I791" s="171"/>
    </row>
    <row r="792" ht="14.25" customHeight="1">
      <c r="A792" s="171"/>
      <c r="B792" s="282"/>
      <c r="C792" s="171"/>
      <c r="D792" s="171"/>
      <c r="E792" s="171"/>
      <c r="F792" s="171"/>
      <c r="G792" s="171"/>
      <c r="H792" s="170"/>
      <c r="I792" s="171"/>
    </row>
    <row r="793" ht="14.25" customHeight="1">
      <c r="A793" s="171"/>
      <c r="B793" s="282"/>
      <c r="C793" s="171"/>
      <c r="D793" s="171"/>
      <c r="E793" s="171"/>
      <c r="F793" s="171"/>
      <c r="G793" s="171"/>
      <c r="H793" s="170"/>
      <c r="I793" s="171"/>
    </row>
    <row r="794" ht="14.25" customHeight="1">
      <c r="A794" s="171"/>
      <c r="B794" s="282"/>
      <c r="C794" s="171"/>
      <c r="D794" s="171"/>
      <c r="E794" s="171"/>
      <c r="F794" s="171"/>
      <c r="G794" s="171"/>
      <c r="H794" s="170"/>
      <c r="I794" s="171"/>
    </row>
    <row r="795" ht="14.25" customHeight="1">
      <c r="A795" s="171"/>
      <c r="B795" s="282"/>
      <c r="C795" s="171"/>
      <c r="D795" s="171"/>
      <c r="E795" s="171"/>
      <c r="F795" s="171"/>
      <c r="G795" s="171"/>
      <c r="H795" s="170"/>
      <c r="I795" s="171"/>
    </row>
    <row r="796" ht="14.25" customHeight="1">
      <c r="A796" s="171"/>
      <c r="B796" s="282"/>
      <c r="C796" s="171"/>
      <c r="D796" s="171"/>
      <c r="E796" s="171"/>
      <c r="F796" s="171"/>
      <c r="G796" s="171"/>
      <c r="H796" s="170"/>
      <c r="I796" s="171"/>
    </row>
    <row r="797" ht="14.25" customHeight="1">
      <c r="A797" s="171"/>
      <c r="B797" s="282"/>
      <c r="C797" s="171"/>
      <c r="D797" s="171"/>
      <c r="E797" s="171"/>
      <c r="F797" s="171"/>
      <c r="G797" s="171"/>
      <c r="H797" s="170"/>
      <c r="I797" s="171"/>
    </row>
    <row r="798" ht="14.25" customHeight="1">
      <c r="A798" s="171"/>
      <c r="B798" s="282"/>
      <c r="C798" s="171"/>
      <c r="D798" s="171"/>
      <c r="E798" s="171"/>
      <c r="F798" s="171"/>
      <c r="G798" s="171"/>
      <c r="H798" s="170"/>
      <c r="I798" s="171"/>
    </row>
    <row r="799" ht="14.25" customHeight="1">
      <c r="A799" s="171"/>
      <c r="B799" s="282"/>
      <c r="C799" s="171"/>
      <c r="D799" s="171"/>
      <c r="E799" s="171"/>
      <c r="F799" s="171"/>
      <c r="G799" s="171"/>
      <c r="H799" s="170"/>
      <c r="I799" s="171"/>
    </row>
    <row r="800" ht="14.25" customHeight="1">
      <c r="A800" s="171"/>
      <c r="B800" s="282"/>
      <c r="C800" s="171"/>
      <c r="D800" s="171"/>
      <c r="E800" s="171"/>
      <c r="F800" s="171"/>
      <c r="G800" s="171"/>
      <c r="H800" s="170"/>
      <c r="I800" s="171"/>
    </row>
    <row r="801" ht="14.25" customHeight="1">
      <c r="A801" s="171"/>
      <c r="B801" s="282"/>
      <c r="C801" s="171"/>
      <c r="D801" s="171"/>
      <c r="E801" s="171"/>
      <c r="F801" s="171"/>
      <c r="G801" s="171"/>
      <c r="H801" s="170"/>
      <c r="I801" s="171"/>
    </row>
    <row r="802" ht="14.25" customHeight="1">
      <c r="A802" s="171"/>
      <c r="B802" s="282"/>
      <c r="C802" s="171"/>
      <c r="D802" s="171"/>
      <c r="E802" s="171"/>
      <c r="F802" s="171"/>
      <c r="G802" s="171"/>
      <c r="H802" s="170"/>
      <c r="I802" s="171"/>
    </row>
    <row r="803" ht="14.25" customHeight="1">
      <c r="A803" s="171"/>
      <c r="B803" s="282"/>
      <c r="C803" s="171"/>
      <c r="D803" s="171"/>
      <c r="E803" s="171"/>
      <c r="F803" s="171"/>
      <c r="G803" s="171"/>
      <c r="H803" s="170"/>
      <c r="I803" s="171"/>
    </row>
    <row r="804" ht="14.25" customHeight="1">
      <c r="A804" s="171"/>
      <c r="B804" s="282"/>
      <c r="C804" s="171"/>
      <c r="D804" s="171"/>
      <c r="E804" s="171"/>
      <c r="F804" s="171"/>
      <c r="G804" s="171"/>
      <c r="H804" s="170"/>
      <c r="I804" s="171"/>
    </row>
    <row r="805" ht="14.25" customHeight="1">
      <c r="A805" s="171"/>
      <c r="B805" s="282"/>
      <c r="C805" s="171"/>
      <c r="D805" s="171"/>
      <c r="E805" s="171"/>
      <c r="F805" s="171"/>
      <c r="G805" s="171"/>
      <c r="H805" s="170"/>
      <c r="I805" s="171"/>
    </row>
    <row r="806" ht="14.25" customHeight="1">
      <c r="A806" s="171"/>
      <c r="B806" s="282"/>
      <c r="C806" s="171"/>
      <c r="D806" s="171"/>
      <c r="E806" s="171"/>
      <c r="F806" s="171"/>
      <c r="G806" s="171"/>
      <c r="H806" s="170"/>
      <c r="I806" s="171"/>
    </row>
    <row r="807" ht="14.25" customHeight="1">
      <c r="A807" s="171"/>
      <c r="B807" s="282"/>
      <c r="C807" s="171"/>
      <c r="D807" s="171"/>
      <c r="E807" s="171"/>
      <c r="F807" s="171"/>
      <c r="G807" s="171"/>
      <c r="H807" s="170"/>
      <c r="I807" s="171"/>
    </row>
    <row r="808" ht="14.25" customHeight="1">
      <c r="A808" s="171"/>
      <c r="B808" s="282"/>
      <c r="C808" s="171"/>
      <c r="D808" s="171"/>
      <c r="E808" s="171"/>
      <c r="F808" s="171"/>
      <c r="G808" s="171"/>
      <c r="H808" s="170"/>
      <c r="I808" s="171"/>
    </row>
    <row r="809" ht="14.25" customHeight="1">
      <c r="A809" s="171"/>
      <c r="B809" s="282"/>
      <c r="C809" s="171"/>
      <c r="D809" s="171"/>
      <c r="E809" s="171"/>
      <c r="F809" s="171"/>
      <c r="G809" s="171"/>
      <c r="H809" s="170"/>
      <c r="I809" s="171"/>
    </row>
    <row r="810" ht="14.25" customHeight="1">
      <c r="A810" s="171"/>
      <c r="B810" s="282"/>
      <c r="C810" s="171"/>
      <c r="D810" s="171"/>
      <c r="E810" s="171"/>
      <c r="F810" s="171"/>
      <c r="G810" s="171"/>
      <c r="H810" s="170"/>
      <c r="I810" s="171"/>
    </row>
    <row r="811" ht="14.25" customHeight="1">
      <c r="A811" s="171"/>
      <c r="B811" s="282"/>
      <c r="C811" s="171"/>
      <c r="D811" s="171"/>
      <c r="E811" s="171"/>
      <c r="F811" s="171"/>
      <c r="G811" s="171"/>
      <c r="H811" s="170"/>
      <c r="I811" s="171"/>
    </row>
    <row r="812" ht="14.25" customHeight="1">
      <c r="A812" s="171"/>
      <c r="B812" s="282"/>
      <c r="C812" s="171"/>
      <c r="D812" s="171"/>
      <c r="E812" s="171"/>
      <c r="F812" s="171"/>
      <c r="G812" s="171"/>
      <c r="H812" s="170"/>
      <c r="I812" s="171"/>
    </row>
    <row r="813" ht="14.25" customHeight="1">
      <c r="A813" s="171"/>
      <c r="B813" s="282"/>
      <c r="C813" s="171"/>
      <c r="D813" s="171"/>
      <c r="E813" s="171"/>
      <c r="F813" s="171"/>
      <c r="G813" s="171"/>
      <c r="H813" s="170"/>
      <c r="I813" s="171"/>
    </row>
    <row r="814" ht="14.25" customHeight="1">
      <c r="A814" s="171"/>
      <c r="B814" s="282"/>
      <c r="C814" s="171"/>
      <c r="D814" s="171"/>
      <c r="E814" s="171"/>
      <c r="F814" s="171"/>
      <c r="G814" s="171"/>
      <c r="H814" s="170"/>
      <c r="I814" s="171"/>
    </row>
    <row r="815" ht="14.25" customHeight="1">
      <c r="A815" s="171"/>
      <c r="B815" s="282"/>
      <c r="C815" s="171"/>
      <c r="D815" s="171"/>
      <c r="E815" s="171"/>
      <c r="F815" s="171"/>
      <c r="G815" s="171"/>
      <c r="H815" s="170"/>
      <c r="I815" s="171"/>
    </row>
    <row r="816" ht="14.25" customHeight="1">
      <c r="A816" s="171"/>
      <c r="B816" s="282"/>
      <c r="C816" s="171"/>
      <c r="D816" s="171"/>
      <c r="E816" s="171"/>
      <c r="F816" s="171"/>
      <c r="G816" s="171"/>
      <c r="H816" s="170"/>
      <c r="I816" s="171"/>
    </row>
    <row r="817" ht="14.25" customHeight="1">
      <c r="A817" s="171"/>
      <c r="B817" s="282"/>
      <c r="C817" s="171"/>
      <c r="D817" s="171"/>
      <c r="E817" s="171"/>
      <c r="F817" s="171"/>
      <c r="G817" s="171"/>
      <c r="H817" s="170"/>
      <c r="I817" s="171"/>
    </row>
    <row r="818" ht="14.25" customHeight="1">
      <c r="A818" s="171"/>
      <c r="B818" s="282"/>
      <c r="C818" s="171"/>
      <c r="D818" s="171"/>
      <c r="E818" s="171"/>
      <c r="F818" s="171"/>
      <c r="G818" s="171"/>
      <c r="H818" s="170"/>
      <c r="I818" s="171"/>
    </row>
    <row r="819" ht="14.25" customHeight="1">
      <c r="A819" s="171"/>
      <c r="B819" s="282"/>
      <c r="C819" s="171"/>
      <c r="D819" s="171"/>
      <c r="E819" s="171"/>
      <c r="F819" s="171"/>
      <c r="G819" s="171"/>
      <c r="H819" s="170"/>
      <c r="I819" s="171"/>
    </row>
    <row r="820" ht="14.25" customHeight="1">
      <c r="A820" s="171"/>
      <c r="B820" s="282"/>
      <c r="C820" s="171"/>
      <c r="D820" s="171"/>
      <c r="E820" s="171"/>
      <c r="F820" s="171"/>
      <c r="G820" s="171"/>
      <c r="H820" s="170"/>
      <c r="I820" s="171"/>
    </row>
    <row r="821" ht="14.25" customHeight="1">
      <c r="A821" s="171"/>
      <c r="B821" s="282"/>
      <c r="C821" s="171"/>
      <c r="D821" s="171"/>
      <c r="E821" s="171"/>
      <c r="F821" s="171"/>
      <c r="G821" s="171"/>
      <c r="H821" s="170"/>
      <c r="I821" s="171"/>
    </row>
    <row r="822" ht="14.25" customHeight="1">
      <c r="A822" s="171"/>
      <c r="B822" s="282"/>
      <c r="C822" s="171"/>
      <c r="D822" s="171"/>
      <c r="E822" s="171"/>
      <c r="F822" s="171"/>
      <c r="G822" s="171"/>
      <c r="H822" s="170"/>
      <c r="I822" s="171"/>
    </row>
    <row r="823" ht="14.25" customHeight="1">
      <c r="A823" s="171"/>
      <c r="B823" s="282"/>
      <c r="C823" s="171"/>
      <c r="D823" s="171"/>
      <c r="E823" s="171"/>
      <c r="F823" s="171"/>
      <c r="G823" s="171"/>
      <c r="H823" s="170"/>
      <c r="I823" s="171"/>
    </row>
    <row r="824" ht="14.25" customHeight="1">
      <c r="A824" s="171"/>
      <c r="B824" s="282"/>
      <c r="C824" s="171"/>
      <c r="D824" s="171"/>
      <c r="E824" s="171"/>
      <c r="F824" s="171"/>
      <c r="G824" s="171"/>
      <c r="H824" s="170"/>
      <c r="I824" s="171"/>
    </row>
    <row r="825" ht="14.25" customHeight="1">
      <c r="A825" s="171"/>
      <c r="B825" s="282"/>
      <c r="C825" s="171"/>
      <c r="D825" s="171"/>
      <c r="E825" s="171"/>
      <c r="F825" s="171"/>
      <c r="G825" s="171"/>
      <c r="H825" s="170"/>
      <c r="I825" s="171"/>
    </row>
    <row r="826" ht="14.25" customHeight="1">
      <c r="A826" s="171"/>
      <c r="B826" s="282"/>
      <c r="C826" s="171"/>
      <c r="D826" s="171"/>
      <c r="E826" s="171"/>
      <c r="F826" s="171"/>
      <c r="G826" s="171"/>
      <c r="H826" s="170"/>
      <c r="I826" s="171"/>
    </row>
    <row r="827" ht="14.25" customHeight="1">
      <c r="A827" s="171"/>
      <c r="B827" s="282"/>
      <c r="C827" s="171"/>
      <c r="D827" s="171"/>
      <c r="E827" s="171"/>
      <c r="F827" s="171"/>
      <c r="G827" s="171"/>
      <c r="H827" s="170"/>
      <c r="I827" s="171"/>
    </row>
    <row r="828" ht="14.25" customHeight="1">
      <c r="A828" s="171"/>
      <c r="B828" s="282"/>
      <c r="C828" s="171"/>
      <c r="D828" s="171"/>
      <c r="E828" s="171"/>
      <c r="F828" s="171"/>
      <c r="G828" s="171"/>
      <c r="H828" s="170"/>
      <c r="I828" s="171"/>
    </row>
    <row r="829" ht="14.25" customHeight="1">
      <c r="A829" s="171"/>
      <c r="B829" s="282"/>
      <c r="C829" s="171"/>
      <c r="D829" s="171"/>
      <c r="E829" s="171"/>
      <c r="F829" s="171"/>
      <c r="G829" s="171"/>
      <c r="H829" s="170"/>
      <c r="I829" s="171"/>
    </row>
    <row r="830" ht="14.25" customHeight="1">
      <c r="A830" s="171"/>
      <c r="B830" s="282"/>
      <c r="C830" s="171"/>
      <c r="D830" s="171"/>
      <c r="E830" s="171"/>
      <c r="F830" s="171"/>
      <c r="G830" s="171"/>
      <c r="H830" s="170"/>
      <c r="I830" s="171"/>
    </row>
    <row r="831" ht="14.25" customHeight="1">
      <c r="A831" s="171"/>
      <c r="B831" s="282"/>
      <c r="C831" s="171"/>
      <c r="D831" s="171"/>
      <c r="E831" s="171"/>
      <c r="F831" s="171"/>
      <c r="G831" s="171"/>
      <c r="H831" s="170"/>
      <c r="I831" s="171"/>
    </row>
    <row r="832" ht="14.25" customHeight="1">
      <c r="A832" s="171"/>
      <c r="B832" s="282"/>
      <c r="C832" s="171"/>
      <c r="D832" s="171"/>
      <c r="E832" s="171"/>
      <c r="F832" s="171"/>
      <c r="G832" s="171"/>
      <c r="H832" s="170"/>
      <c r="I832" s="171"/>
    </row>
    <row r="833" ht="14.25" customHeight="1">
      <c r="A833" s="171"/>
      <c r="B833" s="282"/>
      <c r="C833" s="171"/>
      <c r="D833" s="171"/>
      <c r="E833" s="171"/>
      <c r="F833" s="171"/>
      <c r="G833" s="171"/>
      <c r="H833" s="170"/>
      <c r="I833" s="171"/>
    </row>
    <row r="834" ht="14.25" customHeight="1">
      <c r="A834" s="171"/>
      <c r="B834" s="282"/>
      <c r="C834" s="171"/>
      <c r="D834" s="171"/>
      <c r="E834" s="171"/>
      <c r="F834" s="171"/>
      <c r="G834" s="171"/>
      <c r="H834" s="170"/>
      <c r="I834" s="171"/>
    </row>
    <row r="835" ht="14.25" customHeight="1">
      <c r="A835" s="171"/>
      <c r="B835" s="282"/>
      <c r="C835" s="171"/>
      <c r="D835" s="171"/>
      <c r="E835" s="171"/>
      <c r="F835" s="171"/>
      <c r="G835" s="171"/>
      <c r="H835" s="170"/>
      <c r="I835" s="171"/>
    </row>
    <row r="836" ht="14.25" customHeight="1">
      <c r="A836" s="171"/>
      <c r="B836" s="282"/>
      <c r="C836" s="171"/>
      <c r="D836" s="171"/>
      <c r="E836" s="171"/>
      <c r="F836" s="171"/>
      <c r="G836" s="171"/>
      <c r="H836" s="170"/>
      <c r="I836" s="171"/>
    </row>
    <row r="837" ht="14.25" customHeight="1">
      <c r="A837" s="171"/>
      <c r="B837" s="282"/>
      <c r="C837" s="171"/>
      <c r="D837" s="171"/>
      <c r="E837" s="171"/>
      <c r="F837" s="171"/>
      <c r="G837" s="171"/>
      <c r="H837" s="170"/>
      <c r="I837" s="171"/>
    </row>
    <row r="838" ht="14.25" customHeight="1">
      <c r="A838" s="171"/>
      <c r="B838" s="282"/>
      <c r="C838" s="171"/>
      <c r="D838" s="171"/>
      <c r="E838" s="171"/>
      <c r="F838" s="171"/>
      <c r="G838" s="171"/>
      <c r="H838" s="170"/>
      <c r="I838" s="171"/>
    </row>
    <row r="839" ht="14.25" customHeight="1">
      <c r="A839" s="171"/>
      <c r="B839" s="282"/>
      <c r="C839" s="171"/>
      <c r="D839" s="171"/>
      <c r="E839" s="171"/>
      <c r="F839" s="171"/>
      <c r="G839" s="171"/>
      <c r="H839" s="170"/>
      <c r="I839" s="171"/>
    </row>
    <row r="840" ht="14.25" customHeight="1">
      <c r="A840" s="171"/>
      <c r="B840" s="282"/>
      <c r="C840" s="171"/>
      <c r="D840" s="171"/>
      <c r="E840" s="171"/>
      <c r="F840" s="171"/>
      <c r="G840" s="171"/>
      <c r="H840" s="170"/>
      <c r="I840" s="171"/>
    </row>
    <row r="841" ht="14.25" customHeight="1">
      <c r="A841" s="171"/>
      <c r="B841" s="282"/>
      <c r="C841" s="171"/>
      <c r="D841" s="171"/>
      <c r="E841" s="171"/>
      <c r="F841" s="171"/>
      <c r="G841" s="171"/>
      <c r="H841" s="170"/>
      <c r="I841" s="171"/>
    </row>
    <row r="842" ht="14.25" customHeight="1">
      <c r="A842" s="171"/>
      <c r="B842" s="282"/>
      <c r="C842" s="171"/>
      <c r="D842" s="171"/>
      <c r="E842" s="171"/>
      <c r="F842" s="171"/>
      <c r="G842" s="171"/>
      <c r="H842" s="170"/>
      <c r="I842" s="171"/>
    </row>
    <row r="843" ht="14.25" customHeight="1">
      <c r="A843" s="171"/>
      <c r="B843" s="282"/>
      <c r="C843" s="171"/>
      <c r="D843" s="171"/>
      <c r="E843" s="171"/>
      <c r="F843" s="171"/>
      <c r="G843" s="171"/>
      <c r="H843" s="170"/>
      <c r="I843" s="171"/>
    </row>
    <row r="844" ht="14.25" customHeight="1">
      <c r="A844" s="171"/>
      <c r="B844" s="282"/>
      <c r="C844" s="171"/>
      <c r="D844" s="171"/>
      <c r="E844" s="171"/>
      <c r="F844" s="171"/>
      <c r="G844" s="171"/>
      <c r="H844" s="170"/>
      <c r="I844" s="171"/>
    </row>
    <row r="845" ht="14.25" customHeight="1">
      <c r="A845" s="171"/>
      <c r="B845" s="282"/>
      <c r="C845" s="171"/>
      <c r="D845" s="171"/>
      <c r="E845" s="171"/>
      <c r="F845" s="171"/>
      <c r="G845" s="171"/>
      <c r="H845" s="170"/>
      <c r="I845" s="171"/>
    </row>
    <row r="846" ht="14.25" customHeight="1">
      <c r="A846" s="171"/>
      <c r="B846" s="282"/>
      <c r="C846" s="171"/>
      <c r="D846" s="171"/>
      <c r="E846" s="171"/>
      <c r="F846" s="171"/>
      <c r="G846" s="171"/>
      <c r="H846" s="170"/>
      <c r="I846" s="171"/>
    </row>
    <row r="847" ht="14.25" customHeight="1">
      <c r="A847" s="171"/>
      <c r="B847" s="282"/>
      <c r="C847" s="171"/>
      <c r="D847" s="171"/>
      <c r="E847" s="171"/>
      <c r="F847" s="171"/>
      <c r="G847" s="171"/>
      <c r="H847" s="170"/>
      <c r="I847" s="171"/>
    </row>
    <row r="848" ht="14.25" customHeight="1">
      <c r="A848" s="171"/>
      <c r="B848" s="282"/>
      <c r="C848" s="171"/>
      <c r="D848" s="171"/>
      <c r="E848" s="171"/>
      <c r="F848" s="171"/>
      <c r="G848" s="171"/>
      <c r="H848" s="170"/>
      <c r="I848" s="171"/>
    </row>
    <row r="849" ht="14.25" customHeight="1">
      <c r="A849" s="171"/>
      <c r="B849" s="282"/>
      <c r="C849" s="171"/>
      <c r="D849" s="171"/>
      <c r="E849" s="171"/>
      <c r="F849" s="171"/>
      <c r="G849" s="171"/>
      <c r="H849" s="170"/>
      <c r="I849" s="171"/>
    </row>
    <row r="850" ht="14.25" customHeight="1">
      <c r="A850" s="171"/>
      <c r="B850" s="282"/>
      <c r="C850" s="171"/>
      <c r="D850" s="171"/>
      <c r="E850" s="171"/>
      <c r="F850" s="171"/>
      <c r="G850" s="171"/>
      <c r="H850" s="170"/>
      <c r="I850" s="171"/>
    </row>
    <row r="851" ht="14.25" customHeight="1">
      <c r="A851" s="171"/>
      <c r="B851" s="282"/>
      <c r="C851" s="171"/>
      <c r="D851" s="171"/>
      <c r="E851" s="171"/>
      <c r="F851" s="171"/>
      <c r="G851" s="171"/>
      <c r="H851" s="170"/>
      <c r="I851" s="171"/>
    </row>
    <row r="852" ht="14.25" customHeight="1">
      <c r="A852" s="171"/>
      <c r="B852" s="282"/>
      <c r="C852" s="171"/>
      <c r="D852" s="171"/>
      <c r="E852" s="171"/>
      <c r="F852" s="171"/>
      <c r="G852" s="171"/>
      <c r="H852" s="170"/>
      <c r="I852" s="171"/>
    </row>
    <row r="853" ht="14.25" customHeight="1">
      <c r="A853" s="171"/>
      <c r="B853" s="282"/>
      <c r="C853" s="171"/>
      <c r="D853" s="171"/>
      <c r="E853" s="171"/>
      <c r="F853" s="171"/>
      <c r="G853" s="171"/>
      <c r="H853" s="170"/>
      <c r="I853" s="171"/>
    </row>
    <row r="854" ht="14.25" customHeight="1">
      <c r="A854" s="171"/>
      <c r="B854" s="282"/>
      <c r="C854" s="171"/>
      <c r="D854" s="171"/>
      <c r="E854" s="171"/>
      <c r="F854" s="171"/>
      <c r="G854" s="171"/>
      <c r="H854" s="170"/>
      <c r="I854" s="171"/>
    </row>
    <row r="855" ht="14.25" customHeight="1">
      <c r="A855" s="171"/>
      <c r="B855" s="282"/>
      <c r="C855" s="171"/>
      <c r="D855" s="171"/>
      <c r="E855" s="171"/>
      <c r="F855" s="171"/>
      <c r="G855" s="171"/>
      <c r="H855" s="170"/>
      <c r="I855" s="171"/>
    </row>
    <row r="856" ht="14.25" customHeight="1">
      <c r="A856" s="171"/>
      <c r="B856" s="282"/>
      <c r="C856" s="171"/>
      <c r="D856" s="171"/>
      <c r="E856" s="171"/>
      <c r="F856" s="171"/>
      <c r="G856" s="171"/>
      <c r="H856" s="170"/>
      <c r="I856" s="171"/>
    </row>
    <row r="857" ht="14.25" customHeight="1">
      <c r="A857" s="171"/>
      <c r="B857" s="282"/>
      <c r="C857" s="171"/>
      <c r="D857" s="171"/>
      <c r="E857" s="171"/>
      <c r="F857" s="171"/>
      <c r="G857" s="171"/>
      <c r="H857" s="170"/>
      <c r="I857" s="171"/>
    </row>
    <row r="858" ht="14.25" customHeight="1">
      <c r="A858" s="171"/>
      <c r="B858" s="282"/>
      <c r="C858" s="171"/>
      <c r="D858" s="171"/>
      <c r="E858" s="171"/>
      <c r="F858" s="171"/>
      <c r="G858" s="171"/>
      <c r="H858" s="170"/>
      <c r="I858" s="171"/>
    </row>
    <row r="859" ht="14.25" customHeight="1">
      <c r="A859" s="171"/>
      <c r="B859" s="282"/>
      <c r="C859" s="171"/>
      <c r="D859" s="171"/>
      <c r="E859" s="171"/>
      <c r="F859" s="171"/>
      <c r="G859" s="171"/>
      <c r="H859" s="170"/>
      <c r="I859" s="171"/>
    </row>
    <row r="860" ht="14.25" customHeight="1">
      <c r="A860" s="171"/>
      <c r="B860" s="282"/>
      <c r="C860" s="171"/>
      <c r="D860" s="171"/>
      <c r="E860" s="171"/>
      <c r="F860" s="171"/>
      <c r="G860" s="171"/>
      <c r="H860" s="170"/>
      <c r="I860" s="171"/>
    </row>
    <row r="861" ht="14.25" customHeight="1">
      <c r="A861" s="171"/>
      <c r="B861" s="282"/>
      <c r="C861" s="171"/>
      <c r="D861" s="171"/>
      <c r="E861" s="171"/>
      <c r="F861" s="171"/>
      <c r="G861" s="171"/>
      <c r="H861" s="170"/>
      <c r="I861" s="171"/>
    </row>
    <row r="862" ht="14.25" customHeight="1">
      <c r="A862" s="171"/>
      <c r="B862" s="282"/>
      <c r="C862" s="171"/>
      <c r="D862" s="171"/>
      <c r="E862" s="171"/>
      <c r="F862" s="171"/>
      <c r="G862" s="171"/>
      <c r="H862" s="170"/>
      <c r="I862" s="171"/>
    </row>
    <row r="863" ht="14.25" customHeight="1">
      <c r="A863" s="171"/>
      <c r="B863" s="282"/>
      <c r="C863" s="171"/>
      <c r="D863" s="171"/>
      <c r="E863" s="171"/>
      <c r="F863" s="171"/>
      <c r="G863" s="171"/>
      <c r="H863" s="170"/>
      <c r="I863" s="171"/>
    </row>
    <row r="864" ht="14.25" customHeight="1">
      <c r="A864" s="171"/>
      <c r="B864" s="282"/>
      <c r="C864" s="171"/>
      <c r="D864" s="171"/>
      <c r="E864" s="171"/>
      <c r="F864" s="171"/>
      <c r="G864" s="171"/>
      <c r="H864" s="170"/>
      <c r="I864" s="171"/>
    </row>
    <row r="865" ht="14.25" customHeight="1">
      <c r="A865" s="171"/>
      <c r="B865" s="282"/>
      <c r="C865" s="171"/>
      <c r="D865" s="171"/>
      <c r="E865" s="171"/>
      <c r="F865" s="171"/>
      <c r="G865" s="171"/>
      <c r="H865" s="170"/>
      <c r="I865" s="171"/>
    </row>
    <row r="866" ht="14.25" customHeight="1">
      <c r="A866" s="171"/>
      <c r="B866" s="282"/>
      <c r="C866" s="171"/>
      <c r="D866" s="171"/>
      <c r="E866" s="171"/>
      <c r="F866" s="171"/>
      <c r="G866" s="171"/>
      <c r="H866" s="170"/>
      <c r="I866" s="171"/>
    </row>
    <row r="867" ht="14.25" customHeight="1">
      <c r="A867" s="171"/>
      <c r="B867" s="282"/>
      <c r="C867" s="171"/>
      <c r="D867" s="171"/>
      <c r="E867" s="171"/>
      <c r="F867" s="171"/>
      <c r="G867" s="171"/>
      <c r="H867" s="170"/>
      <c r="I867" s="171"/>
    </row>
    <row r="868" ht="14.25" customHeight="1">
      <c r="A868" s="171"/>
      <c r="B868" s="282"/>
      <c r="C868" s="171"/>
      <c r="D868" s="171"/>
      <c r="E868" s="171"/>
      <c r="F868" s="171"/>
      <c r="G868" s="171"/>
      <c r="H868" s="170"/>
      <c r="I868" s="171"/>
    </row>
    <row r="869" ht="14.25" customHeight="1">
      <c r="A869" s="171"/>
      <c r="B869" s="282"/>
      <c r="C869" s="171"/>
      <c r="D869" s="171"/>
      <c r="E869" s="171"/>
      <c r="F869" s="171"/>
      <c r="G869" s="171"/>
      <c r="H869" s="170"/>
      <c r="I869" s="171"/>
    </row>
    <row r="870" ht="14.25" customHeight="1">
      <c r="A870" s="171"/>
      <c r="B870" s="282"/>
      <c r="C870" s="171"/>
      <c r="D870" s="171"/>
      <c r="E870" s="171"/>
      <c r="F870" s="171"/>
      <c r="G870" s="171"/>
      <c r="H870" s="170"/>
      <c r="I870" s="171"/>
    </row>
    <row r="871" ht="14.25" customHeight="1">
      <c r="A871" s="171"/>
      <c r="B871" s="282"/>
      <c r="C871" s="171"/>
      <c r="D871" s="171"/>
      <c r="E871" s="171"/>
      <c r="F871" s="171"/>
      <c r="G871" s="171"/>
      <c r="H871" s="170"/>
      <c r="I871" s="171"/>
    </row>
    <row r="872" ht="14.25" customHeight="1">
      <c r="A872" s="171"/>
      <c r="B872" s="282"/>
      <c r="C872" s="171"/>
      <c r="D872" s="171"/>
      <c r="E872" s="171"/>
      <c r="F872" s="171"/>
      <c r="G872" s="171"/>
      <c r="H872" s="170"/>
      <c r="I872" s="171"/>
    </row>
    <row r="873" ht="14.25" customHeight="1">
      <c r="A873" s="171"/>
      <c r="B873" s="282"/>
      <c r="C873" s="171"/>
      <c r="D873" s="171"/>
      <c r="E873" s="171"/>
      <c r="F873" s="171"/>
      <c r="G873" s="171"/>
      <c r="H873" s="170"/>
      <c r="I873" s="171"/>
    </row>
    <row r="874" ht="14.25" customHeight="1">
      <c r="A874" s="171"/>
      <c r="B874" s="282"/>
      <c r="C874" s="171"/>
      <c r="D874" s="171"/>
      <c r="E874" s="171"/>
      <c r="F874" s="171"/>
      <c r="G874" s="171"/>
      <c r="H874" s="170"/>
      <c r="I874" s="171"/>
    </row>
    <row r="875" ht="14.25" customHeight="1">
      <c r="A875" s="171"/>
      <c r="B875" s="282"/>
      <c r="C875" s="171"/>
      <c r="D875" s="171"/>
      <c r="E875" s="171"/>
      <c r="F875" s="171"/>
      <c r="G875" s="171"/>
      <c r="H875" s="170"/>
      <c r="I875" s="171"/>
    </row>
    <row r="876" ht="14.25" customHeight="1">
      <c r="A876" s="171"/>
      <c r="B876" s="282"/>
      <c r="C876" s="171"/>
      <c r="D876" s="171"/>
      <c r="E876" s="171"/>
      <c r="F876" s="171"/>
      <c r="G876" s="171"/>
      <c r="H876" s="170"/>
      <c r="I876" s="171"/>
    </row>
    <row r="877" ht="14.25" customHeight="1">
      <c r="A877" s="171"/>
      <c r="B877" s="282"/>
      <c r="C877" s="171"/>
      <c r="D877" s="171"/>
      <c r="E877" s="171"/>
      <c r="F877" s="171"/>
      <c r="G877" s="171"/>
      <c r="H877" s="170"/>
      <c r="I877" s="171"/>
    </row>
    <row r="878" ht="14.25" customHeight="1">
      <c r="A878" s="171"/>
      <c r="B878" s="282"/>
      <c r="C878" s="171"/>
      <c r="D878" s="171"/>
      <c r="E878" s="171"/>
      <c r="F878" s="171"/>
      <c r="G878" s="171"/>
      <c r="H878" s="170"/>
      <c r="I878" s="171"/>
    </row>
    <row r="879" ht="14.25" customHeight="1">
      <c r="A879" s="171"/>
      <c r="B879" s="282"/>
      <c r="C879" s="171"/>
      <c r="D879" s="171"/>
      <c r="E879" s="171"/>
      <c r="F879" s="171"/>
      <c r="G879" s="171"/>
      <c r="H879" s="170"/>
      <c r="I879" s="171"/>
    </row>
    <row r="880" ht="14.25" customHeight="1">
      <c r="A880" s="171"/>
      <c r="B880" s="282"/>
      <c r="C880" s="171"/>
      <c r="D880" s="171"/>
      <c r="E880" s="171"/>
      <c r="F880" s="171"/>
      <c r="G880" s="171"/>
      <c r="H880" s="170"/>
      <c r="I880" s="171"/>
    </row>
    <row r="881" ht="14.25" customHeight="1">
      <c r="A881" s="171"/>
      <c r="B881" s="282"/>
      <c r="C881" s="171"/>
      <c r="D881" s="171"/>
      <c r="E881" s="171"/>
      <c r="F881" s="171"/>
      <c r="G881" s="171"/>
      <c r="H881" s="170"/>
      <c r="I881" s="171"/>
    </row>
    <row r="882" ht="14.25" customHeight="1">
      <c r="A882" s="171"/>
      <c r="B882" s="282"/>
      <c r="C882" s="171"/>
      <c r="D882" s="171"/>
      <c r="E882" s="171"/>
      <c r="F882" s="171"/>
      <c r="G882" s="171"/>
      <c r="H882" s="170"/>
      <c r="I882" s="171"/>
    </row>
    <row r="883" ht="14.25" customHeight="1">
      <c r="A883" s="171"/>
      <c r="B883" s="282"/>
      <c r="C883" s="171"/>
      <c r="D883" s="171"/>
      <c r="E883" s="171"/>
      <c r="F883" s="171"/>
      <c r="G883" s="171"/>
      <c r="H883" s="170"/>
      <c r="I883" s="171"/>
    </row>
    <row r="884" ht="14.25" customHeight="1">
      <c r="A884" s="171"/>
      <c r="B884" s="282"/>
      <c r="C884" s="171"/>
      <c r="D884" s="171"/>
      <c r="E884" s="171"/>
      <c r="F884" s="171"/>
      <c r="G884" s="171"/>
      <c r="H884" s="170"/>
      <c r="I884" s="171"/>
    </row>
    <row r="885" ht="14.25" customHeight="1">
      <c r="A885" s="171"/>
      <c r="B885" s="282"/>
      <c r="C885" s="171"/>
      <c r="D885" s="171"/>
      <c r="E885" s="171"/>
      <c r="F885" s="171"/>
      <c r="G885" s="171"/>
      <c r="H885" s="170"/>
      <c r="I885" s="171"/>
    </row>
    <row r="886" ht="14.25" customHeight="1">
      <c r="A886" s="171"/>
      <c r="B886" s="282"/>
      <c r="C886" s="171"/>
      <c r="D886" s="171"/>
      <c r="E886" s="171"/>
      <c r="F886" s="171"/>
      <c r="G886" s="171"/>
      <c r="H886" s="170"/>
      <c r="I886" s="171"/>
    </row>
    <row r="887" ht="14.25" customHeight="1">
      <c r="A887" s="171"/>
      <c r="B887" s="282"/>
      <c r="C887" s="171"/>
      <c r="D887" s="171"/>
      <c r="E887" s="171"/>
      <c r="F887" s="171"/>
      <c r="G887" s="171"/>
      <c r="H887" s="170"/>
      <c r="I887" s="171"/>
    </row>
    <row r="888" ht="14.25" customHeight="1">
      <c r="A888" s="171"/>
      <c r="B888" s="282"/>
      <c r="C888" s="171"/>
      <c r="D888" s="171"/>
      <c r="E888" s="171"/>
      <c r="F888" s="171"/>
      <c r="G888" s="171"/>
      <c r="H888" s="170"/>
      <c r="I888" s="171"/>
    </row>
    <row r="889" ht="14.25" customHeight="1">
      <c r="A889" s="171"/>
      <c r="B889" s="282"/>
      <c r="C889" s="171"/>
      <c r="D889" s="171"/>
      <c r="E889" s="171"/>
      <c r="F889" s="171"/>
      <c r="G889" s="171"/>
      <c r="H889" s="170"/>
      <c r="I889" s="171"/>
    </row>
    <row r="890" ht="14.25" customHeight="1">
      <c r="A890" s="171"/>
      <c r="B890" s="282"/>
      <c r="C890" s="171"/>
      <c r="D890" s="171"/>
      <c r="E890" s="171"/>
      <c r="F890" s="171"/>
      <c r="G890" s="171"/>
      <c r="H890" s="170"/>
      <c r="I890" s="171"/>
    </row>
    <row r="891" ht="14.25" customHeight="1">
      <c r="A891" s="171"/>
      <c r="B891" s="282"/>
      <c r="C891" s="171"/>
      <c r="D891" s="171"/>
      <c r="E891" s="171"/>
      <c r="F891" s="171"/>
      <c r="G891" s="171"/>
      <c r="H891" s="170"/>
      <c r="I891" s="171"/>
    </row>
    <row r="892" ht="14.25" customHeight="1">
      <c r="A892" s="171"/>
      <c r="B892" s="282"/>
      <c r="C892" s="171"/>
      <c r="D892" s="171"/>
      <c r="E892" s="171"/>
      <c r="F892" s="171"/>
      <c r="G892" s="171"/>
      <c r="H892" s="170"/>
      <c r="I892" s="171"/>
    </row>
    <row r="893" ht="14.25" customHeight="1">
      <c r="A893" s="171"/>
      <c r="B893" s="282"/>
      <c r="C893" s="171"/>
      <c r="D893" s="171"/>
      <c r="E893" s="171"/>
      <c r="F893" s="171"/>
      <c r="G893" s="171"/>
      <c r="H893" s="170"/>
      <c r="I893" s="171"/>
    </row>
    <row r="894" ht="14.25" customHeight="1">
      <c r="A894" s="171"/>
      <c r="B894" s="282"/>
      <c r="C894" s="171"/>
      <c r="D894" s="171"/>
      <c r="E894" s="171"/>
      <c r="F894" s="171"/>
      <c r="G894" s="171"/>
      <c r="H894" s="170"/>
      <c r="I894" s="171"/>
    </row>
    <row r="895" ht="14.25" customHeight="1">
      <c r="A895" s="171"/>
      <c r="B895" s="282"/>
      <c r="C895" s="171"/>
      <c r="D895" s="171"/>
      <c r="E895" s="171"/>
      <c r="F895" s="171"/>
      <c r="G895" s="171"/>
      <c r="H895" s="170"/>
      <c r="I895" s="171"/>
    </row>
    <row r="896" ht="14.25" customHeight="1">
      <c r="A896" s="171"/>
      <c r="B896" s="282"/>
      <c r="C896" s="171"/>
      <c r="D896" s="171"/>
      <c r="E896" s="171"/>
      <c r="F896" s="171"/>
      <c r="G896" s="171"/>
      <c r="H896" s="170"/>
      <c r="I896" s="171"/>
    </row>
    <row r="897" ht="14.25" customHeight="1">
      <c r="A897" s="171"/>
      <c r="B897" s="282"/>
      <c r="C897" s="171"/>
      <c r="D897" s="171"/>
      <c r="E897" s="171"/>
      <c r="F897" s="171"/>
      <c r="G897" s="171"/>
      <c r="H897" s="170"/>
      <c r="I897" s="171"/>
    </row>
    <row r="898" ht="14.25" customHeight="1">
      <c r="A898" s="171"/>
      <c r="B898" s="282"/>
      <c r="C898" s="171"/>
      <c r="D898" s="171"/>
      <c r="E898" s="171"/>
      <c r="F898" s="171"/>
      <c r="G898" s="171"/>
      <c r="H898" s="170"/>
      <c r="I898" s="171"/>
    </row>
    <row r="899" ht="14.25" customHeight="1">
      <c r="A899" s="171"/>
      <c r="B899" s="282"/>
      <c r="C899" s="171"/>
      <c r="D899" s="171"/>
      <c r="E899" s="171"/>
      <c r="F899" s="171"/>
      <c r="G899" s="171"/>
      <c r="H899" s="170"/>
      <c r="I899" s="171"/>
    </row>
    <row r="900" ht="14.25" customHeight="1">
      <c r="A900" s="171"/>
      <c r="B900" s="282"/>
      <c r="C900" s="171"/>
      <c r="D900" s="171"/>
      <c r="E900" s="171"/>
      <c r="F900" s="171"/>
      <c r="G900" s="171"/>
      <c r="H900" s="170"/>
      <c r="I900" s="171"/>
    </row>
    <row r="901" ht="14.25" customHeight="1">
      <c r="A901" s="171"/>
      <c r="B901" s="282"/>
      <c r="C901" s="171"/>
      <c r="D901" s="171"/>
      <c r="E901" s="171"/>
      <c r="F901" s="171"/>
      <c r="G901" s="171"/>
      <c r="H901" s="170"/>
      <c r="I901" s="171"/>
    </row>
    <row r="902" ht="14.25" customHeight="1">
      <c r="A902" s="171"/>
      <c r="B902" s="282"/>
      <c r="C902" s="171"/>
      <c r="D902" s="171"/>
      <c r="E902" s="171"/>
      <c r="F902" s="171"/>
      <c r="G902" s="171"/>
      <c r="H902" s="170"/>
      <c r="I902" s="171"/>
    </row>
    <row r="903" ht="14.25" customHeight="1">
      <c r="A903" s="171"/>
      <c r="B903" s="282"/>
      <c r="C903" s="171"/>
      <c r="D903" s="171"/>
      <c r="E903" s="171"/>
      <c r="F903" s="171"/>
      <c r="G903" s="171"/>
      <c r="H903" s="170"/>
      <c r="I903" s="171"/>
    </row>
    <row r="904" ht="14.25" customHeight="1">
      <c r="A904" s="171"/>
      <c r="B904" s="282"/>
      <c r="C904" s="171"/>
      <c r="D904" s="171"/>
      <c r="E904" s="171"/>
      <c r="F904" s="171"/>
      <c r="G904" s="171"/>
      <c r="H904" s="170"/>
      <c r="I904" s="171"/>
    </row>
    <row r="905" ht="14.25" customHeight="1">
      <c r="A905" s="171"/>
      <c r="B905" s="282"/>
      <c r="C905" s="171"/>
      <c r="D905" s="171"/>
      <c r="E905" s="171"/>
      <c r="F905" s="171"/>
      <c r="G905" s="171"/>
      <c r="H905" s="170"/>
      <c r="I905" s="171"/>
    </row>
    <row r="906" ht="14.25" customHeight="1">
      <c r="A906" s="171"/>
      <c r="B906" s="282"/>
      <c r="C906" s="171"/>
      <c r="D906" s="171"/>
      <c r="E906" s="171"/>
      <c r="F906" s="171"/>
      <c r="G906" s="171"/>
      <c r="H906" s="170"/>
      <c r="I906" s="171"/>
    </row>
    <row r="907" ht="14.25" customHeight="1">
      <c r="A907" s="171"/>
      <c r="B907" s="282"/>
      <c r="C907" s="171"/>
      <c r="D907" s="171"/>
      <c r="E907" s="171"/>
      <c r="F907" s="171"/>
      <c r="G907" s="171"/>
      <c r="H907" s="170"/>
      <c r="I907" s="171"/>
    </row>
    <row r="908" ht="14.25" customHeight="1">
      <c r="A908" s="171"/>
      <c r="B908" s="282"/>
      <c r="C908" s="171"/>
      <c r="D908" s="171"/>
      <c r="E908" s="171"/>
      <c r="F908" s="171"/>
      <c r="G908" s="171"/>
      <c r="H908" s="170"/>
      <c r="I908" s="171"/>
    </row>
    <row r="909" ht="14.25" customHeight="1">
      <c r="A909" s="171"/>
      <c r="B909" s="282"/>
      <c r="C909" s="171"/>
      <c r="D909" s="171"/>
      <c r="E909" s="171"/>
      <c r="F909" s="171"/>
      <c r="G909" s="171"/>
      <c r="H909" s="170"/>
      <c r="I909" s="171"/>
    </row>
    <row r="910" ht="14.25" customHeight="1">
      <c r="A910" s="171"/>
      <c r="B910" s="282"/>
      <c r="C910" s="171"/>
      <c r="D910" s="171"/>
      <c r="E910" s="171"/>
      <c r="F910" s="171"/>
      <c r="G910" s="171"/>
      <c r="H910" s="170"/>
      <c r="I910" s="171"/>
    </row>
    <row r="911" ht="14.25" customHeight="1">
      <c r="A911" s="171"/>
      <c r="B911" s="282"/>
      <c r="C911" s="171"/>
      <c r="D911" s="171"/>
      <c r="E911" s="171"/>
      <c r="F911" s="171"/>
      <c r="G911" s="171"/>
      <c r="H911" s="170"/>
      <c r="I911" s="171"/>
    </row>
    <row r="912" ht="14.25" customHeight="1">
      <c r="A912" s="171"/>
      <c r="B912" s="282"/>
      <c r="C912" s="171"/>
      <c r="D912" s="171"/>
      <c r="E912" s="171"/>
      <c r="F912" s="171"/>
      <c r="G912" s="171"/>
      <c r="H912" s="170"/>
      <c r="I912" s="171"/>
    </row>
    <row r="913" ht="14.25" customHeight="1">
      <c r="A913" s="171"/>
      <c r="B913" s="282"/>
      <c r="C913" s="171"/>
      <c r="D913" s="171"/>
      <c r="E913" s="171"/>
      <c r="F913" s="171"/>
      <c r="G913" s="171"/>
      <c r="H913" s="170"/>
      <c r="I913" s="171"/>
    </row>
    <row r="914" ht="14.25" customHeight="1">
      <c r="A914" s="171"/>
      <c r="B914" s="282"/>
      <c r="C914" s="171"/>
      <c r="D914" s="171"/>
      <c r="E914" s="171"/>
      <c r="F914" s="171"/>
      <c r="G914" s="171"/>
      <c r="H914" s="170"/>
      <c r="I914" s="171"/>
    </row>
    <row r="915" ht="14.25" customHeight="1">
      <c r="A915" s="171"/>
      <c r="B915" s="282"/>
      <c r="C915" s="171"/>
      <c r="D915" s="171"/>
      <c r="E915" s="171"/>
      <c r="F915" s="171"/>
      <c r="G915" s="171"/>
      <c r="H915" s="170"/>
      <c r="I915" s="171"/>
    </row>
    <row r="916" ht="14.25" customHeight="1">
      <c r="A916" s="171"/>
      <c r="B916" s="282"/>
      <c r="C916" s="171"/>
      <c r="D916" s="171"/>
      <c r="E916" s="171"/>
      <c r="F916" s="171"/>
      <c r="G916" s="171"/>
      <c r="H916" s="170"/>
      <c r="I916" s="171"/>
    </row>
    <row r="917" ht="14.25" customHeight="1">
      <c r="A917" s="171"/>
      <c r="B917" s="282"/>
      <c r="C917" s="171"/>
      <c r="D917" s="171"/>
      <c r="E917" s="171"/>
      <c r="F917" s="171"/>
      <c r="G917" s="171"/>
      <c r="H917" s="170"/>
      <c r="I917" s="171"/>
    </row>
    <row r="918" ht="14.25" customHeight="1">
      <c r="A918" s="171"/>
      <c r="B918" s="282"/>
      <c r="C918" s="171"/>
      <c r="D918" s="171"/>
      <c r="E918" s="171"/>
      <c r="F918" s="171"/>
      <c r="G918" s="171"/>
      <c r="H918" s="170"/>
      <c r="I918" s="171"/>
    </row>
    <row r="919" ht="14.25" customHeight="1">
      <c r="A919" s="171"/>
      <c r="B919" s="282"/>
      <c r="C919" s="171"/>
      <c r="D919" s="171"/>
      <c r="E919" s="171"/>
      <c r="F919" s="171"/>
      <c r="G919" s="171"/>
      <c r="H919" s="170"/>
      <c r="I919" s="171"/>
    </row>
    <row r="920" ht="14.25" customHeight="1">
      <c r="A920" s="171"/>
      <c r="B920" s="282"/>
      <c r="C920" s="171"/>
      <c r="D920" s="171"/>
      <c r="E920" s="171"/>
      <c r="F920" s="171"/>
      <c r="G920" s="171"/>
      <c r="H920" s="170"/>
      <c r="I920" s="171"/>
    </row>
    <row r="921" ht="14.25" customHeight="1">
      <c r="A921" s="171"/>
      <c r="B921" s="282"/>
      <c r="C921" s="171"/>
      <c r="D921" s="171"/>
      <c r="E921" s="171"/>
      <c r="F921" s="171"/>
      <c r="G921" s="171"/>
      <c r="H921" s="170"/>
      <c r="I921" s="171"/>
    </row>
    <row r="922" ht="14.25" customHeight="1">
      <c r="A922" s="171"/>
      <c r="B922" s="282"/>
      <c r="C922" s="171"/>
      <c r="D922" s="171"/>
      <c r="E922" s="171"/>
      <c r="F922" s="171"/>
      <c r="G922" s="171"/>
      <c r="H922" s="170"/>
      <c r="I922" s="171"/>
    </row>
    <row r="923" ht="14.25" customHeight="1">
      <c r="A923" s="171"/>
      <c r="B923" s="282"/>
      <c r="C923" s="171"/>
      <c r="D923" s="171"/>
      <c r="E923" s="171"/>
      <c r="F923" s="171"/>
      <c r="G923" s="171"/>
      <c r="H923" s="170"/>
      <c r="I923" s="171"/>
    </row>
    <row r="924" ht="14.25" customHeight="1">
      <c r="A924" s="171"/>
      <c r="B924" s="282"/>
      <c r="C924" s="171"/>
      <c r="D924" s="171"/>
      <c r="E924" s="171"/>
      <c r="F924" s="171"/>
      <c r="G924" s="171"/>
      <c r="H924" s="170"/>
      <c r="I924" s="171"/>
    </row>
    <row r="925" ht="14.25" customHeight="1">
      <c r="A925" s="171"/>
      <c r="B925" s="282"/>
      <c r="C925" s="171"/>
      <c r="D925" s="171"/>
      <c r="E925" s="171"/>
      <c r="F925" s="171"/>
      <c r="G925" s="171"/>
      <c r="H925" s="170"/>
      <c r="I925" s="171"/>
    </row>
    <row r="926" ht="14.25" customHeight="1">
      <c r="A926" s="171"/>
      <c r="B926" s="282"/>
      <c r="C926" s="171"/>
      <c r="D926" s="171"/>
      <c r="E926" s="171"/>
      <c r="F926" s="171"/>
      <c r="G926" s="171"/>
      <c r="H926" s="170"/>
      <c r="I926" s="171"/>
    </row>
    <row r="927" ht="14.25" customHeight="1">
      <c r="A927" s="171"/>
      <c r="B927" s="282"/>
      <c r="C927" s="171"/>
      <c r="D927" s="171"/>
      <c r="E927" s="171"/>
      <c r="F927" s="171"/>
      <c r="G927" s="171"/>
      <c r="H927" s="170"/>
      <c r="I927" s="171"/>
    </row>
    <row r="928" ht="14.25" customHeight="1">
      <c r="A928" s="171"/>
      <c r="B928" s="282"/>
      <c r="C928" s="171"/>
      <c r="D928" s="171"/>
      <c r="E928" s="171"/>
      <c r="F928" s="171"/>
      <c r="G928" s="171"/>
      <c r="H928" s="170"/>
      <c r="I928" s="171"/>
    </row>
    <row r="929" ht="14.25" customHeight="1">
      <c r="A929" s="171"/>
      <c r="B929" s="282"/>
      <c r="C929" s="171"/>
      <c r="D929" s="171"/>
      <c r="E929" s="171"/>
      <c r="F929" s="171"/>
      <c r="G929" s="171"/>
      <c r="H929" s="170"/>
      <c r="I929" s="171"/>
    </row>
    <row r="930" ht="14.25" customHeight="1">
      <c r="A930" s="171"/>
      <c r="B930" s="282"/>
      <c r="C930" s="171"/>
      <c r="D930" s="171"/>
      <c r="E930" s="171"/>
      <c r="F930" s="171"/>
      <c r="G930" s="171"/>
      <c r="H930" s="170"/>
      <c r="I930" s="171"/>
    </row>
    <row r="931" ht="14.25" customHeight="1">
      <c r="A931" s="171"/>
      <c r="B931" s="282"/>
      <c r="C931" s="171"/>
      <c r="D931" s="171"/>
      <c r="E931" s="171"/>
      <c r="F931" s="171"/>
      <c r="G931" s="171"/>
      <c r="H931" s="170"/>
      <c r="I931" s="171"/>
    </row>
    <row r="932" ht="14.25" customHeight="1">
      <c r="A932" s="171"/>
      <c r="B932" s="282"/>
      <c r="C932" s="171"/>
      <c r="D932" s="171"/>
      <c r="E932" s="171"/>
      <c r="F932" s="171"/>
      <c r="G932" s="171"/>
      <c r="H932" s="170"/>
      <c r="I932" s="171"/>
    </row>
    <row r="933" ht="14.25" customHeight="1">
      <c r="A933" s="171"/>
      <c r="B933" s="282"/>
      <c r="C933" s="171"/>
      <c r="D933" s="171"/>
      <c r="E933" s="171"/>
      <c r="F933" s="171"/>
      <c r="G933" s="171"/>
      <c r="H933" s="170"/>
      <c r="I933" s="171"/>
    </row>
    <row r="934" ht="14.25" customHeight="1">
      <c r="A934" s="171"/>
      <c r="B934" s="282"/>
      <c r="C934" s="171"/>
      <c r="D934" s="171"/>
      <c r="E934" s="171"/>
      <c r="F934" s="171"/>
      <c r="G934" s="171"/>
      <c r="H934" s="170"/>
      <c r="I934" s="171"/>
    </row>
    <row r="935" ht="14.25" customHeight="1">
      <c r="A935" s="171"/>
      <c r="B935" s="282"/>
      <c r="C935" s="171"/>
      <c r="D935" s="171"/>
      <c r="E935" s="171"/>
      <c r="F935" s="171"/>
      <c r="G935" s="171"/>
      <c r="H935" s="170"/>
      <c r="I935" s="171"/>
    </row>
    <row r="936" ht="14.25" customHeight="1">
      <c r="A936" s="171"/>
      <c r="B936" s="282"/>
      <c r="C936" s="171"/>
      <c r="D936" s="171"/>
      <c r="E936" s="171"/>
      <c r="F936" s="171"/>
      <c r="G936" s="171"/>
      <c r="H936" s="170"/>
      <c r="I936" s="171"/>
    </row>
    <row r="937" ht="14.25" customHeight="1">
      <c r="A937" s="171"/>
      <c r="B937" s="282"/>
      <c r="C937" s="171"/>
      <c r="D937" s="171"/>
      <c r="E937" s="171"/>
      <c r="F937" s="171"/>
      <c r="G937" s="171"/>
      <c r="H937" s="170"/>
      <c r="I937" s="171"/>
    </row>
    <row r="938" ht="14.25" customHeight="1">
      <c r="A938" s="171"/>
      <c r="B938" s="282"/>
      <c r="C938" s="171"/>
      <c r="D938" s="171"/>
      <c r="E938" s="171"/>
      <c r="F938" s="171"/>
      <c r="G938" s="171"/>
      <c r="H938" s="170"/>
      <c r="I938" s="171"/>
    </row>
    <row r="939" ht="14.25" customHeight="1">
      <c r="A939" s="171"/>
      <c r="B939" s="282"/>
      <c r="C939" s="171"/>
      <c r="D939" s="171"/>
      <c r="E939" s="171"/>
      <c r="F939" s="171"/>
      <c r="G939" s="171"/>
      <c r="H939" s="170"/>
      <c r="I939" s="171"/>
    </row>
    <row r="940" ht="14.25" customHeight="1">
      <c r="A940" s="171"/>
      <c r="B940" s="282"/>
      <c r="C940" s="171"/>
      <c r="D940" s="171"/>
      <c r="E940" s="171"/>
      <c r="F940" s="171"/>
      <c r="G940" s="171"/>
      <c r="H940" s="170"/>
      <c r="I940" s="171"/>
    </row>
    <row r="941" ht="14.25" customHeight="1">
      <c r="A941" s="171"/>
      <c r="B941" s="282"/>
      <c r="C941" s="171"/>
      <c r="D941" s="171"/>
      <c r="E941" s="171"/>
      <c r="F941" s="171"/>
      <c r="G941" s="171"/>
      <c r="H941" s="170"/>
      <c r="I941" s="171"/>
    </row>
    <row r="942" ht="14.25" customHeight="1">
      <c r="A942" s="171"/>
      <c r="B942" s="282"/>
      <c r="C942" s="171"/>
      <c r="D942" s="171"/>
      <c r="E942" s="171"/>
      <c r="F942" s="171"/>
      <c r="G942" s="171"/>
      <c r="H942" s="170"/>
      <c r="I942" s="171"/>
    </row>
    <row r="943" ht="14.25" customHeight="1">
      <c r="A943" s="171"/>
      <c r="B943" s="282"/>
      <c r="C943" s="171"/>
      <c r="D943" s="171"/>
      <c r="E943" s="171"/>
      <c r="F943" s="171"/>
      <c r="G943" s="171"/>
      <c r="H943" s="170"/>
      <c r="I943" s="171"/>
    </row>
    <row r="944" ht="14.25" customHeight="1">
      <c r="A944" s="171"/>
      <c r="B944" s="282"/>
      <c r="C944" s="171"/>
      <c r="D944" s="171"/>
      <c r="E944" s="171"/>
      <c r="F944" s="171"/>
      <c r="G944" s="171"/>
      <c r="H944" s="170"/>
      <c r="I944" s="171"/>
    </row>
    <row r="945" ht="14.25" customHeight="1">
      <c r="A945" s="171"/>
      <c r="B945" s="282"/>
      <c r="C945" s="171"/>
      <c r="D945" s="171"/>
      <c r="E945" s="171"/>
      <c r="F945" s="171"/>
      <c r="G945" s="171"/>
      <c r="H945" s="170"/>
      <c r="I945" s="171"/>
    </row>
    <row r="946" ht="14.25" customHeight="1">
      <c r="A946" s="171"/>
      <c r="B946" s="282"/>
      <c r="C946" s="171"/>
      <c r="D946" s="171"/>
      <c r="E946" s="171"/>
      <c r="F946" s="171"/>
      <c r="G946" s="171"/>
      <c r="H946" s="170"/>
      <c r="I946" s="171"/>
    </row>
    <row r="947" ht="14.25" customHeight="1">
      <c r="A947" s="171"/>
      <c r="B947" s="282"/>
      <c r="C947" s="171"/>
      <c r="D947" s="171"/>
      <c r="E947" s="171"/>
      <c r="F947" s="171"/>
      <c r="G947" s="171"/>
      <c r="H947" s="170"/>
      <c r="I947" s="171"/>
    </row>
    <row r="948" ht="14.25" customHeight="1">
      <c r="A948" s="171"/>
      <c r="B948" s="282"/>
      <c r="C948" s="171"/>
      <c r="D948" s="171"/>
      <c r="E948" s="171"/>
      <c r="F948" s="171"/>
      <c r="G948" s="171"/>
      <c r="H948" s="170"/>
      <c r="I948" s="171"/>
    </row>
    <row r="949" ht="14.25" customHeight="1">
      <c r="A949" s="171"/>
      <c r="B949" s="282"/>
      <c r="C949" s="171"/>
      <c r="D949" s="171"/>
      <c r="E949" s="171"/>
      <c r="F949" s="171"/>
      <c r="G949" s="171"/>
      <c r="H949" s="170"/>
      <c r="I949" s="171"/>
    </row>
    <row r="950" ht="14.25" customHeight="1">
      <c r="A950" s="171"/>
      <c r="B950" s="282"/>
      <c r="C950" s="171"/>
      <c r="D950" s="171"/>
      <c r="E950" s="171"/>
      <c r="F950" s="171"/>
      <c r="G950" s="171"/>
      <c r="H950" s="170"/>
      <c r="I950" s="171"/>
    </row>
    <row r="951" ht="14.25" customHeight="1">
      <c r="A951" s="171"/>
      <c r="B951" s="282"/>
      <c r="C951" s="171"/>
      <c r="D951" s="171"/>
      <c r="E951" s="171"/>
      <c r="F951" s="171"/>
      <c r="G951" s="171"/>
      <c r="H951" s="170"/>
      <c r="I951" s="171"/>
    </row>
    <row r="952" ht="14.25" customHeight="1">
      <c r="A952" s="171"/>
      <c r="B952" s="282"/>
      <c r="C952" s="171"/>
      <c r="D952" s="171"/>
      <c r="E952" s="171"/>
      <c r="F952" s="171"/>
      <c r="G952" s="171"/>
      <c r="H952" s="170"/>
      <c r="I952" s="171"/>
    </row>
    <row r="953" ht="14.25" customHeight="1">
      <c r="A953" s="171"/>
      <c r="B953" s="282"/>
      <c r="C953" s="171"/>
      <c r="D953" s="171"/>
      <c r="E953" s="171"/>
      <c r="F953" s="171"/>
      <c r="G953" s="171"/>
      <c r="H953" s="170"/>
      <c r="I953" s="171"/>
    </row>
    <row r="954" ht="14.25" customHeight="1">
      <c r="A954" s="171"/>
      <c r="B954" s="282"/>
      <c r="C954" s="171"/>
      <c r="D954" s="171"/>
      <c r="E954" s="171"/>
      <c r="F954" s="171"/>
      <c r="G954" s="171"/>
      <c r="H954" s="170"/>
      <c r="I954" s="171"/>
    </row>
    <row r="955" ht="14.25" customHeight="1">
      <c r="A955" s="171"/>
      <c r="B955" s="282"/>
      <c r="C955" s="171"/>
      <c r="D955" s="171"/>
      <c r="E955" s="171"/>
      <c r="F955" s="171"/>
      <c r="G955" s="171"/>
      <c r="H955" s="170"/>
      <c r="I955" s="171"/>
    </row>
    <row r="956" ht="14.25" customHeight="1">
      <c r="A956" s="171"/>
      <c r="B956" s="282"/>
      <c r="C956" s="171"/>
      <c r="D956" s="171"/>
      <c r="E956" s="171"/>
      <c r="F956" s="171"/>
      <c r="G956" s="171"/>
      <c r="H956" s="170"/>
      <c r="I956" s="171"/>
    </row>
    <row r="957" ht="14.25" customHeight="1">
      <c r="A957" s="171"/>
      <c r="B957" s="282"/>
      <c r="C957" s="171"/>
      <c r="D957" s="171"/>
      <c r="E957" s="171"/>
      <c r="F957" s="171"/>
      <c r="G957" s="171"/>
      <c r="H957" s="170"/>
      <c r="I957" s="171"/>
    </row>
    <row r="958" ht="14.25" customHeight="1">
      <c r="A958" s="171"/>
      <c r="B958" s="282"/>
      <c r="C958" s="171"/>
      <c r="D958" s="171"/>
      <c r="E958" s="171"/>
      <c r="F958" s="171"/>
      <c r="G958" s="171"/>
      <c r="H958" s="170"/>
      <c r="I958" s="171"/>
    </row>
    <row r="959" ht="14.25" customHeight="1">
      <c r="A959" s="171"/>
      <c r="B959" s="282"/>
      <c r="C959" s="171"/>
      <c r="D959" s="171"/>
      <c r="E959" s="171"/>
      <c r="F959" s="171"/>
      <c r="G959" s="171"/>
      <c r="H959" s="170"/>
      <c r="I959" s="171"/>
    </row>
    <row r="960" ht="14.25" customHeight="1">
      <c r="A960" s="171"/>
      <c r="B960" s="282"/>
      <c r="C960" s="171"/>
      <c r="D960" s="171"/>
      <c r="E960" s="171"/>
      <c r="F960" s="171"/>
      <c r="G960" s="171"/>
      <c r="H960" s="170"/>
      <c r="I960" s="171"/>
    </row>
    <row r="961" ht="14.25" customHeight="1">
      <c r="A961" s="171"/>
      <c r="B961" s="282"/>
      <c r="C961" s="171"/>
      <c r="D961" s="171"/>
      <c r="E961" s="171"/>
      <c r="F961" s="171"/>
      <c r="G961" s="171"/>
      <c r="H961" s="170"/>
      <c r="I961" s="171"/>
    </row>
    <row r="962" ht="14.25" customHeight="1">
      <c r="A962" s="171"/>
      <c r="B962" s="282"/>
      <c r="C962" s="171"/>
      <c r="D962" s="171"/>
      <c r="E962" s="171"/>
      <c r="F962" s="171"/>
      <c r="G962" s="171"/>
      <c r="H962" s="170"/>
      <c r="I962" s="171"/>
    </row>
    <row r="963" ht="14.25" customHeight="1">
      <c r="A963" s="171"/>
      <c r="B963" s="282"/>
      <c r="C963" s="171"/>
      <c r="D963" s="171"/>
      <c r="E963" s="171"/>
      <c r="F963" s="171"/>
      <c r="G963" s="171"/>
      <c r="H963" s="170"/>
      <c r="I963" s="171"/>
    </row>
    <row r="964" ht="14.25" customHeight="1">
      <c r="A964" s="171"/>
      <c r="B964" s="282"/>
      <c r="C964" s="171"/>
      <c r="D964" s="171"/>
      <c r="E964" s="171"/>
      <c r="F964" s="171"/>
      <c r="G964" s="171"/>
      <c r="H964" s="170"/>
      <c r="I964" s="171"/>
    </row>
    <row r="965" ht="14.25" customHeight="1">
      <c r="A965" s="171"/>
      <c r="B965" s="282"/>
      <c r="C965" s="171"/>
      <c r="D965" s="171"/>
      <c r="E965" s="171"/>
      <c r="F965" s="171"/>
      <c r="G965" s="171"/>
      <c r="H965" s="170"/>
      <c r="I965" s="171"/>
    </row>
    <row r="966" ht="14.25" customHeight="1">
      <c r="A966" s="171"/>
      <c r="B966" s="282"/>
      <c r="C966" s="171"/>
      <c r="D966" s="171"/>
      <c r="E966" s="171"/>
      <c r="F966" s="171"/>
      <c r="G966" s="171"/>
      <c r="H966" s="170"/>
      <c r="I966" s="171"/>
    </row>
    <row r="967" ht="14.25" customHeight="1">
      <c r="A967" s="171"/>
      <c r="B967" s="282"/>
      <c r="C967" s="171"/>
      <c r="D967" s="171"/>
      <c r="E967" s="171"/>
      <c r="F967" s="171"/>
      <c r="G967" s="171"/>
      <c r="H967" s="170"/>
      <c r="I967" s="171"/>
    </row>
    <row r="968" ht="14.25" customHeight="1">
      <c r="A968" s="171"/>
      <c r="B968" s="282"/>
      <c r="C968" s="171"/>
      <c r="D968" s="171"/>
      <c r="E968" s="171"/>
      <c r="F968" s="171"/>
      <c r="G968" s="171"/>
      <c r="H968" s="170"/>
      <c r="I968" s="171"/>
    </row>
    <row r="969" ht="14.25" customHeight="1">
      <c r="A969" s="171"/>
      <c r="B969" s="282"/>
      <c r="C969" s="171"/>
      <c r="D969" s="171"/>
      <c r="E969" s="171"/>
      <c r="F969" s="171"/>
      <c r="G969" s="171"/>
      <c r="H969" s="170"/>
      <c r="I969" s="171"/>
    </row>
    <row r="970" ht="14.25" customHeight="1">
      <c r="A970" s="171"/>
      <c r="B970" s="282"/>
      <c r="C970" s="171"/>
      <c r="D970" s="171"/>
      <c r="E970" s="171"/>
      <c r="F970" s="171"/>
      <c r="G970" s="171"/>
      <c r="H970" s="170"/>
      <c r="I970" s="171"/>
    </row>
    <row r="971" ht="14.25" customHeight="1">
      <c r="A971" s="171"/>
      <c r="B971" s="282"/>
      <c r="C971" s="171"/>
      <c r="D971" s="171"/>
      <c r="E971" s="171"/>
      <c r="F971" s="171"/>
      <c r="G971" s="171"/>
      <c r="H971" s="170"/>
      <c r="I971" s="171"/>
    </row>
    <row r="972" ht="14.25" customHeight="1">
      <c r="A972" s="171"/>
      <c r="B972" s="282"/>
      <c r="C972" s="171"/>
      <c r="D972" s="171"/>
      <c r="E972" s="171"/>
      <c r="F972" s="171"/>
      <c r="G972" s="171"/>
      <c r="H972" s="170"/>
      <c r="I972" s="171"/>
    </row>
    <row r="973" ht="14.25" customHeight="1">
      <c r="A973" s="171"/>
      <c r="B973" s="282"/>
      <c r="C973" s="171"/>
      <c r="D973" s="171"/>
      <c r="E973" s="171"/>
      <c r="F973" s="171"/>
      <c r="G973" s="171"/>
      <c r="H973" s="170"/>
      <c r="I973" s="171"/>
    </row>
    <row r="974" ht="14.25" customHeight="1">
      <c r="A974" s="171"/>
      <c r="B974" s="282"/>
      <c r="C974" s="171"/>
      <c r="D974" s="171"/>
      <c r="E974" s="171"/>
      <c r="F974" s="171"/>
      <c r="G974" s="171"/>
      <c r="H974" s="170"/>
      <c r="I974" s="171"/>
    </row>
    <row r="975" ht="14.25" customHeight="1">
      <c r="A975" s="171"/>
      <c r="B975" s="282"/>
      <c r="C975" s="171"/>
      <c r="D975" s="171"/>
      <c r="E975" s="171"/>
      <c r="F975" s="171"/>
      <c r="G975" s="171"/>
      <c r="H975" s="170"/>
      <c r="I975" s="171"/>
    </row>
    <row r="976" ht="14.25" customHeight="1">
      <c r="A976" s="171"/>
      <c r="B976" s="282"/>
      <c r="C976" s="171"/>
      <c r="D976" s="171"/>
      <c r="E976" s="171"/>
      <c r="F976" s="171"/>
      <c r="G976" s="171"/>
      <c r="H976" s="170"/>
      <c r="I976" s="171"/>
    </row>
    <row r="977" ht="14.25" customHeight="1">
      <c r="A977" s="171"/>
      <c r="B977" s="282"/>
      <c r="C977" s="171"/>
      <c r="D977" s="171"/>
      <c r="E977" s="171"/>
      <c r="F977" s="171"/>
      <c r="G977" s="171"/>
      <c r="H977" s="170"/>
      <c r="I977" s="171"/>
    </row>
    <row r="978" ht="14.25" customHeight="1">
      <c r="A978" s="171"/>
      <c r="B978" s="282"/>
      <c r="C978" s="171"/>
      <c r="D978" s="171"/>
      <c r="E978" s="171"/>
      <c r="F978" s="171"/>
      <c r="G978" s="171"/>
      <c r="H978" s="170"/>
      <c r="I978" s="171"/>
    </row>
    <row r="979" ht="14.25" customHeight="1">
      <c r="A979" s="171"/>
      <c r="B979" s="282"/>
      <c r="C979" s="171"/>
      <c r="D979" s="171"/>
      <c r="E979" s="171"/>
      <c r="F979" s="171"/>
      <c r="G979" s="171"/>
      <c r="H979" s="170"/>
      <c r="I979" s="171"/>
    </row>
    <row r="980" ht="14.25" customHeight="1">
      <c r="A980" s="171"/>
      <c r="B980" s="282"/>
      <c r="C980" s="171"/>
      <c r="D980" s="171"/>
      <c r="E980" s="171"/>
      <c r="F980" s="171"/>
      <c r="G980" s="171"/>
      <c r="H980" s="170"/>
      <c r="I980" s="171"/>
    </row>
    <row r="981" ht="14.25" customHeight="1">
      <c r="A981" s="171"/>
      <c r="B981" s="282"/>
      <c r="C981" s="171"/>
      <c r="D981" s="171"/>
      <c r="E981" s="171"/>
      <c r="F981" s="171"/>
      <c r="G981" s="171"/>
      <c r="H981" s="170"/>
      <c r="I981" s="171"/>
    </row>
    <row r="982" ht="14.25" customHeight="1">
      <c r="A982" s="171"/>
      <c r="B982" s="282"/>
      <c r="C982" s="171"/>
      <c r="D982" s="171"/>
      <c r="E982" s="171"/>
      <c r="F982" s="171"/>
      <c r="G982" s="171"/>
      <c r="H982" s="170"/>
      <c r="I982" s="171"/>
    </row>
    <row r="983" ht="14.25" customHeight="1">
      <c r="A983" s="171"/>
      <c r="B983" s="282"/>
      <c r="C983" s="171"/>
      <c r="D983" s="171"/>
      <c r="E983" s="171"/>
      <c r="F983" s="171"/>
      <c r="G983" s="171"/>
      <c r="H983" s="170"/>
      <c r="I983" s="171"/>
    </row>
    <row r="984" ht="14.25" customHeight="1">
      <c r="A984" s="171"/>
      <c r="B984" s="282"/>
      <c r="C984" s="171"/>
      <c r="D984" s="171"/>
      <c r="E984" s="171"/>
      <c r="F984" s="171"/>
      <c r="G984" s="171"/>
      <c r="H984" s="170"/>
      <c r="I984" s="171"/>
    </row>
    <row r="985" ht="14.25" customHeight="1">
      <c r="A985" s="171"/>
      <c r="B985" s="282"/>
      <c r="C985" s="171"/>
      <c r="D985" s="171"/>
      <c r="E985" s="171"/>
      <c r="F985" s="171"/>
      <c r="G985" s="171"/>
      <c r="H985" s="170"/>
      <c r="I985" s="171"/>
    </row>
    <row r="986" ht="14.25" customHeight="1">
      <c r="A986" s="171"/>
      <c r="B986" s="282"/>
      <c r="C986" s="171"/>
      <c r="D986" s="171"/>
      <c r="E986" s="171"/>
      <c r="F986" s="171"/>
      <c r="G986" s="171"/>
      <c r="H986" s="170"/>
      <c r="I986" s="171"/>
    </row>
    <row r="987" ht="14.25" customHeight="1">
      <c r="A987" s="171"/>
      <c r="B987" s="282"/>
      <c r="C987" s="171"/>
      <c r="D987" s="171"/>
      <c r="E987" s="171"/>
      <c r="F987" s="171"/>
      <c r="G987" s="171"/>
      <c r="H987" s="170"/>
      <c r="I987" s="171"/>
    </row>
    <row r="988" ht="14.25" customHeight="1">
      <c r="A988" s="171"/>
      <c r="B988" s="282"/>
      <c r="C988" s="171"/>
      <c r="D988" s="171"/>
      <c r="E988" s="171"/>
      <c r="F988" s="171"/>
      <c r="G988" s="171"/>
      <c r="H988" s="170"/>
      <c r="I988" s="171"/>
    </row>
    <row r="989" ht="14.25" customHeight="1">
      <c r="A989" s="171"/>
      <c r="B989" s="282"/>
      <c r="C989" s="171"/>
      <c r="D989" s="171"/>
      <c r="E989" s="171"/>
      <c r="F989" s="171"/>
      <c r="G989" s="171"/>
      <c r="H989" s="170"/>
      <c r="I989" s="171"/>
    </row>
    <row r="990" ht="14.25" customHeight="1">
      <c r="A990" s="171"/>
      <c r="B990" s="282"/>
      <c r="C990" s="171"/>
      <c r="D990" s="171"/>
      <c r="E990" s="171"/>
      <c r="F990" s="171"/>
      <c r="G990" s="171"/>
      <c r="H990" s="170"/>
      <c r="I990" s="171"/>
    </row>
    <row r="991" ht="14.25" customHeight="1">
      <c r="A991" s="171"/>
      <c r="B991" s="282"/>
      <c r="C991" s="171"/>
      <c r="D991" s="171"/>
      <c r="E991" s="171"/>
      <c r="F991" s="171"/>
      <c r="G991" s="171"/>
      <c r="H991" s="170"/>
      <c r="I991" s="171"/>
    </row>
    <row r="992" ht="14.25" customHeight="1">
      <c r="A992" s="171"/>
      <c r="B992" s="282"/>
      <c r="C992" s="171"/>
      <c r="D992" s="171"/>
      <c r="E992" s="171"/>
      <c r="F992" s="171"/>
      <c r="G992" s="171"/>
      <c r="H992" s="170"/>
      <c r="I992" s="171"/>
    </row>
    <row r="993" ht="14.25" customHeight="1">
      <c r="A993" s="171"/>
      <c r="B993" s="282"/>
      <c r="C993" s="171"/>
      <c r="D993" s="171"/>
      <c r="E993" s="171"/>
      <c r="F993" s="171"/>
      <c r="G993" s="171"/>
      <c r="H993" s="170"/>
      <c r="I993" s="171"/>
    </row>
    <row r="994" ht="14.25" customHeight="1">
      <c r="A994" s="171"/>
      <c r="B994" s="282"/>
      <c r="C994" s="171"/>
      <c r="D994" s="171"/>
      <c r="E994" s="171"/>
      <c r="F994" s="171"/>
      <c r="G994" s="171"/>
      <c r="H994" s="170"/>
      <c r="I994" s="171"/>
    </row>
    <row r="995" ht="14.25" customHeight="1">
      <c r="A995" s="171"/>
      <c r="B995" s="282"/>
      <c r="C995" s="171"/>
      <c r="D995" s="171"/>
      <c r="E995" s="171"/>
      <c r="F995" s="171"/>
      <c r="G995" s="171"/>
      <c r="H995" s="170"/>
      <c r="I995" s="171"/>
    </row>
    <row r="996" ht="14.25" customHeight="1">
      <c r="A996" s="171"/>
      <c r="B996" s="282"/>
      <c r="C996" s="171"/>
      <c r="D996" s="171"/>
      <c r="E996" s="171"/>
      <c r="F996" s="171"/>
      <c r="G996" s="171"/>
      <c r="H996" s="170"/>
      <c r="I996" s="171"/>
    </row>
    <row r="997" ht="14.25" customHeight="1">
      <c r="A997" s="171"/>
      <c r="B997" s="282"/>
      <c r="C997" s="171"/>
      <c r="D997" s="171"/>
      <c r="E997" s="171"/>
      <c r="F997" s="171"/>
      <c r="G997" s="171"/>
      <c r="H997" s="170"/>
      <c r="I997" s="171"/>
    </row>
    <row r="998" ht="14.25" customHeight="1">
      <c r="A998" s="171"/>
      <c r="B998" s="282"/>
      <c r="C998" s="171"/>
      <c r="D998" s="171"/>
      <c r="E998" s="171"/>
      <c r="F998" s="171"/>
      <c r="G998" s="171"/>
      <c r="H998" s="170"/>
      <c r="I998" s="171"/>
    </row>
    <row r="999" ht="14.25" customHeight="1">
      <c r="A999" s="171"/>
      <c r="B999" s="282"/>
      <c r="C999" s="171"/>
      <c r="D999" s="171"/>
      <c r="E999" s="171"/>
      <c r="F999" s="171"/>
      <c r="G999" s="171"/>
      <c r="H999" s="170"/>
      <c r="I999" s="171"/>
    </row>
    <row r="1000" ht="14.25" customHeight="1">
      <c r="A1000" s="171"/>
      <c r="B1000" s="282"/>
      <c r="C1000" s="171"/>
      <c r="D1000" s="171"/>
      <c r="E1000" s="171"/>
      <c r="F1000" s="171"/>
      <c r="G1000" s="171"/>
      <c r="H1000" s="170"/>
      <c r="I1000" s="171"/>
    </row>
  </sheetData>
  <mergeCells count="11">
    <mergeCell ref="B5:D5"/>
    <mergeCell ref="B6:D6"/>
    <mergeCell ref="F6:G6"/>
    <mergeCell ref="F41:I41"/>
    <mergeCell ref="A1:G1"/>
    <mergeCell ref="C2:E2"/>
    <mergeCell ref="B3:D3"/>
    <mergeCell ref="F3:G3"/>
    <mergeCell ref="B4:C4"/>
    <mergeCell ref="F4:G4"/>
    <mergeCell ref="F5:I5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2.43"/>
    <col customWidth="1" min="6" max="6" width="19.29"/>
    <col customWidth="1" min="7" max="7" width="22.29"/>
    <col customWidth="1" min="8" max="8" width="14.43"/>
    <col customWidth="1" min="9" max="9" width="24.29"/>
    <col customWidth="1" min="10" max="28" width="8.71"/>
  </cols>
  <sheetData>
    <row r="1" ht="32.25" customHeight="1">
      <c r="A1" s="105" t="s">
        <v>42</v>
      </c>
      <c r="H1" s="170"/>
      <c r="I1" s="171"/>
    </row>
    <row r="2" ht="25.5" customHeight="1">
      <c r="A2" s="171"/>
      <c r="B2" s="282"/>
      <c r="C2" s="304" t="s">
        <v>43</v>
      </c>
      <c r="E2" s="78"/>
      <c r="F2" s="171"/>
      <c r="G2" s="173"/>
      <c r="H2" s="170"/>
      <c r="I2" s="171"/>
    </row>
    <row r="3" ht="14.25" customHeight="1">
      <c r="A3" s="174" t="s">
        <v>44</v>
      </c>
      <c r="B3" s="175" t="s">
        <v>1031</v>
      </c>
      <c r="E3" s="176" t="s">
        <v>46</v>
      </c>
      <c r="F3" s="175" t="s">
        <v>1032</v>
      </c>
      <c r="H3" s="170"/>
      <c r="I3" s="171"/>
    </row>
    <row r="4" ht="14.25" customHeight="1">
      <c r="A4" s="174" t="s">
        <v>48</v>
      </c>
      <c r="B4" s="175" t="s">
        <v>1033</v>
      </c>
      <c r="E4" s="176" t="s">
        <v>105</v>
      </c>
      <c r="F4" s="175">
        <v>9.308021100209E12</v>
      </c>
      <c r="H4" s="170"/>
      <c r="I4" s="171"/>
    </row>
    <row r="5" ht="14.25" customHeight="1">
      <c r="A5" s="174" t="s">
        <v>51</v>
      </c>
      <c r="B5" s="175" t="s">
        <v>1034</v>
      </c>
      <c r="E5" s="176" t="s">
        <v>53</v>
      </c>
      <c r="F5" s="175" t="s">
        <v>1033</v>
      </c>
      <c r="H5" s="170"/>
      <c r="I5" s="171"/>
    </row>
    <row r="6" ht="14.25" customHeight="1">
      <c r="A6" s="174" t="s">
        <v>54</v>
      </c>
      <c r="B6" s="283"/>
      <c r="E6" s="176" t="s">
        <v>55</v>
      </c>
      <c r="F6" s="175">
        <v>5.1000572261E10</v>
      </c>
      <c r="H6" s="170"/>
      <c r="I6" s="171"/>
    </row>
    <row r="7" ht="14.25" customHeight="1">
      <c r="A7" s="171"/>
      <c r="B7" s="282"/>
      <c r="C7" s="305"/>
      <c r="D7" s="78"/>
      <c r="E7" s="78"/>
      <c r="F7" s="171"/>
      <c r="G7" s="173"/>
      <c r="H7" s="170"/>
      <c r="I7" s="171"/>
    </row>
    <row r="8" ht="14.25" customHeight="1">
      <c r="A8" s="171"/>
      <c r="B8" s="282"/>
      <c r="C8" s="305"/>
      <c r="D8" s="78"/>
      <c r="E8" s="78"/>
      <c r="F8" s="171"/>
      <c r="G8" s="173"/>
      <c r="H8" s="170"/>
      <c r="I8" s="171"/>
    </row>
    <row r="9" ht="14.25" customHeight="1">
      <c r="A9" s="107" t="s">
        <v>56</v>
      </c>
      <c r="B9" s="108" t="s">
        <v>107</v>
      </c>
      <c r="C9" s="245" t="s">
        <v>58</v>
      </c>
      <c r="D9" s="178" t="s">
        <v>59</v>
      </c>
      <c r="E9" s="178" t="s">
        <v>60</v>
      </c>
      <c r="F9" s="107" t="s">
        <v>61</v>
      </c>
      <c r="G9" s="110" t="s">
        <v>62</v>
      </c>
      <c r="H9" s="111" t="s">
        <v>63</v>
      </c>
      <c r="I9" s="107" t="s">
        <v>64</v>
      </c>
    </row>
    <row r="10" ht="14.25" customHeight="1">
      <c r="A10" s="112" t="s">
        <v>1035</v>
      </c>
      <c r="B10" s="112">
        <v>7.6501958E7</v>
      </c>
      <c r="C10" s="275">
        <v>45180.0</v>
      </c>
      <c r="D10" s="306">
        <v>0.6180555555555556</v>
      </c>
      <c r="E10" s="307">
        <v>0.6597222222222222</v>
      </c>
      <c r="F10" s="116">
        <v>1.0</v>
      </c>
      <c r="G10" s="117">
        <v>1.0</v>
      </c>
      <c r="H10" s="118">
        <f t="shared" ref="H10:H41" si="1">G10*200</f>
        <v>200</v>
      </c>
      <c r="I10" s="119"/>
    </row>
    <row r="11" ht="14.25" customHeight="1">
      <c r="A11" s="135" t="s">
        <v>1036</v>
      </c>
      <c r="B11" s="135">
        <v>7.6965754E7</v>
      </c>
      <c r="C11" s="275">
        <v>45180.0</v>
      </c>
      <c r="D11" s="180">
        <v>0.6597222222222222</v>
      </c>
      <c r="E11" s="180">
        <v>0.7013888888888888</v>
      </c>
      <c r="F11" s="121">
        <v>1.0</v>
      </c>
      <c r="G11" s="117">
        <v>1.0</v>
      </c>
      <c r="H11" s="118">
        <f t="shared" si="1"/>
        <v>200</v>
      </c>
      <c r="I11" s="119"/>
    </row>
    <row r="12" ht="14.25" customHeight="1">
      <c r="A12" s="135" t="s">
        <v>1037</v>
      </c>
      <c r="B12" s="135">
        <v>7.829982E7</v>
      </c>
      <c r="C12" s="275">
        <v>45180.0</v>
      </c>
      <c r="D12" s="180">
        <v>0.23333333333333334</v>
      </c>
      <c r="E12" s="308">
        <v>0.31666666666666665</v>
      </c>
      <c r="F12" s="121">
        <v>2.0</v>
      </c>
      <c r="G12" s="309">
        <v>2.0</v>
      </c>
      <c r="H12" s="118">
        <f t="shared" si="1"/>
        <v>400</v>
      </c>
      <c r="I12" s="119"/>
    </row>
    <row r="13" ht="14.25" customHeight="1">
      <c r="A13" s="135" t="s">
        <v>1038</v>
      </c>
      <c r="B13" s="135">
        <v>7.6651219E7</v>
      </c>
      <c r="C13" s="231">
        <v>45210.0</v>
      </c>
      <c r="D13" s="180">
        <v>0.3194444444444444</v>
      </c>
      <c r="E13" s="180">
        <v>0.4027777777777778</v>
      </c>
      <c r="F13" s="121">
        <v>2.0</v>
      </c>
      <c r="G13" s="117">
        <v>2.0</v>
      </c>
      <c r="H13" s="118">
        <f t="shared" si="1"/>
        <v>400</v>
      </c>
      <c r="I13" s="119"/>
    </row>
    <row r="14" ht="14.25" customHeight="1">
      <c r="A14" s="135" t="s">
        <v>1039</v>
      </c>
      <c r="B14" s="135">
        <v>7.6376097E7</v>
      </c>
      <c r="C14" s="231">
        <v>45210.0</v>
      </c>
      <c r="D14" s="180">
        <v>0.4583333333333333</v>
      </c>
      <c r="E14" s="180">
        <v>0.5208333333333334</v>
      </c>
      <c r="F14" s="121">
        <v>1.5</v>
      </c>
      <c r="G14" s="117">
        <v>1.5</v>
      </c>
      <c r="H14" s="118">
        <f t="shared" si="1"/>
        <v>300</v>
      </c>
      <c r="I14" s="119"/>
    </row>
    <row r="15" ht="14.25" customHeight="1">
      <c r="A15" s="137" t="s">
        <v>1040</v>
      </c>
      <c r="B15" s="137">
        <v>7.6194758E7</v>
      </c>
      <c r="C15" s="231">
        <v>45210.0</v>
      </c>
      <c r="D15" s="180">
        <v>0.6326388888888889</v>
      </c>
      <c r="E15" s="180">
        <v>0.6743055555555556</v>
      </c>
      <c r="F15" s="126">
        <v>1.0</v>
      </c>
      <c r="G15" s="117">
        <v>1.0</v>
      </c>
      <c r="H15" s="118">
        <f t="shared" si="1"/>
        <v>200</v>
      </c>
      <c r="I15" s="119"/>
    </row>
    <row r="16" ht="14.25" customHeight="1">
      <c r="A16" s="135" t="s">
        <v>1038</v>
      </c>
      <c r="B16" s="135">
        <v>7.6651217E7</v>
      </c>
      <c r="C16" s="231">
        <v>45210.0</v>
      </c>
      <c r="D16" s="180">
        <v>0.6805555555555556</v>
      </c>
      <c r="E16" s="180">
        <v>0.7013888888888888</v>
      </c>
      <c r="F16" s="121">
        <v>0.5</v>
      </c>
      <c r="G16" s="117">
        <v>0.5</v>
      </c>
      <c r="H16" s="118">
        <f t="shared" si="1"/>
        <v>100</v>
      </c>
      <c r="I16" s="119"/>
    </row>
    <row r="17" ht="14.25" customHeight="1">
      <c r="A17" s="137" t="s">
        <v>1041</v>
      </c>
      <c r="B17" s="136">
        <v>7.8227826E7</v>
      </c>
      <c r="C17" s="231">
        <v>45210.0</v>
      </c>
      <c r="D17" s="180">
        <v>0.7298611111111111</v>
      </c>
      <c r="E17" s="180">
        <v>0.7715277777777778</v>
      </c>
      <c r="F17" s="121">
        <v>1.0</v>
      </c>
      <c r="G17" s="117">
        <v>1.0</v>
      </c>
      <c r="H17" s="118">
        <f t="shared" si="1"/>
        <v>200</v>
      </c>
      <c r="I17" s="119"/>
    </row>
    <row r="18" ht="14.25" customHeight="1">
      <c r="A18" s="135" t="s">
        <v>1042</v>
      </c>
      <c r="B18" s="136">
        <v>7.8115146E7</v>
      </c>
      <c r="C18" s="231">
        <v>45241.0</v>
      </c>
      <c r="D18" s="180">
        <v>0.2222222222222222</v>
      </c>
      <c r="E18" s="180">
        <v>0.2638888888888889</v>
      </c>
      <c r="F18" s="121">
        <v>1.0</v>
      </c>
      <c r="G18" s="117">
        <v>1.0</v>
      </c>
      <c r="H18" s="118">
        <f t="shared" si="1"/>
        <v>200</v>
      </c>
      <c r="I18" s="119"/>
    </row>
    <row r="19" ht="14.25" customHeight="1">
      <c r="A19" s="137" t="s">
        <v>1043</v>
      </c>
      <c r="B19" s="137">
        <v>7.6464845E7</v>
      </c>
      <c r="C19" s="231">
        <v>45241.0</v>
      </c>
      <c r="D19" s="180">
        <v>0.3020833333333333</v>
      </c>
      <c r="E19" s="180">
        <v>0.34375</v>
      </c>
      <c r="F19" s="126">
        <v>1.0</v>
      </c>
      <c r="G19" s="117">
        <v>1.0</v>
      </c>
      <c r="H19" s="118">
        <f t="shared" si="1"/>
        <v>200</v>
      </c>
      <c r="I19" s="119"/>
    </row>
    <row r="20" ht="14.25" customHeight="1">
      <c r="A20" s="135" t="s">
        <v>1044</v>
      </c>
      <c r="B20" s="135">
        <v>7.6864265E7</v>
      </c>
      <c r="C20" s="231">
        <v>45241.0</v>
      </c>
      <c r="D20" s="180">
        <v>0.35833333333333334</v>
      </c>
      <c r="E20" s="180">
        <v>0.44166666666666665</v>
      </c>
      <c r="F20" s="121">
        <v>2.0</v>
      </c>
      <c r="G20" s="117">
        <v>2.0</v>
      </c>
      <c r="H20" s="118">
        <f t="shared" si="1"/>
        <v>400</v>
      </c>
      <c r="I20" s="119"/>
    </row>
    <row r="21" ht="14.25" customHeight="1">
      <c r="A21" s="135" t="s">
        <v>1045</v>
      </c>
      <c r="B21" s="136">
        <v>7.6379424E7</v>
      </c>
      <c r="C21" s="231">
        <v>45241.0</v>
      </c>
      <c r="D21" s="114" t="s">
        <v>1046</v>
      </c>
      <c r="E21" s="180" t="s">
        <v>803</v>
      </c>
      <c r="F21" s="121">
        <v>1.0</v>
      </c>
      <c r="G21" s="117">
        <v>1.0</v>
      </c>
      <c r="H21" s="118">
        <f t="shared" si="1"/>
        <v>200</v>
      </c>
      <c r="I21" s="119"/>
    </row>
    <row r="22" ht="14.25" customHeight="1">
      <c r="A22" s="135" t="s">
        <v>1047</v>
      </c>
      <c r="B22" s="135">
        <v>7.6279019E7</v>
      </c>
      <c r="C22" s="250" t="s">
        <v>1048</v>
      </c>
      <c r="D22" s="180">
        <v>0.2326388888888889</v>
      </c>
      <c r="E22" s="180">
        <v>0.3993055555555556</v>
      </c>
      <c r="F22" s="121">
        <v>4.0</v>
      </c>
      <c r="G22" s="117">
        <v>4.0</v>
      </c>
      <c r="H22" s="118">
        <f t="shared" si="1"/>
        <v>800</v>
      </c>
      <c r="I22" s="310" t="s">
        <v>1049</v>
      </c>
    </row>
    <row r="23" ht="14.25" customHeight="1">
      <c r="A23" s="137" t="s">
        <v>1050</v>
      </c>
      <c r="B23" s="136">
        <v>7.6227079E7</v>
      </c>
      <c r="C23" s="250" t="s">
        <v>1048</v>
      </c>
      <c r="D23" s="180">
        <v>0.4930555555555556</v>
      </c>
      <c r="E23" s="180">
        <v>0.6180555555555556</v>
      </c>
      <c r="F23" s="121">
        <v>3.0</v>
      </c>
      <c r="G23" s="117">
        <v>3.0</v>
      </c>
      <c r="H23" s="118">
        <f t="shared" si="1"/>
        <v>600</v>
      </c>
      <c r="I23" s="310" t="s">
        <v>1051</v>
      </c>
    </row>
    <row r="24" ht="14.25" customHeight="1">
      <c r="A24" s="135" t="s">
        <v>1052</v>
      </c>
      <c r="B24" s="135">
        <v>7.6556866E7</v>
      </c>
      <c r="C24" s="250" t="s">
        <v>1048</v>
      </c>
      <c r="D24" s="180">
        <v>0.6909722222222222</v>
      </c>
      <c r="E24" s="180">
        <v>0.7326388888888888</v>
      </c>
      <c r="F24" s="121">
        <v>1.0</v>
      </c>
      <c r="G24" s="117">
        <v>1.0</v>
      </c>
      <c r="H24" s="118">
        <f t="shared" si="1"/>
        <v>200</v>
      </c>
      <c r="I24" s="310" t="s">
        <v>1051</v>
      </c>
    </row>
    <row r="25" ht="14.25" customHeight="1">
      <c r="A25" s="135" t="s">
        <v>1053</v>
      </c>
      <c r="B25" s="259" t="s">
        <v>593</v>
      </c>
      <c r="C25" s="250" t="s">
        <v>1048</v>
      </c>
      <c r="D25" s="180">
        <v>0.7340277777777777</v>
      </c>
      <c r="E25" s="180">
        <v>0.7756944444444445</v>
      </c>
      <c r="F25" s="121">
        <v>1.0</v>
      </c>
      <c r="G25" s="117">
        <v>1.0</v>
      </c>
      <c r="H25" s="118">
        <f t="shared" si="1"/>
        <v>200</v>
      </c>
      <c r="I25" s="310" t="s">
        <v>1051</v>
      </c>
    </row>
    <row r="26" ht="14.25" customHeight="1">
      <c r="A26" s="135" t="s">
        <v>1054</v>
      </c>
      <c r="B26" s="135">
        <v>7.6277866E7</v>
      </c>
      <c r="C26" s="250" t="s">
        <v>1055</v>
      </c>
      <c r="D26" s="180">
        <v>0.5847222222222223</v>
      </c>
      <c r="E26" s="180">
        <v>0.7097222222222223</v>
      </c>
      <c r="F26" s="121">
        <v>3.0</v>
      </c>
      <c r="G26" s="117">
        <v>3.0</v>
      </c>
      <c r="H26" s="118">
        <f t="shared" si="1"/>
        <v>600</v>
      </c>
      <c r="I26" s="154" t="s">
        <v>1056</v>
      </c>
    </row>
    <row r="27" ht="14.25" customHeight="1">
      <c r="A27" s="135" t="s">
        <v>1057</v>
      </c>
      <c r="B27" s="135">
        <v>7.6226783E7</v>
      </c>
      <c r="C27" s="250" t="s">
        <v>1055</v>
      </c>
      <c r="D27" s="180">
        <v>0.7340277777777777</v>
      </c>
      <c r="E27" s="180">
        <v>0.7756944444444445</v>
      </c>
      <c r="F27" s="121">
        <v>1.0</v>
      </c>
      <c r="G27" s="117">
        <v>1.0</v>
      </c>
      <c r="H27" s="118">
        <f t="shared" si="1"/>
        <v>200</v>
      </c>
      <c r="I27" s="274" t="s">
        <v>1058</v>
      </c>
    </row>
    <row r="28" ht="14.25" customHeight="1">
      <c r="A28" s="135" t="s">
        <v>1059</v>
      </c>
      <c r="B28" s="135">
        <v>7.6889125E7</v>
      </c>
      <c r="C28" s="250" t="s">
        <v>129</v>
      </c>
      <c r="D28" s="180">
        <v>0.7326388888888888</v>
      </c>
      <c r="E28" s="180">
        <v>0.7743055555555556</v>
      </c>
      <c r="F28" s="121">
        <v>1.0</v>
      </c>
      <c r="G28" s="117">
        <v>1.0</v>
      </c>
      <c r="H28" s="118">
        <f t="shared" si="1"/>
        <v>200</v>
      </c>
      <c r="I28" s="119"/>
    </row>
    <row r="29" ht="14.25" customHeight="1">
      <c r="A29" s="135" t="s">
        <v>1060</v>
      </c>
      <c r="B29" s="136">
        <v>7.8678414E7</v>
      </c>
      <c r="C29" s="250" t="s">
        <v>129</v>
      </c>
      <c r="D29" s="180">
        <v>0.7861111111111111</v>
      </c>
      <c r="E29" s="183">
        <v>0.8263888888888888</v>
      </c>
      <c r="F29" s="121">
        <v>1.0</v>
      </c>
      <c r="G29" s="117">
        <v>1.0</v>
      </c>
      <c r="H29" s="118">
        <f t="shared" si="1"/>
        <v>200</v>
      </c>
      <c r="I29" s="119"/>
    </row>
    <row r="30" ht="14.25" customHeight="1">
      <c r="A30" s="135" t="s">
        <v>1061</v>
      </c>
      <c r="B30" s="135">
        <v>7.6859335E7</v>
      </c>
      <c r="C30" s="250" t="s">
        <v>361</v>
      </c>
      <c r="D30" s="180">
        <v>0.20833333333333334</v>
      </c>
      <c r="E30" s="180">
        <v>0.375</v>
      </c>
      <c r="F30" s="121">
        <v>4.0</v>
      </c>
      <c r="G30" s="117">
        <v>4.0</v>
      </c>
      <c r="H30" s="118">
        <f t="shared" si="1"/>
        <v>800</v>
      </c>
      <c r="I30" s="154" t="s">
        <v>1062</v>
      </c>
    </row>
    <row r="31" ht="14.25" customHeight="1">
      <c r="A31" s="137" t="s">
        <v>1063</v>
      </c>
      <c r="B31" s="137">
        <v>7.8483205E7</v>
      </c>
      <c r="C31" s="250" t="s">
        <v>361</v>
      </c>
      <c r="D31" s="180">
        <v>0.5902777777777778</v>
      </c>
      <c r="E31" s="180">
        <v>0.6319444444444444</v>
      </c>
      <c r="F31" s="121">
        <v>1.0</v>
      </c>
      <c r="G31" s="117">
        <v>1.0</v>
      </c>
      <c r="H31" s="118">
        <f t="shared" si="1"/>
        <v>200</v>
      </c>
      <c r="I31" s="154" t="s">
        <v>1062</v>
      </c>
    </row>
    <row r="32" ht="14.25" customHeight="1">
      <c r="A32" s="137" t="s">
        <v>1064</v>
      </c>
      <c r="B32" s="137">
        <v>7.6186897E7</v>
      </c>
      <c r="C32" s="250" t="s">
        <v>361</v>
      </c>
      <c r="D32" s="180">
        <v>0.6611111111111111</v>
      </c>
      <c r="E32" s="180">
        <v>0.7861111111111111</v>
      </c>
      <c r="F32" s="116">
        <v>3.0</v>
      </c>
      <c r="G32" s="117">
        <v>3.0</v>
      </c>
      <c r="H32" s="118">
        <f t="shared" si="1"/>
        <v>600</v>
      </c>
      <c r="I32" s="154" t="s">
        <v>1065</v>
      </c>
    </row>
    <row r="33" ht="14.25" customHeight="1">
      <c r="A33" s="137" t="s">
        <v>1066</v>
      </c>
      <c r="B33" s="137">
        <v>7.6226783E7</v>
      </c>
      <c r="C33" s="250" t="s">
        <v>141</v>
      </c>
      <c r="D33" s="311">
        <v>0.20833333333333334</v>
      </c>
      <c r="E33" s="114" t="s">
        <v>1067</v>
      </c>
      <c r="F33" s="116">
        <v>1.0</v>
      </c>
      <c r="G33" s="117">
        <v>1.0</v>
      </c>
      <c r="H33" s="118">
        <f t="shared" si="1"/>
        <v>200</v>
      </c>
      <c r="I33" s="154" t="s">
        <v>1068</v>
      </c>
    </row>
    <row r="34" ht="14.25" customHeight="1">
      <c r="A34" s="135" t="s">
        <v>1069</v>
      </c>
      <c r="B34" s="135">
        <v>7.6226783E7</v>
      </c>
      <c r="C34" s="250" t="s">
        <v>141</v>
      </c>
      <c r="D34" s="311">
        <v>0.25416666666666665</v>
      </c>
      <c r="E34" s="180">
        <v>0.29583333333333334</v>
      </c>
      <c r="F34" s="116">
        <v>1.0</v>
      </c>
      <c r="G34" s="117">
        <v>1.0</v>
      </c>
      <c r="H34" s="118">
        <f t="shared" si="1"/>
        <v>200</v>
      </c>
      <c r="I34" s="154" t="s">
        <v>1070</v>
      </c>
    </row>
    <row r="35" ht="14.25" customHeight="1">
      <c r="A35" s="137" t="s">
        <v>1071</v>
      </c>
      <c r="B35" s="137">
        <v>7.6186897E7</v>
      </c>
      <c r="C35" s="250" t="s">
        <v>141</v>
      </c>
      <c r="D35" s="180">
        <v>0.40694444444444444</v>
      </c>
      <c r="E35" s="180">
        <v>0.4486111111111111</v>
      </c>
      <c r="F35" s="116">
        <v>1.0</v>
      </c>
      <c r="G35" s="117">
        <v>1.0</v>
      </c>
      <c r="H35" s="118">
        <f t="shared" si="1"/>
        <v>200</v>
      </c>
      <c r="I35" s="154" t="s">
        <v>1070</v>
      </c>
    </row>
    <row r="36" ht="14.25" customHeight="1">
      <c r="A36" s="135" t="s">
        <v>1072</v>
      </c>
      <c r="B36" s="135">
        <v>7.6889125E7</v>
      </c>
      <c r="C36" s="250" t="s">
        <v>141</v>
      </c>
      <c r="D36" s="180">
        <v>0.45555555555555555</v>
      </c>
      <c r="E36" s="180">
        <v>0.5388888888888889</v>
      </c>
      <c r="F36" s="116">
        <v>2.0</v>
      </c>
      <c r="G36" s="117">
        <v>2.0</v>
      </c>
      <c r="H36" s="118">
        <f t="shared" si="1"/>
        <v>400</v>
      </c>
      <c r="I36" s="154" t="s">
        <v>1070</v>
      </c>
    </row>
    <row r="37" ht="14.25" customHeight="1">
      <c r="A37" s="135" t="s">
        <v>1073</v>
      </c>
      <c r="B37" s="135">
        <v>7.6211809E7</v>
      </c>
      <c r="C37" s="250" t="s">
        <v>141</v>
      </c>
      <c r="D37" s="114" t="s">
        <v>1074</v>
      </c>
      <c r="E37" s="114" t="s">
        <v>1075</v>
      </c>
      <c r="F37" s="116">
        <v>2.0</v>
      </c>
      <c r="G37" s="117">
        <v>2.0</v>
      </c>
      <c r="H37" s="118">
        <f t="shared" si="1"/>
        <v>400</v>
      </c>
      <c r="I37" s="154" t="s">
        <v>1076</v>
      </c>
    </row>
    <row r="38" ht="14.25" customHeight="1">
      <c r="A38" s="135" t="s">
        <v>1077</v>
      </c>
      <c r="B38" s="135">
        <v>7.6238793E7</v>
      </c>
      <c r="C38" s="250" t="s">
        <v>141</v>
      </c>
      <c r="D38" s="180">
        <v>0.6916666666666667</v>
      </c>
      <c r="E38" s="180">
        <v>0.7333333333333333</v>
      </c>
      <c r="F38" s="116">
        <v>1.0</v>
      </c>
      <c r="G38" s="117">
        <v>1.0</v>
      </c>
      <c r="H38" s="118">
        <f t="shared" si="1"/>
        <v>200</v>
      </c>
      <c r="I38" s="154" t="s">
        <v>1076</v>
      </c>
    </row>
    <row r="39" ht="14.25" customHeight="1">
      <c r="A39" s="135" t="s">
        <v>1078</v>
      </c>
      <c r="B39" s="135">
        <v>7.8207171E7</v>
      </c>
      <c r="C39" s="250" t="s">
        <v>147</v>
      </c>
      <c r="D39" s="180">
        <v>0.21875</v>
      </c>
      <c r="E39" s="180">
        <v>0.2604166666666667</v>
      </c>
      <c r="F39" s="116">
        <v>1.0</v>
      </c>
      <c r="G39" s="117">
        <v>1.0</v>
      </c>
      <c r="H39" s="118">
        <f t="shared" si="1"/>
        <v>200</v>
      </c>
      <c r="I39" s="154"/>
    </row>
    <row r="40" ht="14.25" customHeight="1">
      <c r="A40" s="135" t="s">
        <v>1073</v>
      </c>
      <c r="B40" s="135">
        <v>7.6211809E7</v>
      </c>
      <c r="C40" s="250" t="s">
        <v>147</v>
      </c>
      <c r="D40" s="180">
        <v>0.2777777777777778</v>
      </c>
      <c r="E40" s="180">
        <v>0.3194444444444444</v>
      </c>
      <c r="F40" s="116">
        <v>1.0</v>
      </c>
      <c r="G40" s="117">
        <v>1.0</v>
      </c>
      <c r="H40" s="118">
        <f t="shared" si="1"/>
        <v>200</v>
      </c>
      <c r="I40" s="154"/>
    </row>
    <row r="41" ht="14.25" customHeight="1">
      <c r="A41" s="135" t="s">
        <v>1077</v>
      </c>
      <c r="B41" s="135">
        <v>7.6238793E7</v>
      </c>
      <c r="C41" s="250" t="s">
        <v>147</v>
      </c>
      <c r="D41" s="180">
        <v>0.3854166666666667</v>
      </c>
      <c r="E41" s="180">
        <v>0.46875</v>
      </c>
      <c r="F41" s="116">
        <v>2.0</v>
      </c>
      <c r="G41" s="117">
        <v>2.0</v>
      </c>
      <c r="H41" s="118">
        <f t="shared" si="1"/>
        <v>400</v>
      </c>
      <c r="I41" s="154"/>
    </row>
    <row r="42" ht="16.5" customHeight="1">
      <c r="A42" s="185"/>
      <c r="B42" s="277"/>
      <c r="C42" s="278"/>
      <c r="D42" s="188"/>
      <c r="E42" s="189" t="s">
        <v>41</v>
      </c>
      <c r="F42" s="142">
        <f t="shared" ref="F42:H42" si="2">SUM(F8:F41)</f>
        <v>50</v>
      </c>
      <c r="G42" s="142">
        <f t="shared" si="2"/>
        <v>50</v>
      </c>
      <c r="H42" s="190">
        <f t="shared" si="2"/>
        <v>10000</v>
      </c>
      <c r="I42" s="191"/>
    </row>
    <row r="43" ht="20.25" customHeight="1">
      <c r="A43" s="141"/>
      <c r="B43" s="140"/>
      <c r="C43" s="280"/>
      <c r="D43" s="189"/>
      <c r="E43" s="281" t="s">
        <v>100</v>
      </c>
      <c r="F43" s="147">
        <f>COUNT(F9:F41)</f>
        <v>32</v>
      </c>
      <c r="G43" s="47"/>
      <c r="H43" s="47"/>
      <c r="I43" s="48"/>
    </row>
    <row r="44" ht="14.25" customHeight="1">
      <c r="A44" s="171"/>
      <c r="B44" s="282"/>
      <c r="C44" s="305"/>
      <c r="D44" s="78"/>
      <c r="E44" s="78"/>
      <c r="F44" s="171"/>
      <c r="G44" s="173"/>
      <c r="H44" s="170"/>
      <c r="I44" s="171"/>
    </row>
    <row r="45" ht="14.25" customHeight="1">
      <c r="A45" s="171"/>
      <c r="B45" s="282"/>
      <c r="C45" s="305"/>
      <c r="D45" s="49" t="s">
        <v>101</v>
      </c>
      <c r="E45" s="50"/>
      <c r="F45" s="171"/>
      <c r="G45" s="173"/>
      <c r="H45" s="170"/>
      <c r="I45" s="171"/>
    </row>
    <row r="46" ht="14.25" customHeight="1">
      <c r="A46" s="171"/>
      <c r="B46" s="282"/>
      <c r="C46" s="305"/>
      <c r="D46" s="51" t="s">
        <v>102</v>
      </c>
      <c r="E46" s="50"/>
      <c r="F46" s="171"/>
      <c r="G46" s="173"/>
      <c r="H46" s="170"/>
      <c r="I46" s="171"/>
    </row>
    <row r="47" ht="14.25" customHeight="1">
      <c r="A47" s="171"/>
      <c r="B47" s="282"/>
      <c r="C47" s="305"/>
      <c r="D47" s="52" t="s">
        <v>58</v>
      </c>
      <c r="E47" s="53"/>
      <c r="F47" s="171"/>
      <c r="G47" s="173"/>
      <c r="H47" s="170"/>
      <c r="I47" s="171"/>
    </row>
    <row r="48" ht="14.25" customHeight="1">
      <c r="A48" s="171"/>
      <c r="B48" s="282"/>
      <c r="C48" s="305"/>
      <c r="D48" s="78"/>
      <c r="E48" s="78"/>
      <c r="F48" s="171"/>
      <c r="G48" s="173"/>
      <c r="H48" s="170"/>
      <c r="I48" s="171"/>
    </row>
    <row r="49" ht="14.25" customHeight="1">
      <c r="A49" s="171"/>
      <c r="B49" s="282"/>
      <c r="C49" s="305"/>
      <c r="D49" s="78"/>
      <c r="E49" s="78"/>
      <c r="F49" s="171"/>
      <c r="G49" s="173"/>
      <c r="H49" s="170"/>
      <c r="I49" s="171"/>
    </row>
    <row r="50" ht="14.25" customHeight="1">
      <c r="A50" s="171"/>
      <c r="B50" s="282"/>
      <c r="C50" s="305"/>
      <c r="D50" s="78"/>
      <c r="E50" s="78"/>
      <c r="F50" s="171"/>
      <c r="G50" s="173"/>
      <c r="H50" s="170"/>
      <c r="I50" s="171"/>
    </row>
    <row r="51" ht="14.25" customHeight="1">
      <c r="A51" s="171"/>
      <c r="B51" s="282"/>
      <c r="C51" s="305"/>
      <c r="D51" s="78"/>
      <c r="E51" s="78"/>
      <c r="F51" s="171"/>
      <c r="G51" s="173"/>
      <c r="H51" s="170"/>
      <c r="I51" s="171"/>
    </row>
    <row r="52" ht="14.25" customHeight="1">
      <c r="A52" s="171"/>
      <c r="B52" s="282"/>
      <c r="C52" s="305"/>
      <c r="D52" s="78"/>
      <c r="E52" s="78"/>
      <c r="F52" s="171"/>
      <c r="G52" s="173"/>
      <c r="H52" s="170"/>
      <c r="I52" s="171"/>
    </row>
    <row r="53" ht="14.25" customHeight="1">
      <c r="A53" s="171"/>
      <c r="B53" s="282"/>
      <c r="C53" s="305"/>
      <c r="D53" s="78"/>
      <c r="E53" s="78"/>
      <c r="F53" s="171"/>
      <c r="G53" s="173"/>
      <c r="H53" s="170"/>
      <c r="I53" s="171"/>
    </row>
    <row r="54" ht="14.25" customHeight="1">
      <c r="A54" s="171"/>
      <c r="B54" s="282"/>
      <c r="C54" s="305"/>
      <c r="D54" s="78"/>
      <c r="E54" s="78"/>
      <c r="F54" s="171"/>
      <c r="G54" s="173"/>
      <c r="H54" s="170"/>
      <c r="I54" s="171"/>
    </row>
    <row r="55" ht="14.25" customHeight="1">
      <c r="A55" s="171"/>
      <c r="B55" s="282"/>
      <c r="C55" s="305"/>
      <c r="D55" s="78"/>
      <c r="E55" s="78"/>
      <c r="F55" s="171"/>
      <c r="G55" s="173"/>
      <c r="H55" s="170"/>
      <c r="I55" s="171"/>
    </row>
    <row r="56" ht="14.25" customHeight="1">
      <c r="A56" s="171"/>
      <c r="B56" s="282"/>
      <c r="C56" s="305"/>
      <c r="D56" s="78"/>
      <c r="E56" s="78"/>
      <c r="F56" s="171"/>
      <c r="G56" s="173"/>
      <c r="H56" s="170"/>
      <c r="I56" s="171"/>
    </row>
    <row r="57" ht="14.25" customHeight="1">
      <c r="A57" s="171"/>
      <c r="B57" s="282"/>
      <c r="C57" s="305"/>
      <c r="D57" s="78"/>
      <c r="E57" s="78"/>
      <c r="F57" s="171"/>
      <c r="G57" s="173"/>
      <c r="H57" s="170"/>
      <c r="I57" s="171"/>
    </row>
    <row r="58" ht="14.25" customHeight="1">
      <c r="A58" s="171"/>
      <c r="B58" s="282"/>
      <c r="C58" s="305"/>
      <c r="D58" s="78"/>
      <c r="E58" s="78"/>
      <c r="F58" s="171"/>
      <c r="G58" s="173"/>
      <c r="H58" s="170"/>
      <c r="I58" s="171"/>
    </row>
    <row r="59" ht="14.25" customHeight="1">
      <c r="A59" s="171"/>
      <c r="B59" s="282"/>
      <c r="C59" s="305"/>
      <c r="D59" s="78"/>
      <c r="E59" s="78"/>
      <c r="F59" s="171"/>
      <c r="G59" s="173"/>
      <c r="H59" s="170"/>
      <c r="I59" s="171"/>
    </row>
    <row r="60" ht="14.25" customHeight="1">
      <c r="A60" s="171"/>
      <c r="B60" s="282"/>
      <c r="C60" s="305"/>
      <c r="D60" s="78"/>
      <c r="E60" s="78"/>
      <c r="F60" s="171"/>
      <c r="G60" s="173"/>
      <c r="H60" s="170"/>
      <c r="I60" s="171"/>
    </row>
    <row r="61" ht="14.25" customHeight="1">
      <c r="A61" s="171"/>
      <c r="B61" s="282"/>
      <c r="C61" s="305"/>
      <c r="D61" s="78"/>
      <c r="E61" s="78"/>
      <c r="F61" s="171"/>
      <c r="G61" s="173"/>
      <c r="H61" s="170"/>
      <c r="I61" s="171"/>
    </row>
    <row r="62" ht="14.25" customHeight="1">
      <c r="A62" s="171"/>
      <c r="B62" s="282"/>
      <c r="C62" s="305"/>
      <c r="D62" s="78"/>
      <c r="E62" s="78"/>
      <c r="F62" s="171"/>
      <c r="G62" s="173"/>
      <c r="H62" s="170"/>
      <c r="I62" s="171"/>
    </row>
    <row r="63" ht="14.25" customHeight="1">
      <c r="A63" s="171"/>
      <c r="B63" s="282"/>
      <c r="C63" s="305"/>
      <c r="D63" s="78"/>
      <c r="E63" s="78"/>
      <c r="F63" s="171"/>
      <c r="G63" s="173"/>
      <c r="H63" s="170"/>
      <c r="I63" s="171"/>
    </row>
    <row r="64" ht="14.25" customHeight="1">
      <c r="A64" s="171"/>
      <c r="B64" s="282"/>
      <c r="C64" s="305"/>
      <c r="D64" s="78"/>
      <c r="E64" s="78"/>
      <c r="F64" s="171"/>
      <c r="G64" s="173"/>
      <c r="H64" s="170"/>
      <c r="I64" s="171"/>
    </row>
    <row r="65" ht="14.25" customHeight="1">
      <c r="A65" s="171"/>
      <c r="B65" s="282"/>
      <c r="C65" s="305"/>
      <c r="D65" s="78"/>
      <c r="E65" s="78"/>
      <c r="F65" s="171"/>
      <c r="G65" s="173"/>
      <c r="H65" s="170"/>
      <c r="I65" s="171"/>
    </row>
    <row r="66" ht="14.25" customHeight="1">
      <c r="A66" s="171"/>
      <c r="B66" s="282"/>
      <c r="C66" s="305"/>
      <c r="D66" s="78"/>
      <c r="E66" s="78"/>
      <c r="F66" s="171"/>
      <c r="G66" s="173"/>
      <c r="H66" s="170"/>
      <c r="I66" s="171"/>
    </row>
    <row r="67" ht="14.25" customHeight="1">
      <c r="A67" s="171"/>
      <c r="B67" s="282"/>
      <c r="C67" s="305"/>
      <c r="D67" s="78"/>
      <c r="E67" s="78"/>
      <c r="F67" s="171"/>
      <c r="G67" s="173"/>
      <c r="H67" s="170"/>
      <c r="I67" s="171"/>
    </row>
    <row r="68" ht="14.25" customHeight="1">
      <c r="A68" s="171"/>
      <c r="B68" s="282"/>
      <c r="C68" s="305"/>
      <c r="D68" s="78"/>
      <c r="E68" s="78"/>
      <c r="F68" s="171"/>
      <c r="G68" s="173"/>
      <c r="H68" s="170"/>
      <c r="I68" s="171"/>
    </row>
    <row r="69" ht="14.25" customHeight="1">
      <c r="A69" s="171"/>
      <c r="B69" s="282"/>
      <c r="C69" s="305"/>
      <c r="D69" s="78"/>
      <c r="E69" s="78"/>
      <c r="F69" s="171"/>
      <c r="G69" s="173"/>
      <c r="H69" s="170"/>
      <c r="I69" s="171"/>
    </row>
    <row r="70" ht="14.25" customHeight="1">
      <c r="A70" s="171"/>
      <c r="B70" s="282"/>
      <c r="C70" s="305"/>
      <c r="D70" s="78"/>
      <c r="E70" s="78"/>
      <c r="F70" s="171"/>
      <c r="G70" s="173"/>
      <c r="H70" s="170"/>
      <c r="I70" s="171"/>
    </row>
    <row r="71" ht="14.25" customHeight="1">
      <c r="A71" s="171"/>
      <c r="B71" s="282"/>
      <c r="C71" s="305"/>
      <c r="D71" s="78"/>
      <c r="E71" s="78"/>
      <c r="F71" s="171"/>
      <c r="G71" s="173"/>
      <c r="H71" s="170"/>
      <c r="I71" s="171"/>
    </row>
    <row r="72" ht="14.25" customHeight="1">
      <c r="A72" s="171"/>
      <c r="B72" s="282"/>
      <c r="C72" s="305"/>
      <c r="D72" s="78"/>
      <c r="E72" s="78"/>
      <c r="F72" s="171"/>
      <c r="G72" s="173"/>
      <c r="H72" s="170"/>
      <c r="I72" s="171"/>
    </row>
    <row r="73" ht="14.25" customHeight="1">
      <c r="A73" s="171"/>
      <c r="B73" s="282"/>
      <c r="C73" s="305"/>
      <c r="D73" s="78"/>
      <c r="E73" s="78"/>
      <c r="F73" s="171"/>
      <c r="G73" s="173"/>
      <c r="H73" s="170"/>
      <c r="I73" s="171"/>
    </row>
    <row r="74" ht="14.25" customHeight="1">
      <c r="A74" s="171"/>
      <c r="B74" s="282"/>
      <c r="C74" s="305"/>
      <c r="D74" s="78"/>
      <c r="E74" s="78"/>
      <c r="F74" s="171"/>
      <c r="G74" s="173"/>
      <c r="H74" s="170"/>
      <c r="I74" s="171"/>
    </row>
    <row r="75" ht="14.25" customHeight="1">
      <c r="A75" s="171"/>
      <c r="B75" s="282"/>
      <c r="C75" s="305"/>
      <c r="D75" s="78"/>
      <c r="E75" s="78"/>
      <c r="F75" s="171"/>
      <c r="G75" s="173"/>
      <c r="H75" s="170"/>
      <c r="I75" s="171"/>
    </row>
    <row r="76" ht="14.25" customHeight="1">
      <c r="A76" s="171"/>
      <c r="B76" s="282"/>
      <c r="C76" s="305"/>
      <c r="D76" s="78"/>
      <c r="E76" s="78"/>
      <c r="F76" s="171"/>
      <c r="G76" s="173"/>
      <c r="H76" s="170"/>
      <c r="I76" s="171"/>
    </row>
    <row r="77" ht="14.25" customHeight="1">
      <c r="A77" s="171"/>
      <c r="B77" s="282"/>
      <c r="C77" s="305"/>
      <c r="D77" s="78"/>
      <c r="E77" s="78"/>
      <c r="F77" s="171"/>
      <c r="G77" s="173"/>
      <c r="H77" s="170"/>
      <c r="I77" s="171"/>
    </row>
    <row r="78" ht="14.25" customHeight="1">
      <c r="A78" s="171"/>
      <c r="B78" s="282"/>
      <c r="C78" s="305"/>
      <c r="D78" s="78"/>
      <c r="E78" s="78"/>
      <c r="F78" s="171"/>
      <c r="G78" s="173"/>
      <c r="H78" s="170"/>
      <c r="I78" s="171"/>
    </row>
    <row r="79" ht="14.25" customHeight="1">
      <c r="A79" s="171"/>
      <c r="B79" s="282"/>
      <c r="C79" s="305"/>
      <c r="D79" s="78"/>
      <c r="E79" s="78"/>
      <c r="F79" s="171"/>
      <c r="G79" s="173"/>
      <c r="H79" s="170"/>
      <c r="I79" s="171"/>
    </row>
    <row r="80" ht="14.25" customHeight="1">
      <c r="A80" s="171"/>
      <c r="B80" s="282"/>
      <c r="C80" s="305"/>
      <c r="D80" s="78"/>
      <c r="E80" s="78"/>
      <c r="F80" s="171"/>
      <c r="G80" s="173"/>
      <c r="H80" s="170"/>
      <c r="I80" s="171"/>
    </row>
    <row r="81" ht="14.25" customHeight="1">
      <c r="A81" s="171"/>
      <c r="B81" s="282"/>
      <c r="C81" s="305"/>
      <c r="D81" s="78"/>
      <c r="E81" s="78"/>
      <c r="F81" s="171"/>
      <c r="G81" s="173"/>
      <c r="H81" s="170"/>
      <c r="I81" s="171"/>
    </row>
    <row r="82" ht="14.25" customHeight="1">
      <c r="A82" s="171"/>
      <c r="B82" s="282"/>
      <c r="C82" s="305"/>
      <c r="D82" s="78"/>
      <c r="E82" s="78"/>
      <c r="F82" s="171"/>
      <c r="G82" s="173"/>
      <c r="H82" s="170"/>
      <c r="I82" s="171"/>
    </row>
    <row r="83" ht="14.25" customHeight="1">
      <c r="A83" s="171"/>
      <c r="B83" s="282"/>
      <c r="C83" s="305"/>
      <c r="D83" s="78"/>
      <c r="E83" s="78"/>
      <c r="F83" s="171"/>
      <c r="G83" s="173"/>
      <c r="H83" s="170"/>
      <c r="I83" s="171"/>
    </row>
    <row r="84" ht="14.25" customHeight="1">
      <c r="A84" s="171"/>
      <c r="B84" s="282"/>
      <c r="C84" s="305"/>
      <c r="D84" s="78"/>
      <c r="E84" s="78"/>
      <c r="F84" s="171"/>
      <c r="G84" s="173"/>
      <c r="H84" s="170"/>
      <c r="I84" s="171"/>
    </row>
    <row r="85" ht="14.25" customHeight="1">
      <c r="A85" s="171"/>
      <c r="B85" s="282"/>
      <c r="C85" s="305"/>
      <c r="D85" s="78"/>
      <c r="E85" s="78"/>
      <c r="F85" s="171"/>
      <c r="G85" s="173"/>
      <c r="H85" s="170"/>
      <c r="I85" s="171"/>
    </row>
    <row r="86" ht="14.25" customHeight="1">
      <c r="A86" s="171"/>
      <c r="B86" s="282"/>
      <c r="C86" s="305"/>
      <c r="D86" s="78"/>
      <c r="E86" s="78"/>
      <c r="F86" s="171"/>
      <c r="G86" s="173"/>
      <c r="H86" s="170"/>
      <c r="I86" s="171"/>
    </row>
    <row r="87" ht="14.25" customHeight="1">
      <c r="A87" s="171"/>
      <c r="B87" s="282"/>
      <c r="C87" s="305"/>
      <c r="D87" s="78"/>
      <c r="E87" s="78"/>
      <c r="F87" s="171"/>
      <c r="G87" s="173"/>
      <c r="H87" s="170"/>
      <c r="I87" s="171"/>
    </row>
    <row r="88" ht="14.25" customHeight="1">
      <c r="A88" s="171"/>
      <c r="B88" s="282"/>
      <c r="C88" s="305"/>
      <c r="D88" s="78"/>
      <c r="E88" s="78"/>
      <c r="F88" s="171"/>
      <c r="G88" s="173"/>
      <c r="H88" s="170"/>
      <c r="I88" s="171"/>
    </row>
    <row r="89" ht="14.25" customHeight="1">
      <c r="A89" s="171"/>
      <c r="B89" s="282"/>
      <c r="C89" s="305"/>
      <c r="D89" s="78"/>
      <c r="E89" s="78"/>
      <c r="F89" s="171"/>
      <c r="G89" s="173"/>
      <c r="H89" s="170"/>
      <c r="I89" s="171"/>
    </row>
    <row r="90" ht="14.25" customHeight="1">
      <c r="A90" s="171"/>
      <c r="B90" s="282"/>
      <c r="C90" s="305"/>
      <c r="D90" s="78"/>
      <c r="E90" s="78"/>
      <c r="F90" s="171"/>
      <c r="G90" s="173"/>
      <c r="H90" s="170"/>
      <c r="I90" s="171"/>
    </row>
    <row r="91" ht="14.25" customHeight="1">
      <c r="A91" s="171"/>
      <c r="B91" s="282"/>
      <c r="C91" s="305"/>
      <c r="D91" s="78"/>
      <c r="E91" s="78"/>
      <c r="F91" s="171"/>
      <c r="G91" s="173"/>
      <c r="H91" s="170"/>
      <c r="I91" s="171"/>
    </row>
    <row r="92" ht="14.25" customHeight="1">
      <c r="A92" s="171"/>
      <c r="B92" s="282"/>
      <c r="C92" s="305"/>
      <c r="D92" s="78"/>
      <c r="E92" s="78"/>
      <c r="F92" s="171"/>
      <c r="G92" s="173"/>
      <c r="H92" s="170"/>
      <c r="I92" s="171"/>
    </row>
    <row r="93" ht="14.25" customHeight="1">
      <c r="A93" s="171"/>
      <c r="B93" s="282"/>
      <c r="C93" s="305"/>
      <c r="D93" s="78"/>
      <c r="E93" s="78"/>
      <c r="F93" s="171"/>
      <c r="G93" s="173"/>
      <c r="H93" s="170"/>
      <c r="I93" s="171"/>
    </row>
    <row r="94" ht="14.25" customHeight="1">
      <c r="A94" s="171"/>
      <c r="B94" s="282"/>
      <c r="C94" s="305"/>
      <c r="D94" s="78"/>
      <c r="E94" s="78"/>
      <c r="F94" s="171"/>
      <c r="G94" s="173"/>
      <c r="H94" s="170"/>
      <c r="I94" s="171"/>
    </row>
    <row r="95" ht="14.25" customHeight="1">
      <c r="A95" s="171"/>
      <c r="B95" s="282"/>
      <c r="C95" s="305"/>
      <c r="D95" s="78"/>
      <c r="E95" s="78"/>
      <c r="F95" s="171"/>
      <c r="G95" s="173"/>
      <c r="H95" s="170"/>
      <c r="I95" s="171"/>
    </row>
    <row r="96" ht="14.25" customHeight="1">
      <c r="A96" s="171"/>
      <c r="B96" s="282"/>
      <c r="C96" s="305"/>
      <c r="D96" s="78"/>
      <c r="E96" s="78"/>
      <c r="F96" s="171"/>
      <c r="G96" s="173"/>
      <c r="H96" s="170"/>
      <c r="I96" s="171"/>
    </row>
    <row r="97" ht="14.25" customHeight="1">
      <c r="A97" s="171"/>
      <c r="B97" s="282"/>
      <c r="C97" s="305"/>
      <c r="D97" s="78"/>
      <c r="E97" s="78"/>
      <c r="F97" s="171"/>
      <c r="G97" s="173"/>
      <c r="H97" s="170"/>
      <c r="I97" s="171"/>
    </row>
    <row r="98" ht="14.25" customHeight="1">
      <c r="A98" s="171"/>
      <c r="B98" s="282"/>
      <c r="C98" s="305"/>
      <c r="D98" s="78"/>
      <c r="E98" s="78"/>
      <c r="F98" s="171"/>
      <c r="G98" s="173"/>
      <c r="H98" s="170"/>
      <c r="I98" s="171"/>
    </row>
    <row r="99" ht="14.25" customHeight="1">
      <c r="A99" s="171"/>
      <c r="B99" s="282"/>
      <c r="C99" s="305"/>
      <c r="D99" s="78"/>
      <c r="E99" s="78"/>
      <c r="F99" s="171"/>
      <c r="G99" s="173"/>
      <c r="H99" s="170"/>
      <c r="I99" s="171"/>
    </row>
    <row r="100" ht="14.25" customHeight="1">
      <c r="A100" s="171"/>
      <c r="B100" s="282"/>
      <c r="C100" s="305"/>
      <c r="D100" s="78"/>
      <c r="E100" s="78"/>
      <c r="F100" s="171"/>
      <c r="G100" s="173"/>
      <c r="H100" s="170"/>
      <c r="I100" s="171"/>
    </row>
    <row r="101" ht="14.25" customHeight="1">
      <c r="A101" s="171"/>
      <c r="B101" s="282"/>
      <c r="C101" s="305"/>
      <c r="D101" s="78"/>
      <c r="E101" s="78"/>
      <c r="F101" s="171"/>
      <c r="G101" s="173"/>
      <c r="H101" s="170"/>
      <c r="I101" s="171"/>
    </row>
    <row r="102" ht="14.25" customHeight="1">
      <c r="A102" s="171"/>
      <c r="B102" s="282"/>
      <c r="C102" s="305"/>
      <c r="D102" s="78"/>
      <c r="E102" s="78"/>
      <c r="F102" s="171"/>
      <c r="G102" s="173"/>
      <c r="H102" s="170"/>
      <c r="I102" s="171"/>
    </row>
    <row r="103" ht="14.25" customHeight="1">
      <c r="A103" s="171"/>
      <c r="B103" s="282"/>
      <c r="C103" s="305"/>
      <c r="D103" s="78"/>
      <c r="E103" s="78"/>
      <c r="F103" s="171"/>
      <c r="G103" s="173"/>
      <c r="H103" s="170"/>
      <c r="I103" s="171"/>
    </row>
    <row r="104" ht="14.25" customHeight="1">
      <c r="A104" s="171"/>
      <c r="B104" s="282"/>
      <c r="C104" s="305"/>
      <c r="D104" s="78"/>
      <c r="E104" s="78"/>
      <c r="F104" s="171"/>
      <c r="G104" s="173"/>
      <c r="H104" s="170"/>
      <c r="I104" s="171"/>
    </row>
    <row r="105" ht="14.25" customHeight="1">
      <c r="A105" s="171"/>
      <c r="B105" s="282"/>
      <c r="C105" s="305"/>
      <c r="D105" s="78"/>
      <c r="E105" s="78"/>
      <c r="F105" s="171"/>
      <c r="G105" s="173"/>
      <c r="H105" s="170"/>
      <c r="I105" s="171"/>
    </row>
    <row r="106" ht="14.25" customHeight="1">
      <c r="A106" s="171"/>
      <c r="B106" s="282"/>
      <c r="C106" s="305"/>
      <c r="D106" s="78"/>
      <c r="E106" s="78"/>
      <c r="F106" s="171"/>
      <c r="G106" s="173"/>
      <c r="H106" s="170"/>
      <c r="I106" s="171"/>
    </row>
    <row r="107" ht="14.25" customHeight="1">
      <c r="A107" s="171"/>
      <c r="B107" s="282"/>
      <c r="C107" s="305"/>
      <c r="D107" s="78"/>
      <c r="E107" s="78"/>
      <c r="F107" s="171"/>
      <c r="G107" s="173"/>
      <c r="H107" s="170"/>
      <c r="I107" s="171"/>
    </row>
    <row r="108" ht="14.25" customHeight="1">
      <c r="A108" s="171"/>
      <c r="B108" s="282"/>
      <c r="C108" s="305"/>
      <c r="D108" s="78"/>
      <c r="E108" s="78"/>
      <c r="F108" s="171"/>
      <c r="G108" s="173"/>
      <c r="H108" s="170"/>
      <c r="I108" s="171"/>
    </row>
    <row r="109" ht="14.25" customHeight="1">
      <c r="A109" s="171"/>
      <c r="B109" s="282"/>
      <c r="C109" s="305"/>
      <c r="D109" s="78"/>
      <c r="E109" s="78"/>
      <c r="F109" s="171"/>
      <c r="G109" s="173"/>
      <c r="H109" s="170"/>
      <c r="I109" s="171"/>
    </row>
    <row r="110" ht="14.25" customHeight="1">
      <c r="A110" s="171"/>
      <c r="B110" s="282"/>
      <c r="C110" s="305"/>
      <c r="D110" s="78"/>
      <c r="E110" s="78"/>
      <c r="F110" s="171"/>
      <c r="G110" s="173"/>
      <c r="H110" s="170"/>
      <c r="I110" s="171"/>
    </row>
    <row r="111" ht="14.25" customHeight="1">
      <c r="A111" s="171"/>
      <c r="B111" s="282"/>
      <c r="C111" s="305"/>
      <c r="D111" s="78"/>
      <c r="E111" s="78"/>
      <c r="F111" s="171"/>
      <c r="G111" s="173"/>
      <c r="H111" s="170"/>
      <c r="I111" s="171"/>
    </row>
    <row r="112" ht="14.25" customHeight="1">
      <c r="A112" s="171"/>
      <c r="B112" s="282"/>
      <c r="C112" s="305"/>
      <c r="D112" s="78"/>
      <c r="E112" s="78"/>
      <c r="F112" s="171"/>
      <c r="G112" s="173"/>
      <c r="H112" s="170"/>
      <c r="I112" s="171"/>
    </row>
    <row r="113" ht="14.25" customHeight="1">
      <c r="A113" s="171"/>
      <c r="B113" s="282"/>
      <c r="C113" s="305"/>
      <c r="D113" s="78"/>
      <c r="E113" s="78"/>
      <c r="F113" s="171"/>
      <c r="G113" s="173"/>
      <c r="H113" s="170"/>
      <c r="I113" s="171"/>
    </row>
    <row r="114" ht="14.25" customHeight="1">
      <c r="A114" s="171"/>
      <c r="B114" s="282"/>
      <c r="C114" s="305"/>
      <c r="D114" s="78"/>
      <c r="E114" s="78"/>
      <c r="F114" s="171"/>
      <c r="G114" s="173"/>
      <c r="H114" s="170"/>
      <c r="I114" s="171"/>
    </row>
    <row r="115" ht="14.25" customHeight="1">
      <c r="A115" s="171"/>
      <c r="B115" s="282"/>
      <c r="C115" s="305"/>
      <c r="D115" s="78"/>
      <c r="E115" s="78"/>
      <c r="F115" s="171"/>
      <c r="G115" s="173"/>
      <c r="H115" s="170"/>
      <c r="I115" s="171"/>
    </row>
    <row r="116" ht="14.25" customHeight="1">
      <c r="A116" s="171"/>
      <c r="B116" s="282"/>
      <c r="C116" s="305"/>
      <c r="D116" s="78"/>
      <c r="E116" s="78"/>
      <c r="F116" s="171"/>
      <c r="G116" s="173"/>
      <c r="H116" s="170"/>
      <c r="I116" s="171"/>
    </row>
    <row r="117" ht="14.25" customHeight="1">
      <c r="A117" s="171"/>
      <c r="B117" s="282"/>
      <c r="C117" s="305"/>
      <c r="D117" s="78"/>
      <c r="E117" s="78"/>
      <c r="F117" s="171"/>
      <c r="G117" s="173"/>
      <c r="H117" s="170"/>
      <c r="I117" s="171"/>
    </row>
    <row r="118" ht="14.25" customHeight="1">
      <c r="A118" s="171"/>
      <c r="B118" s="282"/>
      <c r="C118" s="305"/>
      <c r="D118" s="78"/>
      <c r="E118" s="78"/>
      <c r="F118" s="171"/>
      <c r="G118" s="173"/>
      <c r="H118" s="170"/>
      <c r="I118" s="171"/>
    </row>
    <row r="119" ht="14.25" customHeight="1">
      <c r="A119" s="171"/>
      <c r="B119" s="282"/>
      <c r="C119" s="305"/>
      <c r="D119" s="78"/>
      <c r="E119" s="78"/>
      <c r="F119" s="171"/>
      <c r="G119" s="173"/>
      <c r="H119" s="170"/>
      <c r="I119" s="171"/>
    </row>
    <row r="120" ht="14.25" customHeight="1">
      <c r="A120" s="171"/>
      <c r="B120" s="282"/>
      <c r="C120" s="305"/>
      <c r="D120" s="78"/>
      <c r="E120" s="78"/>
      <c r="F120" s="171"/>
      <c r="G120" s="173"/>
      <c r="H120" s="170"/>
      <c r="I120" s="171"/>
    </row>
    <row r="121" ht="14.25" customHeight="1">
      <c r="A121" s="171"/>
      <c r="B121" s="282"/>
      <c r="C121" s="305"/>
      <c r="D121" s="78"/>
      <c r="E121" s="78"/>
      <c r="F121" s="171"/>
      <c r="G121" s="173"/>
      <c r="H121" s="170"/>
      <c r="I121" s="171"/>
    </row>
    <row r="122" ht="14.25" customHeight="1">
      <c r="A122" s="171"/>
      <c r="B122" s="282"/>
      <c r="C122" s="305"/>
      <c r="D122" s="78"/>
      <c r="E122" s="78"/>
      <c r="F122" s="171"/>
      <c r="G122" s="173"/>
      <c r="H122" s="170"/>
      <c r="I122" s="171"/>
    </row>
    <row r="123" ht="14.25" customHeight="1">
      <c r="A123" s="171"/>
      <c r="B123" s="282"/>
      <c r="C123" s="305"/>
      <c r="D123" s="78"/>
      <c r="E123" s="78"/>
      <c r="F123" s="171"/>
      <c r="G123" s="173"/>
      <c r="H123" s="170"/>
      <c r="I123" s="171"/>
    </row>
    <row r="124" ht="14.25" customHeight="1">
      <c r="A124" s="171"/>
      <c r="B124" s="282"/>
      <c r="C124" s="305"/>
      <c r="D124" s="78"/>
      <c r="E124" s="78"/>
      <c r="F124" s="171"/>
      <c r="G124" s="173"/>
      <c r="H124" s="170"/>
      <c r="I124" s="171"/>
    </row>
    <row r="125" ht="14.25" customHeight="1">
      <c r="A125" s="171"/>
      <c r="B125" s="282"/>
      <c r="C125" s="305"/>
      <c r="D125" s="78"/>
      <c r="E125" s="78"/>
      <c r="F125" s="171"/>
      <c r="G125" s="173"/>
      <c r="H125" s="170"/>
      <c r="I125" s="171"/>
    </row>
    <row r="126" ht="14.25" customHeight="1">
      <c r="A126" s="171"/>
      <c r="B126" s="282"/>
      <c r="C126" s="305"/>
      <c r="D126" s="78"/>
      <c r="E126" s="78"/>
      <c r="F126" s="171"/>
      <c r="G126" s="173"/>
      <c r="H126" s="170"/>
      <c r="I126" s="171"/>
    </row>
    <row r="127" ht="14.25" customHeight="1">
      <c r="A127" s="171"/>
      <c r="B127" s="282"/>
      <c r="C127" s="305"/>
      <c r="D127" s="78"/>
      <c r="E127" s="78"/>
      <c r="F127" s="171"/>
      <c r="G127" s="173"/>
      <c r="H127" s="170"/>
      <c r="I127" s="171"/>
    </row>
    <row r="128" ht="14.25" customHeight="1">
      <c r="A128" s="171"/>
      <c r="B128" s="282"/>
      <c r="C128" s="305"/>
      <c r="D128" s="78"/>
      <c r="E128" s="78"/>
      <c r="F128" s="171"/>
      <c r="G128" s="173"/>
      <c r="H128" s="170"/>
      <c r="I128" s="171"/>
    </row>
    <row r="129" ht="14.25" customHeight="1">
      <c r="A129" s="171"/>
      <c r="B129" s="282"/>
      <c r="C129" s="305"/>
      <c r="D129" s="78"/>
      <c r="E129" s="78"/>
      <c r="F129" s="171"/>
      <c r="G129" s="173"/>
      <c r="H129" s="170"/>
      <c r="I129" s="171"/>
    </row>
    <row r="130" ht="14.25" customHeight="1">
      <c r="A130" s="171"/>
      <c r="B130" s="282"/>
      <c r="C130" s="305"/>
      <c r="D130" s="78"/>
      <c r="E130" s="78"/>
      <c r="F130" s="171"/>
      <c r="G130" s="173"/>
      <c r="H130" s="170"/>
      <c r="I130" s="171"/>
    </row>
    <row r="131" ht="14.25" customHeight="1">
      <c r="A131" s="171"/>
      <c r="B131" s="282"/>
      <c r="C131" s="305"/>
      <c r="D131" s="78"/>
      <c r="E131" s="78"/>
      <c r="F131" s="171"/>
      <c r="G131" s="173"/>
      <c r="H131" s="170"/>
      <c r="I131" s="171"/>
    </row>
    <row r="132" ht="14.25" customHeight="1">
      <c r="A132" s="171"/>
      <c r="B132" s="282"/>
      <c r="C132" s="305"/>
      <c r="D132" s="78"/>
      <c r="E132" s="78"/>
      <c r="F132" s="171"/>
      <c r="G132" s="173"/>
      <c r="H132" s="170"/>
      <c r="I132" s="171"/>
    </row>
    <row r="133" ht="14.25" customHeight="1">
      <c r="A133" s="171"/>
      <c r="B133" s="282"/>
      <c r="C133" s="305"/>
      <c r="D133" s="78"/>
      <c r="E133" s="78"/>
      <c r="F133" s="171"/>
      <c r="G133" s="173"/>
      <c r="H133" s="170"/>
      <c r="I133" s="171"/>
    </row>
    <row r="134" ht="14.25" customHeight="1">
      <c r="A134" s="171"/>
      <c r="B134" s="282"/>
      <c r="C134" s="305"/>
      <c r="D134" s="78"/>
      <c r="E134" s="78"/>
      <c r="F134" s="171"/>
      <c r="G134" s="173"/>
      <c r="H134" s="170"/>
      <c r="I134" s="171"/>
    </row>
    <row r="135" ht="14.25" customHeight="1">
      <c r="A135" s="171"/>
      <c r="B135" s="282"/>
      <c r="C135" s="305"/>
      <c r="D135" s="78"/>
      <c r="E135" s="78"/>
      <c r="F135" s="171"/>
      <c r="G135" s="173"/>
      <c r="H135" s="170"/>
      <c r="I135" s="171"/>
    </row>
    <row r="136" ht="14.25" customHeight="1">
      <c r="A136" s="171"/>
      <c r="B136" s="282"/>
      <c r="C136" s="305"/>
      <c r="D136" s="78"/>
      <c r="E136" s="78"/>
      <c r="F136" s="171"/>
      <c r="G136" s="173"/>
      <c r="H136" s="170"/>
      <c r="I136" s="171"/>
    </row>
    <row r="137" ht="14.25" customHeight="1">
      <c r="A137" s="171"/>
      <c r="B137" s="282"/>
      <c r="C137" s="305"/>
      <c r="D137" s="78"/>
      <c r="E137" s="78"/>
      <c r="F137" s="171"/>
      <c r="G137" s="173"/>
      <c r="H137" s="170"/>
      <c r="I137" s="171"/>
    </row>
    <row r="138" ht="14.25" customHeight="1">
      <c r="A138" s="171"/>
      <c r="B138" s="282"/>
      <c r="C138" s="305"/>
      <c r="D138" s="78"/>
      <c r="E138" s="78"/>
      <c r="F138" s="171"/>
      <c r="G138" s="173"/>
      <c r="H138" s="170"/>
      <c r="I138" s="171"/>
    </row>
    <row r="139" ht="14.25" customHeight="1">
      <c r="A139" s="171"/>
      <c r="B139" s="282"/>
      <c r="C139" s="305"/>
      <c r="D139" s="78"/>
      <c r="E139" s="78"/>
      <c r="F139" s="171"/>
      <c r="G139" s="173"/>
      <c r="H139" s="170"/>
      <c r="I139" s="171"/>
    </row>
    <row r="140" ht="14.25" customHeight="1">
      <c r="A140" s="171"/>
      <c r="B140" s="282"/>
      <c r="C140" s="305"/>
      <c r="D140" s="78"/>
      <c r="E140" s="78"/>
      <c r="F140" s="171"/>
      <c r="G140" s="173"/>
      <c r="H140" s="170"/>
      <c r="I140" s="171"/>
    </row>
    <row r="141" ht="14.25" customHeight="1">
      <c r="A141" s="171"/>
      <c r="B141" s="282"/>
      <c r="C141" s="305"/>
      <c r="D141" s="78"/>
      <c r="E141" s="78"/>
      <c r="F141" s="171"/>
      <c r="G141" s="173"/>
      <c r="H141" s="170"/>
      <c r="I141" s="171"/>
    </row>
    <row r="142" ht="14.25" customHeight="1">
      <c r="A142" s="171"/>
      <c r="B142" s="282"/>
      <c r="C142" s="305"/>
      <c r="D142" s="78"/>
      <c r="E142" s="78"/>
      <c r="F142" s="171"/>
      <c r="G142" s="173"/>
      <c r="H142" s="170"/>
      <c r="I142" s="171"/>
    </row>
    <row r="143" ht="14.25" customHeight="1">
      <c r="A143" s="171"/>
      <c r="B143" s="282"/>
      <c r="C143" s="305"/>
      <c r="D143" s="78"/>
      <c r="E143" s="78"/>
      <c r="F143" s="171"/>
      <c r="G143" s="173"/>
      <c r="H143" s="170"/>
      <c r="I143" s="171"/>
    </row>
    <row r="144" ht="14.25" customHeight="1">
      <c r="A144" s="171"/>
      <c r="B144" s="282"/>
      <c r="C144" s="305"/>
      <c r="D144" s="78"/>
      <c r="E144" s="78"/>
      <c r="F144" s="171"/>
      <c r="G144" s="173"/>
      <c r="H144" s="170"/>
      <c r="I144" s="171"/>
    </row>
    <row r="145" ht="14.25" customHeight="1">
      <c r="A145" s="171"/>
      <c r="B145" s="282"/>
      <c r="C145" s="305"/>
      <c r="D145" s="78"/>
      <c r="E145" s="78"/>
      <c r="F145" s="171"/>
      <c r="G145" s="173"/>
      <c r="H145" s="170"/>
      <c r="I145" s="171"/>
    </row>
    <row r="146" ht="14.25" customHeight="1">
      <c r="A146" s="171"/>
      <c r="B146" s="282"/>
      <c r="C146" s="305"/>
      <c r="D146" s="78"/>
      <c r="E146" s="78"/>
      <c r="F146" s="171"/>
      <c r="G146" s="173"/>
      <c r="H146" s="170"/>
      <c r="I146" s="171"/>
    </row>
    <row r="147" ht="14.25" customHeight="1">
      <c r="A147" s="171"/>
      <c r="B147" s="282"/>
      <c r="C147" s="305"/>
      <c r="D147" s="78"/>
      <c r="E147" s="78"/>
      <c r="F147" s="171"/>
      <c r="G147" s="173"/>
      <c r="H147" s="170"/>
      <c r="I147" s="171"/>
    </row>
    <row r="148" ht="14.25" customHeight="1">
      <c r="A148" s="171"/>
      <c r="B148" s="282"/>
      <c r="C148" s="305"/>
      <c r="D148" s="78"/>
      <c r="E148" s="78"/>
      <c r="F148" s="171"/>
      <c r="G148" s="173"/>
      <c r="H148" s="170"/>
      <c r="I148" s="171"/>
    </row>
    <row r="149" ht="14.25" customHeight="1">
      <c r="A149" s="171"/>
      <c r="B149" s="282"/>
      <c r="C149" s="305"/>
      <c r="D149" s="78"/>
      <c r="E149" s="78"/>
      <c r="F149" s="171"/>
      <c r="G149" s="173"/>
      <c r="H149" s="170"/>
      <c r="I149" s="171"/>
    </row>
    <row r="150" ht="14.25" customHeight="1">
      <c r="A150" s="171"/>
      <c r="B150" s="282"/>
      <c r="C150" s="305"/>
      <c r="D150" s="78"/>
      <c r="E150" s="78"/>
      <c r="F150" s="171"/>
      <c r="G150" s="173"/>
      <c r="H150" s="170"/>
      <c r="I150" s="171"/>
    </row>
    <row r="151" ht="14.25" customHeight="1">
      <c r="A151" s="171"/>
      <c r="B151" s="282"/>
      <c r="C151" s="305"/>
      <c r="D151" s="78"/>
      <c r="E151" s="78"/>
      <c r="F151" s="171"/>
      <c r="G151" s="173"/>
      <c r="H151" s="170"/>
      <c r="I151" s="171"/>
    </row>
    <row r="152" ht="14.25" customHeight="1">
      <c r="A152" s="171"/>
      <c r="B152" s="282"/>
      <c r="C152" s="305"/>
      <c r="D152" s="78"/>
      <c r="E152" s="78"/>
      <c r="F152" s="171"/>
      <c r="G152" s="173"/>
      <c r="H152" s="170"/>
      <c r="I152" s="171"/>
    </row>
    <row r="153" ht="14.25" customHeight="1">
      <c r="A153" s="171"/>
      <c r="B153" s="282"/>
      <c r="C153" s="305"/>
      <c r="D153" s="78"/>
      <c r="E153" s="78"/>
      <c r="F153" s="171"/>
      <c r="G153" s="173"/>
      <c r="H153" s="170"/>
      <c r="I153" s="171"/>
    </row>
    <row r="154" ht="14.25" customHeight="1">
      <c r="A154" s="171"/>
      <c r="B154" s="282"/>
      <c r="C154" s="305"/>
      <c r="D154" s="78"/>
      <c r="E154" s="78"/>
      <c r="F154" s="171"/>
      <c r="G154" s="173"/>
      <c r="H154" s="170"/>
      <c r="I154" s="171"/>
    </row>
    <row r="155" ht="14.25" customHeight="1">
      <c r="A155" s="171"/>
      <c r="B155" s="282"/>
      <c r="C155" s="305"/>
      <c r="D155" s="78"/>
      <c r="E155" s="78"/>
      <c r="F155" s="171"/>
      <c r="G155" s="173"/>
      <c r="H155" s="170"/>
      <c r="I155" s="171"/>
    </row>
    <row r="156" ht="14.25" customHeight="1">
      <c r="A156" s="171"/>
      <c r="B156" s="282"/>
      <c r="C156" s="305"/>
      <c r="D156" s="78"/>
      <c r="E156" s="78"/>
      <c r="F156" s="171"/>
      <c r="G156" s="173"/>
      <c r="H156" s="170"/>
      <c r="I156" s="171"/>
    </row>
    <row r="157" ht="14.25" customHeight="1">
      <c r="A157" s="171"/>
      <c r="B157" s="282"/>
      <c r="C157" s="305"/>
      <c r="D157" s="78"/>
      <c r="E157" s="78"/>
      <c r="F157" s="171"/>
      <c r="G157" s="173"/>
      <c r="H157" s="170"/>
      <c r="I157" s="171"/>
    </row>
    <row r="158" ht="14.25" customHeight="1">
      <c r="A158" s="171"/>
      <c r="B158" s="282"/>
      <c r="C158" s="305"/>
      <c r="D158" s="78"/>
      <c r="E158" s="78"/>
      <c r="F158" s="171"/>
      <c r="G158" s="173"/>
      <c r="H158" s="170"/>
      <c r="I158" s="171"/>
    </row>
    <row r="159" ht="14.25" customHeight="1">
      <c r="A159" s="171"/>
      <c r="B159" s="282"/>
      <c r="C159" s="305"/>
      <c r="D159" s="78"/>
      <c r="E159" s="78"/>
      <c r="F159" s="171"/>
      <c r="G159" s="173"/>
      <c r="H159" s="170"/>
      <c r="I159" s="171"/>
    </row>
    <row r="160" ht="14.25" customHeight="1">
      <c r="A160" s="171"/>
      <c r="B160" s="282"/>
      <c r="C160" s="305"/>
      <c r="D160" s="78"/>
      <c r="E160" s="78"/>
      <c r="F160" s="171"/>
      <c r="G160" s="173"/>
      <c r="H160" s="170"/>
      <c r="I160" s="171"/>
    </row>
    <row r="161" ht="14.25" customHeight="1">
      <c r="A161" s="171"/>
      <c r="B161" s="282"/>
      <c r="C161" s="305"/>
      <c r="D161" s="78"/>
      <c r="E161" s="78"/>
      <c r="F161" s="171"/>
      <c r="G161" s="173"/>
      <c r="H161" s="170"/>
      <c r="I161" s="171"/>
    </row>
    <row r="162" ht="14.25" customHeight="1">
      <c r="A162" s="171"/>
      <c r="B162" s="282"/>
      <c r="C162" s="305"/>
      <c r="D162" s="78"/>
      <c r="E162" s="78"/>
      <c r="F162" s="171"/>
      <c r="G162" s="173"/>
      <c r="H162" s="170"/>
      <c r="I162" s="171"/>
    </row>
    <row r="163" ht="14.25" customHeight="1">
      <c r="A163" s="171"/>
      <c r="B163" s="282"/>
      <c r="C163" s="305"/>
      <c r="D163" s="78"/>
      <c r="E163" s="78"/>
      <c r="F163" s="171"/>
      <c r="G163" s="173"/>
      <c r="H163" s="170"/>
      <c r="I163" s="171"/>
    </row>
    <row r="164" ht="14.25" customHeight="1">
      <c r="A164" s="171"/>
      <c r="B164" s="282"/>
      <c r="C164" s="305"/>
      <c r="D164" s="78"/>
      <c r="E164" s="78"/>
      <c r="F164" s="171"/>
      <c r="G164" s="173"/>
      <c r="H164" s="170"/>
      <c r="I164" s="171"/>
    </row>
    <row r="165" ht="14.25" customHeight="1">
      <c r="A165" s="171"/>
      <c r="B165" s="282"/>
      <c r="C165" s="305"/>
      <c r="D165" s="78"/>
      <c r="E165" s="78"/>
      <c r="F165" s="171"/>
      <c r="G165" s="173"/>
      <c r="H165" s="170"/>
      <c r="I165" s="171"/>
    </row>
    <row r="166" ht="14.25" customHeight="1">
      <c r="A166" s="171"/>
      <c r="B166" s="282"/>
      <c r="C166" s="305"/>
      <c r="D166" s="78"/>
      <c r="E166" s="78"/>
      <c r="F166" s="171"/>
      <c r="G166" s="173"/>
      <c r="H166" s="170"/>
      <c r="I166" s="171"/>
    </row>
    <row r="167" ht="14.25" customHeight="1">
      <c r="A167" s="171"/>
      <c r="B167" s="282"/>
      <c r="C167" s="305"/>
      <c r="D167" s="78"/>
      <c r="E167" s="78"/>
      <c r="F167" s="171"/>
      <c r="G167" s="173"/>
      <c r="H167" s="170"/>
      <c r="I167" s="171"/>
    </row>
    <row r="168" ht="14.25" customHeight="1">
      <c r="A168" s="171"/>
      <c r="B168" s="282"/>
      <c r="C168" s="305"/>
      <c r="D168" s="78"/>
      <c r="E168" s="78"/>
      <c r="F168" s="171"/>
      <c r="G168" s="173"/>
      <c r="H168" s="170"/>
      <c r="I168" s="171"/>
    </row>
    <row r="169" ht="14.25" customHeight="1">
      <c r="A169" s="171"/>
      <c r="B169" s="282"/>
      <c r="C169" s="305"/>
      <c r="D169" s="78"/>
      <c r="E169" s="78"/>
      <c r="F169" s="171"/>
      <c r="G169" s="173"/>
      <c r="H169" s="170"/>
      <c r="I169" s="171"/>
    </row>
    <row r="170" ht="14.25" customHeight="1">
      <c r="A170" s="171"/>
      <c r="B170" s="282"/>
      <c r="C170" s="305"/>
      <c r="D170" s="78"/>
      <c r="E170" s="78"/>
      <c r="F170" s="171"/>
      <c r="G170" s="173"/>
      <c r="H170" s="170"/>
      <c r="I170" s="171"/>
    </row>
    <row r="171" ht="14.25" customHeight="1">
      <c r="A171" s="171"/>
      <c r="B171" s="282"/>
      <c r="C171" s="305"/>
      <c r="D171" s="78"/>
      <c r="E171" s="78"/>
      <c r="F171" s="171"/>
      <c r="G171" s="173"/>
      <c r="H171" s="170"/>
      <c r="I171" s="171"/>
    </row>
    <row r="172" ht="14.25" customHeight="1">
      <c r="A172" s="171"/>
      <c r="B172" s="282"/>
      <c r="C172" s="305"/>
      <c r="D172" s="78"/>
      <c r="E172" s="78"/>
      <c r="F172" s="171"/>
      <c r="G172" s="173"/>
      <c r="H172" s="170"/>
      <c r="I172" s="171"/>
    </row>
    <row r="173" ht="14.25" customHeight="1">
      <c r="A173" s="171"/>
      <c r="B173" s="282"/>
      <c r="C173" s="305"/>
      <c r="D173" s="78"/>
      <c r="E173" s="78"/>
      <c r="F173" s="171"/>
      <c r="G173" s="173"/>
      <c r="H173" s="170"/>
      <c r="I173" s="171"/>
    </row>
    <row r="174" ht="14.25" customHeight="1">
      <c r="A174" s="171"/>
      <c r="B174" s="282"/>
      <c r="C174" s="305"/>
      <c r="D174" s="78"/>
      <c r="E174" s="78"/>
      <c r="F174" s="171"/>
      <c r="G174" s="173"/>
      <c r="H174" s="170"/>
      <c r="I174" s="171"/>
    </row>
    <row r="175" ht="14.25" customHeight="1">
      <c r="A175" s="171"/>
      <c r="B175" s="282"/>
      <c r="C175" s="305"/>
      <c r="D175" s="78"/>
      <c r="E175" s="78"/>
      <c r="F175" s="171"/>
      <c r="G175" s="173"/>
      <c r="H175" s="170"/>
      <c r="I175" s="171"/>
    </row>
    <row r="176" ht="14.25" customHeight="1">
      <c r="A176" s="171"/>
      <c r="B176" s="282"/>
      <c r="C176" s="305"/>
      <c r="D176" s="78"/>
      <c r="E176" s="78"/>
      <c r="F176" s="171"/>
      <c r="G176" s="173"/>
      <c r="H176" s="170"/>
      <c r="I176" s="171"/>
    </row>
    <row r="177" ht="14.25" customHeight="1">
      <c r="A177" s="171"/>
      <c r="B177" s="282"/>
      <c r="C177" s="305"/>
      <c r="D177" s="78"/>
      <c r="E177" s="78"/>
      <c r="F177" s="171"/>
      <c r="G177" s="173"/>
      <c r="H177" s="170"/>
      <c r="I177" s="171"/>
    </row>
    <row r="178" ht="14.25" customHeight="1">
      <c r="A178" s="171"/>
      <c r="B178" s="282"/>
      <c r="C178" s="305"/>
      <c r="D178" s="78"/>
      <c r="E178" s="78"/>
      <c r="F178" s="171"/>
      <c r="G178" s="173"/>
      <c r="H178" s="170"/>
      <c r="I178" s="171"/>
    </row>
    <row r="179" ht="14.25" customHeight="1">
      <c r="A179" s="171"/>
      <c r="B179" s="282"/>
      <c r="C179" s="305"/>
      <c r="D179" s="78"/>
      <c r="E179" s="78"/>
      <c r="F179" s="171"/>
      <c r="G179" s="173"/>
      <c r="H179" s="170"/>
      <c r="I179" s="171"/>
    </row>
    <row r="180" ht="14.25" customHeight="1">
      <c r="A180" s="171"/>
      <c r="B180" s="282"/>
      <c r="C180" s="305"/>
      <c r="D180" s="78"/>
      <c r="E180" s="78"/>
      <c r="F180" s="171"/>
      <c r="G180" s="173"/>
      <c r="H180" s="170"/>
      <c r="I180" s="171"/>
    </row>
    <row r="181" ht="14.25" customHeight="1">
      <c r="A181" s="171"/>
      <c r="B181" s="282"/>
      <c r="C181" s="305"/>
      <c r="D181" s="78"/>
      <c r="E181" s="78"/>
      <c r="F181" s="171"/>
      <c r="G181" s="173"/>
      <c r="H181" s="170"/>
      <c r="I181" s="171"/>
    </row>
    <row r="182" ht="14.25" customHeight="1">
      <c r="A182" s="171"/>
      <c r="B182" s="282"/>
      <c r="C182" s="305"/>
      <c r="D182" s="78"/>
      <c r="E182" s="78"/>
      <c r="F182" s="171"/>
      <c r="G182" s="173"/>
      <c r="H182" s="170"/>
      <c r="I182" s="171"/>
    </row>
    <row r="183" ht="14.25" customHeight="1">
      <c r="A183" s="171"/>
      <c r="B183" s="282"/>
      <c r="C183" s="305"/>
      <c r="D183" s="78"/>
      <c r="E183" s="78"/>
      <c r="F183" s="171"/>
      <c r="G183" s="173"/>
      <c r="H183" s="170"/>
      <c r="I183" s="171"/>
    </row>
    <row r="184" ht="14.25" customHeight="1">
      <c r="A184" s="171"/>
      <c r="B184" s="282"/>
      <c r="C184" s="305"/>
      <c r="D184" s="78"/>
      <c r="E184" s="78"/>
      <c r="F184" s="171"/>
      <c r="G184" s="173"/>
      <c r="H184" s="170"/>
      <c r="I184" s="171"/>
    </row>
    <row r="185" ht="14.25" customHeight="1">
      <c r="A185" s="171"/>
      <c r="B185" s="282"/>
      <c r="C185" s="305"/>
      <c r="D185" s="78"/>
      <c r="E185" s="78"/>
      <c r="F185" s="171"/>
      <c r="G185" s="173"/>
      <c r="H185" s="170"/>
      <c r="I185" s="171"/>
    </row>
    <row r="186" ht="14.25" customHeight="1">
      <c r="A186" s="171"/>
      <c r="B186" s="282"/>
      <c r="C186" s="305"/>
      <c r="D186" s="78"/>
      <c r="E186" s="78"/>
      <c r="F186" s="171"/>
      <c r="G186" s="173"/>
      <c r="H186" s="170"/>
      <c r="I186" s="171"/>
    </row>
    <row r="187" ht="14.25" customHeight="1">
      <c r="A187" s="171"/>
      <c r="B187" s="282"/>
      <c r="C187" s="305"/>
      <c r="D187" s="78"/>
      <c r="E187" s="78"/>
      <c r="F187" s="171"/>
      <c r="G187" s="173"/>
      <c r="H187" s="170"/>
      <c r="I187" s="171"/>
    </row>
    <row r="188" ht="14.25" customHeight="1">
      <c r="A188" s="171"/>
      <c r="B188" s="282"/>
      <c r="C188" s="305"/>
      <c r="D188" s="78"/>
      <c r="E188" s="78"/>
      <c r="F188" s="171"/>
      <c r="G188" s="173"/>
      <c r="H188" s="170"/>
      <c r="I188" s="171"/>
    </row>
    <row r="189" ht="14.25" customHeight="1">
      <c r="A189" s="171"/>
      <c r="B189" s="282"/>
      <c r="C189" s="305"/>
      <c r="D189" s="78"/>
      <c r="E189" s="78"/>
      <c r="F189" s="171"/>
      <c r="G189" s="173"/>
      <c r="H189" s="170"/>
      <c r="I189" s="171"/>
    </row>
    <row r="190" ht="14.25" customHeight="1">
      <c r="A190" s="171"/>
      <c r="B190" s="282"/>
      <c r="C190" s="305"/>
      <c r="D190" s="78"/>
      <c r="E190" s="78"/>
      <c r="F190" s="171"/>
      <c r="G190" s="173"/>
      <c r="H190" s="170"/>
      <c r="I190" s="171"/>
    </row>
    <row r="191" ht="14.25" customHeight="1">
      <c r="A191" s="171"/>
      <c r="B191" s="282"/>
      <c r="C191" s="305"/>
      <c r="D191" s="78"/>
      <c r="E191" s="78"/>
      <c r="F191" s="171"/>
      <c r="G191" s="173"/>
      <c r="H191" s="170"/>
      <c r="I191" s="171"/>
    </row>
    <row r="192" ht="14.25" customHeight="1">
      <c r="A192" s="171"/>
      <c r="B192" s="282"/>
      <c r="C192" s="305"/>
      <c r="D192" s="78"/>
      <c r="E192" s="78"/>
      <c r="F192" s="171"/>
      <c r="G192" s="173"/>
      <c r="H192" s="170"/>
      <c r="I192" s="171"/>
    </row>
    <row r="193" ht="14.25" customHeight="1">
      <c r="A193" s="171"/>
      <c r="B193" s="282"/>
      <c r="C193" s="305"/>
      <c r="D193" s="78"/>
      <c r="E193" s="78"/>
      <c r="F193" s="171"/>
      <c r="G193" s="173"/>
      <c r="H193" s="170"/>
      <c r="I193" s="171"/>
    </row>
    <row r="194" ht="14.25" customHeight="1">
      <c r="A194" s="171"/>
      <c r="B194" s="282"/>
      <c r="C194" s="305"/>
      <c r="D194" s="78"/>
      <c r="E194" s="78"/>
      <c r="F194" s="171"/>
      <c r="G194" s="173"/>
      <c r="H194" s="170"/>
      <c r="I194" s="171"/>
    </row>
    <row r="195" ht="14.25" customHeight="1">
      <c r="A195" s="171"/>
      <c r="B195" s="282"/>
      <c r="C195" s="305"/>
      <c r="D195" s="78"/>
      <c r="E195" s="78"/>
      <c r="F195" s="171"/>
      <c r="G195" s="173"/>
      <c r="H195" s="170"/>
      <c r="I195" s="171"/>
    </row>
    <row r="196" ht="14.25" customHeight="1">
      <c r="A196" s="171"/>
      <c r="B196" s="282"/>
      <c r="C196" s="305"/>
      <c r="D196" s="78"/>
      <c r="E196" s="78"/>
      <c r="F196" s="171"/>
      <c r="G196" s="173"/>
      <c r="H196" s="170"/>
      <c r="I196" s="171"/>
    </row>
    <row r="197" ht="14.25" customHeight="1">
      <c r="A197" s="171"/>
      <c r="B197" s="282"/>
      <c r="C197" s="305"/>
      <c r="D197" s="78"/>
      <c r="E197" s="78"/>
      <c r="F197" s="171"/>
      <c r="G197" s="173"/>
      <c r="H197" s="170"/>
      <c r="I197" s="171"/>
    </row>
    <row r="198" ht="14.25" customHeight="1">
      <c r="A198" s="171"/>
      <c r="B198" s="282"/>
      <c r="C198" s="305"/>
      <c r="D198" s="78"/>
      <c r="E198" s="78"/>
      <c r="F198" s="171"/>
      <c r="G198" s="173"/>
      <c r="H198" s="170"/>
      <c r="I198" s="171"/>
    </row>
    <row r="199" ht="14.25" customHeight="1">
      <c r="A199" s="171"/>
      <c r="B199" s="282"/>
      <c r="C199" s="305"/>
      <c r="D199" s="78"/>
      <c r="E199" s="78"/>
      <c r="F199" s="171"/>
      <c r="G199" s="173"/>
      <c r="H199" s="170"/>
      <c r="I199" s="171"/>
    </row>
    <row r="200" ht="14.25" customHeight="1">
      <c r="A200" s="171"/>
      <c r="B200" s="282"/>
      <c r="C200" s="305"/>
      <c r="D200" s="78"/>
      <c r="E200" s="78"/>
      <c r="F200" s="171"/>
      <c r="G200" s="173"/>
      <c r="H200" s="170"/>
      <c r="I200" s="171"/>
    </row>
    <row r="201" ht="14.25" customHeight="1">
      <c r="A201" s="171"/>
      <c r="B201" s="282"/>
      <c r="C201" s="305"/>
      <c r="D201" s="78"/>
      <c r="E201" s="78"/>
      <c r="F201" s="171"/>
      <c r="G201" s="173"/>
      <c r="H201" s="170"/>
      <c r="I201" s="171"/>
    </row>
    <row r="202" ht="14.25" customHeight="1">
      <c r="A202" s="171"/>
      <c r="B202" s="282"/>
      <c r="C202" s="305"/>
      <c r="D202" s="78"/>
      <c r="E202" s="78"/>
      <c r="F202" s="171"/>
      <c r="G202" s="173"/>
      <c r="H202" s="170"/>
      <c r="I202" s="171"/>
    </row>
    <row r="203" ht="14.25" customHeight="1">
      <c r="A203" s="171"/>
      <c r="B203" s="282"/>
      <c r="C203" s="305"/>
      <c r="D203" s="78"/>
      <c r="E203" s="78"/>
      <c r="F203" s="171"/>
      <c r="G203" s="173"/>
      <c r="H203" s="170"/>
      <c r="I203" s="171"/>
    </row>
    <row r="204" ht="14.25" customHeight="1">
      <c r="A204" s="171"/>
      <c r="B204" s="282"/>
      <c r="C204" s="305"/>
      <c r="D204" s="78"/>
      <c r="E204" s="78"/>
      <c r="F204" s="171"/>
      <c r="G204" s="173"/>
      <c r="H204" s="170"/>
      <c r="I204" s="171"/>
    </row>
    <row r="205" ht="14.25" customHeight="1">
      <c r="A205" s="171"/>
      <c r="B205" s="282"/>
      <c r="C205" s="305"/>
      <c r="D205" s="78"/>
      <c r="E205" s="78"/>
      <c r="F205" s="171"/>
      <c r="G205" s="173"/>
      <c r="H205" s="170"/>
      <c r="I205" s="171"/>
    </row>
    <row r="206" ht="14.25" customHeight="1">
      <c r="A206" s="171"/>
      <c r="B206" s="282"/>
      <c r="C206" s="305"/>
      <c r="D206" s="78"/>
      <c r="E206" s="78"/>
      <c r="F206" s="171"/>
      <c r="G206" s="173"/>
      <c r="H206" s="170"/>
      <c r="I206" s="171"/>
    </row>
    <row r="207" ht="14.25" customHeight="1">
      <c r="A207" s="171"/>
      <c r="B207" s="282"/>
      <c r="C207" s="305"/>
      <c r="D207" s="78"/>
      <c r="E207" s="78"/>
      <c r="F207" s="171"/>
      <c r="G207" s="173"/>
      <c r="H207" s="170"/>
      <c r="I207" s="171"/>
    </row>
    <row r="208" ht="14.25" customHeight="1">
      <c r="A208" s="171"/>
      <c r="B208" s="282"/>
      <c r="C208" s="305"/>
      <c r="D208" s="78"/>
      <c r="E208" s="78"/>
      <c r="F208" s="171"/>
      <c r="G208" s="173"/>
      <c r="H208" s="170"/>
      <c r="I208" s="171"/>
    </row>
    <row r="209" ht="14.25" customHeight="1">
      <c r="A209" s="171"/>
      <c r="B209" s="282"/>
      <c r="C209" s="305"/>
      <c r="D209" s="78"/>
      <c r="E209" s="78"/>
      <c r="F209" s="171"/>
      <c r="G209" s="173"/>
      <c r="H209" s="170"/>
      <c r="I209" s="171"/>
    </row>
    <row r="210" ht="14.25" customHeight="1">
      <c r="A210" s="171"/>
      <c r="B210" s="282"/>
      <c r="C210" s="305"/>
      <c r="D210" s="78"/>
      <c r="E210" s="78"/>
      <c r="F210" s="171"/>
      <c r="G210" s="173"/>
      <c r="H210" s="170"/>
      <c r="I210" s="171"/>
    </row>
    <row r="211" ht="14.25" customHeight="1">
      <c r="A211" s="171"/>
      <c r="B211" s="282"/>
      <c r="C211" s="305"/>
      <c r="D211" s="78"/>
      <c r="E211" s="78"/>
      <c r="F211" s="171"/>
      <c r="G211" s="173"/>
      <c r="H211" s="170"/>
      <c r="I211" s="171"/>
    </row>
    <row r="212" ht="14.25" customHeight="1">
      <c r="A212" s="171"/>
      <c r="B212" s="282"/>
      <c r="C212" s="305"/>
      <c r="D212" s="78"/>
      <c r="E212" s="78"/>
      <c r="F212" s="171"/>
      <c r="G212" s="173"/>
      <c r="H212" s="170"/>
      <c r="I212" s="171"/>
    </row>
    <row r="213" ht="14.25" customHeight="1">
      <c r="A213" s="171"/>
      <c r="B213" s="282"/>
      <c r="C213" s="305"/>
      <c r="D213" s="78"/>
      <c r="E213" s="78"/>
      <c r="F213" s="171"/>
      <c r="G213" s="173"/>
      <c r="H213" s="170"/>
      <c r="I213" s="171"/>
    </row>
    <row r="214" ht="14.25" customHeight="1">
      <c r="A214" s="171"/>
      <c r="B214" s="282"/>
      <c r="C214" s="305"/>
      <c r="D214" s="78"/>
      <c r="E214" s="78"/>
      <c r="F214" s="171"/>
      <c r="G214" s="173"/>
      <c r="H214" s="170"/>
      <c r="I214" s="171"/>
    </row>
    <row r="215" ht="14.25" customHeight="1">
      <c r="A215" s="171"/>
      <c r="B215" s="282"/>
      <c r="C215" s="305"/>
      <c r="D215" s="78"/>
      <c r="E215" s="78"/>
      <c r="F215" s="171"/>
      <c r="G215" s="173"/>
      <c r="H215" s="170"/>
      <c r="I215" s="171"/>
    </row>
    <row r="216" ht="14.25" customHeight="1">
      <c r="A216" s="171"/>
      <c r="B216" s="282"/>
      <c r="C216" s="305"/>
      <c r="D216" s="78"/>
      <c r="E216" s="78"/>
      <c r="F216" s="171"/>
      <c r="G216" s="173"/>
      <c r="H216" s="170"/>
      <c r="I216" s="171"/>
    </row>
    <row r="217" ht="14.25" customHeight="1">
      <c r="A217" s="171"/>
      <c r="B217" s="282"/>
      <c r="C217" s="305"/>
      <c r="D217" s="78"/>
      <c r="E217" s="78"/>
      <c r="F217" s="171"/>
      <c r="G217" s="173"/>
      <c r="H217" s="170"/>
      <c r="I217" s="171"/>
    </row>
    <row r="218" ht="14.25" customHeight="1">
      <c r="A218" s="171"/>
      <c r="B218" s="282"/>
      <c r="C218" s="305"/>
      <c r="D218" s="78"/>
      <c r="E218" s="78"/>
      <c r="F218" s="171"/>
      <c r="G218" s="173"/>
      <c r="H218" s="170"/>
      <c r="I218" s="171"/>
    </row>
    <row r="219" ht="14.25" customHeight="1">
      <c r="A219" s="171"/>
      <c r="B219" s="282"/>
      <c r="C219" s="305"/>
      <c r="D219" s="78"/>
      <c r="E219" s="78"/>
      <c r="F219" s="171"/>
      <c r="G219" s="173"/>
      <c r="H219" s="170"/>
      <c r="I219" s="171"/>
    </row>
    <row r="220" ht="14.25" customHeight="1">
      <c r="A220" s="171"/>
      <c r="B220" s="282"/>
      <c r="C220" s="305"/>
      <c r="D220" s="78"/>
      <c r="E220" s="78"/>
      <c r="F220" s="171"/>
      <c r="G220" s="173"/>
      <c r="H220" s="170"/>
      <c r="I220" s="171"/>
    </row>
    <row r="221" ht="14.25" customHeight="1">
      <c r="A221" s="171"/>
      <c r="B221" s="282"/>
      <c r="C221" s="305"/>
      <c r="D221" s="78"/>
      <c r="E221" s="78"/>
      <c r="F221" s="171"/>
      <c r="G221" s="173"/>
      <c r="H221" s="170"/>
      <c r="I221" s="171"/>
    </row>
    <row r="222" ht="14.25" customHeight="1">
      <c r="A222" s="171"/>
      <c r="B222" s="282"/>
      <c r="C222" s="305"/>
      <c r="D222" s="78"/>
      <c r="E222" s="78"/>
      <c r="F222" s="171"/>
      <c r="G222" s="173"/>
      <c r="H222" s="170"/>
      <c r="I222" s="171"/>
    </row>
    <row r="223" ht="14.25" customHeight="1">
      <c r="A223" s="171"/>
      <c r="B223" s="282"/>
      <c r="C223" s="305"/>
      <c r="D223" s="78"/>
      <c r="E223" s="78"/>
      <c r="F223" s="171"/>
      <c r="G223" s="173"/>
      <c r="H223" s="170"/>
      <c r="I223" s="171"/>
    </row>
    <row r="224" ht="14.25" customHeight="1">
      <c r="A224" s="171"/>
      <c r="B224" s="282"/>
      <c r="C224" s="305"/>
      <c r="D224" s="78"/>
      <c r="E224" s="78"/>
      <c r="F224" s="171"/>
      <c r="G224" s="173"/>
      <c r="H224" s="170"/>
      <c r="I224" s="171"/>
    </row>
    <row r="225" ht="14.25" customHeight="1">
      <c r="A225" s="171"/>
      <c r="B225" s="282"/>
      <c r="C225" s="305"/>
      <c r="D225" s="78"/>
      <c r="E225" s="78"/>
      <c r="F225" s="171"/>
      <c r="G225" s="173"/>
      <c r="H225" s="170"/>
      <c r="I225" s="171"/>
    </row>
    <row r="226" ht="14.25" customHeight="1">
      <c r="A226" s="171"/>
      <c r="B226" s="282"/>
      <c r="C226" s="305"/>
      <c r="D226" s="78"/>
      <c r="E226" s="78"/>
      <c r="F226" s="171"/>
      <c r="G226" s="173"/>
      <c r="H226" s="170"/>
      <c r="I226" s="171"/>
    </row>
    <row r="227" ht="14.25" customHeight="1">
      <c r="A227" s="171"/>
      <c r="B227" s="282"/>
      <c r="C227" s="305"/>
      <c r="D227" s="78"/>
      <c r="E227" s="78"/>
      <c r="F227" s="171"/>
      <c r="G227" s="173"/>
      <c r="H227" s="170"/>
      <c r="I227" s="171"/>
    </row>
    <row r="228" ht="14.25" customHeight="1">
      <c r="A228" s="171"/>
      <c r="B228" s="282"/>
      <c r="C228" s="305"/>
      <c r="D228" s="78"/>
      <c r="E228" s="78"/>
      <c r="F228" s="171"/>
      <c r="G228" s="173"/>
      <c r="H228" s="170"/>
      <c r="I228" s="171"/>
    </row>
    <row r="229" ht="14.25" customHeight="1">
      <c r="A229" s="171"/>
      <c r="B229" s="282"/>
      <c r="C229" s="305"/>
      <c r="D229" s="78"/>
      <c r="E229" s="78"/>
      <c r="F229" s="171"/>
      <c r="G229" s="173"/>
      <c r="H229" s="170"/>
      <c r="I229" s="171"/>
    </row>
    <row r="230" ht="14.25" customHeight="1">
      <c r="A230" s="171"/>
      <c r="B230" s="282"/>
      <c r="C230" s="305"/>
      <c r="D230" s="78"/>
      <c r="E230" s="78"/>
      <c r="F230" s="171"/>
      <c r="G230" s="173"/>
      <c r="H230" s="170"/>
      <c r="I230" s="171"/>
    </row>
    <row r="231" ht="14.25" customHeight="1">
      <c r="A231" s="171"/>
      <c r="B231" s="282"/>
      <c r="C231" s="305"/>
      <c r="D231" s="78"/>
      <c r="E231" s="78"/>
      <c r="F231" s="171"/>
      <c r="G231" s="173"/>
      <c r="H231" s="170"/>
      <c r="I231" s="171"/>
    </row>
    <row r="232" ht="14.25" customHeight="1">
      <c r="A232" s="171"/>
      <c r="B232" s="282"/>
      <c r="C232" s="305"/>
      <c r="D232" s="78"/>
      <c r="E232" s="78"/>
      <c r="F232" s="171"/>
      <c r="G232" s="173"/>
      <c r="H232" s="170"/>
      <c r="I232" s="171"/>
    </row>
    <row r="233" ht="14.25" customHeight="1">
      <c r="A233" s="171"/>
      <c r="B233" s="282"/>
      <c r="C233" s="305"/>
      <c r="D233" s="78"/>
      <c r="E233" s="78"/>
      <c r="F233" s="171"/>
      <c r="G233" s="173"/>
      <c r="H233" s="170"/>
      <c r="I233" s="171"/>
    </row>
    <row r="234" ht="14.25" customHeight="1">
      <c r="A234" s="171"/>
      <c r="B234" s="282"/>
      <c r="C234" s="305"/>
      <c r="D234" s="78"/>
      <c r="E234" s="78"/>
      <c r="F234" s="171"/>
      <c r="G234" s="173"/>
      <c r="H234" s="170"/>
      <c r="I234" s="171"/>
    </row>
    <row r="235" ht="14.25" customHeight="1">
      <c r="A235" s="171"/>
      <c r="B235" s="282"/>
      <c r="C235" s="305"/>
      <c r="D235" s="78"/>
      <c r="E235" s="78"/>
      <c r="F235" s="171"/>
      <c r="G235" s="173"/>
      <c r="H235" s="170"/>
      <c r="I235" s="171"/>
    </row>
    <row r="236" ht="14.25" customHeight="1">
      <c r="A236" s="171"/>
      <c r="B236" s="282"/>
      <c r="C236" s="305"/>
      <c r="D236" s="78"/>
      <c r="E236" s="78"/>
      <c r="F236" s="171"/>
      <c r="G236" s="173"/>
      <c r="H236" s="170"/>
      <c r="I236" s="171"/>
    </row>
    <row r="237" ht="14.25" customHeight="1">
      <c r="A237" s="171"/>
      <c r="B237" s="282"/>
      <c r="C237" s="305"/>
      <c r="D237" s="78"/>
      <c r="E237" s="78"/>
      <c r="F237" s="171"/>
      <c r="G237" s="173"/>
      <c r="H237" s="170"/>
      <c r="I237" s="171"/>
    </row>
    <row r="238" ht="14.25" customHeight="1">
      <c r="A238" s="171"/>
      <c r="B238" s="282"/>
      <c r="C238" s="305"/>
      <c r="D238" s="78"/>
      <c r="E238" s="78"/>
      <c r="F238" s="171"/>
      <c r="G238" s="173"/>
      <c r="H238" s="170"/>
      <c r="I238" s="171"/>
    </row>
    <row r="239" ht="14.25" customHeight="1">
      <c r="A239" s="171"/>
      <c r="B239" s="282"/>
      <c r="C239" s="305"/>
      <c r="D239" s="78"/>
      <c r="E239" s="78"/>
      <c r="F239" s="171"/>
      <c r="G239" s="173"/>
      <c r="H239" s="170"/>
      <c r="I239" s="171"/>
    </row>
    <row r="240" ht="14.25" customHeight="1">
      <c r="A240" s="171"/>
      <c r="B240" s="282"/>
      <c r="C240" s="305"/>
      <c r="D240" s="78"/>
      <c r="E240" s="78"/>
      <c r="F240" s="171"/>
      <c r="G240" s="173"/>
      <c r="H240" s="170"/>
      <c r="I240" s="171"/>
    </row>
    <row r="241" ht="14.25" customHeight="1">
      <c r="A241" s="171"/>
      <c r="B241" s="282"/>
      <c r="C241" s="305"/>
      <c r="D241" s="78"/>
      <c r="E241" s="78"/>
      <c r="F241" s="171"/>
      <c r="G241" s="173"/>
      <c r="H241" s="170"/>
      <c r="I241" s="171"/>
    </row>
    <row r="242" ht="14.25" customHeight="1">
      <c r="A242" s="171"/>
      <c r="B242" s="282"/>
      <c r="C242" s="305"/>
      <c r="D242" s="78"/>
      <c r="E242" s="78"/>
      <c r="F242" s="171"/>
      <c r="G242" s="173"/>
      <c r="H242" s="170"/>
      <c r="I242" s="171"/>
    </row>
    <row r="243" ht="14.25" customHeight="1">
      <c r="A243" s="171"/>
      <c r="B243" s="282"/>
      <c r="C243" s="305"/>
      <c r="D243" s="78"/>
      <c r="E243" s="78"/>
      <c r="F243" s="171"/>
      <c r="G243" s="173"/>
      <c r="H243" s="170"/>
      <c r="I243" s="171"/>
    </row>
    <row r="244" ht="14.25" customHeight="1">
      <c r="A244" s="171"/>
      <c r="B244" s="282"/>
      <c r="C244" s="305"/>
      <c r="D244" s="78"/>
      <c r="E244" s="78"/>
      <c r="F244" s="171"/>
      <c r="G244" s="173"/>
      <c r="H244" s="170"/>
      <c r="I244" s="171"/>
    </row>
    <row r="245" ht="14.25" customHeight="1">
      <c r="A245" s="171"/>
      <c r="B245" s="282"/>
      <c r="C245" s="305"/>
      <c r="D245" s="78"/>
      <c r="E245" s="78"/>
      <c r="F245" s="171"/>
      <c r="G245" s="173"/>
      <c r="H245" s="170"/>
      <c r="I245" s="171"/>
    </row>
    <row r="246" ht="14.25" customHeight="1">
      <c r="A246" s="171"/>
      <c r="B246" s="282"/>
      <c r="C246" s="305"/>
      <c r="D246" s="78"/>
      <c r="E246" s="78"/>
      <c r="F246" s="171"/>
      <c r="G246" s="173"/>
      <c r="H246" s="170"/>
      <c r="I246" s="171"/>
    </row>
    <row r="247" ht="14.25" customHeight="1">
      <c r="A247" s="171"/>
      <c r="B247" s="282"/>
      <c r="C247" s="305"/>
      <c r="D247" s="78"/>
      <c r="E247" s="78"/>
      <c r="F247" s="171"/>
      <c r="G247" s="173"/>
      <c r="H247" s="170"/>
      <c r="I247" s="171"/>
    </row>
    <row r="248" ht="14.25" customHeight="1">
      <c r="A248" s="171"/>
      <c r="B248" s="282"/>
      <c r="C248" s="305"/>
      <c r="D248" s="78"/>
      <c r="E248" s="78"/>
      <c r="F248" s="171"/>
      <c r="G248" s="173"/>
      <c r="H248" s="170"/>
      <c r="I248" s="171"/>
    </row>
    <row r="249" ht="14.25" customHeight="1">
      <c r="A249" s="171"/>
      <c r="B249" s="282"/>
      <c r="C249" s="305"/>
      <c r="D249" s="78"/>
      <c r="E249" s="78"/>
      <c r="F249" s="171"/>
      <c r="G249" s="173"/>
      <c r="H249" s="170"/>
      <c r="I249" s="171"/>
    </row>
    <row r="250" ht="14.25" customHeight="1">
      <c r="A250" s="171"/>
      <c r="B250" s="282"/>
      <c r="C250" s="305"/>
      <c r="D250" s="78"/>
      <c r="E250" s="78"/>
      <c r="F250" s="171"/>
      <c r="G250" s="173"/>
      <c r="H250" s="170"/>
      <c r="I250" s="171"/>
    </row>
    <row r="251" ht="14.25" customHeight="1">
      <c r="A251" s="171"/>
      <c r="B251" s="282"/>
      <c r="C251" s="305"/>
      <c r="D251" s="78"/>
      <c r="E251" s="78"/>
      <c r="F251" s="171"/>
      <c r="G251" s="173"/>
      <c r="H251" s="170"/>
      <c r="I251" s="171"/>
    </row>
    <row r="252" ht="14.25" customHeight="1">
      <c r="A252" s="171"/>
      <c r="B252" s="282"/>
      <c r="C252" s="305"/>
      <c r="D252" s="78"/>
      <c r="E252" s="78"/>
      <c r="F252" s="171"/>
      <c r="G252" s="173"/>
      <c r="H252" s="170"/>
      <c r="I252" s="171"/>
    </row>
    <row r="253" ht="14.25" customHeight="1">
      <c r="A253" s="171"/>
      <c r="B253" s="282"/>
      <c r="C253" s="305"/>
      <c r="D253" s="78"/>
      <c r="E253" s="78"/>
      <c r="F253" s="171"/>
      <c r="G253" s="173"/>
      <c r="H253" s="170"/>
      <c r="I253" s="171"/>
    </row>
    <row r="254" ht="14.25" customHeight="1">
      <c r="A254" s="171"/>
      <c r="B254" s="282"/>
      <c r="C254" s="305"/>
      <c r="D254" s="78"/>
      <c r="E254" s="78"/>
      <c r="F254" s="171"/>
      <c r="G254" s="173"/>
      <c r="H254" s="170"/>
      <c r="I254" s="171"/>
    </row>
    <row r="255" ht="14.25" customHeight="1">
      <c r="A255" s="171"/>
      <c r="B255" s="282"/>
      <c r="C255" s="305"/>
      <c r="D255" s="78"/>
      <c r="E255" s="78"/>
      <c r="F255" s="171"/>
      <c r="G255" s="173"/>
      <c r="H255" s="170"/>
      <c r="I255" s="171"/>
    </row>
    <row r="256" ht="14.25" customHeight="1">
      <c r="A256" s="171"/>
      <c r="B256" s="282"/>
      <c r="C256" s="305"/>
      <c r="D256" s="78"/>
      <c r="E256" s="78"/>
      <c r="F256" s="171"/>
      <c r="G256" s="173"/>
      <c r="H256" s="170"/>
      <c r="I256" s="171"/>
    </row>
    <row r="257" ht="14.25" customHeight="1">
      <c r="A257" s="171"/>
      <c r="B257" s="282"/>
      <c r="C257" s="305"/>
      <c r="D257" s="78"/>
      <c r="E257" s="78"/>
      <c r="F257" s="171"/>
      <c r="G257" s="173"/>
      <c r="H257" s="170"/>
      <c r="I257" s="171"/>
    </row>
    <row r="258" ht="14.25" customHeight="1">
      <c r="A258" s="171"/>
      <c r="B258" s="282"/>
      <c r="C258" s="305"/>
      <c r="D258" s="78"/>
      <c r="E258" s="78"/>
      <c r="F258" s="171"/>
      <c r="G258" s="173"/>
      <c r="H258" s="170"/>
      <c r="I258" s="171"/>
    </row>
    <row r="259" ht="14.25" customHeight="1">
      <c r="A259" s="171"/>
      <c r="B259" s="282"/>
      <c r="C259" s="305"/>
      <c r="D259" s="78"/>
      <c r="E259" s="78"/>
      <c r="F259" s="171"/>
      <c r="G259" s="173"/>
      <c r="H259" s="170"/>
      <c r="I259" s="171"/>
    </row>
    <row r="260" ht="14.25" customHeight="1">
      <c r="A260" s="171"/>
      <c r="B260" s="282"/>
      <c r="C260" s="305"/>
      <c r="D260" s="78"/>
      <c r="E260" s="78"/>
      <c r="F260" s="171"/>
      <c r="G260" s="173"/>
      <c r="H260" s="170"/>
      <c r="I260" s="171"/>
    </row>
    <row r="261" ht="14.25" customHeight="1">
      <c r="A261" s="171"/>
      <c r="B261" s="282"/>
      <c r="C261" s="305"/>
      <c r="D261" s="78"/>
      <c r="E261" s="78"/>
      <c r="F261" s="171"/>
      <c r="G261" s="173"/>
      <c r="H261" s="170"/>
      <c r="I261" s="171"/>
    </row>
    <row r="262" ht="14.25" customHeight="1">
      <c r="A262" s="171"/>
      <c r="B262" s="282"/>
      <c r="C262" s="305"/>
      <c r="D262" s="78"/>
      <c r="E262" s="78"/>
      <c r="F262" s="171"/>
      <c r="G262" s="173"/>
      <c r="H262" s="170"/>
      <c r="I262" s="171"/>
    </row>
    <row r="263" ht="14.25" customHeight="1">
      <c r="A263" s="171"/>
      <c r="B263" s="282"/>
      <c r="C263" s="305"/>
      <c r="D263" s="78"/>
      <c r="E263" s="78"/>
      <c r="F263" s="171"/>
      <c r="G263" s="173"/>
      <c r="H263" s="170"/>
      <c r="I263" s="171"/>
    </row>
    <row r="264" ht="14.25" customHeight="1">
      <c r="A264" s="171"/>
      <c r="B264" s="282"/>
      <c r="C264" s="305"/>
      <c r="D264" s="78"/>
      <c r="E264" s="78"/>
      <c r="F264" s="171"/>
      <c r="G264" s="173"/>
      <c r="H264" s="170"/>
      <c r="I264" s="171"/>
    </row>
    <row r="265" ht="14.25" customHeight="1">
      <c r="A265" s="171"/>
      <c r="B265" s="282"/>
      <c r="C265" s="305"/>
      <c r="D265" s="78"/>
      <c r="E265" s="78"/>
      <c r="F265" s="171"/>
      <c r="G265" s="173"/>
      <c r="H265" s="170"/>
      <c r="I265" s="171"/>
    </row>
    <row r="266" ht="14.25" customHeight="1">
      <c r="A266" s="171"/>
      <c r="B266" s="282"/>
      <c r="C266" s="305"/>
      <c r="D266" s="78"/>
      <c r="E266" s="78"/>
      <c r="F266" s="171"/>
      <c r="G266" s="173"/>
      <c r="H266" s="170"/>
      <c r="I266" s="171"/>
    </row>
    <row r="267" ht="14.25" customHeight="1">
      <c r="A267" s="171"/>
      <c r="B267" s="282"/>
      <c r="C267" s="305"/>
      <c r="D267" s="78"/>
      <c r="E267" s="78"/>
      <c r="F267" s="171"/>
      <c r="G267" s="173"/>
      <c r="H267" s="170"/>
      <c r="I267" s="171"/>
    </row>
    <row r="268" ht="14.25" customHeight="1">
      <c r="A268" s="171"/>
      <c r="B268" s="282"/>
      <c r="C268" s="305"/>
      <c r="D268" s="78"/>
      <c r="E268" s="78"/>
      <c r="F268" s="171"/>
      <c r="G268" s="173"/>
      <c r="H268" s="170"/>
      <c r="I268" s="171"/>
    </row>
    <row r="269" ht="14.25" customHeight="1">
      <c r="A269" s="171"/>
      <c r="B269" s="282"/>
      <c r="C269" s="305"/>
      <c r="D269" s="78"/>
      <c r="E269" s="78"/>
      <c r="F269" s="171"/>
      <c r="G269" s="173"/>
      <c r="H269" s="170"/>
      <c r="I269" s="171"/>
    </row>
    <row r="270" ht="14.25" customHeight="1">
      <c r="A270" s="171"/>
      <c r="B270" s="282"/>
      <c r="C270" s="305"/>
      <c r="D270" s="78"/>
      <c r="E270" s="78"/>
      <c r="F270" s="171"/>
      <c r="G270" s="173"/>
      <c r="H270" s="170"/>
      <c r="I270" s="171"/>
    </row>
    <row r="271" ht="14.25" customHeight="1">
      <c r="A271" s="171"/>
      <c r="B271" s="282"/>
      <c r="C271" s="305"/>
      <c r="D271" s="78"/>
      <c r="E271" s="78"/>
      <c r="F271" s="171"/>
      <c r="G271" s="173"/>
      <c r="H271" s="170"/>
      <c r="I271" s="171"/>
    </row>
    <row r="272" ht="14.25" customHeight="1">
      <c r="A272" s="171"/>
      <c r="B272" s="282"/>
      <c r="C272" s="305"/>
      <c r="D272" s="78"/>
      <c r="E272" s="78"/>
      <c r="F272" s="171"/>
      <c r="G272" s="173"/>
      <c r="H272" s="170"/>
      <c r="I272" s="171"/>
    </row>
    <row r="273" ht="14.25" customHeight="1">
      <c r="A273" s="171"/>
      <c r="B273" s="282"/>
      <c r="C273" s="305"/>
      <c r="D273" s="78"/>
      <c r="E273" s="78"/>
      <c r="F273" s="171"/>
      <c r="G273" s="173"/>
      <c r="H273" s="170"/>
      <c r="I273" s="171"/>
    </row>
    <row r="274" ht="14.25" customHeight="1">
      <c r="A274" s="171"/>
      <c r="B274" s="282"/>
      <c r="C274" s="305"/>
      <c r="D274" s="78"/>
      <c r="E274" s="78"/>
      <c r="F274" s="171"/>
      <c r="G274" s="173"/>
      <c r="H274" s="170"/>
      <c r="I274" s="171"/>
    </row>
    <row r="275" ht="14.25" customHeight="1">
      <c r="A275" s="171"/>
      <c r="B275" s="282"/>
      <c r="C275" s="305"/>
      <c r="D275" s="78"/>
      <c r="E275" s="78"/>
      <c r="F275" s="171"/>
      <c r="G275" s="173"/>
      <c r="H275" s="170"/>
      <c r="I275" s="171"/>
    </row>
    <row r="276" ht="14.25" customHeight="1">
      <c r="A276" s="171"/>
      <c r="B276" s="282"/>
      <c r="C276" s="305"/>
      <c r="D276" s="78"/>
      <c r="E276" s="78"/>
      <c r="F276" s="171"/>
      <c r="G276" s="173"/>
      <c r="H276" s="170"/>
      <c r="I276" s="171"/>
    </row>
    <row r="277" ht="14.25" customHeight="1">
      <c r="A277" s="171"/>
      <c r="B277" s="282"/>
      <c r="C277" s="305"/>
      <c r="D277" s="78"/>
      <c r="E277" s="78"/>
      <c r="F277" s="171"/>
      <c r="G277" s="173"/>
      <c r="H277" s="170"/>
      <c r="I277" s="171"/>
    </row>
    <row r="278" ht="14.25" customHeight="1">
      <c r="A278" s="171"/>
      <c r="B278" s="282"/>
      <c r="C278" s="305"/>
      <c r="D278" s="78"/>
      <c r="E278" s="78"/>
      <c r="F278" s="171"/>
      <c r="G278" s="173"/>
      <c r="H278" s="170"/>
      <c r="I278" s="171"/>
    </row>
    <row r="279" ht="14.25" customHeight="1">
      <c r="A279" s="171"/>
      <c r="B279" s="282"/>
      <c r="C279" s="305"/>
      <c r="D279" s="78"/>
      <c r="E279" s="78"/>
      <c r="F279" s="171"/>
      <c r="G279" s="173"/>
      <c r="H279" s="170"/>
      <c r="I279" s="171"/>
    </row>
    <row r="280" ht="14.25" customHeight="1">
      <c r="A280" s="171"/>
      <c r="B280" s="282"/>
      <c r="C280" s="305"/>
      <c r="D280" s="78"/>
      <c r="E280" s="78"/>
      <c r="F280" s="171"/>
      <c r="G280" s="173"/>
      <c r="H280" s="170"/>
      <c r="I280" s="171"/>
    </row>
    <row r="281" ht="14.25" customHeight="1">
      <c r="A281" s="171"/>
      <c r="B281" s="282"/>
      <c r="C281" s="305"/>
      <c r="D281" s="78"/>
      <c r="E281" s="78"/>
      <c r="F281" s="171"/>
      <c r="G281" s="173"/>
      <c r="H281" s="170"/>
      <c r="I281" s="171"/>
    </row>
    <row r="282" ht="14.25" customHeight="1">
      <c r="A282" s="171"/>
      <c r="B282" s="282"/>
      <c r="C282" s="305"/>
      <c r="D282" s="78"/>
      <c r="E282" s="78"/>
      <c r="F282" s="171"/>
      <c r="G282" s="173"/>
      <c r="H282" s="170"/>
      <c r="I282" s="171"/>
    </row>
    <row r="283" ht="14.25" customHeight="1">
      <c r="A283" s="171"/>
      <c r="B283" s="282"/>
      <c r="C283" s="305"/>
      <c r="D283" s="78"/>
      <c r="E283" s="78"/>
      <c r="F283" s="171"/>
      <c r="G283" s="173"/>
      <c r="H283" s="170"/>
      <c r="I283" s="171"/>
    </row>
    <row r="284" ht="14.25" customHeight="1">
      <c r="A284" s="171"/>
      <c r="B284" s="282"/>
      <c r="C284" s="305"/>
      <c r="D284" s="78"/>
      <c r="E284" s="78"/>
      <c r="F284" s="171"/>
      <c r="G284" s="173"/>
      <c r="H284" s="170"/>
      <c r="I284" s="171"/>
    </row>
    <row r="285" ht="14.25" customHeight="1">
      <c r="A285" s="171"/>
      <c r="B285" s="282"/>
      <c r="C285" s="305"/>
      <c r="D285" s="78"/>
      <c r="E285" s="78"/>
      <c r="F285" s="171"/>
      <c r="G285" s="173"/>
      <c r="H285" s="170"/>
      <c r="I285" s="171"/>
    </row>
    <row r="286" ht="14.25" customHeight="1">
      <c r="A286" s="171"/>
      <c r="B286" s="282"/>
      <c r="C286" s="305"/>
      <c r="D286" s="78"/>
      <c r="E286" s="78"/>
      <c r="F286" s="171"/>
      <c r="G286" s="173"/>
      <c r="H286" s="170"/>
      <c r="I286" s="171"/>
    </row>
    <row r="287" ht="14.25" customHeight="1">
      <c r="A287" s="171"/>
      <c r="B287" s="282"/>
      <c r="C287" s="305"/>
      <c r="D287" s="78"/>
      <c r="E287" s="78"/>
      <c r="F287" s="171"/>
      <c r="G287" s="173"/>
      <c r="H287" s="170"/>
      <c r="I287" s="171"/>
    </row>
    <row r="288" ht="14.25" customHeight="1">
      <c r="A288" s="171"/>
      <c r="B288" s="282"/>
      <c r="C288" s="305"/>
      <c r="D288" s="78"/>
      <c r="E288" s="78"/>
      <c r="F288" s="171"/>
      <c r="G288" s="173"/>
      <c r="H288" s="170"/>
      <c r="I288" s="171"/>
    </row>
    <row r="289" ht="14.25" customHeight="1">
      <c r="A289" s="171"/>
      <c r="B289" s="282"/>
      <c r="C289" s="305"/>
      <c r="D289" s="78"/>
      <c r="E289" s="78"/>
      <c r="F289" s="171"/>
      <c r="G289" s="173"/>
      <c r="H289" s="170"/>
      <c r="I289" s="171"/>
    </row>
    <row r="290" ht="14.25" customHeight="1">
      <c r="A290" s="171"/>
      <c r="B290" s="282"/>
      <c r="C290" s="305"/>
      <c r="D290" s="78"/>
      <c r="E290" s="78"/>
      <c r="F290" s="171"/>
      <c r="G290" s="173"/>
      <c r="H290" s="170"/>
      <c r="I290" s="171"/>
    </row>
    <row r="291" ht="14.25" customHeight="1">
      <c r="A291" s="171"/>
      <c r="B291" s="282"/>
      <c r="C291" s="305"/>
      <c r="D291" s="78"/>
      <c r="E291" s="78"/>
      <c r="F291" s="171"/>
      <c r="G291" s="173"/>
      <c r="H291" s="170"/>
      <c r="I291" s="171"/>
    </row>
    <row r="292" ht="14.25" customHeight="1">
      <c r="A292" s="171"/>
      <c r="B292" s="282"/>
      <c r="C292" s="305"/>
      <c r="D292" s="78"/>
      <c r="E292" s="78"/>
      <c r="F292" s="171"/>
      <c r="G292" s="173"/>
      <c r="H292" s="170"/>
      <c r="I292" s="171"/>
    </row>
    <row r="293" ht="14.25" customHeight="1">
      <c r="A293" s="171"/>
      <c r="B293" s="282"/>
      <c r="C293" s="305"/>
      <c r="D293" s="78"/>
      <c r="E293" s="78"/>
      <c r="F293" s="171"/>
      <c r="G293" s="173"/>
      <c r="H293" s="170"/>
      <c r="I293" s="171"/>
    </row>
    <row r="294" ht="14.25" customHeight="1">
      <c r="A294" s="171"/>
      <c r="B294" s="282"/>
      <c r="C294" s="305"/>
      <c r="D294" s="78"/>
      <c r="E294" s="78"/>
      <c r="F294" s="171"/>
      <c r="G294" s="173"/>
      <c r="H294" s="170"/>
      <c r="I294" s="171"/>
    </row>
    <row r="295" ht="14.25" customHeight="1">
      <c r="A295" s="171"/>
      <c r="B295" s="282"/>
      <c r="C295" s="305"/>
      <c r="D295" s="78"/>
      <c r="E295" s="78"/>
      <c r="F295" s="171"/>
      <c r="G295" s="173"/>
      <c r="H295" s="170"/>
      <c r="I295" s="171"/>
    </row>
    <row r="296" ht="14.25" customHeight="1">
      <c r="A296" s="171"/>
      <c r="B296" s="282"/>
      <c r="C296" s="305"/>
      <c r="D296" s="78"/>
      <c r="E296" s="78"/>
      <c r="F296" s="171"/>
      <c r="G296" s="173"/>
      <c r="H296" s="170"/>
      <c r="I296" s="171"/>
    </row>
    <row r="297" ht="14.25" customHeight="1">
      <c r="A297" s="171"/>
      <c r="B297" s="282"/>
      <c r="C297" s="305"/>
      <c r="D297" s="78"/>
      <c r="E297" s="78"/>
      <c r="F297" s="171"/>
      <c r="G297" s="173"/>
      <c r="H297" s="170"/>
      <c r="I297" s="171"/>
    </row>
    <row r="298" ht="14.25" customHeight="1">
      <c r="A298" s="171"/>
      <c r="B298" s="282"/>
      <c r="C298" s="305"/>
      <c r="D298" s="78"/>
      <c r="E298" s="78"/>
      <c r="F298" s="171"/>
      <c r="G298" s="173"/>
      <c r="H298" s="170"/>
      <c r="I298" s="171"/>
    </row>
    <row r="299" ht="14.25" customHeight="1">
      <c r="A299" s="171"/>
      <c r="B299" s="282"/>
      <c r="C299" s="305"/>
      <c r="D299" s="78"/>
      <c r="E299" s="78"/>
      <c r="F299" s="171"/>
      <c r="G299" s="173"/>
      <c r="H299" s="170"/>
      <c r="I299" s="171"/>
    </row>
    <row r="300" ht="14.25" customHeight="1">
      <c r="A300" s="171"/>
      <c r="B300" s="282"/>
      <c r="C300" s="305"/>
      <c r="D300" s="78"/>
      <c r="E300" s="78"/>
      <c r="F300" s="171"/>
      <c r="G300" s="173"/>
      <c r="H300" s="170"/>
      <c r="I300" s="171"/>
    </row>
    <row r="301" ht="14.25" customHeight="1">
      <c r="A301" s="171"/>
      <c r="B301" s="282"/>
      <c r="C301" s="305"/>
      <c r="D301" s="78"/>
      <c r="E301" s="78"/>
      <c r="F301" s="171"/>
      <c r="G301" s="173"/>
      <c r="H301" s="170"/>
      <c r="I301" s="171"/>
    </row>
    <row r="302" ht="14.25" customHeight="1">
      <c r="A302" s="171"/>
      <c r="B302" s="282"/>
      <c r="C302" s="305"/>
      <c r="D302" s="78"/>
      <c r="E302" s="78"/>
      <c r="F302" s="171"/>
      <c r="G302" s="173"/>
      <c r="H302" s="170"/>
      <c r="I302" s="171"/>
    </row>
    <row r="303" ht="14.25" customHeight="1">
      <c r="A303" s="171"/>
      <c r="B303" s="282"/>
      <c r="C303" s="305"/>
      <c r="D303" s="78"/>
      <c r="E303" s="78"/>
      <c r="F303" s="171"/>
      <c r="G303" s="173"/>
      <c r="H303" s="170"/>
      <c r="I303" s="171"/>
    </row>
    <row r="304" ht="14.25" customHeight="1">
      <c r="A304" s="171"/>
      <c r="B304" s="282"/>
      <c r="C304" s="305"/>
      <c r="D304" s="78"/>
      <c r="E304" s="78"/>
      <c r="F304" s="171"/>
      <c r="G304" s="173"/>
      <c r="H304" s="170"/>
      <c r="I304" s="171"/>
    </row>
    <row r="305" ht="14.25" customHeight="1">
      <c r="A305" s="171"/>
      <c r="B305" s="282"/>
      <c r="C305" s="305"/>
      <c r="D305" s="78"/>
      <c r="E305" s="78"/>
      <c r="F305" s="171"/>
      <c r="G305" s="173"/>
      <c r="H305" s="170"/>
      <c r="I305" s="171"/>
    </row>
    <row r="306" ht="14.25" customHeight="1">
      <c r="A306" s="171"/>
      <c r="B306" s="282"/>
      <c r="C306" s="305"/>
      <c r="D306" s="78"/>
      <c r="E306" s="78"/>
      <c r="F306" s="171"/>
      <c r="G306" s="173"/>
      <c r="H306" s="170"/>
      <c r="I306" s="171"/>
    </row>
    <row r="307" ht="14.25" customHeight="1">
      <c r="A307" s="171"/>
      <c r="B307" s="282"/>
      <c r="C307" s="305"/>
      <c r="D307" s="78"/>
      <c r="E307" s="78"/>
      <c r="F307" s="171"/>
      <c r="G307" s="173"/>
      <c r="H307" s="170"/>
      <c r="I307" s="171"/>
    </row>
    <row r="308" ht="14.25" customHeight="1">
      <c r="A308" s="171"/>
      <c r="B308" s="282"/>
      <c r="C308" s="305"/>
      <c r="D308" s="78"/>
      <c r="E308" s="78"/>
      <c r="F308" s="171"/>
      <c r="G308" s="173"/>
      <c r="H308" s="170"/>
      <c r="I308" s="171"/>
    </row>
    <row r="309" ht="14.25" customHeight="1">
      <c r="A309" s="171"/>
      <c r="B309" s="282"/>
      <c r="C309" s="305"/>
      <c r="D309" s="78"/>
      <c r="E309" s="78"/>
      <c r="F309" s="171"/>
      <c r="G309" s="173"/>
      <c r="H309" s="170"/>
      <c r="I309" s="171"/>
    </row>
    <row r="310" ht="14.25" customHeight="1">
      <c r="A310" s="171"/>
      <c r="B310" s="282"/>
      <c r="C310" s="305"/>
      <c r="D310" s="78"/>
      <c r="E310" s="78"/>
      <c r="F310" s="171"/>
      <c r="G310" s="173"/>
      <c r="H310" s="170"/>
      <c r="I310" s="171"/>
    </row>
    <row r="311" ht="14.25" customHeight="1">
      <c r="A311" s="171"/>
      <c r="B311" s="282"/>
      <c r="C311" s="305"/>
      <c r="D311" s="78"/>
      <c r="E311" s="78"/>
      <c r="F311" s="171"/>
      <c r="G311" s="173"/>
      <c r="H311" s="170"/>
      <c r="I311" s="171"/>
    </row>
    <row r="312" ht="14.25" customHeight="1">
      <c r="A312" s="171"/>
      <c r="B312" s="282"/>
      <c r="C312" s="305"/>
      <c r="D312" s="78"/>
      <c r="E312" s="78"/>
      <c r="F312" s="171"/>
      <c r="G312" s="173"/>
      <c r="H312" s="170"/>
      <c r="I312" s="171"/>
    </row>
    <row r="313" ht="14.25" customHeight="1">
      <c r="A313" s="171"/>
      <c r="B313" s="282"/>
      <c r="C313" s="305"/>
      <c r="D313" s="78"/>
      <c r="E313" s="78"/>
      <c r="F313" s="171"/>
      <c r="G313" s="173"/>
      <c r="H313" s="170"/>
      <c r="I313" s="171"/>
    </row>
    <row r="314" ht="14.25" customHeight="1">
      <c r="A314" s="171"/>
      <c r="B314" s="282"/>
      <c r="C314" s="305"/>
      <c r="D314" s="78"/>
      <c r="E314" s="78"/>
      <c r="F314" s="171"/>
      <c r="G314" s="173"/>
      <c r="H314" s="170"/>
      <c r="I314" s="171"/>
    </row>
    <row r="315" ht="14.25" customHeight="1">
      <c r="A315" s="171"/>
      <c r="B315" s="282"/>
      <c r="C315" s="305"/>
      <c r="D315" s="78"/>
      <c r="E315" s="78"/>
      <c r="F315" s="171"/>
      <c r="G315" s="173"/>
      <c r="H315" s="170"/>
      <c r="I315" s="171"/>
    </row>
    <row r="316" ht="14.25" customHeight="1">
      <c r="A316" s="171"/>
      <c r="B316" s="282"/>
      <c r="C316" s="305"/>
      <c r="D316" s="78"/>
      <c r="E316" s="78"/>
      <c r="F316" s="171"/>
      <c r="G316" s="173"/>
      <c r="H316" s="170"/>
      <c r="I316" s="171"/>
    </row>
    <row r="317" ht="14.25" customHeight="1">
      <c r="A317" s="171"/>
      <c r="B317" s="282"/>
      <c r="C317" s="305"/>
      <c r="D317" s="78"/>
      <c r="E317" s="78"/>
      <c r="F317" s="171"/>
      <c r="G317" s="173"/>
      <c r="H317" s="170"/>
      <c r="I317" s="171"/>
    </row>
    <row r="318" ht="14.25" customHeight="1">
      <c r="A318" s="171"/>
      <c r="B318" s="282"/>
      <c r="C318" s="305"/>
      <c r="D318" s="78"/>
      <c r="E318" s="78"/>
      <c r="F318" s="171"/>
      <c r="G318" s="173"/>
      <c r="H318" s="170"/>
      <c r="I318" s="171"/>
    </row>
    <row r="319" ht="14.25" customHeight="1">
      <c r="A319" s="171"/>
      <c r="B319" s="282"/>
      <c r="C319" s="305"/>
      <c r="D319" s="78"/>
      <c r="E319" s="78"/>
      <c r="F319" s="171"/>
      <c r="G319" s="173"/>
      <c r="H319" s="170"/>
      <c r="I319" s="171"/>
    </row>
    <row r="320" ht="14.25" customHeight="1">
      <c r="A320" s="171"/>
      <c r="B320" s="282"/>
      <c r="C320" s="305"/>
      <c r="D320" s="78"/>
      <c r="E320" s="78"/>
      <c r="F320" s="171"/>
      <c r="G320" s="173"/>
      <c r="H320" s="170"/>
      <c r="I320" s="171"/>
    </row>
    <row r="321" ht="14.25" customHeight="1">
      <c r="A321" s="171"/>
      <c r="B321" s="282"/>
      <c r="C321" s="305"/>
      <c r="D321" s="78"/>
      <c r="E321" s="78"/>
      <c r="F321" s="171"/>
      <c r="G321" s="173"/>
      <c r="H321" s="170"/>
      <c r="I321" s="171"/>
    </row>
    <row r="322" ht="14.25" customHeight="1">
      <c r="A322" s="171"/>
      <c r="B322" s="282"/>
      <c r="C322" s="305"/>
      <c r="D322" s="78"/>
      <c r="E322" s="78"/>
      <c r="F322" s="171"/>
      <c r="G322" s="173"/>
      <c r="H322" s="170"/>
      <c r="I322" s="171"/>
    </row>
    <row r="323" ht="14.25" customHeight="1">
      <c r="A323" s="171"/>
      <c r="B323" s="282"/>
      <c r="C323" s="305"/>
      <c r="D323" s="78"/>
      <c r="E323" s="78"/>
      <c r="F323" s="171"/>
      <c r="G323" s="173"/>
      <c r="H323" s="170"/>
      <c r="I323" s="171"/>
    </row>
    <row r="324" ht="14.25" customHeight="1">
      <c r="A324" s="171"/>
      <c r="B324" s="282"/>
      <c r="C324" s="305"/>
      <c r="D324" s="78"/>
      <c r="E324" s="78"/>
      <c r="F324" s="171"/>
      <c r="G324" s="173"/>
      <c r="H324" s="170"/>
      <c r="I324" s="171"/>
    </row>
    <row r="325" ht="14.25" customHeight="1">
      <c r="A325" s="171"/>
      <c r="B325" s="282"/>
      <c r="C325" s="305"/>
      <c r="D325" s="78"/>
      <c r="E325" s="78"/>
      <c r="F325" s="171"/>
      <c r="G325" s="173"/>
      <c r="H325" s="170"/>
      <c r="I325" s="171"/>
    </row>
    <row r="326" ht="14.25" customHeight="1">
      <c r="A326" s="171"/>
      <c r="B326" s="282"/>
      <c r="C326" s="305"/>
      <c r="D326" s="78"/>
      <c r="E326" s="78"/>
      <c r="F326" s="171"/>
      <c r="G326" s="173"/>
      <c r="H326" s="170"/>
      <c r="I326" s="171"/>
    </row>
    <row r="327" ht="14.25" customHeight="1">
      <c r="A327" s="171"/>
      <c r="B327" s="282"/>
      <c r="C327" s="305"/>
      <c r="D327" s="78"/>
      <c r="E327" s="78"/>
      <c r="F327" s="171"/>
      <c r="G327" s="173"/>
      <c r="H327" s="170"/>
      <c r="I327" s="171"/>
    </row>
    <row r="328" ht="14.25" customHeight="1">
      <c r="A328" s="171"/>
      <c r="B328" s="282"/>
      <c r="C328" s="305"/>
      <c r="D328" s="78"/>
      <c r="E328" s="78"/>
      <c r="F328" s="171"/>
      <c r="G328" s="173"/>
      <c r="H328" s="170"/>
      <c r="I328" s="171"/>
    </row>
    <row r="329" ht="14.25" customHeight="1">
      <c r="A329" s="171"/>
      <c r="B329" s="282"/>
      <c r="C329" s="305"/>
      <c r="D329" s="78"/>
      <c r="E329" s="78"/>
      <c r="F329" s="171"/>
      <c r="G329" s="173"/>
      <c r="H329" s="170"/>
      <c r="I329" s="171"/>
    </row>
    <row r="330" ht="14.25" customHeight="1">
      <c r="A330" s="171"/>
      <c r="B330" s="282"/>
      <c r="C330" s="305"/>
      <c r="D330" s="78"/>
      <c r="E330" s="78"/>
      <c r="F330" s="171"/>
      <c r="G330" s="173"/>
      <c r="H330" s="170"/>
      <c r="I330" s="171"/>
    </row>
    <row r="331" ht="14.25" customHeight="1">
      <c r="A331" s="171"/>
      <c r="B331" s="282"/>
      <c r="C331" s="305"/>
      <c r="D331" s="78"/>
      <c r="E331" s="78"/>
      <c r="F331" s="171"/>
      <c r="G331" s="173"/>
      <c r="H331" s="170"/>
      <c r="I331" s="171"/>
    </row>
    <row r="332" ht="14.25" customHeight="1">
      <c r="A332" s="171"/>
      <c r="B332" s="282"/>
      <c r="C332" s="305"/>
      <c r="D332" s="78"/>
      <c r="E332" s="78"/>
      <c r="F332" s="171"/>
      <c r="G332" s="173"/>
      <c r="H332" s="170"/>
      <c r="I332" s="171"/>
    </row>
    <row r="333" ht="14.25" customHeight="1">
      <c r="A333" s="171"/>
      <c r="B333" s="282"/>
      <c r="C333" s="305"/>
      <c r="D333" s="78"/>
      <c r="E333" s="78"/>
      <c r="F333" s="171"/>
      <c r="G333" s="173"/>
      <c r="H333" s="170"/>
      <c r="I333" s="171"/>
    </row>
    <row r="334" ht="14.25" customHeight="1">
      <c r="A334" s="171"/>
      <c r="B334" s="282"/>
      <c r="C334" s="305"/>
      <c r="D334" s="78"/>
      <c r="E334" s="78"/>
      <c r="F334" s="171"/>
      <c r="G334" s="173"/>
      <c r="H334" s="170"/>
      <c r="I334" s="171"/>
    </row>
    <row r="335" ht="14.25" customHeight="1">
      <c r="A335" s="171"/>
      <c r="B335" s="282"/>
      <c r="C335" s="305"/>
      <c r="D335" s="78"/>
      <c r="E335" s="78"/>
      <c r="F335" s="171"/>
      <c r="G335" s="173"/>
      <c r="H335" s="170"/>
      <c r="I335" s="171"/>
    </row>
    <row r="336" ht="14.25" customHeight="1">
      <c r="A336" s="171"/>
      <c r="B336" s="282"/>
      <c r="C336" s="305"/>
      <c r="D336" s="78"/>
      <c r="E336" s="78"/>
      <c r="F336" s="171"/>
      <c r="G336" s="173"/>
      <c r="H336" s="170"/>
      <c r="I336" s="171"/>
    </row>
    <row r="337" ht="14.25" customHeight="1">
      <c r="A337" s="171"/>
      <c r="B337" s="282"/>
      <c r="C337" s="305"/>
      <c r="D337" s="78"/>
      <c r="E337" s="78"/>
      <c r="F337" s="171"/>
      <c r="G337" s="173"/>
      <c r="H337" s="170"/>
      <c r="I337" s="171"/>
    </row>
    <row r="338" ht="14.25" customHeight="1">
      <c r="A338" s="171"/>
      <c r="B338" s="282"/>
      <c r="C338" s="305"/>
      <c r="D338" s="78"/>
      <c r="E338" s="78"/>
      <c r="F338" s="171"/>
      <c r="G338" s="173"/>
      <c r="H338" s="170"/>
      <c r="I338" s="171"/>
    </row>
    <row r="339" ht="14.25" customHeight="1">
      <c r="A339" s="171"/>
      <c r="B339" s="282"/>
      <c r="C339" s="305"/>
      <c r="D339" s="78"/>
      <c r="E339" s="78"/>
      <c r="F339" s="171"/>
      <c r="G339" s="173"/>
      <c r="H339" s="170"/>
      <c r="I339" s="171"/>
    </row>
    <row r="340" ht="14.25" customHeight="1">
      <c r="A340" s="171"/>
      <c r="B340" s="282"/>
      <c r="C340" s="305"/>
      <c r="D340" s="78"/>
      <c r="E340" s="78"/>
      <c r="F340" s="171"/>
      <c r="G340" s="173"/>
      <c r="H340" s="170"/>
      <c r="I340" s="171"/>
    </row>
    <row r="341" ht="14.25" customHeight="1">
      <c r="A341" s="171"/>
      <c r="B341" s="282"/>
      <c r="C341" s="305"/>
      <c r="D341" s="78"/>
      <c r="E341" s="78"/>
      <c r="F341" s="171"/>
      <c r="G341" s="173"/>
      <c r="H341" s="170"/>
      <c r="I341" s="171"/>
    </row>
    <row r="342" ht="14.25" customHeight="1">
      <c r="A342" s="171"/>
      <c r="B342" s="282"/>
      <c r="C342" s="305"/>
      <c r="D342" s="78"/>
      <c r="E342" s="78"/>
      <c r="F342" s="171"/>
      <c r="G342" s="173"/>
      <c r="H342" s="170"/>
      <c r="I342" s="171"/>
    </row>
    <row r="343" ht="14.25" customHeight="1">
      <c r="A343" s="171"/>
      <c r="B343" s="282"/>
      <c r="C343" s="305"/>
      <c r="D343" s="78"/>
      <c r="E343" s="78"/>
      <c r="F343" s="171"/>
      <c r="G343" s="173"/>
      <c r="H343" s="170"/>
      <c r="I343" s="171"/>
    </row>
    <row r="344" ht="14.25" customHeight="1">
      <c r="A344" s="171"/>
      <c r="B344" s="282"/>
      <c r="C344" s="305"/>
      <c r="D344" s="78"/>
      <c r="E344" s="78"/>
      <c r="F344" s="171"/>
      <c r="G344" s="173"/>
      <c r="H344" s="170"/>
      <c r="I344" s="171"/>
    </row>
    <row r="345" ht="14.25" customHeight="1">
      <c r="A345" s="171"/>
      <c r="B345" s="282"/>
      <c r="C345" s="305"/>
      <c r="D345" s="78"/>
      <c r="E345" s="78"/>
      <c r="F345" s="171"/>
      <c r="G345" s="173"/>
      <c r="H345" s="170"/>
      <c r="I345" s="171"/>
    </row>
    <row r="346" ht="14.25" customHeight="1">
      <c r="A346" s="171"/>
      <c r="B346" s="282"/>
      <c r="C346" s="305"/>
      <c r="D346" s="78"/>
      <c r="E346" s="78"/>
      <c r="F346" s="171"/>
      <c r="G346" s="173"/>
      <c r="H346" s="170"/>
      <c r="I346" s="171"/>
    </row>
    <row r="347" ht="14.25" customHeight="1">
      <c r="A347" s="171"/>
      <c r="B347" s="282"/>
      <c r="C347" s="305"/>
      <c r="D347" s="78"/>
      <c r="E347" s="78"/>
      <c r="F347" s="171"/>
      <c r="G347" s="173"/>
      <c r="H347" s="170"/>
      <c r="I347" s="171"/>
    </row>
    <row r="348" ht="14.25" customHeight="1">
      <c r="A348" s="171"/>
      <c r="B348" s="282"/>
      <c r="C348" s="305"/>
      <c r="D348" s="78"/>
      <c r="E348" s="78"/>
      <c r="F348" s="171"/>
      <c r="G348" s="173"/>
      <c r="H348" s="170"/>
      <c r="I348" s="171"/>
    </row>
    <row r="349" ht="14.25" customHeight="1">
      <c r="A349" s="171"/>
      <c r="B349" s="282"/>
      <c r="C349" s="305"/>
      <c r="D349" s="78"/>
      <c r="E349" s="78"/>
      <c r="F349" s="171"/>
      <c r="G349" s="173"/>
      <c r="H349" s="170"/>
      <c r="I349" s="171"/>
    </row>
    <row r="350" ht="14.25" customHeight="1">
      <c r="A350" s="171"/>
      <c r="B350" s="282"/>
      <c r="C350" s="305"/>
      <c r="D350" s="78"/>
      <c r="E350" s="78"/>
      <c r="F350" s="171"/>
      <c r="G350" s="173"/>
      <c r="H350" s="170"/>
      <c r="I350" s="171"/>
    </row>
    <row r="351" ht="14.25" customHeight="1">
      <c r="A351" s="171"/>
      <c r="B351" s="282"/>
      <c r="C351" s="305"/>
      <c r="D351" s="78"/>
      <c r="E351" s="78"/>
      <c r="F351" s="171"/>
      <c r="G351" s="173"/>
      <c r="H351" s="170"/>
      <c r="I351" s="171"/>
    </row>
    <row r="352" ht="14.25" customHeight="1">
      <c r="A352" s="171"/>
      <c r="B352" s="282"/>
      <c r="C352" s="305"/>
      <c r="D352" s="78"/>
      <c r="E352" s="78"/>
      <c r="F352" s="171"/>
      <c r="G352" s="173"/>
      <c r="H352" s="170"/>
      <c r="I352" s="171"/>
    </row>
    <row r="353" ht="14.25" customHeight="1">
      <c r="A353" s="171"/>
      <c r="B353" s="282"/>
      <c r="C353" s="305"/>
      <c r="D353" s="78"/>
      <c r="E353" s="78"/>
      <c r="F353" s="171"/>
      <c r="G353" s="173"/>
      <c r="H353" s="170"/>
      <c r="I353" s="171"/>
    </row>
    <row r="354" ht="14.25" customHeight="1">
      <c r="A354" s="171"/>
      <c r="B354" s="282"/>
      <c r="C354" s="305"/>
      <c r="D354" s="78"/>
      <c r="E354" s="78"/>
      <c r="F354" s="171"/>
      <c r="G354" s="173"/>
      <c r="H354" s="170"/>
      <c r="I354" s="171"/>
    </row>
    <row r="355" ht="14.25" customHeight="1">
      <c r="A355" s="171"/>
      <c r="B355" s="282"/>
      <c r="C355" s="305"/>
      <c r="D355" s="78"/>
      <c r="E355" s="78"/>
      <c r="F355" s="171"/>
      <c r="G355" s="173"/>
      <c r="H355" s="170"/>
      <c r="I355" s="171"/>
    </row>
    <row r="356" ht="14.25" customHeight="1">
      <c r="A356" s="171"/>
      <c r="B356" s="282"/>
      <c r="C356" s="305"/>
      <c r="D356" s="78"/>
      <c r="E356" s="78"/>
      <c r="F356" s="171"/>
      <c r="G356" s="173"/>
      <c r="H356" s="170"/>
      <c r="I356" s="171"/>
    </row>
    <row r="357" ht="14.25" customHeight="1">
      <c r="A357" s="171"/>
      <c r="B357" s="282"/>
      <c r="C357" s="305"/>
      <c r="D357" s="78"/>
      <c r="E357" s="78"/>
      <c r="F357" s="171"/>
      <c r="G357" s="173"/>
      <c r="H357" s="170"/>
      <c r="I357" s="171"/>
    </row>
    <row r="358" ht="14.25" customHeight="1">
      <c r="A358" s="171"/>
      <c r="B358" s="282"/>
      <c r="C358" s="305"/>
      <c r="D358" s="78"/>
      <c r="E358" s="78"/>
      <c r="F358" s="171"/>
      <c r="G358" s="173"/>
      <c r="H358" s="170"/>
      <c r="I358" s="171"/>
    </row>
    <row r="359" ht="14.25" customHeight="1">
      <c r="A359" s="171"/>
      <c r="B359" s="282"/>
      <c r="C359" s="305"/>
      <c r="D359" s="78"/>
      <c r="E359" s="78"/>
      <c r="F359" s="171"/>
      <c r="G359" s="173"/>
      <c r="H359" s="170"/>
      <c r="I359" s="171"/>
    </row>
    <row r="360" ht="14.25" customHeight="1">
      <c r="A360" s="171"/>
      <c r="B360" s="282"/>
      <c r="C360" s="305"/>
      <c r="D360" s="78"/>
      <c r="E360" s="78"/>
      <c r="F360" s="171"/>
      <c r="G360" s="173"/>
      <c r="H360" s="170"/>
      <c r="I360" s="171"/>
    </row>
    <row r="361" ht="14.25" customHeight="1">
      <c r="A361" s="171"/>
      <c r="B361" s="282"/>
      <c r="C361" s="305"/>
      <c r="D361" s="78"/>
      <c r="E361" s="78"/>
      <c r="F361" s="171"/>
      <c r="G361" s="173"/>
      <c r="H361" s="170"/>
      <c r="I361" s="171"/>
    </row>
    <row r="362" ht="14.25" customHeight="1">
      <c r="A362" s="171"/>
      <c r="B362" s="282"/>
      <c r="C362" s="305"/>
      <c r="D362" s="78"/>
      <c r="E362" s="78"/>
      <c r="F362" s="171"/>
      <c r="G362" s="173"/>
      <c r="H362" s="170"/>
      <c r="I362" s="171"/>
    </row>
    <row r="363" ht="14.25" customHeight="1">
      <c r="A363" s="171"/>
      <c r="B363" s="282"/>
      <c r="C363" s="305"/>
      <c r="D363" s="78"/>
      <c r="E363" s="78"/>
      <c r="F363" s="171"/>
      <c r="G363" s="173"/>
      <c r="H363" s="170"/>
      <c r="I363" s="171"/>
    </row>
    <row r="364" ht="14.25" customHeight="1">
      <c r="A364" s="171"/>
      <c r="B364" s="282"/>
      <c r="C364" s="305"/>
      <c r="D364" s="78"/>
      <c r="E364" s="78"/>
      <c r="F364" s="171"/>
      <c r="G364" s="173"/>
      <c r="H364" s="170"/>
      <c r="I364" s="171"/>
    </row>
    <row r="365" ht="14.25" customHeight="1">
      <c r="A365" s="171"/>
      <c r="B365" s="282"/>
      <c r="C365" s="305"/>
      <c r="D365" s="78"/>
      <c r="E365" s="78"/>
      <c r="F365" s="171"/>
      <c r="G365" s="173"/>
      <c r="H365" s="170"/>
      <c r="I365" s="171"/>
    </row>
    <row r="366" ht="14.25" customHeight="1">
      <c r="A366" s="171"/>
      <c r="B366" s="282"/>
      <c r="C366" s="305"/>
      <c r="D366" s="78"/>
      <c r="E366" s="78"/>
      <c r="F366" s="171"/>
      <c r="G366" s="173"/>
      <c r="H366" s="170"/>
      <c r="I366" s="171"/>
    </row>
    <row r="367" ht="14.25" customHeight="1">
      <c r="A367" s="171"/>
      <c r="B367" s="282"/>
      <c r="C367" s="305"/>
      <c r="D367" s="78"/>
      <c r="E367" s="78"/>
      <c r="F367" s="171"/>
      <c r="G367" s="173"/>
      <c r="H367" s="170"/>
      <c r="I367" s="171"/>
    </row>
    <row r="368" ht="14.25" customHeight="1">
      <c r="A368" s="171"/>
      <c r="B368" s="282"/>
      <c r="C368" s="305"/>
      <c r="D368" s="78"/>
      <c r="E368" s="78"/>
      <c r="F368" s="171"/>
      <c r="G368" s="173"/>
      <c r="H368" s="170"/>
      <c r="I368" s="171"/>
    </row>
    <row r="369" ht="14.25" customHeight="1">
      <c r="A369" s="171"/>
      <c r="B369" s="282"/>
      <c r="C369" s="305"/>
      <c r="D369" s="78"/>
      <c r="E369" s="78"/>
      <c r="F369" s="171"/>
      <c r="G369" s="173"/>
      <c r="H369" s="170"/>
      <c r="I369" s="171"/>
    </row>
    <row r="370" ht="14.25" customHeight="1">
      <c r="A370" s="171"/>
      <c r="B370" s="282"/>
      <c r="C370" s="305"/>
      <c r="D370" s="78"/>
      <c r="E370" s="78"/>
      <c r="F370" s="171"/>
      <c r="G370" s="173"/>
      <c r="H370" s="170"/>
      <c r="I370" s="171"/>
    </row>
    <row r="371" ht="14.25" customHeight="1">
      <c r="A371" s="171"/>
      <c r="B371" s="282"/>
      <c r="C371" s="305"/>
      <c r="D371" s="78"/>
      <c r="E371" s="78"/>
      <c r="F371" s="171"/>
      <c r="G371" s="173"/>
      <c r="H371" s="170"/>
      <c r="I371" s="171"/>
    </row>
    <row r="372" ht="14.25" customHeight="1">
      <c r="A372" s="171"/>
      <c r="B372" s="282"/>
      <c r="C372" s="305"/>
      <c r="D372" s="78"/>
      <c r="E372" s="78"/>
      <c r="F372" s="171"/>
      <c r="G372" s="173"/>
      <c r="H372" s="170"/>
      <c r="I372" s="171"/>
    </row>
    <row r="373" ht="14.25" customHeight="1">
      <c r="A373" s="171"/>
      <c r="B373" s="282"/>
      <c r="C373" s="305"/>
      <c r="D373" s="78"/>
      <c r="E373" s="78"/>
      <c r="F373" s="171"/>
      <c r="G373" s="173"/>
      <c r="H373" s="170"/>
      <c r="I373" s="171"/>
    </row>
    <row r="374" ht="14.25" customHeight="1">
      <c r="A374" s="171"/>
      <c r="B374" s="282"/>
      <c r="C374" s="305"/>
      <c r="D374" s="78"/>
      <c r="E374" s="78"/>
      <c r="F374" s="171"/>
      <c r="G374" s="173"/>
      <c r="H374" s="170"/>
      <c r="I374" s="171"/>
    </row>
    <row r="375" ht="14.25" customHeight="1">
      <c r="A375" s="171"/>
      <c r="B375" s="282"/>
      <c r="C375" s="305"/>
      <c r="D375" s="78"/>
      <c r="E375" s="78"/>
      <c r="F375" s="171"/>
      <c r="G375" s="173"/>
      <c r="H375" s="170"/>
      <c r="I375" s="171"/>
    </row>
    <row r="376" ht="14.25" customHeight="1">
      <c r="A376" s="171"/>
      <c r="B376" s="282"/>
      <c r="C376" s="305"/>
      <c r="D376" s="78"/>
      <c r="E376" s="78"/>
      <c r="F376" s="171"/>
      <c r="G376" s="173"/>
      <c r="H376" s="170"/>
      <c r="I376" s="171"/>
    </row>
    <row r="377" ht="14.25" customHeight="1">
      <c r="A377" s="171"/>
      <c r="B377" s="282"/>
      <c r="C377" s="305"/>
      <c r="D377" s="78"/>
      <c r="E377" s="78"/>
      <c r="F377" s="171"/>
      <c r="G377" s="173"/>
      <c r="H377" s="170"/>
      <c r="I377" s="171"/>
    </row>
    <row r="378" ht="14.25" customHeight="1">
      <c r="A378" s="171"/>
      <c r="B378" s="282"/>
      <c r="C378" s="305"/>
      <c r="D378" s="78"/>
      <c r="E378" s="78"/>
      <c r="F378" s="171"/>
      <c r="G378" s="173"/>
      <c r="H378" s="170"/>
      <c r="I378" s="171"/>
    </row>
    <row r="379" ht="14.25" customHeight="1">
      <c r="A379" s="171"/>
      <c r="B379" s="282"/>
      <c r="C379" s="305"/>
      <c r="D379" s="78"/>
      <c r="E379" s="78"/>
      <c r="F379" s="171"/>
      <c r="G379" s="173"/>
      <c r="H379" s="170"/>
      <c r="I379" s="171"/>
    </row>
    <row r="380" ht="14.25" customHeight="1">
      <c r="A380" s="171"/>
      <c r="B380" s="282"/>
      <c r="C380" s="305"/>
      <c r="D380" s="78"/>
      <c r="E380" s="78"/>
      <c r="F380" s="171"/>
      <c r="G380" s="173"/>
      <c r="H380" s="170"/>
      <c r="I380" s="171"/>
    </row>
    <row r="381" ht="14.25" customHeight="1">
      <c r="A381" s="171"/>
      <c r="B381" s="282"/>
      <c r="C381" s="305"/>
      <c r="D381" s="78"/>
      <c r="E381" s="78"/>
      <c r="F381" s="171"/>
      <c r="G381" s="173"/>
      <c r="H381" s="170"/>
      <c r="I381" s="171"/>
    </row>
    <row r="382" ht="14.25" customHeight="1">
      <c r="A382" s="171"/>
      <c r="B382" s="282"/>
      <c r="C382" s="305"/>
      <c r="D382" s="78"/>
      <c r="E382" s="78"/>
      <c r="F382" s="171"/>
      <c r="G382" s="173"/>
      <c r="H382" s="170"/>
      <c r="I382" s="171"/>
    </row>
    <row r="383" ht="14.25" customHeight="1">
      <c r="A383" s="171"/>
      <c r="B383" s="282"/>
      <c r="C383" s="305"/>
      <c r="D383" s="78"/>
      <c r="E383" s="78"/>
      <c r="F383" s="171"/>
      <c r="G383" s="173"/>
      <c r="H383" s="170"/>
      <c r="I383" s="171"/>
    </row>
    <row r="384" ht="14.25" customHeight="1">
      <c r="A384" s="171"/>
      <c r="B384" s="282"/>
      <c r="C384" s="305"/>
      <c r="D384" s="78"/>
      <c r="E384" s="78"/>
      <c r="F384" s="171"/>
      <c r="G384" s="173"/>
      <c r="H384" s="170"/>
      <c r="I384" s="171"/>
    </row>
    <row r="385" ht="14.25" customHeight="1">
      <c r="A385" s="171"/>
      <c r="B385" s="282"/>
      <c r="C385" s="305"/>
      <c r="D385" s="78"/>
      <c r="E385" s="78"/>
      <c r="F385" s="171"/>
      <c r="G385" s="173"/>
      <c r="H385" s="170"/>
      <c r="I385" s="171"/>
    </row>
    <row r="386" ht="14.25" customHeight="1">
      <c r="A386" s="171"/>
      <c r="B386" s="282"/>
      <c r="C386" s="305"/>
      <c r="D386" s="78"/>
      <c r="E386" s="78"/>
      <c r="F386" s="171"/>
      <c r="G386" s="173"/>
      <c r="H386" s="170"/>
      <c r="I386" s="171"/>
    </row>
    <row r="387" ht="14.25" customHeight="1">
      <c r="A387" s="171"/>
      <c r="B387" s="282"/>
      <c r="C387" s="305"/>
      <c r="D387" s="78"/>
      <c r="E387" s="78"/>
      <c r="F387" s="171"/>
      <c r="G387" s="173"/>
      <c r="H387" s="170"/>
      <c r="I387" s="171"/>
    </row>
    <row r="388" ht="14.25" customHeight="1">
      <c r="A388" s="171"/>
      <c r="B388" s="282"/>
      <c r="C388" s="305"/>
      <c r="D388" s="78"/>
      <c r="E388" s="78"/>
      <c r="F388" s="171"/>
      <c r="G388" s="173"/>
      <c r="H388" s="170"/>
      <c r="I388" s="171"/>
    </row>
    <row r="389" ht="14.25" customHeight="1">
      <c r="A389" s="171"/>
      <c r="B389" s="282"/>
      <c r="C389" s="305"/>
      <c r="D389" s="78"/>
      <c r="E389" s="78"/>
      <c r="F389" s="171"/>
      <c r="G389" s="173"/>
      <c r="H389" s="170"/>
      <c r="I389" s="171"/>
    </row>
    <row r="390" ht="14.25" customHeight="1">
      <c r="A390" s="171"/>
      <c r="B390" s="282"/>
      <c r="C390" s="305"/>
      <c r="D390" s="78"/>
      <c r="E390" s="78"/>
      <c r="F390" s="171"/>
      <c r="G390" s="173"/>
      <c r="H390" s="170"/>
      <c r="I390" s="171"/>
    </row>
    <row r="391" ht="14.25" customHeight="1">
      <c r="A391" s="171"/>
      <c r="B391" s="282"/>
      <c r="C391" s="305"/>
      <c r="D391" s="78"/>
      <c r="E391" s="78"/>
      <c r="F391" s="171"/>
      <c r="G391" s="173"/>
      <c r="H391" s="170"/>
      <c r="I391" s="171"/>
    </row>
    <row r="392" ht="14.25" customHeight="1">
      <c r="A392" s="171"/>
      <c r="B392" s="282"/>
      <c r="C392" s="305"/>
      <c r="D392" s="78"/>
      <c r="E392" s="78"/>
      <c r="F392" s="171"/>
      <c r="G392" s="173"/>
      <c r="H392" s="170"/>
      <c r="I392" s="171"/>
    </row>
    <row r="393" ht="14.25" customHeight="1">
      <c r="A393" s="171"/>
      <c r="B393" s="282"/>
      <c r="C393" s="305"/>
      <c r="D393" s="78"/>
      <c r="E393" s="78"/>
      <c r="F393" s="171"/>
      <c r="G393" s="173"/>
      <c r="H393" s="170"/>
      <c r="I393" s="171"/>
    </row>
    <row r="394" ht="14.25" customHeight="1">
      <c r="A394" s="171"/>
      <c r="B394" s="282"/>
      <c r="C394" s="305"/>
      <c r="D394" s="78"/>
      <c r="E394" s="78"/>
      <c r="F394" s="171"/>
      <c r="G394" s="173"/>
      <c r="H394" s="170"/>
      <c r="I394" s="171"/>
    </row>
    <row r="395" ht="14.25" customHeight="1">
      <c r="A395" s="171"/>
      <c r="B395" s="282"/>
      <c r="C395" s="305"/>
      <c r="D395" s="78"/>
      <c r="E395" s="78"/>
      <c r="F395" s="171"/>
      <c r="G395" s="173"/>
      <c r="H395" s="170"/>
      <c r="I395" s="171"/>
    </row>
    <row r="396" ht="14.25" customHeight="1">
      <c r="A396" s="171"/>
      <c r="B396" s="282"/>
      <c r="C396" s="305"/>
      <c r="D396" s="78"/>
      <c r="E396" s="78"/>
      <c r="F396" s="171"/>
      <c r="G396" s="173"/>
      <c r="H396" s="170"/>
      <c r="I396" s="171"/>
    </row>
    <row r="397" ht="14.25" customHeight="1">
      <c r="A397" s="171"/>
      <c r="B397" s="282"/>
      <c r="C397" s="305"/>
      <c r="D397" s="78"/>
      <c r="E397" s="78"/>
      <c r="F397" s="171"/>
      <c r="G397" s="173"/>
      <c r="H397" s="170"/>
      <c r="I397" s="171"/>
    </row>
    <row r="398" ht="14.25" customHeight="1">
      <c r="A398" s="171"/>
      <c r="B398" s="282"/>
      <c r="C398" s="305"/>
      <c r="D398" s="78"/>
      <c r="E398" s="78"/>
      <c r="F398" s="171"/>
      <c r="G398" s="173"/>
      <c r="H398" s="170"/>
      <c r="I398" s="171"/>
    </row>
    <row r="399" ht="14.25" customHeight="1">
      <c r="A399" s="171"/>
      <c r="B399" s="282"/>
      <c r="C399" s="305"/>
      <c r="D399" s="78"/>
      <c r="E399" s="78"/>
      <c r="F399" s="171"/>
      <c r="G399" s="173"/>
      <c r="H399" s="170"/>
      <c r="I399" s="171"/>
    </row>
    <row r="400" ht="14.25" customHeight="1">
      <c r="A400" s="171"/>
      <c r="B400" s="282"/>
      <c r="C400" s="305"/>
      <c r="D400" s="78"/>
      <c r="E400" s="78"/>
      <c r="F400" s="171"/>
      <c r="G400" s="173"/>
      <c r="H400" s="170"/>
      <c r="I400" s="171"/>
    </row>
    <row r="401" ht="14.25" customHeight="1">
      <c r="A401" s="171"/>
      <c r="B401" s="282"/>
      <c r="C401" s="305"/>
      <c r="D401" s="78"/>
      <c r="E401" s="78"/>
      <c r="F401" s="171"/>
      <c r="G401" s="173"/>
      <c r="H401" s="170"/>
      <c r="I401" s="171"/>
    </row>
    <row r="402" ht="14.25" customHeight="1">
      <c r="A402" s="171"/>
      <c r="B402" s="282"/>
      <c r="C402" s="305"/>
      <c r="D402" s="78"/>
      <c r="E402" s="78"/>
      <c r="F402" s="171"/>
      <c r="G402" s="173"/>
      <c r="H402" s="170"/>
      <c r="I402" s="171"/>
    </row>
    <row r="403" ht="14.25" customHeight="1">
      <c r="A403" s="171"/>
      <c r="B403" s="282"/>
      <c r="C403" s="305"/>
      <c r="D403" s="78"/>
      <c r="E403" s="78"/>
      <c r="F403" s="171"/>
      <c r="G403" s="173"/>
      <c r="H403" s="170"/>
      <c r="I403" s="171"/>
    </row>
    <row r="404" ht="14.25" customHeight="1">
      <c r="A404" s="171"/>
      <c r="B404" s="282"/>
      <c r="C404" s="305"/>
      <c r="D404" s="78"/>
      <c r="E404" s="78"/>
      <c r="F404" s="171"/>
      <c r="G404" s="173"/>
      <c r="H404" s="170"/>
      <c r="I404" s="171"/>
    </row>
    <row r="405" ht="14.25" customHeight="1">
      <c r="A405" s="171"/>
      <c r="B405" s="282"/>
      <c r="C405" s="305"/>
      <c r="D405" s="78"/>
      <c r="E405" s="78"/>
      <c r="F405" s="171"/>
      <c r="G405" s="173"/>
      <c r="H405" s="170"/>
      <c r="I405" s="171"/>
    </row>
    <row r="406" ht="14.25" customHeight="1">
      <c r="A406" s="171"/>
      <c r="B406" s="282"/>
      <c r="C406" s="305"/>
      <c r="D406" s="78"/>
      <c r="E406" s="78"/>
      <c r="F406" s="171"/>
      <c r="G406" s="173"/>
      <c r="H406" s="170"/>
      <c r="I406" s="171"/>
    </row>
    <row r="407" ht="14.25" customHeight="1">
      <c r="A407" s="171"/>
      <c r="B407" s="282"/>
      <c r="C407" s="305"/>
      <c r="D407" s="78"/>
      <c r="E407" s="78"/>
      <c r="F407" s="171"/>
      <c r="G407" s="173"/>
      <c r="H407" s="170"/>
      <c r="I407" s="171"/>
    </row>
    <row r="408" ht="14.25" customHeight="1">
      <c r="A408" s="171"/>
      <c r="B408" s="282"/>
      <c r="C408" s="305"/>
      <c r="D408" s="78"/>
      <c r="E408" s="78"/>
      <c r="F408" s="171"/>
      <c r="G408" s="173"/>
      <c r="H408" s="170"/>
      <c r="I408" s="171"/>
    </row>
    <row r="409" ht="14.25" customHeight="1">
      <c r="A409" s="171"/>
      <c r="B409" s="282"/>
      <c r="C409" s="305"/>
      <c r="D409" s="78"/>
      <c r="E409" s="78"/>
      <c r="F409" s="171"/>
      <c r="G409" s="173"/>
      <c r="H409" s="170"/>
      <c r="I409" s="171"/>
    </row>
    <row r="410" ht="14.25" customHeight="1">
      <c r="A410" s="171"/>
      <c r="B410" s="282"/>
      <c r="C410" s="305"/>
      <c r="D410" s="78"/>
      <c r="E410" s="78"/>
      <c r="F410" s="171"/>
      <c r="G410" s="173"/>
      <c r="H410" s="170"/>
      <c r="I410" s="171"/>
    </row>
    <row r="411" ht="14.25" customHeight="1">
      <c r="A411" s="171"/>
      <c r="B411" s="282"/>
      <c r="C411" s="305"/>
      <c r="D411" s="78"/>
      <c r="E411" s="78"/>
      <c r="F411" s="171"/>
      <c r="G411" s="173"/>
      <c r="H411" s="170"/>
      <c r="I411" s="171"/>
    </row>
    <row r="412" ht="14.25" customHeight="1">
      <c r="A412" s="171"/>
      <c r="B412" s="282"/>
      <c r="C412" s="305"/>
      <c r="D412" s="78"/>
      <c r="E412" s="78"/>
      <c r="F412" s="171"/>
      <c r="G412" s="173"/>
      <c r="H412" s="170"/>
      <c r="I412" s="171"/>
    </row>
    <row r="413" ht="14.25" customHeight="1">
      <c r="A413" s="171"/>
      <c r="B413" s="282"/>
      <c r="C413" s="305"/>
      <c r="D413" s="78"/>
      <c r="E413" s="78"/>
      <c r="F413" s="171"/>
      <c r="G413" s="173"/>
      <c r="H413" s="170"/>
      <c r="I413" s="171"/>
    </row>
    <row r="414" ht="14.25" customHeight="1">
      <c r="A414" s="171"/>
      <c r="B414" s="282"/>
      <c r="C414" s="305"/>
      <c r="D414" s="78"/>
      <c r="E414" s="78"/>
      <c r="F414" s="171"/>
      <c r="G414" s="173"/>
      <c r="H414" s="170"/>
      <c r="I414" s="171"/>
    </row>
    <row r="415" ht="14.25" customHeight="1">
      <c r="A415" s="171"/>
      <c r="B415" s="282"/>
      <c r="C415" s="305"/>
      <c r="D415" s="78"/>
      <c r="E415" s="78"/>
      <c r="F415" s="171"/>
      <c r="G415" s="173"/>
      <c r="H415" s="170"/>
      <c r="I415" s="171"/>
    </row>
    <row r="416" ht="14.25" customHeight="1">
      <c r="A416" s="171"/>
      <c r="B416" s="282"/>
      <c r="C416" s="305"/>
      <c r="D416" s="78"/>
      <c r="E416" s="78"/>
      <c r="F416" s="171"/>
      <c r="G416" s="173"/>
      <c r="H416" s="170"/>
      <c r="I416" s="171"/>
    </row>
    <row r="417" ht="14.25" customHeight="1">
      <c r="A417" s="171"/>
      <c r="B417" s="282"/>
      <c r="C417" s="305"/>
      <c r="D417" s="78"/>
      <c r="E417" s="78"/>
      <c r="F417" s="171"/>
      <c r="G417" s="173"/>
      <c r="H417" s="170"/>
      <c r="I417" s="171"/>
    </row>
    <row r="418" ht="14.25" customHeight="1">
      <c r="A418" s="171"/>
      <c r="B418" s="282"/>
      <c r="C418" s="305"/>
      <c r="D418" s="78"/>
      <c r="E418" s="78"/>
      <c r="F418" s="171"/>
      <c r="G418" s="173"/>
      <c r="H418" s="170"/>
      <c r="I418" s="171"/>
    </row>
    <row r="419" ht="14.25" customHeight="1">
      <c r="A419" s="171"/>
      <c r="B419" s="282"/>
      <c r="C419" s="305"/>
      <c r="D419" s="78"/>
      <c r="E419" s="78"/>
      <c r="F419" s="171"/>
      <c r="G419" s="173"/>
      <c r="H419" s="170"/>
      <c r="I419" s="171"/>
    </row>
    <row r="420" ht="14.25" customHeight="1">
      <c r="A420" s="171"/>
      <c r="B420" s="282"/>
      <c r="C420" s="305"/>
      <c r="D420" s="78"/>
      <c r="E420" s="78"/>
      <c r="F420" s="171"/>
      <c r="G420" s="173"/>
      <c r="H420" s="170"/>
      <c r="I420" s="171"/>
    </row>
    <row r="421" ht="14.25" customHeight="1">
      <c r="A421" s="171"/>
      <c r="B421" s="282"/>
      <c r="C421" s="305"/>
      <c r="D421" s="78"/>
      <c r="E421" s="78"/>
      <c r="F421" s="171"/>
      <c r="G421" s="173"/>
      <c r="H421" s="170"/>
      <c r="I421" s="171"/>
    </row>
    <row r="422" ht="14.25" customHeight="1">
      <c r="A422" s="171"/>
      <c r="B422" s="282"/>
      <c r="C422" s="305"/>
      <c r="D422" s="78"/>
      <c r="E422" s="78"/>
      <c r="F422" s="171"/>
      <c r="G422" s="173"/>
      <c r="H422" s="170"/>
      <c r="I422" s="171"/>
    </row>
    <row r="423" ht="14.25" customHeight="1">
      <c r="A423" s="171"/>
      <c r="B423" s="282"/>
      <c r="C423" s="305"/>
      <c r="D423" s="78"/>
      <c r="E423" s="78"/>
      <c r="F423" s="171"/>
      <c r="G423" s="173"/>
      <c r="H423" s="170"/>
      <c r="I423" s="171"/>
    </row>
    <row r="424" ht="14.25" customHeight="1">
      <c r="A424" s="171"/>
      <c r="B424" s="282"/>
      <c r="C424" s="305"/>
      <c r="D424" s="78"/>
      <c r="E424" s="78"/>
      <c r="F424" s="171"/>
      <c r="G424" s="173"/>
      <c r="H424" s="170"/>
      <c r="I424" s="171"/>
    </row>
    <row r="425" ht="14.25" customHeight="1">
      <c r="A425" s="171"/>
      <c r="B425" s="282"/>
      <c r="C425" s="305"/>
      <c r="D425" s="78"/>
      <c r="E425" s="78"/>
      <c r="F425" s="171"/>
      <c r="G425" s="173"/>
      <c r="H425" s="170"/>
      <c r="I425" s="171"/>
    </row>
    <row r="426" ht="14.25" customHeight="1">
      <c r="A426" s="171"/>
      <c r="B426" s="282"/>
      <c r="C426" s="305"/>
      <c r="D426" s="78"/>
      <c r="E426" s="78"/>
      <c r="F426" s="171"/>
      <c r="G426" s="173"/>
      <c r="H426" s="170"/>
      <c r="I426" s="171"/>
    </row>
    <row r="427" ht="14.25" customHeight="1">
      <c r="A427" s="171"/>
      <c r="B427" s="282"/>
      <c r="C427" s="305"/>
      <c r="D427" s="78"/>
      <c r="E427" s="78"/>
      <c r="F427" s="171"/>
      <c r="G427" s="173"/>
      <c r="H427" s="170"/>
      <c r="I427" s="171"/>
    </row>
    <row r="428" ht="14.25" customHeight="1">
      <c r="A428" s="171"/>
      <c r="B428" s="282"/>
      <c r="C428" s="305"/>
      <c r="D428" s="78"/>
      <c r="E428" s="78"/>
      <c r="F428" s="171"/>
      <c r="G428" s="173"/>
      <c r="H428" s="170"/>
      <c r="I428" s="171"/>
    </row>
    <row r="429" ht="14.25" customHeight="1">
      <c r="A429" s="171"/>
      <c r="B429" s="282"/>
      <c r="C429" s="305"/>
      <c r="D429" s="78"/>
      <c r="E429" s="78"/>
      <c r="F429" s="171"/>
      <c r="G429" s="173"/>
      <c r="H429" s="170"/>
      <c r="I429" s="171"/>
    </row>
    <row r="430" ht="14.25" customHeight="1">
      <c r="A430" s="171"/>
      <c r="B430" s="282"/>
      <c r="C430" s="305"/>
      <c r="D430" s="78"/>
      <c r="E430" s="78"/>
      <c r="F430" s="171"/>
      <c r="G430" s="173"/>
      <c r="H430" s="170"/>
      <c r="I430" s="171"/>
    </row>
    <row r="431" ht="14.25" customHeight="1">
      <c r="A431" s="171"/>
      <c r="B431" s="282"/>
      <c r="C431" s="305"/>
      <c r="D431" s="78"/>
      <c r="E431" s="78"/>
      <c r="F431" s="171"/>
      <c r="G431" s="173"/>
      <c r="H431" s="170"/>
      <c r="I431" s="171"/>
    </row>
    <row r="432" ht="14.25" customHeight="1">
      <c r="A432" s="171"/>
      <c r="B432" s="282"/>
      <c r="C432" s="305"/>
      <c r="D432" s="78"/>
      <c r="E432" s="78"/>
      <c r="F432" s="171"/>
      <c r="G432" s="173"/>
      <c r="H432" s="170"/>
      <c r="I432" s="171"/>
    </row>
    <row r="433" ht="14.25" customHeight="1">
      <c r="A433" s="171"/>
      <c r="B433" s="282"/>
      <c r="C433" s="305"/>
      <c r="D433" s="78"/>
      <c r="E433" s="78"/>
      <c r="F433" s="171"/>
      <c r="G433" s="173"/>
      <c r="H433" s="170"/>
      <c r="I433" s="171"/>
    </row>
    <row r="434" ht="14.25" customHeight="1">
      <c r="A434" s="171"/>
      <c r="B434" s="282"/>
      <c r="C434" s="305"/>
      <c r="D434" s="78"/>
      <c r="E434" s="78"/>
      <c r="F434" s="171"/>
      <c r="G434" s="173"/>
      <c r="H434" s="170"/>
      <c r="I434" s="171"/>
    </row>
    <row r="435" ht="14.25" customHeight="1">
      <c r="A435" s="171"/>
      <c r="B435" s="282"/>
      <c r="C435" s="305"/>
      <c r="D435" s="78"/>
      <c r="E435" s="78"/>
      <c r="F435" s="171"/>
      <c r="G435" s="173"/>
      <c r="H435" s="170"/>
      <c r="I435" s="171"/>
    </row>
    <row r="436" ht="14.25" customHeight="1">
      <c r="A436" s="171"/>
      <c r="B436" s="282"/>
      <c r="C436" s="305"/>
      <c r="D436" s="78"/>
      <c r="E436" s="78"/>
      <c r="F436" s="171"/>
      <c r="G436" s="173"/>
      <c r="H436" s="170"/>
      <c r="I436" s="171"/>
    </row>
    <row r="437" ht="14.25" customHeight="1">
      <c r="A437" s="171"/>
      <c r="B437" s="282"/>
      <c r="C437" s="305"/>
      <c r="D437" s="78"/>
      <c r="E437" s="78"/>
      <c r="F437" s="171"/>
      <c r="G437" s="173"/>
      <c r="H437" s="170"/>
      <c r="I437" s="171"/>
    </row>
    <row r="438" ht="14.25" customHeight="1">
      <c r="A438" s="171"/>
      <c r="B438" s="282"/>
      <c r="C438" s="305"/>
      <c r="D438" s="78"/>
      <c r="E438" s="78"/>
      <c r="F438" s="171"/>
      <c r="G438" s="173"/>
      <c r="H438" s="170"/>
      <c r="I438" s="171"/>
    </row>
    <row r="439" ht="14.25" customHeight="1">
      <c r="A439" s="171"/>
      <c r="B439" s="282"/>
      <c r="C439" s="305"/>
      <c r="D439" s="78"/>
      <c r="E439" s="78"/>
      <c r="F439" s="171"/>
      <c r="G439" s="173"/>
      <c r="H439" s="170"/>
      <c r="I439" s="171"/>
    </row>
    <row r="440" ht="14.25" customHeight="1">
      <c r="A440" s="171"/>
      <c r="B440" s="282"/>
      <c r="C440" s="305"/>
      <c r="D440" s="78"/>
      <c r="E440" s="78"/>
      <c r="F440" s="171"/>
      <c r="G440" s="173"/>
      <c r="H440" s="170"/>
      <c r="I440" s="171"/>
    </row>
    <row r="441" ht="14.25" customHeight="1">
      <c r="A441" s="171"/>
      <c r="B441" s="282"/>
      <c r="C441" s="305"/>
      <c r="D441" s="78"/>
      <c r="E441" s="78"/>
      <c r="F441" s="171"/>
      <c r="G441" s="173"/>
      <c r="H441" s="170"/>
      <c r="I441" s="171"/>
    </row>
    <row r="442" ht="14.25" customHeight="1">
      <c r="A442" s="171"/>
      <c r="B442" s="282"/>
      <c r="C442" s="305"/>
      <c r="D442" s="78"/>
      <c r="E442" s="78"/>
      <c r="F442" s="171"/>
      <c r="G442" s="173"/>
      <c r="H442" s="170"/>
      <c r="I442" s="171"/>
    </row>
    <row r="443" ht="14.25" customHeight="1">
      <c r="A443" s="171"/>
      <c r="B443" s="282"/>
      <c r="C443" s="305"/>
      <c r="D443" s="78"/>
      <c r="E443" s="78"/>
      <c r="F443" s="171"/>
      <c r="G443" s="173"/>
      <c r="H443" s="170"/>
      <c r="I443" s="171"/>
    </row>
    <row r="444" ht="14.25" customHeight="1">
      <c r="A444" s="171"/>
      <c r="B444" s="282"/>
      <c r="C444" s="305"/>
      <c r="D444" s="78"/>
      <c r="E444" s="78"/>
      <c r="F444" s="171"/>
      <c r="G444" s="173"/>
      <c r="H444" s="170"/>
      <c r="I444" s="171"/>
    </row>
    <row r="445" ht="14.25" customHeight="1">
      <c r="A445" s="171"/>
      <c r="B445" s="282"/>
      <c r="C445" s="305"/>
      <c r="D445" s="78"/>
      <c r="E445" s="78"/>
      <c r="F445" s="171"/>
      <c r="G445" s="173"/>
      <c r="H445" s="170"/>
      <c r="I445" s="171"/>
    </row>
    <row r="446" ht="14.25" customHeight="1">
      <c r="A446" s="171"/>
      <c r="B446" s="282"/>
      <c r="C446" s="305"/>
      <c r="D446" s="78"/>
      <c r="E446" s="78"/>
      <c r="F446" s="171"/>
      <c r="G446" s="173"/>
      <c r="H446" s="170"/>
      <c r="I446" s="171"/>
    </row>
    <row r="447" ht="14.25" customHeight="1">
      <c r="A447" s="171"/>
      <c r="B447" s="282"/>
      <c r="C447" s="305"/>
      <c r="D447" s="78"/>
      <c r="E447" s="78"/>
      <c r="F447" s="171"/>
      <c r="G447" s="173"/>
      <c r="H447" s="170"/>
      <c r="I447" s="171"/>
    </row>
    <row r="448" ht="14.25" customHeight="1">
      <c r="A448" s="171"/>
      <c r="B448" s="282"/>
      <c r="C448" s="305"/>
      <c r="D448" s="78"/>
      <c r="E448" s="78"/>
      <c r="F448" s="171"/>
      <c r="G448" s="173"/>
      <c r="H448" s="170"/>
      <c r="I448" s="171"/>
    </row>
    <row r="449" ht="14.25" customHeight="1">
      <c r="A449" s="171"/>
      <c r="B449" s="282"/>
      <c r="C449" s="305"/>
      <c r="D449" s="78"/>
      <c r="E449" s="78"/>
      <c r="F449" s="171"/>
      <c r="G449" s="173"/>
      <c r="H449" s="170"/>
      <c r="I449" s="171"/>
    </row>
    <row r="450" ht="14.25" customHeight="1">
      <c r="A450" s="171"/>
      <c r="B450" s="282"/>
      <c r="C450" s="305"/>
      <c r="D450" s="78"/>
      <c r="E450" s="78"/>
      <c r="F450" s="171"/>
      <c r="G450" s="173"/>
      <c r="H450" s="170"/>
      <c r="I450" s="171"/>
    </row>
    <row r="451" ht="14.25" customHeight="1">
      <c r="A451" s="171"/>
      <c r="B451" s="282"/>
      <c r="C451" s="305"/>
      <c r="D451" s="78"/>
      <c r="E451" s="78"/>
      <c r="F451" s="171"/>
      <c r="G451" s="173"/>
      <c r="H451" s="170"/>
      <c r="I451" s="171"/>
    </row>
    <row r="452" ht="14.25" customHeight="1">
      <c r="A452" s="171"/>
      <c r="B452" s="282"/>
      <c r="C452" s="305"/>
      <c r="D452" s="78"/>
      <c r="E452" s="78"/>
      <c r="F452" s="171"/>
      <c r="G452" s="173"/>
      <c r="H452" s="170"/>
      <c r="I452" s="171"/>
    </row>
    <row r="453" ht="14.25" customHeight="1">
      <c r="A453" s="171"/>
      <c r="B453" s="282"/>
      <c r="C453" s="305"/>
      <c r="D453" s="78"/>
      <c r="E453" s="78"/>
      <c r="F453" s="171"/>
      <c r="G453" s="173"/>
      <c r="H453" s="170"/>
      <c r="I453" s="171"/>
    </row>
    <row r="454" ht="14.25" customHeight="1">
      <c r="A454" s="171"/>
      <c r="B454" s="282"/>
      <c r="C454" s="305"/>
      <c r="D454" s="78"/>
      <c r="E454" s="78"/>
      <c r="F454" s="171"/>
      <c r="G454" s="173"/>
      <c r="H454" s="170"/>
      <c r="I454" s="171"/>
    </row>
    <row r="455" ht="14.25" customHeight="1">
      <c r="A455" s="171"/>
      <c r="B455" s="282"/>
      <c r="C455" s="305"/>
      <c r="D455" s="78"/>
      <c r="E455" s="78"/>
      <c r="F455" s="171"/>
      <c r="G455" s="173"/>
      <c r="H455" s="170"/>
      <c r="I455" s="171"/>
    </row>
    <row r="456" ht="14.25" customHeight="1">
      <c r="A456" s="171"/>
      <c r="B456" s="282"/>
      <c r="C456" s="305"/>
      <c r="D456" s="78"/>
      <c r="E456" s="78"/>
      <c r="F456" s="171"/>
      <c r="G456" s="173"/>
      <c r="H456" s="170"/>
      <c r="I456" s="171"/>
    </row>
    <row r="457" ht="14.25" customHeight="1">
      <c r="A457" s="171"/>
      <c r="B457" s="282"/>
      <c r="C457" s="305"/>
      <c r="D457" s="78"/>
      <c r="E457" s="78"/>
      <c r="F457" s="171"/>
      <c r="G457" s="173"/>
      <c r="H457" s="170"/>
      <c r="I457" s="171"/>
    </row>
    <row r="458" ht="14.25" customHeight="1">
      <c r="A458" s="171"/>
      <c r="B458" s="282"/>
      <c r="C458" s="305"/>
      <c r="D458" s="78"/>
      <c r="E458" s="78"/>
      <c r="F458" s="171"/>
      <c r="G458" s="173"/>
      <c r="H458" s="170"/>
      <c r="I458" s="171"/>
    </row>
    <row r="459" ht="14.25" customHeight="1">
      <c r="A459" s="171"/>
      <c r="B459" s="282"/>
      <c r="C459" s="305"/>
      <c r="D459" s="78"/>
      <c r="E459" s="78"/>
      <c r="F459" s="171"/>
      <c r="G459" s="173"/>
      <c r="H459" s="170"/>
      <c r="I459" s="171"/>
    </row>
    <row r="460" ht="14.25" customHeight="1">
      <c r="A460" s="171"/>
      <c r="B460" s="282"/>
      <c r="C460" s="305"/>
      <c r="D460" s="78"/>
      <c r="E460" s="78"/>
      <c r="F460" s="171"/>
      <c r="G460" s="173"/>
      <c r="H460" s="170"/>
      <c r="I460" s="171"/>
    </row>
    <row r="461" ht="14.25" customHeight="1">
      <c r="A461" s="171"/>
      <c r="B461" s="282"/>
      <c r="C461" s="305"/>
      <c r="D461" s="78"/>
      <c r="E461" s="78"/>
      <c r="F461" s="171"/>
      <c r="G461" s="173"/>
      <c r="H461" s="170"/>
      <c r="I461" s="171"/>
    </row>
    <row r="462" ht="14.25" customHeight="1">
      <c r="A462" s="171"/>
      <c r="B462" s="282"/>
      <c r="C462" s="305"/>
      <c r="D462" s="78"/>
      <c r="E462" s="78"/>
      <c r="F462" s="171"/>
      <c r="G462" s="173"/>
      <c r="H462" s="170"/>
      <c r="I462" s="171"/>
    </row>
    <row r="463" ht="14.25" customHeight="1">
      <c r="A463" s="171"/>
      <c r="B463" s="282"/>
      <c r="C463" s="305"/>
      <c r="D463" s="78"/>
      <c r="E463" s="78"/>
      <c r="F463" s="171"/>
      <c r="G463" s="173"/>
      <c r="H463" s="170"/>
      <c r="I463" s="171"/>
    </row>
    <row r="464" ht="14.25" customHeight="1">
      <c r="A464" s="171"/>
      <c r="B464" s="282"/>
      <c r="C464" s="305"/>
      <c r="D464" s="78"/>
      <c r="E464" s="78"/>
      <c r="F464" s="171"/>
      <c r="G464" s="173"/>
      <c r="H464" s="170"/>
      <c r="I464" s="171"/>
    </row>
    <row r="465" ht="14.25" customHeight="1">
      <c r="A465" s="171"/>
      <c r="B465" s="282"/>
      <c r="C465" s="305"/>
      <c r="D465" s="78"/>
      <c r="E465" s="78"/>
      <c r="F465" s="171"/>
      <c r="G465" s="173"/>
      <c r="H465" s="170"/>
      <c r="I465" s="171"/>
    </row>
    <row r="466" ht="14.25" customHeight="1">
      <c r="A466" s="171"/>
      <c r="B466" s="282"/>
      <c r="C466" s="305"/>
      <c r="D466" s="78"/>
      <c r="E466" s="78"/>
      <c r="F466" s="171"/>
      <c r="G466" s="173"/>
      <c r="H466" s="170"/>
      <c r="I466" s="171"/>
    </row>
    <row r="467" ht="14.25" customHeight="1">
      <c r="A467" s="171"/>
      <c r="B467" s="282"/>
      <c r="C467" s="305"/>
      <c r="D467" s="78"/>
      <c r="E467" s="78"/>
      <c r="F467" s="171"/>
      <c r="G467" s="173"/>
      <c r="H467" s="170"/>
      <c r="I467" s="171"/>
    </row>
    <row r="468" ht="14.25" customHeight="1">
      <c r="A468" s="171"/>
      <c r="B468" s="282"/>
      <c r="C468" s="305"/>
      <c r="D468" s="78"/>
      <c r="E468" s="78"/>
      <c r="F468" s="171"/>
      <c r="G468" s="173"/>
      <c r="H468" s="170"/>
      <c r="I468" s="171"/>
    </row>
    <row r="469" ht="14.25" customHeight="1">
      <c r="A469" s="171"/>
      <c r="B469" s="282"/>
      <c r="C469" s="305"/>
      <c r="D469" s="78"/>
      <c r="E469" s="78"/>
      <c r="F469" s="171"/>
      <c r="G469" s="173"/>
      <c r="H469" s="170"/>
      <c r="I469" s="171"/>
    </row>
    <row r="470" ht="14.25" customHeight="1">
      <c r="A470" s="171"/>
      <c r="B470" s="282"/>
      <c r="C470" s="305"/>
      <c r="D470" s="78"/>
      <c r="E470" s="78"/>
      <c r="F470" s="171"/>
      <c r="G470" s="173"/>
      <c r="H470" s="170"/>
      <c r="I470" s="171"/>
    </row>
    <row r="471" ht="14.25" customHeight="1">
      <c r="A471" s="171"/>
      <c r="B471" s="282"/>
      <c r="C471" s="305"/>
      <c r="D471" s="78"/>
      <c r="E471" s="78"/>
      <c r="F471" s="171"/>
      <c r="G471" s="173"/>
      <c r="H471" s="170"/>
      <c r="I471" s="171"/>
    </row>
    <row r="472" ht="14.25" customHeight="1">
      <c r="A472" s="171"/>
      <c r="B472" s="282"/>
      <c r="C472" s="305"/>
      <c r="D472" s="78"/>
      <c r="E472" s="78"/>
      <c r="F472" s="171"/>
      <c r="G472" s="173"/>
      <c r="H472" s="170"/>
      <c r="I472" s="171"/>
    </row>
    <row r="473" ht="14.25" customHeight="1">
      <c r="A473" s="171"/>
      <c r="B473" s="282"/>
      <c r="C473" s="305"/>
      <c r="D473" s="78"/>
      <c r="E473" s="78"/>
      <c r="F473" s="171"/>
      <c r="G473" s="173"/>
      <c r="H473" s="170"/>
      <c r="I473" s="171"/>
    </row>
    <row r="474" ht="14.25" customHeight="1">
      <c r="A474" s="171"/>
      <c r="B474" s="282"/>
      <c r="C474" s="305"/>
      <c r="D474" s="78"/>
      <c r="E474" s="78"/>
      <c r="F474" s="171"/>
      <c r="G474" s="173"/>
      <c r="H474" s="170"/>
      <c r="I474" s="171"/>
    </row>
    <row r="475" ht="14.25" customHeight="1">
      <c r="A475" s="171"/>
      <c r="B475" s="282"/>
      <c r="C475" s="305"/>
      <c r="D475" s="78"/>
      <c r="E475" s="78"/>
      <c r="F475" s="171"/>
      <c r="G475" s="173"/>
      <c r="H475" s="170"/>
      <c r="I475" s="171"/>
    </row>
    <row r="476" ht="14.25" customHeight="1">
      <c r="A476" s="171"/>
      <c r="B476" s="282"/>
      <c r="C476" s="305"/>
      <c r="D476" s="78"/>
      <c r="E476" s="78"/>
      <c r="F476" s="171"/>
      <c r="G476" s="173"/>
      <c r="H476" s="170"/>
      <c r="I476" s="171"/>
    </row>
    <row r="477" ht="14.25" customHeight="1">
      <c r="A477" s="171"/>
      <c r="B477" s="282"/>
      <c r="C477" s="305"/>
      <c r="D477" s="78"/>
      <c r="E477" s="78"/>
      <c r="F477" s="171"/>
      <c r="G477" s="173"/>
      <c r="H477" s="170"/>
      <c r="I477" s="171"/>
    </row>
    <row r="478" ht="14.25" customHeight="1">
      <c r="A478" s="171"/>
      <c r="B478" s="282"/>
      <c r="C478" s="305"/>
      <c r="D478" s="78"/>
      <c r="E478" s="78"/>
      <c r="F478" s="171"/>
      <c r="G478" s="173"/>
      <c r="H478" s="170"/>
      <c r="I478" s="171"/>
    </row>
    <row r="479" ht="14.25" customHeight="1">
      <c r="A479" s="171"/>
      <c r="B479" s="282"/>
      <c r="C479" s="305"/>
      <c r="D479" s="78"/>
      <c r="E479" s="78"/>
      <c r="F479" s="171"/>
      <c r="G479" s="173"/>
      <c r="H479" s="170"/>
      <c r="I479" s="171"/>
    </row>
    <row r="480" ht="14.25" customHeight="1">
      <c r="A480" s="171"/>
      <c r="B480" s="282"/>
      <c r="C480" s="305"/>
      <c r="D480" s="78"/>
      <c r="E480" s="78"/>
      <c r="F480" s="171"/>
      <c r="G480" s="173"/>
      <c r="H480" s="170"/>
      <c r="I480" s="171"/>
    </row>
    <row r="481" ht="14.25" customHeight="1">
      <c r="A481" s="171"/>
      <c r="B481" s="282"/>
      <c r="C481" s="305"/>
      <c r="D481" s="78"/>
      <c r="E481" s="78"/>
      <c r="F481" s="171"/>
      <c r="G481" s="173"/>
      <c r="H481" s="170"/>
      <c r="I481" s="171"/>
    </row>
    <row r="482" ht="14.25" customHeight="1">
      <c r="A482" s="171"/>
      <c r="B482" s="282"/>
      <c r="C482" s="305"/>
      <c r="D482" s="78"/>
      <c r="E482" s="78"/>
      <c r="F482" s="171"/>
      <c r="G482" s="173"/>
      <c r="H482" s="170"/>
      <c r="I482" s="171"/>
    </row>
    <row r="483" ht="14.25" customHeight="1">
      <c r="A483" s="171"/>
      <c r="B483" s="282"/>
      <c r="C483" s="305"/>
      <c r="D483" s="78"/>
      <c r="E483" s="78"/>
      <c r="F483" s="171"/>
      <c r="G483" s="173"/>
      <c r="H483" s="170"/>
      <c r="I483" s="171"/>
    </row>
    <row r="484" ht="14.25" customHeight="1">
      <c r="A484" s="171"/>
      <c r="B484" s="282"/>
      <c r="C484" s="305"/>
      <c r="D484" s="78"/>
      <c r="E484" s="78"/>
      <c r="F484" s="171"/>
      <c r="G484" s="173"/>
      <c r="H484" s="170"/>
      <c r="I484" s="171"/>
    </row>
    <row r="485" ht="14.25" customHeight="1">
      <c r="A485" s="171"/>
      <c r="B485" s="282"/>
      <c r="C485" s="305"/>
      <c r="D485" s="78"/>
      <c r="E485" s="78"/>
      <c r="F485" s="171"/>
      <c r="G485" s="173"/>
      <c r="H485" s="170"/>
      <c r="I485" s="171"/>
    </row>
    <row r="486" ht="14.25" customHeight="1">
      <c r="A486" s="171"/>
      <c r="B486" s="282"/>
      <c r="C486" s="305"/>
      <c r="D486" s="78"/>
      <c r="E486" s="78"/>
      <c r="F486" s="171"/>
      <c r="G486" s="173"/>
      <c r="H486" s="170"/>
      <c r="I486" s="171"/>
    </row>
    <row r="487" ht="14.25" customHeight="1">
      <c r="A487" s="171"/>
      <c r="B487" s="282"/>
      <c r="C487" s="305"/>
      <c r="D487" s="78"/>
      <c r="E487" s="78"/>
      <c r="F487" s="171"/>
      <c r="G487" s="173"/>
      <c r="H487" s="170"/>
      <c r="I487" s="171"/>
    </row>
    <row r="488" ht="14.25" customHeight="1">
      <c r="A488" s="171"/>
      <c r="B488" s="282"/>
      <c r="C488" s="305"/>
      <c r="D488" s="78"/>
      <c r="E488" s="78"/>
      <c r="F488" s="171"/>
      <c r="G488" s="173"/>
      <c r="H488" s="170"/>
      <c r="I488" s="171"/>
    </row>
    <row r="489" ht="14.25" customHeight="1">
      <c r="A489" s="171"/>
      <c r="B489" s="282"/>
      <c r="C489" s="305"/>
      <c r="D489" s="78"/>
      <c r="E489" s="78"/>
      <c r="F489" s="171"/>
      <c r="G489" s="173"/>
      <c r="H489" s="170"/>
      <c r="I489" s="171"/>
    </row>
    <row r="490" ht="14.25" customHeight="1">
      <c r="A490" s="171"/>
      <c r="B490" s="282"/>
      <c r="C490" s="305"/>
      <c r="D490" s="78"/>
      <c r="E490" s="78"/>
      <c r="F490" s="171"/>
      <c r="G490" s="173"/>
      <c r="H490" s="170"/>
      <c r="I490" s="171"/>
    </row>
    <row r="491" ht="14.25" customHeight="1">
      <c r="A491" s="171"/>
      <c r="B491" s="282"/>
      <c r="C491" s="305"/>
      <c r="D491" s="78"/>
      <c r="E491" s="78"/>
      <c r="F491" s="171"/>
      <c r="G491" s="173"/>
      <c r="H491" s="170"/>
      <c r="I491" s="171"/>
    </row>
    <row r="492" ht="14.25" customHeight="1">
      <c r="A492" s="171"/>
      <c r="B492" s="282"/>
      <c r="C492" s="305"/>
      <c r="D492" s="78"/>
      <c r="E492" s="78"/>
      <c r="F492" s="171"/>
      <c r="G492" s="173"/>
      <c r="H492" s="170"/>
      <c r="I492" s="171"/>
    </row>
    <row r="493" ht="14.25" customHeight="1">
      <c r="A493" s="171"/>
      <c r="B493" s="282"/>
      <c r="C493" s="305"/>
      <c r="D493" s="78"/>
      <c r="E493" s="78"/>
      <c r="F493" s="171"/>
      <c r="G493" s="173"/>
      <c r="H493" s="170"/>
      <c r="I493" s="171"/>
    </row>
    <row r="494" ht="14.25" customHeight="1">
      <c r="A494" s="171"/>
      <c r="B494" s="282"/>
      <c r="C494" s="305"/>
      <c r="D494" s="78"/>
      <c r="E494" s="78"/>
      <c r="F494" s="171"/>
      <c r="G494" s="173"/>
      <c r="H494" s="170"/>
      <c r="I494" s="171"/>
    </row>
    <row r="495" ht="14.25" customHeight="1">
      <c r="A495" s="171"/>
      <c r="B495" s="282"/>
      <c r="C495" s="305"/>
      <c r="D495" s="78"/>
      <c r="E495" s="78"/>
      <c r="F495" s="171"/>
      <c r="G495" s="173"/>
      <c r="H495" s="170"/>
      <c r="I495" s="171"/>
    </row>
    <row r="496" ht="14.25" customHeight="1">
      <c r="A496" s="171"/>
      <c r="B496" s="282"/>
      <c r="C496" s="305"/>
      <c r="D496" s="78"/>
      <c r="E496" s="78"/>
      <c r="F496" s="171"/>
      <c r="G496" s="173"/>
      <c r="H496" s="170"/>
      <c r="I496" s="171"/>
    </row>
    <row r="497" ht="14.25" customHeight="1">
      <c r="A497" s="171"/>
      <c r="B497" s="282"/>
      <c r="C497" s="305"/>
      <c r="D497" s="78"/>
      <c r="E497" s="78"/>
      <c r="F497" s="171"/>
      <c r="G497" s="173"/>
      <c r="H497" s="170"/>
      <c r="I497" s="171"/>
    </row>
    <row r="498" ht="14.25" customHeight="1">
      <c r="A498" s="171"/>
      <c r="B498" s="282"/>
      <c r="C498" s="305"/>
      <c r="D498" s="78"/>
      <c r="E498" s="78"/>
      <c r="F498" s="171"/>
      <c r="G498" s="173"/>
      <c r="H498" s="170"/>
      <c r="I498" s="171"/>
    </row>
    <row r="499" ht="14.25" customHeight="1">
      <c r="A499" s="171"/>
      <c r="B499" s="282"/>
      <c r="C499" s="305"/>
      <c r="D499" s="78"/>
      <c r="E499" s="78"/>
      <c r="F499" s="171"/>
      <c r="G499" s="173"/>
      <c r="H499" s="170"/>
      <c r="I499" s="171"/>
    </row>
    <row r="500" ht="14.25" customHeight="1">
      <c r="A500" s="171"/>
      <c r="B500" s="282"/>
      <c r="C500" s="305"/>
      <c r="D500" s="78"/>
      <c r="E500" s="78"/>
      <c r="F500" s="171"/>
      <c r="G500" s="173"/>
      <c r="H500" s="170"/>
      <c r="I500" s="171"/>
    </row>
    <row r="501" ht="14.25" customHeight="1">
      <c r="A501" s="171"/>
      <c r="B501" s="282"/>
      <c r="C501" s="305"/>
      <c r="D501" s="78"/>
      <c r="E501" s="78"/>
      <c r="F501" s="171"/>
      <c r="G501" s="173"/>
      <c r="H501" s="170"/>
      <c r="I501" s="171"/>
    </row>
    <row r="502" ht="14.25" customHeight="1">
      <c r="A502" s="171"/>
      <c r="B502" s="282"/>
      <c r="C502" s="305"/>
      <c r="D502" s="78"/>
      <c r="E502" s="78"/>
      <c r="F502" s="171"/>
      <c r="G502" s="173"/>
      <c r="H502" s="170"/>
      <c r="I502" s="171"/>
    </row>
    <row r="503" ht="14.25" customHeight="1">
      <c r="A503" s="171"/>
      <c r="B503" s="282"/>
      <c r="C503" s="305"/>
      <c r="D503" s="78"/>
      <c r="E503" s="78"/>
      <c r="F503" s="171"/>
      <c r="G503" s="173"/>
      <c r="H503" s="170"/>
      <c r="I503" s="171"/>
    </row>
    <row r="504" ht="14.25" customHeight="1">
      <c r="A504" s="171"/>
      <c r="B504" s="282"/>
      <c r="C504" s="305"/>
      <c r="D504" s="78"/>
      <c r="E504" s="78"/>
      <c r="F504" s="171"/>
      <c r="G504" s="173"/>
      <c r="H504" s="170"/>
      <c r="I504" s="171"/>
    </row>
    <row r="505" ht="14.25" customHeight="1">
      <c r="A505" s="171"/>
      <c r="B505" s="282"/>
      <c r="C505" s="305"/>
      <c r="D505" s="78"/>
      <c r="E505" s="78"/>
      <c r="F505" s="171"/>
      <c r="G505" s="173"/>
      <c r="H505" s="170"/>
      <c r="I505" s="171"/>
    </row>
    <row r="506" ht="14.25" customHeight="1">
      <c r="A506" s="171"/>
      <c r="B506" s="282"/>
      <c r="C506" s="305"/>
      <c r="D506" s="78"/>
      <c r="E506" s="78"/>
      <c r="F506" s="171"/>
      <c r="G506" s="173"/>
      <c r="H506" s="170"/>
      <c r="I506" s="171"/>
    </row>
    <row r="507" ht="14.25" customHeight="1">
      <c r="A507" s="171"/>
      <c r="B507" s="282"/>
      <c r="C507" s="305"/>
      <c r="D507" s="78"/>
      <c r="E507" s="78"/>
      <c r="F507" s="171"/>
      <c r="G507" s="173"/>
      <c r="H507" s="170"/>
      <c r="I507" s="171"/>
    </row>
    <row r="508" ht="14.25" customHeight="1">
      <c r="A508" s="171"/>
      <c r="B508" s="282"/>
      <c r="C508" s="305"/>
      <c r="D508" s="78"/>
      <c r="E508" s="78"/>
      <c r="F508" s="171"/>
      <c r="G508" s="173"/>
      <c r="H508" s="170"/>
      <c r="I508" s="171"/>
    </row>
    <row r="509" ht="14.25" customHeight="1">
      <c r="A509" s="171"/>
      <c r="B509" s="282"/>
      <c r="C509" s="305"/>
      <c r="D509" s="78"/>
      <c r="E509" s="78"/>
      <c r="F509" s="171"/>
      <c r="G509" s="173"/>
      <c r="H509" s="170"/>
      <c r="I509" s="171"/>
    </row>
    <row r="510" ht="14.25" customHeight="1">
      <c r="A510" s="171"/>
      <c r="B510" s="282"/>
      <c r="C510" s="305"/>
      <c r="D510" s="78"/>
      <c r="E510" s="78"/>
      <c r="F510" s="171"/>
      <c r="G510" s="173"/>
      <c r="H510" s="170"/>
      <c r="I510" s="171"/>
    </row>
    <row r="511" ht="14.25" customHeight="1">
      <c r="A511" s="171"/>
      <c r="B511" s="282"/>
      <c r="C511" s="305"/>
      <c r="D511" s="78"/>
      <c r="E511" s="78"/>
      <c r="F511" s="171"/>
      <c r="G511" s="173"/>
      <c r="H511" s="170"/>
      <c r="I511" s="171"/>
    </row>
    <row r="512" ht="14.25" customHeight="1">
      <c r="A512" s="171"/>
      <c r="B512" s="282"/>
      <c r="C512" s="305"/>
      <c r="D512" s="78"/>
      <c r="E512" s="78"/>
      <c r="F512" s="171"/>
      <c r="G512" s="173"/>
      <c r="H512" s="170"/>
      <c r="I512" s="171"/>
    </row>
    <row r="513" ht="14.25" customHeight="1">
      <c r="A513" s="171"/>
      <c r="B513" s="282"/>
      <c r="C513" s="305"/>
      <c r="D513" s="78"/>
      <c r="E513" s="78"/>
      <c r="F513" s="171"/>
      <c r="G513" s="173"/>
      <c r="H513" s="170"/>
      <c r="I513" s="171"/>
    </row>
    <row r="514" ht="14.25" customHeight="1">
      <c r="A514" s="171"/>
      <c r="B514" s="282"/>
      <c r="C514" s="305"/>
      <c r="D514" s="78"/>
      <c r="E514" s="78"/>
      <c r="F514" s="171"/>
      <c r="G514" s="173"/>
      <c r="H514" s="170"/>
      <c r="I514" s="171"/>
    </row>
    <row r="515" ht="14.25" customHeight="1">
      <c r="A515" s="171"/>
      <c r="B515" s="282"/>
      <c r="C515" s="305"/>
      <c r="D515" s="78"/>
      <c r="E515" s="78"/>
      <c r="F515" s="171"/>
      <c r="G515" s="173"/>
      <c r="H515" s="170"/>
      <c r="I515" s="171"/>
    </row>
    <row r="516" ht="14.25" customHeight="1">
      <c r="A516" s="171"/>
      <c r="B516" s="282"/>
      <c r="C516" s="305"/>
      <c r="D516" s="78"/>
      <c r="E516" s="78"/>
      <c r="F516" s="171"/>
      <c r="G516" s="173"/>
      <c r="H516" s="170"/>
      <c r="I516" s="171"/>
    </row>
    <row r="517" ht="14.25" customHeight="1">
      <c r="A517" s="171"/>
      <c r="B517" s="282"/>
      <c r="C517" s="305"/>
      <c r="D517" s="78"/>
      <c r="E517" s="78"/>
      <c r="F517" s="171"/>
      <c r="G517" s="173"/>
      <c r="H517" s="170"/>
      <c r="I517" s="171"/>
    </row>
    <row r="518" ht="14.25" customHeight="1">
      <c r="A518" s="171"/>
      <c r="B518" s="282"/>
      <c r="C518" s="305"/>
      <c r="D518" s="78"/>
      <c r="E518" s="78"/>
      <c r="F518" s="171"/>
      <c r="G518" s="173"/>
      <c r="H518" s="170"/>
      <c r="I518" s="171"/>
    </row>
    <row r="519" ht="14.25" customHeight="1">
      <c r="A519" s="171"/>
      <c r="B519" s="282"/>
      <c r="C519" s="305"/>
      <c r="D519" s="78"/>
      <c r="E519" s="78"/>
      <c r="F519" s="171"/>
      <c r="G519" s="173"/>
      <c r="H519" s="170"/>
      <c r="I519" s="171"/>
    </row>
    <row r="520" ht="14.25" customHeight="1">
      <c r="A520" s="171"/>
      <c r="B520" s="282"/>
      <c r="C520" s="305"/>
      <c r="D520" s="78"/>
      <c r="E520" s="78"/>
      <c r="F520" s="171"/>
      <c r="G520" s="173"/>
      <c r="H520" s="170"/>
      <c r="I520" s="171"/>
    </row>
    <row r="521" ht="14.25" customHeight="1">
      <c r="A521" s="171"/>
      <c r="B521" s="282"/>
      <c r="C521" s="305"/>
      <c r="D521" s="78"/>
      <c r="E521" s="78"/>
      <c r="F521" s="171"/>
      <c r="G521" s="173"/>
      <c r="H521" s="170"/>
      <c r="I521" s="171"/>
    </row>
    <row r="522" ht="14.25" customHeight="1">
      <c r="A522" s="171"/>
      <c r="B522" s="282"/>
      <c r="C522" s="305"/>
      <c r="D522" s="78"/>
      <c r="E522" s="78"/>
      <c r="F522" s="171"/>
      <c r="G522" s="173"/>
      <c r="H522" s="170"/>
      <c r="I522" s="171"/>
    </row>
    <row r="523" ht="14.25" customHeight="1">
      <c r="A523" s="171"/>
      <c r="B523" s="282"/>
      <c r="C523" s="305"/>
      <c r="D523" s="78"/>
      <c r="E523" s="78"/>
      <c r="F523" s="171"/>
      <c r="G523" s="173"/>
      <c r="H523" s="170"/>
      <c r="I523" s="171"/>
    </row>
    <row r="524" ht="14.25" customHeight="1">
      <c r="A524" s="171"/>
      <c r="B524" s="282"/>
      <c r="C524" s="305"/>
      <c r="D524" s="78"/>
      <c r="E524" s="78"/>
      <c r="F524" s="171"/>
      <c r="G524" s="173"/>
      <c r="H524" s="170"/>
      <c r="I524" s="171"/>
    </row>
    <row r="525" ht="14.25" customHeight="1">
      <c r="A525" s="171"/>
      <c r="B525" s="282"/>
      <c r="C525" s="305"/>
      <c r="D525" s="78"/>
      <c r="E525" s="78"/>
      <c r="F525" s="171"/>
      <c r="G525" s="173"/>
      <c r="H525" s="170"/>
      <c r="I525" s="171"/>
    </row>
    <row r="526" ht="14.25" customHeight="1">
      <c r="A526" s="171"/>
      <c r="B526" s="282"/>
      <c r="C526" s="305"/>
      <c r="D526" s="78"/>
      <c r="E526" s="78"/>
      <c r="F526" s="171"/>
      <c r="G526" s="173"/>
      <c r="H526" s="170"/>
      <c r="I526" s="171"/>
    </row>
    <row r="527" ht="14.25" customHeight="1">
      <c r="A527" s="171"/>
      <c r="B527" s="282"/>
      <c r="C527" s="305"/>
      <c r="D527" s="78"/>
      <c r="E527" s="78"/>
      <c r="F527" s="171"/>
      <c r="G527" s="173"/>
      <c r="H527" s="170"/>
      <c r="I527" s="171"/>
    </row>
    <row r="528" ht="14.25" customHeight="1">
      <c r="A528" s="171"/>
      <c r="B528" s="282"/>
      <c r="C528" s="305"/>
      <c r="D528" s="78"/>
      <c r="E528" s="78"/>
      <c r="F528" s="171"/>
      <c r="G528" s="173"/>
      <c r="H528" s="170"/>
      <c r="I528" s="171"/>
    </row>
    <row r="529" ht="14.25" customHeight="1">
      <c r="A529" s="171"/>
      <c r="B529" s="282"/>
      <c r="C529" s="305"/>
      <c r="D529" s="78"/>
      <c r="E529" s="78"/>
      <c r="F529" s="171"/>
      <c r="G529" s="173"/>
      <c r="H529" s="170"/>
      <c r="I529" s="171"/>
    </row>
    <row r="530" ht="14.25" customHeight="1">
      <c r="A530" s="171"/>
      <c r="B530" s="282"/>
      <c r="C530" s="305"/>
      <c r="D530" s="78"/>
      <c r="E530" s="78"/>
      <c r="F530" s="171"/>
      <c r="G530" s="173"/>
      <c r="H530" s="170"/>
      <c r="I530" s="171"/>
    </row>
    <row r="531" ht="14.25" customHeight="1">
      <c r="A531" s="171"/>
      <c r="B531" s="282"/>
      <c r="C531" s="305"/>
      <c r="D531" s="78"/>
      <c r="E531" s="78"/>
      <c r="F531" s="171"/>
      <c r="G531" s="173"/>
      <c r="H531" s="170"/>
      <c r="I531" s="171"/>
    </row>
    <row r="532" ht="14.25" customHeight="1">
      <c r="A532" s="171"/>
      <c r="B532" s="282"/>
      <c r="C532" s="305"/>
      <c r="D532" s="78"/>
      <c r="E532" s="78"/>
      <c r="F532" s="171"/>
      <c r="G532" s="173"/>
      <c r="H532" s="170"/>
      <c r="I532" s="171"/>
    </row>
    <row r="533" ht="14.25" customHeight="1">
      <c r="A533" s="171"/>
      <c r="B533" s="282"/>
      <c r="C533" s="305"/>
      <c r="D533" s="78"/>
      <c r="E533" s="78"/>
      <c r="F533" s="171"/>
      <c r="G533" s="173"/>
      <c r="H533" s="170"/>
      <c r="I533" s="171"/>
    </row>
    <row r="534" ht="14.25" customHeight="1">
      <c r="A534" s="171"/>
      <c r="B534" s="282"/>
      <c r="C534" s="305"/>
      <c r="D534" s="78"/>
      <c r="E534" s="78"/>
      <c r="F534" s="171"/>
      <c r="G534" s="173"/>
      <c r="H534" s="170"/>
      <c r="I534" s="171"/>
    </row>
    <row r="535" ht="14.25" customHeight="1">
      <c r="A535" s="171"/>
      <c r="B535" s="282"/>
      <c r="C535" s="305"/>
      <c r="D535" s="78"/>
      <c r="E535" s="78"/>
      <c r="F535" s="171"/>
      <c r="G535" s="173"/>
      <c r="H535" s="170"/>
      <c r="I535" s="171"/>
    </row>
    <row r="536" ht="14.25" customHeight="1">
      <c r="A536" s="171"/>
      <c r="B536" s="282"/>
      <c r="C536" s="305"/>
      <c r="D536" s="78"/>
      <c r="E536" s="78"/>
      <c r="F536" s="171"/>
      <c r="G536" s="173"/>
      <c r="H536" s="170"/>
      <c r="I536" s="171"/>
    </row>
    <row r="537" ht="14.25" customHeight="1">
      <c r="A537" s="171"/>
      <c r="B537" s="282"/>
      <c r="C537" s="305"/>
      <c r="D537" s="78"/>
      <c r="E537" s="78"/>
      <c r="F537" s="171"/>
      <c r="G537" s="173"/>
      <c r="H537" s="170"/>
      <c r="I537" s="171"/>
    </row>
    <row r="538" ht="14.25" customHeight="1">
      <c r="A538" s="171"/>
      <c r="B538" s="282"/>
      <c r="C538" s="305"/>
      <c r="D538" s="78"/>
      <c r="E538" s="78"/>
      <c r="F538" s="171"/>
      <c r="G538" s="173"/>
      <c r="H538" s="170"/>
      <c r="I538" s="171"/>
    </row>
    <row r="539" ht="14.25" customHeight="1">
      <c r="A539" s="171"/>
      <c r="B539" s="282"/>
      <c r="C539" s="305"/>
      <c r="D539" s="78"/>
      <c r="E539" s="78"/>
      <c r="F539" s="171"/>
      <c r="G539" s="173"/>
      <c r="H539" s="170"/>
      <c r="I539" s="171"/>
    </row>
    <row r="540" ht="14.25" customHeight="1">
      <c r="A540" s="171"/>
      <c r="B540" s="282"/>
      <c r="C540" s="305"/>
      <c r="D540" s="78"/>
      <c r="E540" s="78"/>
      <c r="F540" s="171"/>
      <c r="G540" s="173"/>
      <c r="H540" s="170"/>
      <c r="I540" s="171"/>
    </row>
    <row r="541" ht="14.25" customHeight="1">
      <c r="A541" s="171"/>
      <c r="B541" s="282"/>
      <c r="C541" s="305"/>
      <c r="D541" s="78"/>
      <c r="E541" s="78"/>
      <c r="F541" s="171"/>
      <c r="G541" s="173"/>
      <c r="H541" s="170"/>
      <c r="I541" s="171"/>
    </row>
    <row r="542" ht="14.25" customHeight="1">
      <c r="A542" s="171"/>
      <c r="B542" s="282"/>
      <c r="C542" s="305"/>
      <c r="D542" s="78"/>
      <c r="E542" s="78"/>
      <c r="F542" s="171"/>
      <c r="G542" s="173"/>
      <c r="H542" s="170"/>
      <c r="I542" s="171"/>
    </row>
    <row r="543" ht="14.25" customHeight="1">
      <c r="A543" s="171"/>
      <c r="B543" s="282"/>
      <c r="C543" s="305"/>
      <c r="D543" s="78"/>
      <c r="E543" s="78"/>
      <c r="F543" s="171"/>
      <c r="G543" s="173"/>
      <c r="H543" s="170"/>
      <c r="I543" s="171"/>
    </row>
    <row r="544" ht="14.25" customHeight="1">
      <c r="A544" s="171"/>
      <c r="B544" s="282"/>
      <c r="C544" s="305"/>
      <c r="D544" s="78"/>
      <c r="E544" s="78"/>
      <c r="F544" s="171"/>
      <c r="G544" s="173"/>
      <c r="H544" s="170"/>
      <c r="I544" s="171"/>
    </row>
    <row r="545" ht="14.25" customHeight="1">
      <c r="A545" s="171"/>
      <c r="B545" s="282"/>
      <c r="C545" s="305"/>
      <c r="D545" s="78"/>
      <c r="E545" s="78"/>
      <c r="F545" s="171"/>
      <c r="G545" s="173"/>
      <c r="H545" s="170"/>
      <c r="I545" s="171"/>
    </row>
    <row r="546" ht="14.25" customHeight="1">
      <c r="A546" s="171"/>
      <c r="B546" s="282"/>
      <c r="C546" s="305"/>
      <c r="D546" s="78"/>
      <c r="E546" s="78"/>
      <c r="F546" s="171"/>
      <c r="G546" s="173"/>
      <c r="H546" s="170"/>
      <c r="I546" s="171"/>
    </row>
    <row r="547" ht="14.25" customHeight="1">
      <c r="A547" s="171"/>
      <c r="B547" s="282"/>
      <c r="C547" s="305"/>
      <c r="D547" s="78"/>
      <c r="E547" s="78"/>
      <c r="F547" s="171"/>
      <c r="G547" s="173"/>
      <c r="H547" s="170"/>
      <c r="I547" s="171"/>
    </row>
    <row r="548" ht="14.25" customHeight="1">
      <c r="A548" s="171"/>
      <c r="B548" s="282"/>
      <c r="C548" s="305"/>
      <c r="D548" s="78"/>
      <c r="E548" s="78"/>
      <c r="F548" s="171"/>
      <c r="G548" s="173"/>
      <c r="H548" s="170"/>
      <c r="I548" s="171"/>
    </row>
    <row r="549" ht="14.25" customHeight="1">
      <c r="A549" s="171"/>
      <c r="B549" s="282"/>
      <c r="C549" s="305"/>
      <c r="D549" s="78"/>
      <c r="E549" s="78"/>
      <c r="F549" s="171"/>
      <c r="G549" s="173"/>
      <c r="H549" s="170"/>
      <c r="I549" s="171"/>
    </row>
    <row r="550" ht="14.25" customHeight="1">
      <c r="A550" s="171"/>
      <c r="B550" s="282"/>
      <c r="C550" s="305"/>
      <c r="D550" s="78"/>
      <c r="E550" s="78"/>
      <c r="F550" s="171"/>
      <c r="G550" s="173"/>
      <c r="H550" s="170"/>
      <c r="I550" s="171"/>
    </row>
    <row r="551" ht="14.25" customHeight="1">
      <c r="A551" s="171"/>
      <c r="B551" s="282"/>
      <c r="C551" s="305"/>
      <c r="D551" s="78"/>
      <c r="E551" s="78"/>
      <c r="F551" s="171"/>
      <c r="G551" s="173"/>
      <c r="H551" s="170"/>
      <c r="I551" s="171"/>
    </row>
    <row r="552" ht="14.25" customHeight="1">
      <c r="A552" s="171"/>
      <c r="B552" s="282"/>
      <c r="C552" s="305"/>
      <c r="D552" s="78"/>
      <c r="E552" s="78"/>
      <c r="F552" s="171"/>
      <c r="G552" s="173"/>
      <c r="H552" s="170"/>
      <c r="I552" s="171"/>
    </row>
    <row r="553" ht="14.25" customHeight="1">
      <c r="A553" s="171"/>
      <c r="B553" s="282"/>
      <c r="C553" s="305"/>
      <c r="D553" s="78"/>
      <c r="E553" s="78"/>
      <c r="F553" s="171"/>
      <c r="G553" s="173"/>
      <c r="H553" s="170"/>
      <c r="I553" s="171"/>
    </row>
    <row r="554" ht="14.25" customHeight="1">
      <c r="A554" s="171"/>
      <c r="B554" s="282"/>
      <c r="C554" s="305"/>
      <c r="D554" s="78"/>
      <c r="E554" s="78"/>
      <c r="F554" s="171"/>
      <c r="G554" s="173"/>
      <c r="H554" s="170"/>
      <c r="I554" s="171"/>
    </row>
    <row r="555" ht="14.25" customHeight="1">
      <c r="A555" s="171"/>
      <c r="B555" s="282"/>
      <c r="C555" s="305"/>
      <c r="D555" s="78"/>
      <c r="E555" s="78"/>
      <c r="F555" s="171"/>
      <c r="G555" s="173"/>
      <c r="H555" s="170"/>
      <c r="I555" s="171"/>
    </row>
    <row r="556" ht="14.25" customHeight="1">
      <c r="A556" s="171"/>
      <c r="B556" s="282"/>
      <c r="C556" s="305"/>
      <c r="D556" s="78"/>
      <c r="E556" s="78"/>
      <c r="F556" s="171"/>
      <c r="G556" s="173"/>
      <c r="H556" s="170"/>
      <c r="I556" s="171"/>
    </row>
    <row r="557" ht="14.25" customHeight="1">
      <c r="A557" s="171"/>
      <c r="B557" s="282"/>
      <c r="C557" s="305"/>
      <c r="D557" s="78"/>
      <c r="E557" s="78"/>
      <c r="F557" s="171"/>
      <c r="G557" s="173"/>
      <c r="H557" s="170"/>
      <c r="I557" s="171"/>
    </row>
    <row r="558" ht="14.25" customHeight="1">
      <c r="A558" s="171"/>
      <c r="B558" s="282"/>
      <c r="C558" s="305"/>
      <c r="D558" s="78"/>
      <c r="E558" s="78"/>
      <c r="F558" s="171"/>
      <c r="G558" s="173"/>
      <c r="H558" s="170"/>
      <c r="I558" s="171"/>
    </row>
    <row r="559" ht="14.25" customHeight="1">
      <c r="A559" s="171"/>
      <c r="B559" s="282"/>
      <c r="C559" s="305"/>
      <c r="D559" s="78"/>
      <c r="E559" s="78"/>
      <c r="F559" s="171"/>
      <c r="G559" s="173"/>
      <c r="H559" s="170"/>
      <c r="I559" s="171"/>
    </row>
    <row r="560" ht="14.25" customHeight="1">
      <c r="A560" s="171"/>
      <c r="B560" s="282"/>
      <c r="C560" s="305"/>
      <c r="D560" s="78"/>
      <c r="E560" s="78"/>
      <c r="F560" s="171"/>
      <c r="G560" s="173"/>
      <c r="H560" s="170"/>
      <c r="I560" s="171"/>
    </row>
    <row r="561" ht="14.25" customHeight="1">
      <c r="A561" s="171"/>
      <c r="B561" s="282"/>
      <c r="C561" s="305"/>
      <c r="D561" s="78"/>
      <c r="E561" s="78"/>
      <c r="F561" s="171"/>
      <c r="G561" s="173"/>
      <c r="H561" s="170"/>
      <c r="I561" s="171"/>
    </row>
    <row r="562" ht="14.25" customHeight="1">
      <c r="A562" s="171"/>
      <c r="B562" s="282"/>
      <c r="C562" s="305"/>
      <c r="D562" s="78"/>
      <c r="E562" s="78"/>
      <c r="F562" s="171"/>
      <c r="G562" s="173"/>
      <c r="H562" s="170"/>
      <c r="I562" s="171"/>
    </row>
    <row r="563" ht="14.25" customHeight="1">
      <c r="A563" s="171"/>
      <c r="B563" s="282"/>
      <c r="C563" s="305"/>
      <c r="D563" s="78"/>
      <c r="E563" s="78"/>
      <c r="F563" s="171"/>
      <c r="G563" s="173"/>
      <c r="H563" s="170"/>
      <c r="I563" s="171"/>
    </row>
    <row r="564" ht="14.25" customHeight="1">
      <c r="A564" s="171"/>
      <c r="B564" s="282"/>
      <c r="C564" s="305"/>
      <c r="D564" s="78"/>
      <c r="E564" s="78"/>
      <c r="F564" s="171"/>
      <c r="G564" s="173"/>
      <c r="H564" s="170"/>
      <c r="I564" s="171"/>
    </row>
    <row r="565" ht="14.25" customHeight="1">
      <c r="A565" s="171"/>
      <c r="B565" s="282"/>
      <c r="C565" s="305"/>
      <c r="D565" s="78"/>
      <c r="E565" s="78"/>
      <c r="F565" s="171"/>
      <c r="G565" s="173"/>
      <c r="H565" s="170"/>
      <c r="I565" s="171"/>
    </row>
    <row r="566" ht="14.25" customHeight="1">
      <c r="A566" s="171"/>
      <c r="B566" s="282"/>
      <c r="C566" s="305"/>
      <c r="D566" s="78"/>
      <c r="E566" s="78"/>
      <c r="F566" s="171"/>
      <c r="G566" s="173"/>
      <c r="H566" s="170"/>
      <c r="I566" s="171"/>
    </row>
    <row r="567" ht="14.25" customHeight="1">
      <c r="A567" s="171"/>
      <c r="B567" s="282"/>
      <c r="C567" s="305"/>
      <c r="D567" s="78"/>
      <c r="E567" s="78"/>
      <c r="F567" s="171"/>
      <c r="G567" s="173"/>
      <c r="H567" s="170"/>
      <c r="I567" s="171"/>
    </row>
    <row r="568" ht="14.25" customHeight="1">
      <c r="A568" s="171"/>
      <c r="B568" s="282"/>
      <c r="C568" s="305"/>
      <c r="D568" s="78"/>
      <c r="E568" s="78"/>
      <c r="F568" s="171"/>
      <c r="G568" s="173"/>
      <c r="H568" s="170"/>
      <c r="I568" s="171"/>
    </row>
    <row r="569" ht="14.25" customHeight="1">
      <c r="A569" s="171"/>
      <c r="B569" s="282"/>
      <c r="C569" s="305"/>
      <c r="D569" s="78"/>
      <c r="E569" s="78"/>
      <c r="F569" s="171"/>
      <c r="G569" s="173"/>
      <c r="H569" s="170"/>
      <c r="I569" s="171"/>
    </row>
    <row r="570" ht="14.25" customHeight="1">
      <c r="A570" s="171"/>
      <c r="B570" s="282"/>
      <c r="C570" s="305"/>
      <c r="D570" s="78"/>
      <c r="E570" s="78"/>
      <c r="F570" s="171"/>
      <c r="G570" s="173"/>
      <c r="H570" s="170"/>
      <c r="I570" s="171"/>
    </row>
    <row r="571" ht="14.25" customHeight="1">
      <c r="A571" s="171"/>
      <c r="B571" s="282"/>
      <c r="C571" s="305"/>
      <c r="D571" s="78"/>
      <c r="E571" s="78"/>
      <c r="F571" s="171"/>
      <c r="G571" s="173"/>
      <c r="H571" s="170"/>
      <c r="I571" s="171"/>
    </row>
    <row r="572" ht="14.25" customHeight="1">
      <c r="A572" s="171"/>
      <c r="B572" s="282"/>
      <c r="C572" s="305"/>
      <c r="D572" s="78"/>
      <c r="E572" s="78"/>
      <c r="F572" s="171"/>
      <c r="G572" s="173"/>
      <c r="H572" s="170"/>
      <c r="I572" s="171"/>
    </row>
    <row r="573" ht="14.25" customHeight="1">
      <c r="A573" s="171"/>
      <c r="B573" s="282"/>
      <c r="C573" s="305"/>
      <c r="D573" s="78"/>
      <c r="E573" s="78"/>
      <c r="F573" s="171"/>
      <c r="G573" s="173"/>
      <c r="H573" s="170"/>
      <c r="I573" s="171"/>
    </row>
    <row r="574" ht="14.25" customHeight="1">
      <c r="A574" s="171"/>
      <c r="B574" s="282"/>
      <c r="C574" s="305"/>
      <c r="D574" s="78"/>
      <c r="E574" s="78"/>
      <c r="F574" s="171"/>
      <c r="G574" s="173"/>
      <c r="H574" s="170"/>
      <c r="I574" s="171"/>
    </row>
    <row r="575" ht="14.25" customHeight="1">
      <c r="A575" s="171"/>
      <c r="B575" s="282"/>
      <c r="C575" s="305"/>
      <c r="D575" s="78"/>
      <c r="E575" s="78"/>
      <c r="F575" s="171"/>
      <c r="G575" s="173"/>
      <c r="H575" s="170"/>
      <c r="I575" s="171"/>
    </row>
    <row r="576" ht="14.25" customHeight="1">
      <c r="A576" s="171"/>
      <c r="B576" s="282"/>
      <c r="C576" s="305"/>
      <c r="D576" s="78"/>
      <c r="E576" s="78"/>
      <c r="F576" s="171"/>
      <c r="G576" s="173"/>
      <c r="H576" s="170"/>
      <c r="I576" s="171"/>
    </row>
    <row r="577" ht="14.25" customHeight="1">
      <c r="A577" s="171"/>
      <c r="B577" s="282"/>
      <c r="C577" s="305"/>
      <c r="D577" s="78"/>
      <c r="E577" s="78"/>
      <c r="F577" s="171"/>
      <c r="G577" s="173"/>
      <c r="H577" s="170"/>
      <c r="I577" s="171"/>
    </row>
    <row r="578" ht="14.25" customHeight="1">
      <c r="A578" s="171"/>
      <c r="B578" s="282"/>
      <c r="C578" s="305"/>
      <c r="D578" s="78"/>
      <c r="E578" s="78"/>
      <c r="F578" s="171"/>
      <c r="G578" s="173"/>
      <c r="H578" s="170"/>
      <c r="I578" s="171"/>
    </row>
    <row r="579" ht="14.25" customHeight="1">
      <c r="A579" s="171"/>
      <c r="B579" s="282"/>
      <c r="C579" s="305"/>
      <c r="D579" s="78"/>
      <c r="E579" s="78"/>
      <c r="F579" s="171"/>
      <c r="G579" s="173"/>
      <c r="H579" s="170"/>
      <c r="I579" s="171"/>
    </row>
    <row r="580" ht="14.25" customHeight="1">
      <c r="A580" s="171"/>
      <c r="B580" s="282"/>
      <c r="C580" s="305"/>
      <c r="D580" s="78"/>
      <c r="E580" s="78"/>
      <c r="F580" s="171"/>
      <c r="G580" s="173"/>
      <c r="H580" s="170"/>
      <c r="I580" s="171"/>
    </row>
    <row r="581" ht="14.25" customHeight="1">
      <c r="A581" s="171"/>
      <c r="B581" s="282"/>
      <c r="C581" s="305"/>
      <c r="D581" s="78"/>
      <c r="E581" s="78"/>
      <c r="F581" s="171"/>
      <c r="G581" s="173"/>
      <c r="H581" s="170"/>
      <c r="I581" s="171"/>
    </row>
    <row r="582" ht="14.25" customHeight="1">
      <c r="A582" s="171"/>
      <c r="B582" s="282"/>
      <c r="C582" s="305"/>
      <c r="D582" s="78"/>
      <c r="E582" s="78"/>
      <c r="F582" s="171"/>
      <c r="G582" s="173"/>
      <c r="H582" s="170"/>
      <c r="I582" s="171"/>
    </row>
    <row r="583" ht="14.25" customHeight="1">
      <c r="A583" s="171"/>
      <c r="B583" s="282"/>
      <c r="C583" s="305"/>
      <c r="D583" s="78"/>
      <c r="E583" s="78"/>
      <c r="F583" s="171"/>
      <c r="G583" s="173"/>
      <c r="H583" s="170"/>
      <c r="I583" s="171"/>
    </row>
    <row r="584" ht="14.25" customHeight="1">
      <c r="A584" s="171"/>
      <c r="B584" s="282"/>
      <c r="C584" s="305"/>
      <c r="D584" s="78"/>
      <c r="E584" s="78"/>
      <c r="F584" s="171"/>
      <c r="G584" s="173"/>
      <c r="H584" s="170"/>
      <c r="I584" s="171"/>
    </row>
    <row r="585" ht="14.25" customHeight="1">
      <c r="A585" s="171"/>
      <c r="B585" s="282"/>
      <c r="C585" s="305"/>
      <c r="D585" s="78"/>
      <c r="E585" s="78"/>
      <c r="F585" s="171"/>
      <c r="G585" s="173"/>
      <c r="H585" s="170"/>
      <c r="I585" s="171"/>
    </row>
    <row r="586" ht="14.25" customHeight="1">
      <c r="A586" s="171"/>
      <c r="B586" s="282"/>
      <c r="C586" s="305"/>
      <c r="D586" s="78"/>
      <c r="E586" s="78"/>
      <c r="F586" s="171"/>
      <c r="G586" s="173"/>
      <c r="H586" s="170"/>
      <c r="I586" s="171"/>
    </row>
    <row r="587" ht="14.25" customHeight="1">
      <c r="A587" s="171"/>
      <c r="B587" s="282"/>
      <c r="C587" s="305"/>
      <c r="D587" s="78"/>
      <c r="E587" s="78"/>
      <c r="F587" s="171"/>
      <c r="G587" s="173"/>
      <c r="H587" s="170"/>
      <c r="I587" s="171"/>
    </row>
    <row r="588" ht="14.25" customHeight="1">
      <c r="A588" s="171"/>
      <c r="B588" s="282"/>
      <c r="C588" s="305"/>
      <c r="D588" s="78"/>
      <c r="E588" s="78"/>
      <c r="F588" s="171"/>
      <c r="G588" s="173"/>
      <c r="H588" s="170"/>
      <c r="I588" s="171"/>
    </row>
    <row r="589" ht="14.25" customHeight="1">
      <c r="A589" s="171"/>
      <c r="B589" s="282"/>
      <c r="C589" s="305"/>
      <c r="D589" s="78"/>
      <c r="E589" s="78"/>
      <c r="F589" s="171"/>
      <c r="G589" s="173"/>
      <c r="H589" s="170"/>
      <c r="I589" s="171"/>
    </row>
    <row r="590" ht="14.25" customHeight="1">
      <c r="A590" s="171"/>
      <c r="B590" s="282"/>
      <c r="C590" s="305"/>
      <c r="D590" s="78"/>
      <c r="E590" s="78"/>
      <c r="F590" s="171"/>
      <c r="G590" s="173"/>
      <c r="H590" s="170"/>
      <c r="I590" s="171"/>
    </row>
    <row r="591" ht="14.25" customHeight="1">
      <c r="A591" s="171"/>
      <c r="B591" s="282"/>
      <c r="C591" s="305"/>
      <c r="D591" s="78"/>
      <c r="E591" s="78"/>
      <c r="F591" s="171"/>
      <c r="G591" s="173"/>
      <c r="H591" s="170"/>
      <c r="I591" s="171"/>
    </row>
    <row r="592" ht="14.25" customHeight="1">
      <c r="A592" s="171"/>
      <c r="B592" s="282"/>
      <c r="C592" s="305"/>
      <c r="D592" s="78"/>
      <c r="E592" s="78"/>
      <c r="F592" s="171"/>
      <c r="G592" s="173"/>
      <c r="H592" s="170"/>
      <c r="I592" s="171"/>
    </row>
    <row r="593" ht="14.25" customHeight="1">
      <c r="A593" s="171"/>
      <c r="B593" s="282"/>
      <c r="C593" s="305"/>
      <c r="D593" s="78"/>
      <c r="E593" s="78"/>
      <c r="F593" s="171"/>
      <c r="G593" s="173"/>
      <c r="H593" s="170"/>
      <c r="I593" s="171"/>
    </row>
    <row r="594" ht="14.25" customHeight="1">
      <c r="A594" s="171"/>
      <c r="B594" s="282"/>
      <c r="C594" s="305"/>
      <c r="D594" s="78"/>
      <c r="E594" s="78"/>
      <c r="F594" s="171"/>
      <c r="G594" s="173"/>
      <c r="H594" s="170"/>
      <c r="I594" s="171"/>
    </row>
    <row r="595" ht="14.25" customHeight="1">
      <c r="A595" s="171"/>
      <c r="B595" s="282"/>
      <c r="C595" s="305"/>
      <c r="D595" s="78"/>
      <c r="E595" s="78"/>
      <c r="F595" s="171"/>
      <c r="G595" s="173"/>
      <c r="H595" s="170"/>
      <c r="I595" s="171"/>
    </row>
    <row r="596" ht="14.25" customHeight="1">
      <c r="A596" s="171"/>
      <c r="B596" s="282"/>
      <c r="C596" s="305"/>
      <c r="D596" s="78"/>
      <c r="E596" s="78"/>
      <c r="F596" s="171"/>
      <c r="G596" s="173"/>
      <c r="H596" s="170"/>
      <c r="I596" s="171"/>
    </row>
    <row r="597" ht="14.25" customHeight="1">
      <c r="A597" s="171"/>
      <c r="B597" s="282"/>
      <c r="C597" s="305"/>
      <c r="D597" s="78"/>
      <c r="E597" s="78"/>
      <c r="F597" s="171"/>
      <c r="G597" s="173"/>
      <c r="H597" s="170"/>
      <c r="I597" s="171"/>
    </row>
    <row r="598" ht="14.25" customHeight="1">
      <c r="A598" s="171"/>
      <c r="B598" s="282"/>
      <c r="C598" s="305"/>
      <c r="D598" s="78"/>
      <c r="E598" s="78"/>
      <c r="F598" s="171"/>
      <c r="G598" s="173"/>
      <c r="H598" s="170"/>
      <c r="I598" s="171"/>
    </row>
    <row r="599" ht="14.25" customHeight="1">
      <c r="A599" s="171"/>
      <c r="B599" s="282"/>
      <c r="C599" s="305"/>
      <c r="D599" s="78"/>
      <c r="E599" s="78"/>
      <c r="F599" s="171"/>
      <c r="G599" s="173"/>
      <c r="H599" s="170"/>
      <c r="I599" s="171"/>
    </row>
    <row r="600" ht="14.25" customHeight="1">
      <c r="A600" s="171"/>
      <c r="B600" s="282"/>
      <c r="C600" s="305"/>
      <c r="D600" s="78"/>
      <c r="E600" s="78"/>
      <c r="F600" s="171"/>
      <c r="G600" s="173"/>
      <c r="H600" s="170"/>
      <c r="I600" s="171"/>
    </row>
    <row r="601" ht="14.25" customHeight="1">
      <c r="A601" s="171"/>
      <c r="B601" s="282"/>
      <c r="C601" s="305"/>
      <c r="D601" s="78"/>
      <c r="E601" s="78"/>
      <c r="F601" s="171"/>
      <c r="G601" s="173"/>
      <c r="H601" s="170"/>
      <c r="I601" s="171"/>
    </row>
    <row r="602" ht="14.25" customHeight="1">
      <c r="A602" s="171"/>
      <c r="B602" s="282"/>
      <c r="C602" s="305"/>
      <c r="D602" s="78"/>
      <c r="E602" s="78"/>
      <c r="F602" s="171"/>
      <c r="G602" s="173"/>
      <c r="H602" s="170"/>
      <c r="I602" s="171"/>
    </row>
    <row r="603" ht="14.25" customHeight="1">
      <c r="A603" s="171"/>
      <c r="B603" s="282"/>
      <c r="C603" s="305"/>
      <c r="D603" s="78"/>
      <c r="E603" s="78"/>
      <c r="F603" s="171"/>
      <c r="G603" s="173"/>
      <c r="H603" s="170"/>
      <c r="I603" s="171"/>
    </row>
    <row r="604" ht="14.25" customHeight="1">
      <c r="A604" s="171"/>
      <c r="B604" s="282"/>
      <c r="C604" s="305"/>
      <c r="D604" s="78"/>
      <c r="E604" s="78"/>
      <c r="F604" s="171"/>
      <c r="G604" s="173"/>
      <c r="H604" s="170"/>
      <c r="I604" s="171"/>
    </row>
    <row r="605" ht="14.25" customHeight="1">
      <c r="A605" s="171"/>
      <c r="B605" s="282"/>
      <c r="C605" s="305"/>
      <c r="D605" s="78"/>
      <c r="E605" s="78"/>
      <c r="F605" s="171"/>
      <c r="G605" s="173"/>
      <c r="H605" s="170"/>
      <c r="I605" s="171"/>
    </row>
    <row r="606" ht="14.25" customHeight="1">
      <c r="A606" s="171"/>
      <c r="B606" s="282"/>
      <c r="C606" s="305"/>
      <c r="D606" s="78"/>
      <c r="E606" s="78"/>
      <c r="F606" s="171"/>
      <c r="G606" s="173"/>
      <c r="H606" s="170"/>
      <c r="I606" s="171"/>
    </row>
    <row r="607" ht="14.25" customHeight="1">
      <c r="A607" s="171"/>
      <c r="B607" s="282"/>
      <c r="C607" s="305"/>
      <c r="D607" s="78"/>
      <c r="E607" s="78"/>
      <c r="F607" s="171"/>
      <c r="G607" s="173"/>
      <c r="H607" s="170"/>
      <c r="I607" s="171"/>
    </row>
    <row r="608" ht="14.25" customHeight="1">
      <c r="A608" s="171"/>
      <c r="B608" s="282"/>
      <c r="C608" s="305"/>
      <c r="D608" s="78"/>
      <c r="E608" s="78"/>
      <c r="F608" s="171"/>
      <c r="G608" s="173"/>
      <c r="H608" s="170"/>
      <c r="I608" s="171"/>
    </row>
    <row r="609" ht="14.25" customHeight="1">
      <c r="A609" s="171"/>
      <c r="B609" s="282"/>
      <c r="C609" s="305"/>
      <c r="D609" s="78"/>
      <c r="E609" s="78"/>
      <c r="F609" s="171"/>
      <c r="G609" s="173"/>
      <c r="H609" s="170"/>
      <c r="I609" s="171"/>
    </row>
    <row r="610" ht="14.25" customHeight="1">
      <c r="A610" s="171"/>
      <c r="B610" s="282"/>
      <c r="C610" s="305"/>
      <c r="D610" s="78"/>
      <c r="E610" s="78"/>
      <c r="F610" s="171"/>
      <c r="G610" s="173"/>
      <c r="H610" s="170"/>
      <c r="I610" s="171"/>
    </row>
    <row r="611" ht="14.25" customHeight="1">
      <c r="A611" s="171"/>
      <c r="B611" s="282"/>
      <c r="C611" s="305"/>
      <c r="D611" s="78"/>
      <c r="E611" s="78"/>
      <c r="F611" s="171"/>
      <c r="G611" s="173"/>
      <c r="H611" s="170"/>
      <c r="I611" s="171"/>
    </row>
    <row r="612" ht="14.25" customHeight="1">
      <c r="A612" s="171"/>
      <c r="B612" s="282"/>
      <c r="C612" s="305"/>
      <c r="D612" s="78"/>
      <c r="E612" s="78"/>
      <c r="F612" s="171"/>
      <c r="G612" s="173"/>
      <c r="H612" s="170"/>
      <c r="I612" s="171"/>
    </row>
    <row r="613" ht="14.25" customHeight="1">
      <c r="A613" s="171"/>
      <c r="B613" s="282"/>
      <c r="C613" s="305"/>
      <c r="D613" s="78"/>
      <c r="E613" s="78"/>
      <c r="F613" s="171"/>
      <c r="G613" s="173"/>
      <c r="H613" s="170"/>
      <c r="I613" s="171"/>
    </row>
    <row r="614" ht="14.25" customHeight="1">
      <c r="A614" s="171"/>
      <c r="B614" s="282"/>
      <c r="C614" s="305"/>
      <c r="D614" s="78"/>
      <c r="E614" s="78"/>
      <c r="F614" s="171"/>
      <c r="G614" s="173"/>
      <c r="H614" s="170"/>
      <c r="I614" s="171"/>
    </row>
    <row r="615" ht="14.25" customHeight="1">
      <c r="A615" s="171"/>
      <c r="B615" s="282"/>
      <c r="C615" s="305"/>
      <c r="D615" s="78"/>
      <c r="E615" s="78"/>
      <c r="F615" s="171"/>
      <c r="G615" s="173"/>
      <c r="H615" s="170"/>
      <c r="I615" s="171"/>
    </row>
    <row r="616" ht="14.25" customHeight="1">
      <c r="A616" s="171"/>
      <c r="B616" s="282"/>
      <c r="C616" s="305"/>
      <c r="D616" s="78"/>
      <c r="E616" s="78"/>
      <c r="F616" s="171"/>
      <c r="G616" s="173"/>
      <c r="H616" s="170"/>
      <c r="I616" s="171"/>
    </row>
    <row r="617" ht="14.25" customHeight="1">
      <c r="A617" s="171"/>
      <c r="B617" s="282"/>
      <c r="C617" s="305"/>
      <c r="D617" s="78"/>
      <c r="E617" s="78"/>
      <c r="F617" s="171"/>
      <c r="G617" s="173"/>
      <c r="H617" s="170"/>
      <c r="I617" s="171"/>
    </row>
    <row r="618" ht="14.25" customHeight="1">
      <c r="A618" s="171"/>
      <c r="B618" s="282"/>
      <c r="C618" s="305"/>
      <c r="D618" s="78"/>
      <c r="E618" s="78"/>
      <c r="F618" s="171"/>
      <c r="G618" s="173"/>
      <c r="H618" s="170"/>
      <c r="I618" s="171"/>
    </row>
    <row r="619" ht="14.25" customHeight="1">
      <c r="A619" s="171"/>
      <c r="B619" s="282"/>
      <c r="C619" s="305"/>
      <c r="D619" s="78"/>
      <c r="E619" s="78"/>
      <c r="F619" s="171"/>
      <c r="G619" s="173"/>
      <c r="H619" s="170"/>
      <c r="I619" s="171"/>
    </row>
    <row r="620" ht="14.25" customHeight="1">
      <c r="A620" s="171"/>
      <c r="B620" s="282"/>
      <c r="C620" s="305"/>
      <c r="D620" s="78"/>
      <c r="E620" s="78"/>
      <c r="F620" s="171"/>
      <c r="G620" s="173"/>
      <c r="H620" s="170"/>
      <c r="I620" s="171"/>
    </row>
    <row r="621" ht="14.25" customHeight="1">
      <c r="A621" s="171"/>
      <c r="B621" s="282"/>
      <c r="C621" s="305"/>
      <c r="D621" s="78"/>
      <c r="E621" s="78"/>
      <c r="F621" s="171"/>
      <c r="G621" s="173"/>
      <c r="H621" s="170"/>
      <c r="I621" s="171"/>
    </row>
    <row r="622" ht="14.25" customHeight="1">
      <c r="A622" s="171"/>
      <c r="B622" s="282"/>
      <c r="C622" s="305"/>
      <c r="D622" s="78"/>
      <c r="E622" s="78"/>
      <c r="F622" s="171"/>
      <c r="G622" s="173"/>
      <c r="H622" s="170"/>
      <c r="I622" s="171"/>
    </row>
    <row r="623" ht="14.25" customHeight="1">
      <c r="A623" s="171"/>
      <c r="B623" s="282"/>
      <c r="C623" s="305"/>
      <c r="D623" s="78"/>
      <c r="E623" s="78"/>
      <c r="F623" s="171"/>
      <c r="G623" s="173"/>
      <c r="H623" s="170"/>
      <c r="I623" s="171"/>
    </row>
    <row r="624" ht="14.25" customHeight="1">
      <c r="A624" s="171"/>
      <c r="B624" s="282"/>
      <c r="C624" s="305"/>
      <c r="D624" s="78"/>
      <c r="E624" s="78"/>
      <c r="F624" s="171"/>
      <c r="G624" s="173"/>
      <c r="H624" s="170"/>
      <c r="I624" s="171"/>
    </row>
    <row r="625" ht="14.25" customHeight="1">
      <c r="A625" s="171"/>
      <c r="B625" s="282"/>
      <c r="C625" s="305"/>
      <c r="D625" s="78"/>
      <c r="E625" s="78"/>
      <c r="F625" s="171"/>
      <c r="G625" s="173"/>
      <c r="H625" s="170"/>
      <c r="I625" s="171"/>
    </row>
    <row r="626" ht="14.25" customHeight="1">
      <c r="A626" s="171"/>
      <c r="B626" s="282"/>
      <c r="C626" s="305"/>
      <c r="D626" s="78"/>
      <c r="E626" s="78"/>
      <c r="F626" s="171"/>
      <c r="G626" s="173"/>
      <c r="H626" s="170"/>
      <c r="I626" s="171"/>
    </row>
    <row r="627" ht="14.25" customHeight="1">
      <c r="A627" s="171"/>
      <c r="B627" s="282"/>
      <c r="C627" s="305"/>
      <c r="D627" s="78"/>
      <c r="E627" s="78"/>
      <c r="F627" s="171"/>
      <c r="G627" s="173"/>
      <c r="H627" s="170"/>
      <c r="I627" s="171"/>
    </row>
    <row r="628" ht="14.25" customHeight="1">
      <c r="A628" s="171"/>
      <c r="B628" s="282"/>
      <c r="C628" s="305"/>
      <c r="D628" s="78"/>
      <c r="E628" s="78"/>
      <c r="F628" s="171"/>
      <c r="G628" s="173"/>
      <c r="H628" s="170"/>
      <c r="I628" s="171"/>
    </row>
    <row r="629" ht="14.25" customHeight="1">
      <c r="A629" s="171"/>
      <c r="B629" s="282"/>
      <c r="C629" s="305"/>
      <c r="D629" s="78"/>
      <c r="E629" s="78"/>
      <c r="F629" s="171"/>
      <c r="G629" s="173"/>
      <c r="H629" s="170"/>
      <c r="I629" s="171"/>
    </row>
    <row r="630" ht="14.25" customHeight="1">
      <c r="A630" s="171"/>
      <c r="B630" s="282"/>
      <c r="C630" s="305"/>
      <c r="D630" s="78"/>
      <c r="E630" s="78"/>
      <c r="F630" s="171"/>
      <c r="G630" s="173"/>
      <c r="H630" s="170"/>
      <c r="I630" s="171"/>
    </row>
    <row r="631" ht="14.25" customHeight="1">
      <c r="A631" s="171"/>
      <c r="B631" s="282"/>
      <c r="C631" s="305"/>
      <c r="D631" s="78"/>
      <c r="E631" s="78"/>
      <c r="F631" s="171"/>
      <c r="G631" s="173"/>
      <c r="H631" s="170"/>
      <c r="I631" s="171"/>
    </row>
    <row r="632" ht="14.25" customHeight="1">
      <c r="A632" s="171"/>
      <c r="B632" s="282"/>
      <c r="C632" s="305"/>
      <c r="D632" s="78"/>
      <c r="E632" s="78"/>
      <c r="F632" s="171"/>
      <c r="G632" s="173"/>
      <c r="H632" s="170"/>
      <c r="I632" s="171"/>
    </row>
    <row r="633" ht="14.25" customHeight="1">
      <c r="A633" s="171"/>
      <c r="B633" s="282"/>
      <c r="C633" s="305"/>
      <c r="D633" s="78"/>
      <c r="E633" s="78"/>
      <c r="F633" s="171"/>
      <c r="G633" s="173"/>
      <c r="H633" s="170"/>
      <c r="I633" s="171"/>
    </row>
    <row r="634" ht="14.25" customHeight="1">
      <c r="A634" s="171"/>
      <c r="B634" s="282"/>
      <c r="C634" s="305"/>
      <c r="D634" s="78"/>
      <c r="E634" s="78"/>
      <c r="F634" s="171"/>
      <c r="G634" s="173"/>
      <c r="H634" s="170"/>
      <c r="I634" s="171"/>
    </row>
    <row r="635" ht="14.25" customHeight="1">
      <c r="A635" s="171"/>
      <c r="B635" s="282"/>
      <c r="C635" s="305"/>
      <c r="D635" s="78"/>
      <c r="E635" s="78"/>
      <c r="F635" s="171"/>
      <c r="G635" s="173"/>
      <c r="H635" s="170"/>
      <c r="I635" s="171"/>
    </row>
    <row r="636" ht="14.25" customHeight="1">
      <c r="A636" s="171"/>
      <c r="B636" s="282"/>
      <c r="C636" s="305"/>
      <c r="D636" s="78"/>
      <c r="E636" s="78"/>
      <c r="F636" s="171"/>
      <c r="G636" s="173"/>
      <c r="H636" s="170"/>
      <c r="I636" s="171"/>
    </row>
    <row r="637" ht="14.25" customHeight="1">
      <c r="A637" s="171"/>
      <c r="B637" s="282"/>
      <c r="C637" s="305"/>
      <c r="D637" s="78"/>
      <c r="E637" s="78"/>
      <c r="F637" s="171"/>
      <c r="G637" s="173"/>
      <c r="H637" s="170"/>
      <c r="I637" s="171"/>
    </row>
    <row r="638" ht="14.25" customHeight="1">
      <c r="A638" s="171"/>
      <c r="B638" s="282"/>
      <c r="C638" s="305"/>
      <c r="D638" s="78"/>
      <c r="E638" s="78"/>
      <c r="F638" s="171"/>
      <c r="G638" s="173"/>
      <c r="H638" s="170"/>
      <c r="I638" s="171"/>
    </row>
    <row r="639" ht="14.25" customHeight="1">
      <c r="A639" s="171"/>
      <c r="B639" s="282"/>
      <c r="C639" s="305"/>
      <c r="D639" s="78"/>
      <c r="E639" s="78"/>
      <c r="F639" s="171"/>
      <c r="G639" s="173"/>
      <c r="H639" s="170"/>
      <c r="I639" s="171"/>
    </row>
    <row r="640" ht="14.25" customHeight="1">
      <c r="A640" s="171"/>
      <c r="B640" s="282"/>
      <c r="C640" s="305"/>
      <c r="D640" s="78"/>
      <c r="E640" s="78"/>
      <c r="F640" s="171"/>
      <c r="G640" s="173"/>
      <c r="H640" s="170"/>
      <c r="I640" s="171"/>
    </row>
    <row r="641" ht="14.25" customHeight="1">
      <c r="A641" s="171"/>
      <c r="B641" s="282"/>
      <c r="C641" s="305"/>
      <c r="D641" s="78"/>
      <c r="E641" s="78"/>
      <c r="F641" s="171"/>
      <c r="G641" s="173"/>
      <c r="H641" s="170"/>
      <c r="I641" s="171"/>
    </row>
    <row r="642" ht="14.25" customHeight="1">
      <c r="A642" s="171"/>
      <c r="B642" s="282"/>
      <c r="C642" s="305"/>
      <c r="D642" s="78"/>
      <c r="E642" s="78"/>
      <c r="F642" s="171"/>
      <c r="G642" s="173"/>
      <c r="H642" s="170"/>
      <c r="I642" s="171"/>
    </row>
    <row r="643" ht="14.25" customHeight="1">
      <c r="A643" s="171"/>
      <c r="B643" s="282"/>
      <c r="C643" s="305"/>
      <c r="D643" s="78"/>
      <c r="E643" s="78"/>
      <c r="F643" s="171"/>
      <c r="G643" s="173"/>
      <c r="H643" s="170"/>
      <c r="I643" s="171"/>
    </row>
    <row r="644" ht="14.25" customHeight="1">
      <c r="A644" s="171"/>
      <c r="B644" s="282"/>
      <c r="C644" s="305"/>
      <c r="D644" s="78"/>
      <c r="E644" s="78"/>
      <c r="F644" s="171"/>
      <c r="G644" s="173"/>
      <c r="H644" s="170"/>
      <c r="I644" s="171"/>
    </row>
    <row r="645" ht="14.25" customHeight="1">
      <c r="A645" s="171"/>
      <c r="B645" s="282"/>
      <c r="C645" s="305"/>
      <c r="D645" s="78"/>
      <c r="E645" s="78"/>
      <c r="F645" s="171"/>
      <c r="G645" s="173"/>
      <c r="H645" s="170"/>
      <c r="I645" s="171"/>
    </row>
    <row r="646" ht="14.25" customHeight="1">
      <c r="A646" s="171"/>
      <c r="B646" s="282"/>
      <c r="C646" s="305"/>
      <c r="D646" s="78"/>
      <c r="E646" s="78"/>
      <c r="F646" s="171"/>
      <c r="G646" s="173"/>
      <c r="H646" s="170"/>
      <c r="I646" s="171"/>
    </row>
    <row r="647" ht="14.25" customHeight="1">
      <c r="A647" s="171"/>
      <c r="B647" s="282"/>
      <c r="C647" s="305"/>
      <c r="D647" s="78"/>
      <c r="E647" s="78"/>
      <c r="F647" s="171"/>
      <c r="G647" s="173"/>
      <c r="H647" s="170"/>
      <c r="I647" s="171"/>
    </row>
    <row r="648" ht="14.25" customHeight="1">
      <c r="A648" s="171"/>
      <c r="B648" s="282"/>
      <c r="C648" s="305"/>
      <c r="D648" s="78"/>
      <c r="E648" s="78"/>
      <c r="F648" s="171"/>
      <c r="G648" s="173"/>
      <c r="H648" s="170"/>
      <c r="I648" s="171"/>
    </row>
    <row r="649" ht="14.25" customHeight="1">
      <c r="A649" s="171"/>
      <c r="B649" s="282"/>
      <c r="C649" s="305"/>
      <c r="D649" s="78"/>
      <c r="E649" s="78"/>
      <c r="F649" s="171"/>
      <c r="G649" s="173"/>
      <c r="H649" s="170"/>
      <c r="I649" s="171"/>
    </row>
    <row r="650" ht="14.25" customHeight="1">
      <c r="A650" s="171"/>
      <c r="B650" s="282"/>
      <c r="C650" s="305"/>
      <c r="D650" s="78"/>
      <c r="E650" s="78"/>
      <c r="F650" s="171"/>
      <c r="G650" s="173"/>
      <c r="H650" s="170"/>
      <c r="I650" s="171"/>
    </row>
    <row r="651" ht="14.25" customHeight="1">
      <c r="A651" s="171"/>
      <c r="B651" s="282"/>
      <c r="C651" s="305"/>
      <c r="D651" s="78"/>
      <c r="E651" s="78"/>
      <c r="F651" s="171"/>
      <c r="G651" s="173"/>
      <c r="H651" s="170"/>
      <c r="I651" s="171"/>
    </row>
    <row r="652" ht="14.25" customHeight="1">
      <c r="A652" s="171"/>
      <c r="B652" s="282"/>
      <c r="C652" s="305"/>
      <c r="D652" s="78"/>
      <c r="E652" s="78"/>
      <c r="F652" s="171"/>
      <c r="G652" s="173"/>
      <c r="H652" s="170"/>
      <c r="I652" s="171"/>
    </row>
    <row r="653" ht="14.25" customHeight="1">
      <c r="A653" s="171"/>
      <c r="B653" s="282"/>
      <c r="C653" s="305"/>
      <c r="D653" s="78"/>
      <c r="E653" s="78"/>
      <c r="F653" s="171"/>
      <c r="G653" s="173"/>
      <c r="H653" s="170"/>
      <c r="I653" s="171"/>
    </row>
    <row r="654" ht="14.25" customHeight="1">
      <c r="A654" s="171"/>
      <c r="B654" s="282"/>
      <c r="C654" s="305"/>
      <c r="D654" s="78"/>
      <c r="E654" s="78"/>
      <c r="F654" s="171"/>
      <c r="G654" s="173"/>
      <c r="H654" s="170"/>
      <c r="I654" s="171"/>
    </row>
    <row r="655" ht="14.25" customHeight="1">
      <c r="A655" s="171"/>
      <c r="B655" s="282"/>
      <c r="C655" s="305"/>
      <c r="D655" s="78"/>
      <c r="E655" s="78"/>
      <c r="F655" s="171"/>
      <c r="G655" s="173"/>
      <c r="H655" s="170"/>
      <c r="I655" s="171"/>
    </row>
    <row r="656" ht="14.25" customHeight="1">
      <c r="A656" s="171"/>
      <c r="B656" s="282"/>
      <c r="C656" s="305"/>
      <c r="D656" s="78"/>
      <c r="E656" s="78"/>
      <c r="F656" s="171"/>
      <c r="G656" s="173"/>
      <c r="H656" s="170"/>
      <c r="I656" s="171"/>
    </row>
    <row r="657" ht="14.25" customHeight="1">
      <c r="A657" s="171"/>
      <c r="B657" s="282"/>
      <c r="C657" s="305"/>
      <c r="D657" s="78"/>
      <c r="E657" s="78"/>
      <c r="F657" s="171"/>
      <c r="G657" s="173"/>
      <c r="H657" s="170"/>
      <c r="I657" s="171"/>
    </row>
    <row r="658" ht="14.25" customHeight="1">
      <c r="A658" s="171"/>
      <c r="B658" s="282"/>
      <c r="C658" s="305"/>
      <c r="D658" s="78"/>
      <c r="E658" s="78"/>
      <c r="F658" s="171"/>
      <c r="G658" s="173"/>
      <c r="H658" s="170"/>
      <c r="I658" s="171"/>
    </row>
    <row r="659" ht="14.25" customHeight="1">
      <c r="A659" s="171"/>
      <c r="B659" s="282"/>
      <c r="C659" s="305"/>
      <c r="D659" s="78"/>
      <c r="E659" s="78"/>
      <c r="F659" s="171"/>
      <c r="G659" s="173"/>
      <c r="H659" s="170"/>
      <c r="I659" s="171"/>
    </row>
    <row r="660" ht="14.25" customHeight="1">
      <c r="A660" s="171"/>
      <c r="B660" s="282"/>
      <c r="C660" s="305"/>
      <c r="D660" s="78"/>
      <c r="E660" s="78"/>
      <c r="F660" s="171"/>
      <c r="G660" s="173"/>
      <c r="H660" s="170"/>
      <c r="I660" s="171"/>
    </row>
    <row r="661" ht="14.25" customHeight="1">
      <c r="A661" s="171"/>
      <c r="B661" s="282"/>
      <c r="C661" s="305"/>
      <c r="D661" s="78"/>
      <c r="E661" s="78"/>
      <c r="F661" s="171"/>
      <c r="G661" s="173"/>
      <c r="H661" s="170"/>
      <c r="I661" s="171"/>
    </row>
    <row r="662" ht="14.25" customHeight="1">
      <c r="A662" s="171"/>
      <c r="B662" s="282"/>
      <c r="C662" s="305"/>
      <c r="D662" s="78"/>
      <c r="E662" s="78"/>
      <c r="F662" s="171"/>
      <c r="G662" s="173"/>
      <c r="H662" s="170"/>
      <c r="I662" s="171"/>
    </row>
    <row r="663" ht="14.25" customHeight="1">
      <c r="A663" s="171"/>
      <c r="B663" s="282"/>
      <c r="C663" s="305"/>
      <c r="D663" s="78"/>
      <c r="E663" s="78"/>
      <c r="F663" s="171"/>
      <c r="G663" s="173"/>
      <c r="H663" s="170"/>
      <c r="I663" s="171"/>
    </row>
    <row r="664" ht="14.25" customHeight="1">
      <c r="A664" s="171"/>
      <c r="B664" s="282"/>
      <c r="C664" s="305"/>
      <c r="D664" s="78"/>
      <c r="E664" s="78"/>
      <c r="F664" s="171"/>
      <c r="G664" s="173"/>
      <c r="H664" s="170"/>
      <c r="I664" s="171"/>
    </row>
    <row r="665" ht="14.25" customHeight="1">
      <c r="A665" s="171"/>
      <c r="B665" s="282"/>
      <c r="C665" s="305"/>
      <c r="D665" s="78"/>
      <c r="E665" s="78"/>
      <c r="F665" s="171"/>
      <c r="G665" s="173"/>
      <c r="H665" s="170"/>
      <c r="I665" s="171"/>
    </row>
    <row r="666" ht="14.25" customHeight="1">
      <c r="A666" s="171"/>
      <c r="B666" s="282"/>
      <c r="C666" s="305"/>
      <c r="D666" s="78"/>
      <c r="E666" s="78"/>
      <c r="F666" s="171"/>
      <c r="G666" s="173"/>
      <c r="H666" s="170"/>
      <c r="I666" s="171"/>
    </row>
    <row r="667" ht="14.25" customHeight="1">
      <c r="A667" s="171"/>
      <c r="B667" s="282"/>
      <c r="C667" s="305"/>
      <c r="D667" s="78"/>
      <c r="E667" s="78"/>
      <c r="F667" s="171"/>
      <c r="G667" s="173"/>
      <c r="H667" s="170"/>
      <c r="I667" s="171"/>
    </row>
    <row r="668" ht="14.25" customHeight="1">
      <c r="A668" s="171"/>
      <c r="B668" s="282"/>
      <c r="C668" s="305"/>
      <c r="D668" s="78"/>
      <c r="E668" s="78"/>
      <c r="F668" s="171"/>
      <c r="G668" s="173"/>
      <c r="H668" s="170"/>
      <c r="I668" s="171"/>
    </row>
    <row r="669" ht="14.25" customHeight="1">
      <c r="A669" s="171"/>
      <c r="B669" s="282"/>
      <c r="C669" s="305"/>
      <c r="D669" s="78"/>
      <c r="E669" s="78"/>
      <c r="F669" s="171"/>
      <c r="G669" s="173"/>
      <c r="H669" s="170"/>
      <c r="I669" s="171"/>
    </row>
    <row r="670" ht="14.25" customHeight="1">
      <c r="A670" s="171"/>
      <c r="B670" s="282"/>
      <c r="C670" s="305"/>
      <c r="D670" s="78"/>
      <c r="E670" s="78"/>
      <c r="F670" s="171"/>
      <c r="G670" s="173"/>
      <c r="H670" s="170"/>
      <c r="I670" s="171"/>
    </row>
    <row r="671" ht="14.25" customHeight="1">
      <c r="A671" s="171"/>
      <c r="B671" s="282"/>
      <c r="C671" s="305"/>
      <c r="D671" s="78"/>
      <c r="E671" s="78"/>
      <c r="F671" s="171"/>
      <c r="G671" s="173"/>
      <c r="H671" s="170"/>
      <c r="I671" s="171"/>
    </row>
    <row r="672" ht="14.25" customHeight="1">
      <c r="A672" s="171"/>
      <c r="B672" s="282"/>
      <c r="C672" s="305"/>
      <c r="D672" s="78"/>
      <c r="E672" s="78"/>
      <c r="F672" s="171"/>
      <c r="G672" s="173"/>
      <c r="H672" s="170"/>
      <c r="I672" s="171"/>
    </row>
    <row r="673" ht="14.25" customHeight="1">
      <c r="A673" s="171"/>
      <c r="B673" s="282"/>
      <c r="C673" s="305"/>
      <c r="D673" s="78"/>
      <c r="E673" s="78"/>
      <c r="F673" s="171"/>
      <c r="G673" s="173"/>
      <c r="H673" s="170"/>
      <c r="I673" s="171"/>
    </row>
    <row r="674" ht="14.25" customHeight="1">
      <c r="A674" s="171"/>
      <c r="B674" s="282"/>
      <c r="C674" s="305"/>
      <c r="D674" s="78"/>
      <c r="E674" s="78"/>
      <c r="F674" s="171"/>
      <c r="G674" s="173"/>
      <c r="H674" s="170"/>
      <c r="I674" s="171"/>
    </row>
    <row r="675" ht="14.25" customHeight="1">
      <c r="A675" s="171"/>
      <c r="B675" s="282"/>
      <c r="C675" s="305"/>
      <c r="D675" s="78"/>
      <c r="E675" s="78"/>
      <c r="F675" s="171"/>
      <c r="G675" s="173"/>
      <c r="H675" s="170"/>
      <c r="I675" s="171"/>
    </row>
    <row r="676" ht="14.25" customHeight="1">
      <c r="A676" s="171"/>
      <c r="B676" s="282"/>
      <c r="C676" s="305"/>
      <c r="D676" s="78"/>
      <c r="E676" s="78"/>
      <c r="F676" s="171"/>
      <c r="G676" s="173"/>
      <c r="H676" s="170"/>
      <c r="I676" s="171"/>
    </row>
    <row r="677" ht="14.25" customHeight="1">
      <c r="A677" s="171"/>
      <c r="B677" s="282"/>
      <c r="C677" s="305"/>
      <c r="D677" s="78"/>
      <c r="E677" s="78"/>
      <c r="F677" s="171"/>
      <c r="G677" s="173"/>
      <c r="H677" s="170"/>
      <c r="I677" s="171"/>
    </row>
    <row r="678" ht="14.25" customHeight="1">
      <c r="A678" s="171"/>
      <c r="B678" s="282"/>
      <c r="C678" s="305"/>
      <c r="D678" s="78"/>
      <c r="E678" s="78"/>
      <c r="F678" s="171"/>
      <c r="G678" s="173"/>
      <c r="H678" s="170"/>
      <c r="I678" s="171"/>
    </row>
    <row r="679" ht="14.25" customHeight="1">
      <c r="A679" s="171"/>
      <c r="B679" s="282"/>
      <c r="C679" s="305"/>
      <c r="D679" s="78"/>
      <c r="E679" s="78"/>
      <c r="F679" s="171"/>
      <c r="G679" s="173"/>
      <c r="H679" s="170"/>
      <c r="I679" s="171"/>
    </row>
    <row r="680" ht="14.25" customHeight="1">
      <c r="A680" s="171"/>
      <c r="B680" s="282"/>
      <c r="C680" s="305"/>
      <c r="D680" s="78"/>
      <c r="E680" s="78"/>
      <c r="F680" s="171"/>
      <c r="G680" s="173"/>
      <c r="H680" s="170"/>
      <c r="I680" s="171"/>
    </row>
    <row r="681" ht="14.25" customHeight="1">
      <c r="A681" s="171"/>
      <c r="B681" s="282"/>
      <c r="C681" s="305"/>
      <c r="D681" s="78"/>
      <c r="E681" s="78"/>
      <c r="F681" s="171"/>
      <c r="G681" s="173"/>
      <c r="H681" s="170"/>
      <c r="I681" s="171"/>
    </row>
    <row r="682" ht="14.25" customHeight="1">
      <c r="A682" s="171"/>
      <c r="B682" s="282"/>
      <c r="C682" s="305"/>
      <c r="D682" s="78"/>
      <c r="E682" s="78"/>
      <c r="F682" s="171"/>
      <c r="G682" s="173"/>
      <c r="H682" s="170"/>
      <c r="I682" s="171"/>
    </row>
    <row r="683" ht="14.25" customHeight="1">
      <c r="A683" s="171"/>
      <c r="B683" s="282"/>
      <c r="C683" s="305"/>
      <c r="D683" s="78"/>
      <c r="E683" s="78"/>
      <c r="F683" s="171"/>
      <c r="G683" s="173"/>
      <c r="H683" s="170"/>
      <c r="I683" s="171"/>
    </row>
    <row r="684" ht="14.25" customHeight="1">
      <c r="A684" s="171"/>
      <c r="B684" s="282"/>
      <c r="C684" s="305"/>
      <c r="D684" s="78"/>
      <c r="E684" s="78"/>
      <c r="F684" s="171"/>
      <c r="G684" s="173"/>
      <c r="H684" s="170"/>
      <c r="I684" s="171"/>
    </row>
    <row r="685" ht="14.25" customHeight="1">
      <c r="A685" s="171"/>
      <c r="B685" s="282"/>
      <c r="C685" s="305"/>
      <c r="D685" s="78"/>
      <c r="E685" s="78"/>
      <c r="F685" s="171"/>
      <c r="G685" s="173"/>
      <c r="H685" s="170"/>
      <c r="I685" s="171"/>
    </row>
    <row r="686" ht="14.25" customHeight="1">
      <c r="A686" s="171"/>
      <c r="B686" s="282"/>
      <c r="C686" s="305"/>
      <c r="D686" s="78"/>
      <c r="E686" s="78"/>
      <c r="F686" s="171"/>
      <c r="G686" s="173"/>
      <c r="H686" s="170"/>
      <c r="I686" s="171"/>
    </row>
    <row r="687" ht="14.25" customHeight="1">
      <c r="A687" s="171"/>
      <c r="B687" s="282"/>
      <c r="C687" s="305"/>
      <c r="D687" s="78"/>
      <c r="E687" s="78"/>
      <c r="F687" s="171"/>
      <c r="G687" s="173"/>
      <c r="H687" s="170"/>
      <c r="I687" s="171"/>
    </row>
    <row r="688" ht="14.25" customHeight="1">
      <c r="A688" s="171"/>
      <c r="B688" s="282"/>
      <c r="C688" s="305"/>
      <c r="D688" s="78"/>
      <c r="E688" s="78"/>
      <c r="F688" s="171"/>
      <c r="G688" s="173"/>
      <c r="H688" s="170"/>
      <c r="I688" s="171"/>
    </row>
    <row r="689" ht="14.25" customHeight="1">
      <c r="A689" s="171"/>
      <c r="B689" s="282"/>
      <c r="C689" s="305"/>
      <c r="D689" s="78"/>
      <c r="E689" s="78"/>
      <c r="F689" s="171"/>
      <c r="G689" s="173"/>
      <c r="H689" s="170"/>
      <c r="I689" s="171"/>
    </row>
    <row r="690" ht="14.25" customHeight="1">
      <c r="A690" s="171"/>
      <c r="B690" s="282"/>
      <c r="C690" s="305"/>
      <c r="D690" s="78"/>
      <c r="E690" s="78"/>
      <c r="F690" s="171"/>
      <c r="G690" s="173"/>
      <c r="H690" s="170"/>
      <c r="I690" s="171"/>
    </row>
    <row r="691" ht="14.25" customHeight="1">
      <c r="A691" s="171"/>
      <c r="B691" s="282"/>
      <c r="C691" s="305"/>
      <c r="D691" s="78"/>
      <c r="E691" s="78"/>
      <c r="F691" s="171"/>
      <c r="G691" s="173"/>
      <c r="H691" s="170"/>
      <c r="I691" s="171"/>
    </row>
    <row r="692" ht="14.25" customHeight="1">
      <c r="A692" s="171"/>
      <c r="B692" s="282"/>
      <c r="C692" s="305"/>
      <c r="D692" s="78"/>
      <c r="E692" s="78"/>
      <c r="F692" s="171"/>
      <c r="G692" s="173"/>
      <c r="H692" s="170"/>
      <c r="I692" s="171"/>
    </row>
    <row r="693" ht="14.25" customHeight="1">
      <c r="A693" s="171"/>
      <c r="B693" s="282"/>
      <c r="C693" s="305"/>
      <c r="D693" s="78"/>
      <c r="E693" s="78"/>
      <c r="F693" s="171"/>
      <c r="G693" s="173"/>
      <c r="H693" s="170"/>
      <c r="I693" s="171"/>
    </row>
    <row r="694" ht="14.25" customHeight="1">
      <c r="A694" s="171"/>
      <c r="B694" s="282"/>
      <c r="C694" s="305"/>
      <c r="D694" s="78"/>
      <c r="E694" s="78"/>
      <c r="F694" s="171"/>
      <c r="G694" s="173"/>
      <c r="H694" s="170"/>
      <c r="I694" s="171"/>
    </row>
    <row r="695" ht="14.25" customHeight="1">
      <c r="A695" s="171"/>
      <c r="B695" s="282"/>
      <c r="C695" s="305"/>
      <c r="D695" s="78"/>
      <c r="E695" s="78"/>
      <c r="F695" s="171"/>
      <c r="G695" s="173"/>
      <c r="H695" s="170"/>
      <c r="I695" s="171"/>
    </row>
    <row r="696" ht="14.25" customHeight="1">
      <c r="A696" s="171"/>
      <c r="B696" s="282"/>
      <c r="C696" s="305"/>
      <c r="D696" s="78"/>
      <c r="E696" s="78"/>
      <c r="F696" s="171"/>
      <c r="G696" s="173"/>
      <c r="H696" s="170"/>
      <c r="I696" s="171"/>
    </row>
    <row r="697" ht="14.25" customHeight="1">
      <c r="A697" s="171"/>
      <c r="B697" s="282"/>
      <c r="C697" s="305"/>
      <c r="D697" s="78"/>
      <c r="E697" s="78"/>
      <c r="F697" s="171"/>
      <c r="G697" s="173"/>
      <c r="H697" s="170"/>
      <c r="I697" s="171"/>
    </row>
    <row r="698" ht="14.25" customHeight="1">
      <c r="A698" s="171"/>
      <c r="B698" s="282"/>
      <c r="C698" s="305"/>
      <c r="D698" s="78"/>
      <c r="E698" s="78"/>
      <c r="F698" s="171"/>
      <c r="G698" s="173"/>
      <c r="H698" s="170"/>
      <c r="I698" s="171"/>
    </row>
    <row r="699" ht="14.25" customHeight="1">
      <c r="A699" s="171"/>
      <c r="B699" s="282"/>
      <c r="C699" s="305"/>
      <c r="D699" s="78"/>
      <c r="E699" s="78"/>
      <c r="F699" s="171"/>
      <c r="G699" s="173"/>
      <c r="H699" s="170"/>
      <c r="I699" s="171"/>
    </row>
    <row r="700" ht="14.25" customHeight="1">
      <c r="A700" s="171"/>
      <c r="B700" s="282"/>
      <c r="C700" s="305"/>
      <c r="D700" s="78"/>
      <c r="E700" s="78"/>
      <c r="F700" s="171"/>
      <c r="G700" s="173"/>
      <c r="H700" s="170"/>
      <c r="I700" s="171"/>
    </row>
    <row r="701" ht="14.25" customHeight="1">
      <c r="A701" s="171"/>
      <c r="B701" s="282"/>
      <c r="C701" s="305"/>
      <c r="D701" s="78"/>
      <c r="E701" s="78"/>
      <c r="F701" s="171"/>
      <c r="G701" s="173"/>
      <c r="H701" s="170"/>
      <c r="I701" s="171"/>
    </row>
    <row r="702" ht="14.25" customHeight="1">
      <c r="A702" s="171"/>
      <c r="B702" s="282"/>
      <c r="C702" s="305"/>
      <c r="D702" s="78"/>
      <c r="E702" s="78"/>
      <c r="F702" s="171"/>
      <c r="G702" s="173"/>
      <c r="H702" s="170"/>
      <c r="I702" s="171"/>
    </row>
    <row r="703" ht="14.25" customHeight="1">
      <c r="A703" s="171"/>
      <c r="B703" s="282"/>
      <c r="C703" s="305"/>
      <c r="D703" s="78"/>
      <c r="E703" s="78"/>
      <c r="F703" s="171"/>
      <c r="G703" s="173"/>
      <c r="H703" s="170"/>
      <c r="I703" s="171"/>
    </row>
    <row r="704" ht="14.25" customHeight="1">
      <c r="A704" s="171"/>
      <c r="B704" s="282"/>
      <c r="C704" s="305"/>
      <c r="D704" s="78"/>
      <c r="E704" s="78"/>
      <c r="F704" s="171"/>
      <c r="G704" s="173"/>
      <c r="H704" s="170"/>
      <c r="I704" s="171"/>
    </row>
    <row r="705" ht="14.25" customHeight="1">
      <c r="A705" s="171"/>
      <c r="B705" s="282"/>
      <c r="C705" s="305"/>
      <c r="D705" s="78"/>
      <c r="E705" s="78"/>
      <c r="F705" s="171"/>
      <c r="G705" s="173"/>
      <c r="H705" s="170"/>
      <c r="I705" s="171"/>
    </row>
    <row r="706" ht="14.25" customHeight="1">
      <c r="A706" s="171"/>
      <c r="B706" s="282"/>
      <c r="C706" s="305"/>
      <c r="D706" s="78"/>
      <c r="E706" s="78"/>
      <c r="F706" s="171"/>
      <c r="G706" s="173"/>
      <c r="H706" s="170"/>
      <c r="I706" s="171"/>
    </row>
    <row r="707" ht="14.25" customHeight="1">
      <c r="A707" s="171"/>
      <c r="B707" s="282"/>
      <c r="C707" s="305"/>
      <c r="D707" s="78"/>
      <c r="E707" s="78"/>
      <c r="F707" s="171"/>
      <c r="G707" s="173"/>
      <c r="H707" s="170"/>
      <c r="I707" s="171"/>
    </row>
    <row r="708" ht="14.25" customHeight="1">
      <c r="A708" s="171"/>
      <c r="B708" s="282"/>
      <c r="C708" s="305"/>
      <c r="D708" s="78"/>
      <c r="E708" s="78"/>
      <c r="F708" s="171"/>
      <c r="G708" s="173"/>
      <c r="H708" s="170"/>
      <c r="I708" s="171"/>
    </row>
    <row r="709" ht="14.25" customHeight="1">
      <c r="A709" s="171"/>
      <c r="B709" s="282"/>
      <c r="C709" s="305"/>
      <c r="D709" s="78"/>
      <c r="E709" s="78"/>
      <c r="F709" s="171"/>
      <c r="G709" s="173"/>
      <c r="H709" s="170"/>
      <c r="I709" s="171"/>
    </row>
    <row r="710" ht="14.25" customHeight="1">
      <c r="A710" s="171"/>
      <c r="B710" s="282"/>
      <c r="C710" s="305"/>
      <c r="D710" s="78"/>
      <c r="E710" s="78"/>
      <c r="F710" s="171"/>
      <c r="G710" s="173"/>
      <c r="H710" s="170"/>
      <c r="I710" s="171"/>
    </row>
    <row r="711" ht="14.25" customHeight="1">
      <c r="A711" s="171"/>
      <c r="B711" s="282"/>
      <c r="C711" s="305"/>
      <c r="D711" s="78"/>
      <c r="E711" s="78"/>
      <c r="F711" s="171"/>
      <c r="G711" s="173"/>
      <c r="H711" s="170"/>
      <c r="I711" s="171"/>
    </row>
    <row r="712" ht="14.25" customHeight="1">
      <c r="A712" s="171"/>
      <c r="B712" s="282"/>
      <c r="C712" s="305"/>
      <c r="D712" s="78"/>
      <c r="E712" s="78"/>
      <c r="F712" s="171"/>
      <c r="G712" s="173"/>
      <c r="H712" s="170"/>
      <c r="I712" s="171"/>
    </row>
    <row r="713" ht="14.25" customHeight="1">
      <c r="A713" s="171"/>
      <c r="B713" s="282"/>
      <c r="C713" s="305"/>
      <c r="D713" s="78"/>
      <c r="E713" s="78"/>
      <c r="F713" s="171"/>
      <c r="G713" s="173"/>
      <c r="H713" s="170"/>
      <c r="I713" s="171"/>
    </row>
    <row r="714" ht="14.25" customHeight="1">
      <c r="A714" s="171"/>
      <c r="B714" s="282"/>
      <c r="C714" s="305"/>
      <c r="D714" s="78"/>
      <c r="E714" s="78"/>
      <c r="F714" s="171"/>
      <c r="G714" s="173"/>
      <c r="H714" s="170"/>
      <c r="I714" s="171"/>
    </row>
    <row r="715" ht="14.25" customHeight="1">
      <c r="A715" s="171"/>
      <c r="B715" s="282"/>
      <c r="C715" s="305"/>
      <c r="D715" s="78"/>
      <c r="E715" s="78"/>
      <c r="F715" s="171"/>
      <c r="G715" s="173"/>
      <c r="H715" s="170"/>
      <c r="I715" s="171"/>
    </row>
    <row r="716" ht="14.25" customHeight="1">
      <c r="A716" s="171"/>
      <c r="B716" s="282"/>
      <c r="C716" s="305"/>
      <c r="D716" s="78"/>
      <c r="E716" s="78"/>
      <c r="F716" s="171"/>
      <c r="G716" s="173"/>
      <c r="H716" s="170"/>
      <c r="I716" s="171"/>
    </row>
    <row r="717" ht="14.25" customHeight="1">
      <c r="A717" s="171"/>
      <c r="B717" s="282"/>
      <c r="C717" s="305"/>
      <c r="D717" s="78"/>
      <c r="E717" s="78"/>
      <c r="F717" s="171"/>
      <c r="G717" s="173"/>
      <c r="H717" s="170"/>
      <c r="I717" s="171"/>
    </row>
    <row r="718" ht="14.25" customHeight="1">
      <c r="A718" s="171"/>
      <c r="B718" s="282"/>
      <c r="C718" s="305"/>
      <c r="D718" s="78"/>
      <c r="E718" s="78"/>
      <c r="F718" s="171"/>
      <c r="G718" s="173"/>
      <c r="H718" s="170"/>
      <c r="I718" s="171"/>
    </row>
    <row r="719" ht="14.25" customHeight="1">
      <c r="A719" s="171"/>
      <c r="B719" s="282"/>
      <c r="C719" s="305"/>
      <c r="D719" s="78"/>
      <c r="E719" s="78"/>
      <c r="F719" s="171"/>
      <c r="G719" s="173"/>
      <c r="H719" s="170"/>
      <c r="I719" s="171"/>
    </row>
    <row r="720" ht="14.25" customHeight="1">
      <c r="A720" s="171"/>
      <c r="B720" s="282"/>
      <c r="C720" s="305"/>
      <c r="D720" s="78"/>
      <c r="E720" s="78"/>
      <c r="F720" s="171"/>
      <c r="G720" s="173"/>
      <c r="H720" s="170"/>
      <c r="I720" s="171"/>
    </row>
    <row r="721" ht="14.25" customHeight="1">
      <c r="A721" s="171"/>
      <c r="B721" s="282"/>
      <c r="C721" s="305"/>
      <c r="D721" s="78"/>
      <c r="E721" s="78"/>
      <c r="F721" s="171"/>
      <c r="G721" s="173"/>
      <c r="H721" s="170"/>
      <c r="I721" s="171"/>
    </row>
    <row r="722" ht="14.25" customHeight="1">
      <c r="A722" s="171"/>
      <c r="B722" s="282"/>
      <c r="C722" s="305"/>
      <c r="D722" s="78"/>
      <c r="E722" s="78"/>
      <c r="F722" s="171"/>
      <c r="G722" s="173"/>
      <c r="H722" s="170"/>
      <c r="I722" s="171"/>
    </row>
    <row r="723" ht="14.25" customHeight="1">
      <c r="A723" s="171"/>
      <c r="B723" s="282"/>
      <c r="C723" s="305"/>
      <c r="D723" s="78"/>
      <c r="E723" s="78"/>
      <c r="F723" s="171"/>
      <c r="G723" s="173"/>
      <c r="H723" s="170"/>
      <c r="I723" s="171"/>
    </row>
    <row r="724" ht="14.25" customHeight="1">
      <c r="A724" s="171"/>
      <c r="B724" s="282"/>
      <c r="C724" s="305"/>
      <c r="D724" s="78"/>
      <c r="E724" s="78"/>
      <c r="F724" s="171"/>
      <c r="G724" s="173"/>
      <c r="H724" s="170"/>
      <c r="I724" s="171"/>
    </row>
    <row r="725" ht="14.25" customHeight="1">
      <c r="A725" s="171"/>
      <c r="B725" s="282"/>
      <c r="C725" s="305"/>
      <c r="D725" s="78"/>
      <c r="E725" s="78"/>
      <c r="F725" s="171"/>
      <c r="G725" s="173"/>
      <c r="H725" s="170"/>
      <c r="I725" s="171"/>
    </row>
    <row r="726" ht="14.25" customHeight="1">
      <c r="A726" s="171"/>
      <c r="B726" s="282"/>
      <c r="C726" s="305"/>
      <c r="D726" s="78"/>
      <c r="E726" s="78"/>
      <c r="F726" s="171"/>
      <c r="G726" s="173"/>
      <c r="H726" s="170"/>
      <c r="I726" s="171"/>
    </row>
    <row r="727" ht="14.25" customHeight="1">
      <c r="A727" s="171"/>
      <c r="B727" s="282"/>
      <c r="C727" s="305"/>
      <c r="D727" s="78"/>
      <c r="E727" s="78"/>
      <c r="F727" s="171"/>
      <c r="G727" s="173"/>
      <c r="H727" s="170"/>
      <c r="I727" s="171"/>
    </row>
    <row r="728" ht="14.25" customHeight="1">
      <c r="A728" s="171"/>
      <c r="B728" s="282"/>
      <c r="C728" s="305"/>
      <c r="D728" s="78"/>
      <c r="E728" s="78"/>
      <c r="F728" s="171"/>
      <c r="G728" s="173"/>
      <c r="H728" s="170"/>
      <c r="I728" s="171"/>
    </row>
    <row r="729" ht="14.25" customHeight="1">
      <c r="A729" s="171"/>
      <c r="B729" s="282"/>
      <c r="C729" s="305"/>
      <c r="D729" s="78"/>
      <c r="E729" s="78"/>
      <c r="F729" s="171"/>
      <c r="G729" s="173"/>
      <c r="H729" s="170"/>
      <c r="I729" s="171"/>
    </row>
    <row r="730" ht="14.25" customHeight="1">
      <c r="A730" s="171"/>
      <c r="B730" s="282"/>
      <c r="C730" s="305"/>
      <c r="D730" s="78"/>
      <c r="E730" s="78"/>
      <c r="F730" s="171"/>
      <c r="G730" s="173"/>
      <c r="H730" s="170"/>
      <c r="I730" s="171"/>
    </row>
    <row r="731" ht="14.25" customHeight="1">
      <c r="A731" s="171"/>
      <c r="B731" s="282"/>
      <c r="C731" s="305"/>
      <c r="D731" s="78"/>
      <c r="E731" s="78"/>
      <c r="F731" s="171"/>
      <c r="G731" s="173"/>
      <c r="H731" s="170"/>
      <c r="I731" s="171"/>
    </row>
    <row r="732" ht="14.25" customHeight="1">
      <c r="A732" s="171"/>
      <c r="B732" s="282"/>
      <c r="C732" s="305"/>
      <c r="D732" s="78"/>
      <c r="E732" s="78"/>
      <c r="F732" s="171"/>
      <c r="G732" s="173"/>
      <c r="H732" s="170"/>
      <c r="I732" s="171"/>
    </row>
    <row r="733" ht="14.25" customHeight="1">
      <c r="A733" s="171"/>
      <c r="B733" s="282"/>
      <c r="C733" s="305"/>
      <c r="D733" s="78"/>
      <c r="E733" s="78"/>
      <c r="F733" s="171"/>
      <c r="G733" s="173"/>
      <c r="H733" s="170"/>
      <c r="I733" s="171"/>
    </row>
    <row r="734" ht="14.25" customHeight="1">
      <c r="A734" s="171"/>
      <c r="B734" s="282"/>
      <c r="C734" s="305"/>
      <c r="D734" s="78"/>
      <c r="E734" s="78"/>
      <c r="F734" s="171"/>
      <c r="G734" s="173"/>
      <c r="H734" s="170"/>
      <c r="I734" s="171"/>
    </row>
    <row r="735" ht="14.25" customHeight="1">
      <c r="A735" s="171"/>
      <c r="B735" s="282"/>
      <c r="C735" s="305"/>
      <c r="D735" s="78"/>
      <c r="E735" s="78"/>
      <c r="F735" s="171"/>
      <c r="G735" s="173"/>
      <c r="H735" s="170"/>
      <c r="I735" s="171"/>
    </row>
    <row r="736" ht="14.25" customHeight="1">
      <c r="A736" s="171"/>
      <c r="B736" s="282"/>
      <c r="C736" s="305"/>
      <c r="D736" s="78"/>
      <c r="E736" s="78"/>
      <c r="F736" s="171"/>
      <c r="G736" s="173"/>
      <c r="H736" s="170"/>
      <c r="I736" s="171"/>
    </row>
    <row r="737" ht="14.25" customHeight="1">
      <c r="A737" s="171"/>
      <c r="B737" s="282"/>
      <c r="C737" s="305"/>
      <c r="D737" s="78"/>
      <c r="E737" s="78"/>
      <c r="F737" s="171"/>
      <c r="G737" s="173"/>
      <c r="H737" s="170"/>
      <c r="I737" s="171"/>
    </row>
    <row r="738" ht="14.25" customHeight="1">
      <c r="A738" s="171"/>
      <c r="B738" s="282"/>
      <c r="C738" s="305"/>
      <c r="D738" s="78"/>
      <c r="E738" s="78"/>
      <c r="F738" s="171"/>
      <c r="G738" s="173"/>
      <c r="H738" s="170"/>
      <c r="I738" s="171"/>
    </row>
    <row r="739" ht="14.25" customHeight="1">
      <c r="A739" s="171"/>
      <c r="B739" s="282"/>
      <c r="C739" s="305"/>
      <c r="D739" s="78"/>
      <c r="E739" s="78"/>
      <c r="F739" s="171"/>
      <c r="G739" s="173"/>
      <c r="H739" s="170"/>
      <c r="I739" s="171"/>
    </row>
    <row r="740" ht="14.25" customHeight="1">
      <c r="A740" s="171"/>
      <c r="B740" s="282"/>
      <c r="C740" s="305"/>
      <c r="D740" s="78"/>
      <c r="E740" s="78"/>
      <c r="F740" s="171"/>
      <c r="G740" s="173"/>
      <c r="H740" s="170"/>
      <c r="I740" s="171"/>
    </row>
    <row r="741" ht="14.25" customHeight="1">
      <c r="A741" s="171"/>
      <c r="B741" s="282"/>
      <c r="C741" s="305"/>
      <c r="D741" s="78"/>
      <c r="E741" s="78"/>
      <c r="F741" s="171"/>
      <c r="G741" s="173"/>
      <c r="H741" s="170"/>
      <c r="I741" s="171"/>
    </row>
    <row r="742" ht="14.25" customHeight="1">
      <c r="A742" s="171"/>
      <c r="B742" s="282"/>
      <c r="C742" s="305"/>
      <c r="D742" s="78"/>
      <c r="E742" s="78"/>
      <c r="F742" s="171"/>
      <c r="G742" s="173"/>
      <c r="H742" s="170"/>
      <c r="I742" s="171"/>
    </row>
    <row r="743" ht="14.25" customHeight="1">
      <c r="A743" s="171"/>
      <c r="B743" s="282"/>
      <c r="C743" s="305"/>
      <c r="D743" s="78"/>
      <c r="E743" s="78"/>
      <c r="F743" s="171"/>
      <c r="G743" s="173"/>
      <c r="H743" s="170"/>
      <c r="I743" s="171"/>
    </row>
    <row r="744" ht="14.25" customHeight="1">
      <c r="A744" s="171"/>
      <c r="B744" s="282"/>
      <c r="C744" s="305"/>
      <c r="D744" s="78"/>
      <c r="E744" s="78"/>
      <c r="F744" s="171"/>
      <c r="G744" s="173"/>
      <c r="H744" s="170"/>
      <c r="I744" s="171"/>
    </row>
    <row r="745" ht="14.25" customHeight="1">
      <c r="A745" s="171"/>
      <c r="B745" s="282"/>
      <c r="C745" s="305"/>
      <c r="D745" s="78"/>
      <c r="E745" s="78"/>
      <c r="F745" s="171"/>
      <c r="G745" s="173"/>
      <c r="H745" s="170"/>
      <c r="I745" s="171"/>
    </row>
    <row r="746" ht="14.25" customHeight="1">
      <c r="A746" s="171"/>
      <c r="B746" s="282"/>
      <c r="C746" s="305"/>
      <c r="D746" s="78"/>
      <c r="E746" s="78"/>
      <c r="F746" s="171"/>
      <c r="G746" s="173"/>
      <c r="H746" s="170"/>
      <c r="I746" s="171"/>
    </row>
    <row r="747" ht="14.25" customHeight="1">
      <c r="A747" s="171"/>
      <c r="B747" s="282"/>
      <c r="C747" s="305"/>
      <c r="D747" s="78"/>
      <c r="E747" s="78"/>
      <c r="F747" s="171"/>
      <c r="G747" s="173"/>
      <c r="H747" s="170"/>
      <c r="I747" s="171"/>
    </row>
    <row r="748" ht="14.25" customHeight="1">
      <c r="A748" s="171"/>
      <c r="B748" s="282"/>
      <c r="C748" s="305"/>
      <c r="D748" s="78"/>
      <c r="E748" s="78"/>
      <c r="F748" s="171"/>
      <c r="G748" s="173"/>
      <c r="H748" s="170"/>
      <c r="I748" s="171"/>
    </row>
    <row r="749" ht="14.25" customHeight="1">
      <c r="A749" s="171"/>
      <c r="B749" s="282"/>
      <c r="C749" s="305"/>
      <c r="D749" s="78"/>
      <c r="E749" s="78"/>
      <c r="F749" s="171"/>
      <c r="G749" s="173"/>
      <c r="H749" s="170"/>
      <c r="I749" s="171"/>
    </row>
    <row r="750" ht="14.25" customHeight="1">
      <c r="A750" s="171"/>
      <c r="B750" s="282"/>
      <c r="C750" s="305"/>
      <c r="D750" s="78"/>
      <c r="E750" s="78"/>
      <c r="F750" s="171"/>
      <c r="G750" s="173"/>
      <c r="H750" s="170"/>
      <c r="I750" s="171"/>
    </row>
    <row r="751" ht="14.25" customHeight="1">
      <c r="A751" s="171"/>
      <c r="B751" s="282"/>
      <c r="C751" s="305"/>
      <c r="D751" s="78"/>
      <c r="E751" s="78"/>
      <c r="F751" s="171"/>
      <c r="G751" s="173"/>
      <c r="H751" s="170"/>
      <c r="I751" s="171"/>
    </row>
    <row r="752" ht="14.25" customHeight="1">
      <c r="A752" s="171"/>
      <c r="B752" s="282"/>
      <c r="C752" s="305"/>
      <c r="D752" s="78"/>
      <c r="E752" s="78"/>
      <c r="F752" s="171"/>
      <c r="G752" s="173"/>
      <c r="H752" s="170"/>
      <c r="I752" s="171"/>
    </row>
    <row r="753" ht="14.25" customHeight="1">
      <c r="A753" s="171"/>
      <c r="B753" s="282"/>
      <c r="C753" s="305"/>
      <c r="D753" s="78"/>
      <c r="E753" s="78"/>
      <c r="F753" s="171"/>
      <c r="G753" s="173"/>
      <c r="H753" s="170"/>
      <c r="I753" s="171"/>
    </row>
    <row r="754" ht="14.25" customHeight="1">
      <c r="A754" s="171"/>
      <c r="B754" s="282"/>
      <c r="C754" s="305"/>
      <c r="D754" s="78"/>
      <c r="E754" s="78"/>
      <c r="F754" s="171"/>
      <c r="G754" s="173"/>
      <c r="H754" s="170"/>
      <c r="I754" s="171"/>
    </row>
    <row r="755" ht="14.25" customHeight="1">
      <c r="A755" s="171"/>
      <c r="B755" s="282"/>
      <c r="C755" s="305"/>
      <c r="D755" s="78"/>
      <c r="E755" s="78"/>
      <c r="F755" s="171"/>
      <c r="G755" s="173"/>
      <c r="H755" s="170"/>
      <c r="I755" s="171"/>
    </row>
    <row r="756" ht="14.25" customHeight="1">
      <c r="A756" s="171"/>
      <c r="B756" s="282"/>
      <c r="C756" s="305"/>
      <c r="D756" s="78"/>
      <c r="E756" s="78"/>
      <c r="F756" s="171"/>
      <c r="G756" s="173"/>
      <c r="H756" s="170"/>
      <c r="I756" s="171"/>
    </row>
    <row r="757" ht="14.25" customHeight="1">
      <c r="A757" s="171"/>
      <c r="B757" s="282"/>
      <c r="C757" s="305"/>
      <c r="D757" s="78"/>
      <c r="E757" s="78"/>
      <c r="F757" s="171"/>
      <c r="G757" s="173"/>
      <c r="H757" s="170"/>
      <c r="I757" s="171"/>
    </row>
    <row r="758" ht="14.25" customHeight="1">
      <c r="A758" s="171"/>
      <c r="B758" s="282"/>
      <c r="C758" s="305"/>
      <c r="D758" s="78"/>
      <c r="E758" s="78"/>
      <c r="F758" s="171"/>
      <c r="G758" s="173"/>
      <c r="H758" s="170"/>
      <c r="I758" s="171"/>
    </row>
    <row r="759" ht="14.25" customHeight="1">
      <c r="A759" s="171"/>
      <c r="B759" s="282"/>
      <c r="C759" s="305"/>
      <c r="D759" s="78"/>
      <c r="E759" s="78"/>
      <c r="F759" s="171"/>
      <c r="G759" s="173"/>
      <c r="H759" s="170"/>
      <c r="I759" s="171"/>
    </row>
    <row r="760" ht="14.25" customHeight="1">
      <c r="A760" s="171"/>
      <c r="B760" s="282"/>
      <c r="C760" s="305"/>
      <c r="D760" s="78"/>
      <c r="E760" s="78"/>
      <c r="F760" s="171"/>
      <c r="G760" s="173"/>
      <c r="H760" s="170"/>
      <c r="I760" s="171"/>
    </row>
    <row r="761" ht="14.25" customHeight="1">
      <c r="A761" s="171"/>
      <c r="B761" s="282"/>
      <c r="C761" s="305"/>
      <c r="D761" s="78"/>
      <c r="E761" s="78"/>
      <c r="F761" s="171"/>
      <c r="G761" s="173"/>
      <c r="H761" s="170"/>
      <c r="I761" s="171"/>
    </row>
    <row r="762" ht="14.25" customHeight="1">
      <c r="A762" s="171"/>
      <c r="B762" s="282"/>
      <c r="C762" s="305"/>
      <c r="D762" s="78"/>
      <c r="E762" s="78"/>
      <c r="F762" s="171"/>
      <c r="G762" s="173"/>
      <c r="H762" s="170"/>
      <c r="I762" s="171"/>
    </row>
    <row r="763" ht="14.25" customHeight="1">
      <c r="A763" s="171"/>
      <c r="B763" s="282"/>
      <c r="C763" s="305"/>
      <c r="D763" s="78"/>
      <c r="E763" s="78"/>
      <c r="F763" s="171"/>
      <c r="G763" s="173"/>
      <c r="H763" s="170"/>
      <c r="I763" s="171"/>
    </row>
    <row r="764" ht="14.25" customHeight="1">
      <c r="A764" s="171"/>
      <c r="B764" s="282"/>
      <c r="C764" s="305"/>
      <c r="D764" s="78"/>
      <c r="E764" s="78"/>
      <c r="F764" s="171"/>
      <c r="G764" s="173"/>
      <c r="H764" s="170"/>
      <c r="I764" s="171"/>
    </row>
    <row r="765" ht="14.25" customHeight="1">
      <c r="A765" s="171"/>
      <c r="B765" s="282"/>
      <c r="C765" s="305"/>
      <c r="D765" s="78"/>
      <c r="E765" s="78"/>
      <c r="F765" s="171"/>
      <c r="G765" s="173"/>
      <c r="H765" s="170"/>
      <c r="I765" s="171"/>
    </row>
    <row r="766" ht="14.25" customHeight="1">
      <c r="A766" s="171"/>
      <c r="B766" s="282"/>
      <c r="C766" s="305"/>
      <c r="D766" s="78"/>
      <c r="E766" s="78"/>
      <c r="F766" s="171"/>
      <c r="G766" s="173"/>
      <c r="H766" s="170"/>
      <c r="I766" s="171"/>
    </row>
    <row r="767" ht="14.25" customHeight="1">
      <c r="A767" s="171"/>
      <c r="B767" s="282"/>
      <c r="C767" s="305"/>
      <c r="D767" s="78"/>
      <c r="E767" s="78"/>
      <c r="F767" s="171"/>
      <c r="G767" s="173"/>
      <c r="H767" s="170"/>
      <c r="I767" s="171"/>
    </row>
    <row r="768" ht="14.25" customHeight="1">
      <c r="A768" s="171"/>
      <c r="B768" s="282"/>
      <c r="C768" s="305"/>
      <c r="D768" s="78"/>
      <c r="E768" s="78"/>
      <c r="F768" s="171"/>
      <c r="G768" s="173"/>
      <c r="H768" s="170"/>
      <c r="I768" s="171"/>
    </row>
    <row r="769" ht="14.25" customHeight="1">
      <c r="A769" s="171"/>
      <c r="B769" s="282"/>
      <c r="C769" s="305"/>
      <c r="D769" s="78"/>
      <c r="E769" s="78"/>
      <c r="F769" s="171"/>
      <c r="G769" s="173"/>
      <c r="H769" s="170"/>
      <c r="I769" s="171"/>
    </row>
    <row r="770" ht="14.25" customHeight="1">
      <c r="A770" s="171"/>
      <c r="B770" s="282"/>
      <c r="C770" s="305"/>
      <c r="D770" s="78"/>
      <c r="E770" s="78"/>
      <c r="F770" s="171"/>
      <c r="G770" s="173"/>
      <c r="H770" s="170"/>
      <c r="I770" s="171"/>
    </row>
    <row r="771" ht="14.25" customHeight="1">
      <c r="A771" s="171"/>
      <c r="B771" s="282"/>
      <c r="C771" s="305"/>
      <c r="D771" s="78"/>
      <c r="E771" s="78"/>
      <c r="F771" s="171"/>
      <c r="G771" s="173"/>
      <c r="H771" s="170"/>
      <c r="I771" s="171"/>
    </row>
    <row r="772" ht="14.25" customHeight="1">
      <c r="A772" s="171"/>
      <c r="B772" s="282"/>
      <c r="C772" s="305"/>
      <c r="D772" s="78"/>
      <c r="E772" s="78"/>
      <c r="F772" s="171"/>
      <c r="G772" s="173"/>
      <c r="H772" s="170"/>
      <c r="I772" s="171"/>
    </row>
    <row r="773" ht="14.25" customHeight="1">
      <c r="A773" s="171"/>
      <c r="B773" s="282"/>
      <c r="C773" s="305"/>
      <c r="D773" s="78"/>
      <c r="E773" s="78"/>
      <c r="F773" s="171"/>
      <c r="G773" s="173"/>
      <c r="H773" s="170"/>
      <c r="I773" s="171"/>
    </row>
    <row r="774" ht="14.25" customHeight="1">
      <c r="A774" s="171"/>
      <c r="B774" s="282"/>
      <c r="C774" s="305"/>
      <c r="D774" s="78"/>
      <c r="E774" s="78"/>
      <c r="F774" s="171"/>
      <c r="G774" s="173"/>
      <c r="H774" s="170"/>
      <c r="I774" s="171"/>
    </row>
    <row r="775" ht="14.25" customHeight="1">
      <c r="A775" s="171"/>
      <c r="B775" s="282"/>
      <c r="C775" s="305"/>
      <c r="D775" s="78"/>
      <c r="E775" s="78"/>
      <c r="F775" s="171"/>
      <c r="G775" s="173"/>
      <c r="H775" s="170"/>
      <c r="I775" s="171"/>
    </row>
    <row r="776" ht="14.25" customHeight="1">
      <c r="A776" s="171"/>
      <c r="B776" s="282"/>
      <c r="C776" s="305"/>
      <c r="D776" s="78"/>
      <c r="E776" s="78"/>
      <c r="F776" s="171"/>
      <c r="G776" s="173"/>
      <c r="H776" s="170"/>
      <c r="I776" s="171"/>
    </row>
    <row r="777" ht="14.25" customHeight="1">
      <c r="A777" s="171"/>
      <c r="B777" s="282"/>
      <c r="C777" s="305"/>
      <c r="D777" s="78"/>
      <c r="E777" s="78"/>
      <c r="F777" s="171"/>
      <c r="G777" s="173"/>
      <c r="H777" s="170"/>
      <c r="I777" s="171"/>
    </row>
    <row r="778" ht="14.25" customHeight="1">
      <c r="A778" s="171"/>
      <c r="B778" s="282"/>
      <c r="C778" s="305"/>
      <c r="D778" s="78"/>
      <c r="E778" s="78"/>
      <c r="F778" s="171"/>
      <c r="G778" s="173"/>
      <c r="H778" s="170"/>
      <c r="I778" s="171"/>
    </row>
    <row r="779" ht="14.25" customHeight="1">
      <c r="A779" s="171"/>
      <c r="B779" s="282"/>
      <c r="C779" s="305"/>
      <c r="D779" s="78"/>
      <c r="E779" s="78"/>
      <c r="F779" s="171"/>
      <c r="G779" s="173"/>
      <c r="H779" s="170"/>
      <c r="I779" s="171"/>
    </row>
    <row r="780" ht="14.25" customHeight="1">
      <c r="A780" s="171"/>
      <c r="B780" s="282"/>
      <c r="C780" s="305"/>
      <c r="D780" s="78"/>
      <c r="E780" s="78"/>
      <c r="F780" s="171"/>
      <c r="G780" s="173"/>
      <c r="H780" s="170"/>
      <c r="I780" s="171"/>
    </row>
    <row r="781" ht="14.25" customHeight="1">
      <c r="A781" s="171"/>
      <c r="B781" s="282"/>
      <c r="C781" s="305"/>
      <c r="D781" s="78"/>
      <c r="E781" s="78"/>
      <c r="F781" s="171"/>
      <c r="G781" s="173"/>
      <c r="H781" s="170"/>
      <c r="I781" s="171"/>
    </row>
    <row r="782" ht="14.25" customHeight="1">
      <c r="A782" s="171"/>
      <c r="B782" s="282"/>
      <c r="C782" s="305"/>
      <c r="D782" s="78"/>
      <c r="E782" s="78"/>
      <c r="F782" s="171"/>
      <c r="G782" s="173"/>
      <c r="H782" s="170"/>
      <c r="I782" s="171"/>
    </row>
    <row r="783" ht="14.25" customHeight="1">
      <c r="A783" s="171"/>
      <c r="B783" s="282"/>
      <c r="C783" s="305"/>
      <c r="D783" s="78"/>
      <c r="E783" s="78"/>
      <c r="F783" s="171"/>
      <c r="G783" s="173"/>
      <c r="H783" s="170"/>
      <c r="I783" s="171"/>
    </row>
    <row r="784" ht="14.25" customHeight="1">
      <c r="A784" s="171"/>
      <c r="B784" s="282"/>
      <c r="C784" s="305"/>
      <c r="D784" s="78"/>
      <c r="E784" s="78"/>
      <c r="F784" s="171"/>
      <c r="G784" s="173"/>
      <c r="H784" s="170"/>
      <c r="I784" s="171"/>
    </row>
    <row r="785" ht="14.25" customHeight="1">
      <c r="A785" s="171"/>
      <c r="B785" s="282"/>
      <c r="C785" s="305"/>
      <c r="D785" s="78"/>
      <c r="E785" s="78"/>
      <c r="F785" s="171"/>
      <c r="G785" s="173"/>
      <c r="H785" s="170"/>
      <c r="I785" s="171"/>
    </row>
    <row r="786" ht="14.25" customHeight="1">
      <c r="A786" s="171"/>
      <c r="B786" s="282"/>
      <c r="C786" s="305"/>
      <c r="D786" s="78"/>
      <c r="E786" s="78"/>
      <c r="F786" s="171"/>
      <c r="G786" s="173"/>
      <c r="H786" s="170"/>
      <c r="I786" s="171"/>
    </row>
    <row r="787" ht="14.25" customHeight="1">
      <c r="A787" s="171"/>
      <c r="B787" s="282"/>
      <c r="C787" s="305"/>
      <c r="D787" s="78"/>
      <c r="E787" s="78"/>
      <c r="F787" s="171"/>
      <c r="G787" s="173"/>
      <c r="H787" s="170"/>
      <c r="I787" s="171"/>
    </row>
    <row r="788" ht="14.25" customHeight="1">
      <c r="A788" s="171"/>
      <c r="B788" s="282"/>
      <c r="C788" s="305"/>
      <c r="D788" s="78"/>
      <c r="E788" s="78"/>
      <c r="F788" s="171"/>
      <c r="G788" s="173"/>
      <c r="H788" s="170"/>
      <c r="I788" s="171"/>
    </row>
    <row r="789" ht="14.25" customHeight="1">
      <c r="A789" s="171"/>
      <c r="B789" s="282"/>
      <c r="C789" s="305"/>
      <c r="D789" s="78"/>
      <c r="E789" s="78"/>
      <c r="F789" s="171"/>
      <c r="G789" s="173"/>
      <c r="H789" s="170"/>
      <c r="I789" s="171"/>
    </row>
    <row r="790" ht="14.25" customHeight="1">
      <c r="A790" s="171"/>
      <c r="B790" s="282"/>
      <c r="C790" s="305"/>
      <c r="D790" s="78"/>
      <c r="E790" s="78"/>
      <c r="F790" s="171"/>
      <c r="G790" s="173"/>
      <c r="H790" s="170"/>
      <c r="I790" s="171"/>
    </row>
    <row r="791" ht="14.25" customHeight="1">
      <c r="A791" s="171"/>
      <c r="B791" s="282"/>
      <c r="C791" s="305"/>
      <c r="D791" s="78"/>
      <c r="E791" s="78"/>
      <c r="F791" s="171"/>
      <c r="G791" s="173"/>
      <c r="H791" s="170"/>
      <c r="I791" s="171"/>
    </row>
    <row r="792" ht="14.25" customHeight="1">
      <c r="A792" s="171"/>
      <c r="B792" s="282"/>
      <c r="C792" s="305"/>
      <c r="D792" s="78"/>
      <c r="E792" s="78"/>
      <c r="F792" s="171"/>
      <c r="G792" s="173"/>
      <c r="H792" s="170"/>
      <c r="I792" s="171"/>
    </row>
    <row r="793" ht="14.25" customHeight="1">
      <c r="A793" s="171"/>
      <c r="B793" s="282"/>
      <c r="C793" s="305"/>
      <c r="D793" s="78"/>
      <c r="E793" s="78"/>
      <c r="F793" s="171"/>
      <c r="G793" s="173"/>
      <c r="H793" s="170"/>
      <c r="I793" s="171"/>
    </row>
    <row r="794" ht="14.25" customHeight="1">
      <c r="A794" s="171"/>
      <c r="B794" s="282"/>
      <c r="C794" s="305"/>
      <c r="D794" s="78"/>
      <c r="E794" s="78"/>
      <c r="F794" s="171"/>
      <c r="G794" s="173"/>
      <c r="H794" s="170"/>
      <c r="I794" s="171"/>
    </row>
    <row r="795" ht="14.25" customHeight="1">
      <c r="A795" s="171"/>
      <c r="B795" s="282"/>
      <c r="C795" s="305"/>
      <c r="D795" s="78"/>
      <c r="E795" s="78"/>
      <c r="F795" s="171"/>
      <c r="G795" s="173"/>
      <c r="H795" s="170"/>
      <c r="I795" s="171"/>
    </row>
    <row r="796" ht="14.25" customHeight="1">
      <c r="A796" s="171"/>
      <c r="B796" s="282"/>
      <c r="C796" s="305"/>
      <c r="D796" s="78"/>
      <c r="E796" s="78"/>
      <c r="F796" s="171"/>
      <c r="G796" s="173"/>
      <c r="H796" s="170"/>
      <c r="I796" s="171"/>
    </row>
    <row r="797" ht="14.25" customHeight="1">
      <c r="A797" s="171"/>
      <c r="B797" s="282"/>
      <c r="C797" s="305"/>
      <c r="D797" s="78"/>
      <c r="E797" s="78"/>
      <c r="F797" s="171"/>
      <c r="G797" s="173"/>
      <c r="H797" s="170"/>
      <c r="I797" s="171"/>
    </row>
    <row r="798" ht="14.25" customHeight="1">
      <c r="A798" s="171"/>
      <c r="B798" s="282"/>
      <c r="C798" s="305"/>
      <c r="D798" s="78"/>
      <c r="E798" s="78"/>
      <c r="F798" s="171"/>
      <c r="G798" s="173"/>
      <c r="H798" s="170"/>
      <c r="I798" s="171"/>
    </row>
    <row r="799" ht="14.25" customHeight="1">
      <c r="A799" s="171"/>
      <c r="B799" s="282"/>
      <c r="C799" s="305"/>
      <c r="D799" s="78"/>
      <c r="E799" s="78"/>
      <c r="F799" s="171"/>
      <c r="G799" s="173"/>
      <c r="H799" s="170"/>
      <c r="I799" s="171"/>
    </row>
    <row r="800" ht="14.25" customHeight="1">
      <c r="A800" s="171"/>
      <c r="B800" s="282"/>
      <c r="C800" s="305"/>
      <c r="D800" s="78"/>
      <c r="E800" s="78"/>
      <c r="F800" s="171"/>
      <c r="G800" s="173"/>
      <c r="H800" s="170"/>
      <c r="I800" s="171"/>
    </row>
    <row r="801" ht="14.25" customHeight="1">
      <c r="A801" s="171"/>
      <c r="B801" s="282"/>
      <c r="C801" s="305"/>
      <c r="D801" s="78"/>
      <c r="E801" s="78"/>
      <c r="F801" s="171"/>
      <c r="G801" s="173"/>
      <c r="H801" s="170"/>
      <c r="I801" s="171"/>
    </row>
    <row r="802" ht="14.25" customHeight="1">
      <c r="A802" s="171"/>
      <c r="B802" s="282"/>
      <c r="C802" s="305"/>
      <c r="D802" s="78"/>
      <c r="E802" s="78"/>
      <c r="F802" s="171"/>
      <c r="G802" s="173"/>
      <c r="H802" s="170"/>
      <c r="I802" s="171"/>
    </row>
    <row r="803" ht="14.25" customHeight="1">
      <c r="A803" s="171"/>
      <c r="B803" s="282"/>
      <c r="C803" s="305"/>
      <c r="D803" s="78"/>
      <c r="E803" s="78"/>
      <c r="F803" s="171"/>
      <c r="G803" s="173"/>
      <c r="H803" s="170"/>
      <c r="I803" s="171"/>
    </row>
    <row r="804" ht="14.25" customHeight="1">
      <c r="A804" s="171"/>
      <c r="B804" s="282"/>
      <c r="C804" s="305"/>
      <c r="D804" s="78"/>
      <c r="E804" s="78"/>
      <c r="F804" s="171"/>
      <c r="G804" s="173"/>
      <c r="H804" s="170"/>
      <c r="I804" s="171"/>
    </row>
    <row r="805" ht="14.25" customHeight="1">
      <c r="A805" s="171"/>
      <c r="B805" s="282"/>
      <c r="C805" s="305"/>
      <c r="D805" s="78"/>
      <c r="E805" s="78"/>
      <c r="F805" s="171"/>
      <c r="G805" s="173"/>
      <c r="H805" s="170"/>
      <c r="I805" s="171"/>
    </row>
    <row r="806" ht="14.25" customHeight="1">
      <c r="A806" s="171"/>
      <c r="B806" s="282"/>
      <c r="C806" s="305"/>
      <c r="D806" s="78"/>
      <c r="E806" s="78"/>
      <c r="F806" s="171"/>
      <c r="G806" s="173"/>
      <c r="H806" s="170"/>
      <c r="I806" s="171"/>
    </row>
    <row r="807" ht="14.25" customHeight="1">
      <c r="A807" s="171"/>
      <c r="B807" s="282"/>
      <c r="C807" s="305"/>
      <c r="D807" s="78"/>
      <c r="E807" s="78"/>
      <c r="F807" s="171"/>
      <c r="G807" s="173"/>
      <c r="H807" s="170"/>
      <c r="I807" s="171"/>
    </row>
    <row r="808" ht="14.25" customHeight="1">
      <c r="A808" s="171"/>
      <c r="B808" s="282"/>
      <c r="C808" s="305"/>
      <c r="D808" s="78"/>
      <c r="E808" s="78"/>
      <c r="F808" s="171"/>
      <c r="G808" s="173"/>
      <c r="H808" s="170"/>
      <c r="I808" s="171"/>
    </row>
    <row r="809" ht="14.25" customHeight="1">
      <c r="A809" s="171"/>
      <c r="B809" s="282"/>
      <c r="C809" s="305"/>
      <c r="D809" s="78"/>
      <c r="E809" s="78"/>
      <c r="F809" s="171"/>
      <c r="G809" s="173"/>
      <c r="H809" s="170"/>
      <c r="I809" s="171"/>
    </row>
    <row r="810" ht="14.25" customHeight="1">
      <c r="A810" s="171"/>
      <c r="B810" s="282"/>
      <c r="C810" s="305"/>
      <c r="D810" s="78"/>
      <c r="E810" s="78"/>
      <c r="F810" s="171"/>
      <c r="G810" s="173"/>
      <c r="H810" s="170"/>
      <c r="I810" s="171"/>
    </row>
    <row r="811" ht="14.25" customHeight="1">
      <c r="A811" s="171"/>
      <c r="B811" s="282"/>
      <c r="C811" s="305"/>
      <c r="D811" s="78"/>
      <c r="E811" s="78"/>
      <c r="F811" s="171"/>
      <c r="G811" s="173"/>
      <c r="H811" s="170"/>
      <c r="I811" s="171"/>
    </row>
    <row r="812" ht="14.25" customHeight="1">
      <c r="A812" s="171"/>
      <c r="B812" s="282"/>
      <c r="C812" s="305"/>
      <c r="D812" s="78"/>
      <c r="E812" s="78"/>
      <c r="F812" s="171"/>
      <c r="G812" s="173"/>
      <c r="H812" s="170"/>
      <c r="I812" s="171"/>
    </row>
    <row r="813" ht="14.25" customHeight="1">
      <c r="A813" s="171"/>
      <c r="B813" s="282"/>
      <c r="C813" s="305"/>
      <c r="D813" s="78"/>
      <c r="E813" s="78"/>
      <c r="F813" s="171"/>
      <c r="G813" s="173"/>
      <c r="H813" s="170"/>
      <c r="I813" s="171"/>
    </row>
    <row r="814" ht="14.25" customHeight="1">
      <c r="A814" s="171"/>
      <c r="B814" s="282"/>
      <c r="C814" s="305"/>
      <c r="D814" s="78"/>
      <c r="E814" s="78"/>
      <c r="F814" s="171"/>
      <c r="G814" s="173"/>
      <c r="H814" s="170"/>
      <c r="I814" s="171"/>
    </row>
    <row r="815" ht="14.25" customHeight="1">
      <c r="A815" s="171"/>
      <c r="B815" s="282"/>
      <c r="C815" s="305"/>
      <c r="D815" s="78"/>
      <c r="E815" s="78"/>
      <c r="F815" s="171"/>
      <c r="G815" s="173"/>
      <c r="H815" s="170"/>
      <c r="I815" s="171"/>
    </row>
    <row r="816" ht="14.25" customHeight="1">
      <c r="A816" s="171"/>
      <c r="B816" s="282"/>
      <c r="C816" s="305"/>
      <c r="D816" s="78"/>
      <c r="E816" s="78"/>
      <c r="F816" s="171"/>
      <c r="G816" s="173"/>
      <c r="H816" s="170"/>
      <c r="I816" s="171"/>
    </row>
    <row r="817" ht="14.25" customHeight="1">
      <c r="A817" s="171"/>
      <c r="B817" s="282"/>
      <c r="C817" s="305"/>
      <c r="D817" s="78"/>
      <c r="E817" s="78"/>
      <c r="F817" s="171"/>
      <c r="G817" s="173"/>
      <c r="H817" s="170"/>
      <c r="I817" s="171"/>
    </row>
    <row r="818" ht="14.25" customHeight="1">
      <c r="A818" s="171"/>
      <c r="B818" s="282"/>
      <c r="C818" s="305"/>
      <c r="D818" s="78"/>
      <c r="E818" s="78"/>
      <c r="F818" s="171"/>
      <c r="G818" s="173"/>
      <c r="H818" s="170"/>
      <c r="I818" s="171"/>
    </row>
    <row r="819" ht="14.25" customHeight="1">
      <c r="A819" s="171"/>
      <c r="B819" s="282"/>
      <c r="C819" s="305"/>
      <c r="D819" s="78"/>
      <c r="E819" s="78"/>
      <c r="F819" s="171"/>
      <c r="G819" s="173"/>
      <c r="H819" s="170"/>
      <c r="I819" s="171"/>
    </row>
    <row r="820" ht="14.25" customHeight="1">
      <c r="A820" s="171"/>
      <c r="B820" s="282"/>
      <c r="C820" s="305"/>
      <c r="D820" s="78"/>
      <c r="E820" s="78"/>
      <c r="F820" s="171"/>
      <c r="G820" s="173"/>
      <c r="H820" s="170"/>
      <c r="I820" s="171"/>
    </row>
    <row r="821" ht="14.25" customHeight="1">
      <c r="A821" s="171"/>
      <c r="B821" s="282"/>
      <c r="C821" s="305"/>
      <c r="D821" s="78"/>
      <c r="E821" s="78"/>
      <c r="F821" s="171"/>
      <c r="G821" s="173"/>
      <c r="H821" s="170"/>
      <c r="I821" s="171"/>
    </row>
    <row r="822" ht="14.25" customHeight="1">
      <c r="A822" s="171"/>
      <c r="B822" s="282"/>
      <c r="C822" s="305"/>
      <c r="D822" s="78"/>
      <c r="E822" s="78"/>
      <c r="F822" s="171"/>
      <c r="G822" s="173"/>
      <c r="H822" s="170"/>
      <c r="I822" s="171"/>
    </row>
    <row r="823" ht="14.25" customHeight="1">
      <c r="A823" s="171"/>
      <c r="B823" s="282"/>
      <c r="C823" s="305"/>
      <c r="D823" s="78"/>
      <c r="E823" s="78"/>
      <c r="F823" s="171"/>
      <c r="G823" s="173"/>
      <c r="H823" s="170"/>
      <c r="I823" s="171"/>
    </row>
    <row r="824" ht="14.25" customHeight="1">
      <c r="A824" s="171"/>
      <c r="B824" s="282"/>
      <c r="C824" s="305"/>
      <c r="D824" s="78"/>
      <c r="E824" s="78"/>
      <c r="F824" s="171"/>
      <c r="G824" s="173"/>
      <c r="H824" s="170"/>
      <c r="I824" s="171"/>
    </row>
    <row r="825" ht="14.25" customHeight="1">
      <c r="A825" s="171"/>
      <c r="B825" s="282"/>
      <c r="C825" s="305"/>
      <c r="D825" s="78"/>
      <c r="E825" s="78"/>
      <c r="F825" s="171"/>
      <c r="G825" s="173"/>
      <c r="H825" s="170"/>
      <c r="I825" s="171"/>
    </row>
    <row r="826" ht="14.25" customHeight="1">
      <c r="A826" s="171"/>
      <c r="B826" s="282"/>
      <c r="C826" s="305"/>
      <c r="D826" s="78"/>
      <c r="E826" s="78"/>
      <c r="F826" s="171"/>
      <c r="G826" s="173"/>
      <c r="H826" s="170"/>
      <c r="I826" s="171"/>
    </row>
    <row r="827" ht="14.25" customHeight="1">
      <c r="A827" s="171"/>
      <c r="B827" s="282"/>
      <c r="C827" s="305"/>
      <c r="D827" s="78"/>
      <c r="E827" s="78"/>
      <c r="F827" s="171"/>
      <c r="G827" s="173"/>
      <c r="H827" s="170"/>
      <c r="I827" s="171"/>
    </row>
    <row r="828" ht="14.25" customHeight="1">
      <c r="A828" s="171"/>
      <c r="B828" s="282"/>
      <c r="C828" s="305"/>
      <c r="D828" s="78"/>
      <c r="E828" s="78"/>
      <c r="F828" s="171"/>
      <c r="G828" s="173"/>
      <c r="H828" s="170"/>
      <c r="I828" s="171"/>
    </row>
    <row r="829" ht="14.25" customHeight="1">
      <c r="A829" s="171"/>
      <c r="B829" s="282"/>
      <c r="C829" s="305"/>
      <c r="D829" s="78"/>
      <c r="E829" s="78"/>
      <c r="F829" s="171"/>
      <c r="G829" s="173"/>
      <c r="H829" s="170"/>
      <c r="I829" s="171"/>
    </row>
    <row r="830" ht="14.25" customHeight="1">
      <c r="A830" s="171"/>
      <c r="B830" s="282"/>
      <c r="C830" s="305"/>
      <c r="D830" s="78"/>
      <c r="E830" s="78"/>
      <c r="F830" s="171"/>
      <c r="G830" s="173"/>
      <c r="H830" s="170"/>
      <c r="I830" s="171"/>
    </row>
    <row r="831" ht="14.25" customHeight="1">
      <c r="A831" s="171"/>
      <c r="B831" s="282"/>
      <c r="C831" s="305"/>
      <c r="D831" s="78"/>
      <c r="E831" s="78"/>
      <c r="F831" s="171"/>
      <c r="G831" s="173"/>
      <c r="H831" s="170"/>
      <c r="I831" s="171"/>
    </row>
    <row r="832" ht="14.25" customHeight="1">
      <c r="A832" s="171"/>
      <c r="B832" s="282"/>
      <c r="C832" s="305"/>
      <c r="D832" s="78"/>
      <c r="E832" s="78"/>
      <c r="F832" s="171"/>
      <c r="G832" s="173"/>
      <c r="H832" s="170"/>
      <c r="I832" s="171"/>
    </row>
    <row r="833" ht="14.25" customHeight="1">
      <c r="A833" s="171"/>
      <c r="B833" s="282"/>
      <c r="C833" s="305"/>
      <c r="D833" s="78"/>
      <c r="E833" s="78"/>
      <c r="F833" s="171"/>
      <c r="G833" s="173"/>
      <c r="H833" s="170"/>
      <c r="I833" s="171"/>
    </row>
    <row r="834" ht="14.25" customHeight="1">
      <c r="A834" s="171"/>
      <c r="B834" s="282"/>
      <c r="C834" s="305"/>
      <c r="D834" s="78"/>
      <c r="E834" s="78"/>
      <c r="F834" s="171"/>
      <c r="G834" s="173"/>
      <c r="H834" s="170"/>
      <c r="I834" s="171"/>
    </row>
    <row r="835" ht="14.25" customHeight="1">
      <c r="A835" s="171"/>
      <c r="B835" s="282"/>
      <c r="C835" s="305"/>
      <c r="D835" s="78"/>
      <c r="E835" s="78"/>
      <c r="F835" s="171"/>
      <c r="G835" s="173"/>
      <c r="H835" s="170"/>
      <c r="I835" s="171"/>
    </row>
    <row r="836" ht="14.25" customHeight="1">
      <c r="A836" s="171"/>
      <c r="B836" s="282"/>
      <c r="C836" s="305"/>
      <c r="D836" s="78"/>
      <c r="E836" s="78"/>
      <c r="F836" s="171"/>
      <c r="G836" s="173"/>
      <c r="H836" s="170"/>
      <c r="I836" s="171"/>
    </row>
    <row r="837" ht="14.25" customHeight="1">
      <c r="A837" s="171"/>
      <c r="B837" s="282"/>
      <c r="C837" s="305"/>
      <c r="D837" s="78"/>
      <c r="E837" s="78"/>
      <c r="F837" s="171"/>
      <c r="G837" s="173"/>
      <c r="H837" s="170"/>
      <c r="I837" s="171"/>
    </row>
    <row r="838" ht="14.25" customHeight="1">
      <c r="A838" s="171"/>
      <c r="B838" s="282"/>
      <c r="C838" s="305"/>
      <c r="D838" s="78"/>
      <c r="E838" s="78"/>
      <c r="F838" s="171"/>
      <c r="G838" s="173"/>
      <c r="H838" s="170"/>
      <c r="I838" s="171"/>
    </row>
    <row r="839" ht="14.25" customHeight="1">
      <c r="A839" s="171"/>
      <c r="B839" s="282"/>
      <c r="C839" s="305"/>
      <c r="D839" s="78"/>
      <c r="E839" s="78"/>
      <c r="F839" s="171"/>
      <c r="G839" s="173"/>
      <c r="H839" s="170"/>
      <c r="I839" s="171"/>
    </row>
    <row r="840" ht="14.25" customHeight="1">
      <c r="A840" s="171"/>
      <c r="B840" s="282"/>
      <c r="C840" s="305"/>
      <c r="D840" s="78"/>
      <c r="E840" s="78"/>
      <c r="F840" s="171"/>
      <c r="G840" s="173"/>
      <c r="H840" s="170"/>
      <c r="I840" s="171"/>
    </row>
    <row r="841" ht="14.25" customHeight="1">
      <c r="A841" s="171"/>
      <c r="B841" s="282"/>
      <c r="C841" s="305"/>
      <c r="D841" s="78"/>
      <c r="E841" s="78"/>
      <c r="F841" s="171"/>
      <c r="G841" s="173"/>
      <c r="H841" s="170"/>
      <c r="I841" s="171"/>
    </row>
    <row r="842" ht="14.25" customHeight="1">
      <c r="A842" s="171"/>
      <c r="B842" s="282"/>
      <c r="C842" s="305"/>
      <c r="D842" s="78"/>
      <c r="E842" s="78"/>
      <c r="F842" s="171"/>
      <c r="G842" s="173"/>
      <c r="H842" s="170"/>
      <c r="I842" s="171"/>
    </row>
    <row r="843" ht="14.25" customHeight="1">
      <c r="A843" s="171"/>
      <c r="B843" s="282"/>
      <c r="C843" s="305"/>
      <c r="D843" s="78"/>
      <c r="E843" s="78"/>
      <c r="F843" s="171"/>
      <c r="G843" s="173"/>
      <c r="H843" s="170"/>
      <c r="I843" s="171"/>
    </row>
    <row r="844" ht="14.25" customHeight="1">
      <c r="A844" s="171"/>
      <c r="B844" s="282"/>
      <c r="C844" s="305"/>
      <c r="D844" s="78"/>
      <c r="E844" s="78"/>
      <c r="F844" s="171"/>
      <c r="G844" s="173"/>
      <c r="H844" s="170"/>
      <c r="I844" s="171"/>
    </row>
    <row r="845" ht="14.25" customHeight="1">
      <c r="A845" s="171"/>
      <c r="B845" s="282"/>
      <c r="C845" s="305"/>
      <c r="D845" s="78"/>
      <c r="E845" s="78"/>
      <c r="F845" s="171"/>
      <c r="G845" s="173"/>
      <c r="H845" s="170"/>
      <c r="I845" s="171"/>
    </row>
    <row r="846" ht="14.25" customHeight="1">
      <c r="A846" s="171"/>
      <c r="B846" s="282"/>
      <c r="C846" s="305"/>
      <c r="D846" s="78"/>
      <c r="E846" s="78"/>
      <c r="F846" s="171"/>
      <c r="G846" s="173"/>
      <c r="H846" s="170"/>
      <c r="I846" s="171"/>
    </row>
    <row r="847" ht="14.25" customHeight="1">
      <c r="A847" s="171"/>
      <c r="B847" s="282"/>
      <c r="C847" s="305"/>
      <c r="D847" s="78"/>
      <c r="E847" s="78"/>
      <c r="F847" s="171"/>
      <c r="G847" s="173"/>
      <c r="H847" s="170"/>
      <c r="I847" s="171"/>
    </row>
    <row r="848" ht="14.25" customHeight="1">
      <c r="A848" s="171"/>
      <c r="B848" s="282"/>
      <c r="C848" s="305"/>
      <c r="D848" s="78"/>
      <c r="E848" s="78"/>
      <c r="F848" s="171"/>
      <c r="G848" s="173"/>
      <c r="H848" s="170"/>
      <c r="I848" s="171"/>
    </row>
    <row r="849" ht="14.25" customHeight="1">
      <c r="A849" s="171"/>
      <c r="B849" s="282"/>
      <c r="C849" s="305"/>
      <c r="D849" s="78"/>
      <c r="E849" s="78"/>
      <c r="F849" s="171"/>
      <c r="G849" s="173"/>
      <c r="H849" s="170"/>
      <c r="I849" s="171"/>
    </row>
    <row r="850" ht="14.25" customHeight="1">
      <c r="A850" s="171"/>
      <c r="B850" s="282"/>
      <c r="C850" s="305"/>
      <c r="D850" s="78"/>
      <c r="E850" s="78"/>
      <c r="F850" s="171"/>
      <c r="G850" s="173"/>
      <c r="H850" s="170"/>
      <c r="I850" s="171"/>
    </row>
    <row r="851" ht="14.25" customHeight="1">
      <c r="A851" s="171"/>
      <c r="B851" s="282"/>
      <c r="C851" s="305"/>
      <c r="D851" s="78"/>
      <c r="E851" s="78"/>
      <c r="F851" s="171"/>
      <c r="G851" s="173"/>
      <c r="H851" s="170"/>
      <c r="I851" s="171"/>
    </row>
    <row r="852" ht="14.25" customHeight="1">
      <c r="A852" s="171"/>
      <c r="B852" s="282"/>
      <c r="C852" s="305"/>
      <c r="D852" s="78"/>
      <c r="E852" s="78"/>
      <c r="F852" s="171"/>
      <c r="G852" s="173"/>
      <c r="H852" s="170"/>
      <c r="I852" s="171"/>
    </row>
    <row r="853" ht="14.25" customHeight="1">
      <c r="A853" s="171"/>
      <c r="B853" s="282"/>
      <c r="C853" s="305"/>
      <c r="D853" s="78"/>
      <c r="E853" s="78"/>
      <c r="F853" s="171"/>
      <c r="G853" s="173"/>
      <c r="H853" s="170"/>
      <c r="I853" s="171"/>
    </row>
    <row r="854" ht="14.25" customHeight="1">
      <c r="A854" s="171"/>
      <c r="B854" s="282"/>
      <c r="C854" s="305"/>
      <c r="D854" s="78"/>
      <c r="E854" s="78"/>
      <c r="F854" s="171"/>
      <c r="G854" s="173"/>
      <c r="H854" s="170"/>
      <c r="I854" s="171"/>
    </row>
    <row r="855" ht="14.25" customHeight="1">
      <c r="A855" s="171"/>
      <c r="B855" s="282"/>
      <c r="C855" s="305"/>
      <c r="D855" s="78"/>
      <c r="E855" s="78"/>
      <c r="F855" s="171"/>
      <c r="G855" s="173"/>
      <c r="H855" s="170"/>
      <c r="I855" s="171"/>
    </row>
    <row r="856" ht="14.25" customHeight="1">
      <c r="A856" s="171"/>
      <c r="B856" s="282"/>
      <c r="C856" s="305"/>
      <c r="D856" s="78"/>
      <c r="E856" s="78"/>
      <c r="F856" s="171"/>
      <c r="G856" s="173"/>
      <c r="H856" s="170"/>
      <c r="I856" s="171"/>
    </row>
    <row r="857" ht="14.25" customHeight="1">
      <c r="A857" s="171"/>
      <c r="B857" s="282"/>
      <c r="C857" s="305"/>
      <c r="D857" s="78"/>
      <c r="E857" s="78"/>
      <c r="F857" s="171"/>
      <c r="G857" s="173"/>
      <c r="H857" s="170"/>
      <c r="I857" s="171"/>
    </row>
    <row r="858" ht="14.25" customHeight="1">
      <c r="A858" s="171"/>
      <c r="B858" s="282"/>
      <c r="C858" s="305"/>
      <c r="D858" s="78"/>
      <c r="E858" s="78"/>
      <c r="F858" s="171"/>
      <c r="G858" s="173"/>
      <c r="H858" s="170"/>
      <c r="I858" s="171"/>
    </row>
    <row r="859" ht="14.25" customHeight="1">
      <c r="A859" s="171"/>
      <c r="B859" s="282"/>
      <c r="C859" s="305"/>
      <c r="D859" s="78"/>
      <c r="E859" s="78"/>
      <c r="F859" s="171"/>
      <c r="G859" s="173"/>
      <c r="H859" s="170"/>
      <c r="I859" s="171"/>
    </row>
    <row r="860" ht="14.25" customHeight="1">
      <c r="A860" s="171"/>
      <c r="B860" s="282"/>
      <c r="C860" s="305"/>
      <c r="D860" s="78"/>
      <c r="E860" s="78"/>
      <c r="F860" s="171"/>
      <c r="G860" s="173"/>
      <c r="H860" s="170"/>
      <c r="I860" s="171"/>
    </row>
    <row r="861" ht="14.25" customHeight="1">
      <c r="A861" s="171"/>
      <c r="B861" s="282"/>
      <c r="C861" s="305"/>
      <c r="D861" s="78"/>
      <c r="E861" s="78"/>
      <c r="F861" s="171"/>
      <c r="G861" s="173"/>
      <c r="H861" s="170"/>
      <c r="I861" s="171"/>
    </row>
    <row r="862" ht="14.25" customHeight="1">
      <c r="A862" s="171"/>
      <c r="B862" s="282"/>
      <c r="C862" s="305"/>
      <c r="D862" s="78"/>
      <c r="E862" s="78"/>
      <c r="F862" s="171"/>
      <c r="G862" s="173"/>
      <c r="H862" s="170"/>
      <c r="I862" s="171"/>
    </row>
    <row r="863" ht="14.25" customHeight="1">
      <c r="A863" s="171"/>
      <c r="B863" s="282"/>
      <c r="C863" s="305"/>
      <c r="D863" s="78"/>
      <c r="E863" s="78"/>
      <c r="F863" s="171"/>
      <c r="G863" s="173"/>
      <c r="H863" s="170"/>
      <c r="I863" s="171"/>
    </row>
    <row r="864" ht="14.25" customHeight="1">
      <c r="A864" s="171"/>
      <c r="B864" s="282"/>
      <c r="C864" s="305"/>
      <c r="D864" s="78"/>
      <c r="E864" s="78"/>
      <c r="F864" s="171"/>
      <c r="G864" s="173"/>
      <c r="H864" s="170"/>
      <c r="I864" s="171"/>
    </row>
    <row r="865" ht="14.25" customHeight="1">
      <c r="A865" s="171"/>
      <c r="B865" s="282"/>
      <c r="C865" s="305"/>
      <c r="D865" s="78"/>
      <c r="E865" s="78"/>
      <c r="F865" s="171"/>
      <c r="G865" s="173"/>
      <c r="H865" s="170"/>
      <c r="I865" s="171"/>
    </row>
    <row r="866" ht="14.25" customHeight="1">
      <c r="A866" s="171"/>
      <c r="B866" s="282"/>
      <c r="C866" s="305"/>
      <c r="D866" s="78"/>
      <c r="E866" s="78"/>
      <c r="F866" s="171"/>
      <c r="G866" s="173"/>
      <c r="H866" s="170"/>
      <c r="I866" s="171"/>
    </row>
    <row r="867" ht="14.25" customHeight="1">
      <c r="A867" s="171"/>
      <c r="B867" s="282"/>
      <c r="C867" s="305"/>
      <c r="D867" s="78"/>
      <c r="E867" s="78"/>
      <c r="F867" s="171"/>
      <c r="G867" s="173"/>
      <c r="H867" s="170"/>
      <c r="I867" s="171"/>
    </row>
    <row r="868" ht="14.25" customHeight="1">
      <c r="A868" s="171"/>
      <c r="B868" s="282"/>
      <c r="C868" s="305"/>
      <c r="D868" s="78"/>
      <c r="E868" s="78"/>
      <c r="F868" s="171"/>
      <c r="G868" s="173"/>
      <c r="H868" s="170"/>
      <c r="I868" s="171"/>
    </row>
    <row r="869" ht="14.25" customHeight="1">
      <c r="A869" s="171"/>
      <c r="B869" s="282"/>
      <c r="C869" s="305"/>
      <c r="D869" s="78"/>
      <c r="E869" s="78"/>
      <c r="F869" s="171"/>
      <c r="G869" s="173"/>
      <c r="H869" s="170"/>
      <c r="I869" s="171"/>
    </row>
    <row r="870" ht="14.25" customHeight="1">
      <c r="A870" s="171"/>
      <c r="B870" s="282"/>
      <c r="C870" s="305"/>
      <c r="D870" s="78"/>
      <c r="E870" s="78"/>
      <c r="F870" s="171"/>
      <c r="G870" s="173"/>
      <c r="H870" s="170"/>
      <c r="I870" s="171"/>
    </row>
    <row r="871" ht="14.25" customHeight="1">
      <c r="A871" s="171"/>
      <c r="B871" s="282"/>
      <c r="C871" s="305"/>
      <c r="D871" s="78"/>
      <c r="E871" s="78"/>
      <c r="F871" s="171"/>
      <c r="G871" s="173"/>
      <c r="H871" s="170"/>
      <c r="I871" s="171"/>
    </row>
    <row r="872" ht="14.25" customHeight="1">
      <c r="A872" s="171"/>
      <c r="B872" s="282"/>
      <c r="C872" s="305"/>
      <c r="D872" s="78"/>
      <c r="E872" s="78"/>
      <c r="F872" s="171"/>
      <c r="G872" s="173"/>
      <c r="H872" s="170"/>
      <c r="I872" s="171"/>
    </row>
    <row r="873" ht="14.25" customHeight="1">
      <c r="A873" s="171"/>
      <c r="B873" s="282"/>
      <c r="C873" s="305"/>
      <c r="D873" s="78"/>
      <c r="E873" s="78"/>
      <c r="F873" s="171"/>
      <c r="G873" s="173"/>
      <c r="H873" s="170"/>
      <c r="I873" s="171"/>
    </row>
    <row r="874" ht="14.25" customHeight="1">
      <c r="A874" s="171"/>
      <c r="B874" s="282"/>
      <c r="C874" s="305"/>
      <c r="D874" s="78"/>
      <c r="E874" s="78"/>
      <c r="F874" s="171"/>
      <c r="G874" s="173"/>
      <c r="H874" s="170"/>
      <c r="I874" s="171"/>
    </row>
    <row r="875" ht="14.25" customHeight="1">
      <c r="A875" s="171"/>
      <c r="B875" s="282"/>
      <c r="C875" s="305"/>
      <c r="D875" s="78"/>
      <c r="E875" s="78"/>
      <c r="F875" s="171"/>
      <c r="G875" s="173"/>
      <c r="H875" s="170"/>
      <c r="I875" s="171"/>
    </row>
    <row r="876" ht="14.25" customHeight="1">
      <c r="A876" s="171"/>
      <c r="B876" s="282"/>
      <c r="C876" s="305"/>
      <c r="D876" s="78"/>
      <c r="E876" s="78"/>
      <c r="F876" s="171"/>
      <c r="G876" s="173"/>
      <c r="H876" s="170"/>
      <c r="I876" s="171"/>
    </row>
    <row r="877" ht="14.25" customHeight="1">
      <c r="A877" s="171"/>
      <c r="B877" s="282"/>
      <c r="C877" s="305"/>
      <c r="D877" s="78"/>
      <c r="E877" s="78"/>
      <c r="F877" s="171"/>
      <c r="G877" s="173"/>
      <c r="H877" s="170"/>
      <c r="I877" s="171"/>
    </row>
    <row r="878" ht="14.25" customHeight="1">
      <c r="A878" s="171"/>
      <c r="B878" s="282"/>
      <c r="C878" s="305"/>
      <c r="D878" s="78"/>
      <c r="E878" s="78"/>
      <c r="F878" s="171"/>
      <c r="G878" s="173"/>
      <c r="H878" s="170"/>
      <c r="I878" s="171"/>
    </row>
    <row r="879" ht="14.25" customHeight="1">
      <c r="A879" s="171"/>
      <c r="B879" s="282"/>
      <c r="C879" s="305"/>
      <c r="D879" s="78"/>
      <c r="E879" s="78"/>
      <c r="F879" s="171"/>
      <c r="G879" s="173"/>
      <c r="H879" s="170"/>
      <c r="I879" s="171"/>
    </row>
    <row r="880" ht="14.25" customHeight="1">
      <c r="A880" s="171"/>
      <c r="B880" s="282"/>
      <c r="C880" s="305"/>
      <c r="D880" s="78"/>
      <c r="E880" s="78"/>
      <c r="F880" s="171"/>
      <c r="G880" s="173"/>
      <c r="H880" s="170"/>
      <c r="I880" s="171"/>
    </row>
    <row r="881" ht="14.25" customHeight="1">
      <c r="A881" s="171"/>
      <c r="B881" s="282"/>
      <c r="C881" s="305"/>
      <c r="D881" s="78"/>
      <c r="E881" s="78"/>
      <c r="F881" s="171"/>
      <c r="G881" s="173"/>
      <c r="H881" s="170"/>
      <c r="I881" s="171"/>
    </row>
    <row r="882" ht="14.25" customHeight="1">
      <c r="A882" s="171"/>
      <c r="B882" s="282"/>
      <c r="C882" s="305"/>
      <c r="D882" s="78"/>
      <c r="E882" s="78"/>
      <c r="F882" s="171"/>
      <c r="G882" s="173"/>
      <c r="H882" s="170"/>
      <c r="I882" s="171"/>
    </row>
    <row r="883" ht="14.25" customHeight="1">
      <c r="A883" s="171"/>
      <c r="B883" s="282"/>
      <c r="C883" s="305"/>
      <c r="D883" s="78"/>
      <c r="E883" s="78"/>
      <c r="F883" s="171"/>
      <c r="G883" s="173"/>
      <c r="H883" s="170"/>
      <c r="I883" s="171"/>
    </row>
    <row r="884" ht="14.25" customHeight="1">
      <c r="A884" s="171"/>
      <c r="B884" s="282"/>
      <c r="C884" s="305"/>
      <c r="D884" s="78"/>
      <c r="E884" s="78"/>
      <c r="F884" s="171"/>
      <c r="G884" s="173"/>
      <c r="H884" s="170"/>
      <c r="I884" s="171"/>
    </row>
    <row r="885" ht="14.25" customHeight="1">
      <c r="A885" s="171"/>
      <c r="B885" s="282"/>
      <c r="C885" s="305"/>
      <c r="D885" s="78"/>
      <c r="E885" s="78"/>
      <c r="F885" s="171"/>
      <c r="G885" s="173"/>
      <c r="H885" s="170"/>
      <c r="I885" s="171"/>
    </row>
    <row r="886" ht="14.25" customHeight="1">
      <c r="A886" s="171"/>
      <c r="B886" s="282"/>
      <c r="C886" s="305"/>
      <c r="D886" s="78"/>
      <c r="E886" s="78"/>
      <c r="F886" s="171"/>
      <c r="G886" s="173"/>
      <c r="H886" s="170"/>
      <c r="I886" s="171"/>
    </row>
    <row r="887" ht="14.25" customHeight="1">
      <c r="A887" s="171"/>
      <c r="B887" s="282"/>
      <c r="C887" s="305"/>
      <c r="D887" s="78"/>
      <c r="E887" s="78"/>
      <c r="F887" s="171"/>
      <c r="G887" s="173"/>
      <c r="H887" s="170"/>
      <c r="I887" s="171"/>
    </row>
    <row r="888" ht="14.25" customHeight="1">
      <c r="A888" s="171"/>
      <c r="B888" s="282"/>
      <c r="C888" s="305"/>
      <c r="D888" s="78"/>
      <c r="E888" s="78"/>
      <c r="F888" s="171"/>
      <c r="G888" s="173"/>
      <c r="H888" s="170"/>
      <c r="I888" s="171"/>
    </row>
    <row r="889" ht="14.25" customHeight="1">
      <c r="A889" s="171"/>
      <c r="B889" s="282"/>
      <c r="C889" s="305"/>
      <c r="D889" s="78"/>
      <c r="E889" s="78"/>
      <c r="F889" s="171"/>
      <c r="G889" s="173"/>
      <c r="H889" s="170"/>
      <c r="I889" s="171"/>
    </row>
    <row r="890" ht="14.25" customHeight="1">
      <c r="A890" s="171"/>
      <c r="B890" s="282"/>
      <c r="C890" s="305"/>
      <c r="D890" s="78"/>
      <c r="E890" s="78"/>
      <c r="F890" s="171"/>
      <c r="G890" s="173"/>
      <c r="H890" s="170"/>
      <c r="I890" s="171"/>
    </row>
    <row r="891" ht="14.25" customHeight="1">
      <c r="A891" s="171"/>
      <c r="B891" s="282"/>
      <c r="C891" s="305"/>
      <c r="D891" s="78"/>
      <c r="E891" s="78"/>
      <c r="F891" s="171"/>
      <c r="G891" s="173"/>
      <c r="H891" s="170"/>
      <c r="I891" s="171"/>
    </row>
    <row r="892" ht="14.25" customHeight="1">
      <c r="A892" s="171"/>
      <c r="B892" s="282"/>
      <c r="C892" s="305"/>
      <c r="D892" s="78"/>
      <c r="E892" s="78"/>
      <c r="F892" s="171"/>
      <c r="G892" s="173"/>
      <c r="H892" s="170"/>
      <c r="I892" s="171"/>
    </row>
    <row r="893" ht="14.25" customHeight="1">
      <c r="A893" s="171"/>
      <c r="B893" s="282"/>
      <c r="C893" s="305"/>
      <c r="D893" s="78"/>
      <c r="E893" s="78"/>
      <c r="F893" s="171"/>
      <c r="G893" s="173"/>
      <c r="H893" s="170"/>
      <c r="I893" s="171"/>
    </row>
    <row r="894" ht="14.25" customHeight="1">
      <c r="A894" s="171"/>
      <c r="B894" s="282"/>
      <c r="C894" s="305"/>
      <c r="D894" s="78"/>
      <c r="E894" s="78"/>
      <c r="F894" s="171"/>
      <c r="G894" s="173"/>
      <c r="H894" s="170"/>
      <c r="I894" s="171"/>
    </row>
    <row r="895" ht="14.25" customHeight="1">
      <c r="A895" s="171"/>
      <c r="B895" s="282"/>
      <c r="C895" s="305"/>
      <c r="D895" s="78"/>
      <c r="E895" s="78"/>
      <c r="F895" s="171"/>
      <c r="G895" s="173"/>
      <c r="H895" s="170"/>
      <c r="I895" s="171"/>
    </row>
    <row r="896" ht="14.25" customHeight="1">
      <c r="A896" s="171"/>
      <c r="B896" s="282"/>
      <c r="C896" s="305"/>
      <c r="D896" s="78"/>
      <c r="E896" s="78"/>
      <c r="F896" s="171"/>
      <c r="G896" s="173"/>
      <c r="H896" s="170"/>
      <c r="I896" s="171"/>
    </row>
    <row r="897" ht="14.25" customHeight="1">
      <c r="A897" s="171"/>
      <c r="B897" s="282"/>
      <c r="C897" s="305"/>
      <c r="D897" s="78"/>
      <c r="E897" s="78"/>
      <c r="F897" s="171"/>
      <c r="G897" s="173"/>
      <c r="H897" s="170"/>
      <c r="I897" s="171"/>
    </row>
    <row r="898" ht="14.25" customHeight="1">
      <c r="A898" s="171"/>
      <c r="B898" s="282"/>
      <c r="C898" s="305"/>
      <c r="D898" s="78"/>
      <c r="E898" s="78"/>
      <c r="F898" s="171"/>
      <c r="G898" s="173"/>
      <c r="H898" s="170"/>
      <c r="I898" s="171"/>
    </row>
    <row r="899" ht="14.25" customHeight="1">
      <c r="A899" s="171"/>
      <c r="B899" s="282"/>
      <c r="C899" s="305"/>
      <c r="D899" s="78"/>
      <c r="E899" s="78"/>
      <c r="F899" s="171"/>
      <c r="G899" s="173"/>
      <c r="H899" s="170"/>
      <c r="I899" s="171"/>
    </row>
    <row r="900" ht="14.25" customHeight="1">
      <c r="A900" s="171"/>
      <c r="B900" s="282"/>
      <c r="C900" s="305"/>
      <c r="D900" s="78"/>
      <c r="E900" s="78"/>
      <c r="F900" s="171"/>
      <c r="G900" s="173"/>
      <c r="H900" s="170"/>
      <c r="I900" s="171"/>
    </row>
    <row r="901" ht="14.25" customHeight="1">
      <c r="A901" s="171"/>
      <c r="B901" s="282"/>
      <c r="C901" s="305"/>
      <c r="D901" s="78"/>
      <c r="E901" s="78"/>
      <c r="F901" s="171"/>
      <c r="G901" s="173"/>
      <c r="H901" s="170"/>
      <c r="I901" s="171"/>
    </row>
    <row r="902" ht="14.25" customHeight="1">
      <c r="A902" s="171"/>
      <c r="B902" s="282"/>
      <c r="C902" s="305"/>
      <c r="D902" s="78"/>
      <c r="E902" s="78"/>
      <c r="F902" s="171"/>
      <c r="G902" s="173"/>
      <c r="H902" s="170"/>
      <c r="I902" s="171"/>
    </row>
    <row r="903" ht="14.25" customHeight="1">
      <c r="A903" s="171"/>
      <c r="B903" s="282"/>
      <c r="C903" s="305"/>
      <c r="D903" s="78"/>
      <c r="E903" s="78"/>
      <c r="F903" s="171"/>
      <c r="G903" s="173"/>
      <c r="H903" s="170"/>
      <c r="I903" s="171"/>
    </row>
    <row r="904" ht="14.25" customHeight="1">
      <c r="A904" s="171"/>
      <c r="B904" s="282"/>
      <c r="C904" s="305"/>
      <c r="D904" s="78"/>
      <c r="E904" s="78"/>
      <c r="F904" s="171"/>
      <c r="G904" s="173"/>
      <c r="H904" s="170"/>
      <c r="I904" s="171"/>
    </row>
    <row r="905" ht="14.25" customHeight="1">
      <c r="A905" s="171"/>
      <c r="B905" s="282"/>
      <c r="C905" s="305"/>
      <c r="D905" s="78"/>
      <c r="E905" s="78"/>
      <c r="F905" s="171"/>
      <c r="G905" s="173"/>
      <c r="H905" s="170"/>
      <c r="I905" s="171"/>
    </row>
    <row r="906" ht="14.25" customHeight="1">
      <c r="A906" s="171"/>
      <c r="B906" s="282"/>
      <c r="C906" s="305"/>
      <c r="D906" s="78"/>
      <c r="E906" s="78"/>
      <c r="F906" s="171"/>
      <c r="G906" s="173"/>
      <c r="H906" s="170"/>
      <c r="I906" s="171"/>
    </row>
    <row r="907" ht="14.25" customHeight="1">
      <c r="A907" s="171"/>
      <c r="B907" s="282"/>
      <c r="C907" s="305"/>
      <c r="D907" s="78"/>
      <c r="E907" s="78"/>
      <c r="F907" s="171"/>
      <c r="G907" s="173"/>
      <c r="H907" s="170"/>
      <c r="I907" s="171"/>
    </row>
    <row r="908" ht="14.25" customHeight="1">
      <c r="A908" s="171"/>
      <c r="B908" s="282"/>
      <c r="C908" s="305"/>
      <c r="D908" s="78"/>
      <c r="E908" s="78"/>
      <c r="F908" s="171"/>
      <c r="G908" s="173"/>
      <c r="H908" s="170"/>
      <c r="I908" s="171"/>
    </row>
    <row r="909" ht="14.25" customHeight="1">
      <c r="A909" s="171"/>
      <c r="B909" s="282"/>
      <c r="C909" s="305"/>
      <c r="D909" s="78"/>
      <c r="E909" s="78"/>
      <c r="F909" s="171"/>
      <c r="G909" s="173"/>
      <c r="H909" s="170"/>
      <c r="I909" s="171"/>
    </row>
    <row r="910" ht="14.25" customHeight="1">
      <c r="A910" s="171"/>
      <c r="B910" s="282"/>
      <c r="C910" s="305"/>
      <c r="D910" s="78"/>
      <c r="E910" s="78"/>
      <c r="F910" s="171"/>
      <c r="G910" s="173"/>
      <c r="H910" s="170"/>
      <c r="I910" s="171"/>
    </row>
    <row r="911" ht="14.25" customHeight="1">
      <c r="A911" s="171"/>
      <c r="B911" s="282"/>
      <c r="C911" s="305"/>
      <c r="D911" s="78"/>
      <c r="E911" s="78"/>
      <c r="F911" s="171"/>
      <c r="G911" s="173"/>
      <c r="H911" s="170"/>
      <c r="I911" s="171"/>
    </row>
    <row r="912" ht="14.25" customHeight="1">
      <c r="A912" s="171"/>
      <c r="B912" s="282"/>
      <c r="C912" s="305"/>
      <c r="D912" s="78"/>
      <c r="E912" s="78"/>
      <c r="F912" s="171"/>
      <c r="G912" s="173"/>
      <c r="H912" s="170"/>
      <c r="I912" s="171"/>
    </row>
    <row r="913" ht="14.25" customHeight="1">
      <c r="A913" s="171"/>
      <c r="B913" s="282"/>
      <c r="C913" s="305"/>
      <c r="D913" s="78"/>
      <c r="E913" s="78"/>
      <c r="F913" s="171"/>
      <c r="G913" s="173"/>
      <c r="H913" s="170"/>
      <c r="I913" s="171"/>
    </row>
    <row r="914" ht="14.25" customHeight="1">
      <c r="A914" s="171"/>
      <c r="B914" s="282"/>
      <c r="C914" s="305"/>
      <c r="D914" s="78"/>
      <c r="E914" s="78"/>
      <c r="F914" s="171"/>
      <c r="G914" s="173"/>
      <c r="H914" s="170"/>
      <c r="I914" s="171"/>
    </row>
    <row r="915" ht="14.25" customHeight="1">
      <c r="A915" s="171"/>
      <c r="B915" s="282"/>
      <c r="C915" s="305"/>
      <c r="D915" s="78"/>
      <c r="E915" s="78"/>
      <c r="F915" s="171"/>
      <c r="G915" s="173"/>
      <c r="H915" s="170"/>
      <c r="I915" s="171"/>
    </row>
    <row r="916" ht="14.25" customHeight="1">
      <c r="A916" s="171"/>
      <c r="B916" s="282"/>
      <c r="C916" s="305"/>
      <c r="D916" s="78"/>
      <c r="E916" s="78"/>
      <c r="F916" s="171"/>
      <c r="G916" s="173"/>
      <c r="H916" s="170"/>
      <c r="I916" s="171"/>
    </row>
    <row r="917" ht="14.25" customHeight="1">
      <c r="A917" s="171"/>
      <c r="B917" s="282"/>
      <c r="C917" s="305"/>
      <c r="D917" s="78"/>
      <c r="E917" s="78"/>
      <c r="F917" s="171"/>
      <c r="G917" s="173"/>
      <c r="H917" s="170"/>
      <c r="I917" s="171"/>
    </row>
    <row r="918" ht="14.25" customHeight="1">
      <c r="A918" s="171"/>
      <c r="B918" s="282"/>
      <c r="C918" s="305"/>
      <c r="D918" s="78"/>
      <c r="E918" s="78"/>
      <c r="F918" s="171"/>
      <c r="G918" s="173"/>
      <c r="H918" s="170"/>
      <c r="I918" s="171"/>
    </row>
    <row r="919" ht="14.25" customHeight="1">
      <c r="A919" s="171"/>
      <c r="B919" s="282"/>
      <c r="C919" s="305"/>
      <c r="D919" s="78"/>
      <c r="E919" s="78"/>
      <c r="F919" s="171"/>
      <c r="G919" s="173"/>
      <c r="H919" s="170"/>
      <c r="I919" s="171"/>
    </row>
    <row r="920" ht="14.25" customHeight="1">
      <c r="A920" s="171"/>
      <c r="B920" s="282"/>
      <c r="C920" s="305"/>
      <c r="D920" s="78"/>
      <c r="E920" s="78"/>
      <c r="F920" s="171"/>
      <c r="G920" s="173"/>
      <c r="H920" s="170"/>
      <c r="I920" s="171"/>
    </row>
    <row r="921" ht="14.25" customHeight="1">
      <c r="A921" s="171"/>
      <c r="B921" s="282"/>
      <c r="C921" s="305"/>
      <c r="D921" s="78"/>
      <c r="E921" s="78"/>
      <c r="F921" s="171"/>
      <c r="G921" s="173"/>
      <c r="H921" s="170"/>
      <c r="I921" s="171"/>
    </row>
    <row r="922" ht="14.25" customHeight="1">
      <c r="A922" s="171"/>
      <c r="B922" s="282"/>
      <c r="C922" s="305"/>
      <c r="D922" s="78"/>
      <c r="E922" s="78"/>
      <c r="F922" s="171"/>
      <c r="G922" s="173"/>
      <c r="H922" s="170"/>
      <c r="I922" s="171"/>
    </row>
    <row r="923" ht="14.25" customHeight="1">
      <c r="A923" s="171"/>
      <c r="B923" s="282"/>
      <c r="C923" s="305"/>
      <c r="D923" s="78"/>
      <c r="E923" s="78"/>
      <c r="F923" s="171"/>
      <c r="G923" s="173"/>
      <c r="H923" s="170"/>
      <c r="I923" s="171"/>
    </row>
    <row r="924" ht="14.25" customHeight="1">
      <c r="A924" s="171"/>
      <c r="B924" s="282"/>
      <c r="C924" s="305"/>
      <c r="D924" s="78"/>
      <c r="E924" s="78"/>
      <c r="F924" s="171"/>
      <c r="G924" s="173"/>
      <c r="H924" s="170"/>
      <c r="I924" s="171"/>
    </row>
    <row r="925" ht="14.25" customHeight="1">
      <c r="A925" s="171"/>
      <c r="B925" s="282"/>
      <c r="C925" s="305"/>
      <c r="D925" s="78"/>
      <c r="E925" s="78"/>
      <c r="F925" s="171"/>
      <c r="G925" s="173"/>
      <c r="H925" s="170"/>
      <c r="I925" s="171"/>
    </row>
    <row r="926" ht="14.25" customHeight="1">
      <c r="A926" s="171"/>
      <c r="B926" s="282"/>
      <c r="C926" s="305"/>
      <c r="D926" s="78"/>
      <c r="E926" s="78"/>
      <c r="F926" s="171"/>
      <c r="G926" s="173"/>
      <c r="H926" s="170"/>
      <c r="I926" s="171"/>
    </row>
    <row r="927" ht="14.25" customHeight="1">
      <c r="A927" s="171"/>
      <c r="B927" s="282"/>
      <c r="C927" s="305"/>
      <c r="D927" s="78"/>
      <c r="E927" s="78"/>
      <c r="F927" s="171"/>
      <c r="G927" s="173"/>
      <c r="H927" s="170"/>
      <c r="I927" s="171"/>
    </row>
    <row r="928" ht="14.25" customHeight="1">
      <c r="A928" s="171"/>
      <c r="B928" s="282"/>
      <c r="C928" s="305"/>
      <c r="D928" s="78"/>
      <c r="E928" s="78"/>
      <c r="F928" s="171"/>
      <c r="G928" s="173"/>
      <c r="H928" s="170"/>
      <c r="I928" s="171"/>
    </row>
    <row r="929" ht="14.25" customHeight="1">
      <c r="A929" s="171"/>
      <c r="B929" s="282"/>
      <c r="C929" s="305"/>
      <c r="D929" s="78"/>
      <c r="E929" s="78"/>
      <c r="F929" s="171"/>
      <c r="G929" s="173"/>
      <c r="H929" s="170"/>
      <c r="I929" s="171"/>
    </row>
    <row r="930" ht="14.25" customHeight="1">
      <c r="A930" s="171"/>
      <c r="B930" s="282"/>
      <c r="C930" s="305"/>
      <c r="D930" s="78"/>
      <c r="E930" s="78"/>
      <c r="F930" s="171"/>
      <c r="G930" s="173"/>
      <c r="H930" s="170"/>
      <c r="I930" s="171"/>
    </row>
    <row r="931" ht="14.25" customHeight="1">
      <c r="A931" s="171"/>
      <c r="B931" s="282"/>
      <c r="C931" s="305"/>
      <c r="D931" s="78"/>
      <c r="E931" s="78"/>
      <c r="F931" s="171"/>
      <c r="G931" s="173"/>
      <c r="H931" s="170"/>
      <c r="I931" s="171"/>
    </row>
    <row r="932" ht="14.25" customHeight="1">
      <c r="A932" s="171"/>
      <c r="B932" s="282"/>
      <c r="C932" s="305"/>
      <c r="D932" s="78"/>
      <c r="E932" s="78"/>
      <c r="F932" s="171"/>
      <c r="G932" s="173"/>
      <c r="H932" s="170"/>
      <c r="I932" s="171"/>
    </row>
    <row r="933" ht="14.25" customHeight="1">
      <c r="A933" s="171"/>
      <c r="B933" s="282"/>
      <c r="C933" s="305"/>
      <c r="D933" s="78"/>
      <c r="E933" s="78"/>
      <c r="F933" s="171"/>
      <c r="G933" s="173"/>
      <c r="H933" s="170"/>
      <c r="I933" s="171"/>
    </row>
    <row r="934" ht="14.25" customHeight="1">
      <c r="A934" s="171"/>
      <c r="B934" s="282"/>
      <c r="C934" s="305"/>
      <c r="D934" s="78"/>
      <c r="E934" s="78"/>
      <c r="F934" s="171"/>
      <c r="G934" s="173"/>
      <c r="H934" s="170"/>
      <c r="I934" s="171"/>
    </row>
    <row r="935" ht="14.25" customHeight="1">
      <c r="A935" s="171"/>
      <c r="B935" s="282"/>
      <c r="C935" s="305"/>
      <c r="D935" s="78"/>
      <c r="E935" s="78"/>
      <c r="F935" s="171"/>
      <c r="G935" s="173"/>
      <c r="H935" s="170"/>
      <c r="I935" s="171"/>
    </row>
    <row r="936" ht="14.25" customHeight="1">
      <c r="A936" s="171"/>
      <c r="B936" s="282"/>
      <c r="C936" s="305"/>
      <c r="D936" s="78"/>
      <c r="E936" s="78"/>
      <c r="F936" s="171"/>
      <c r="G936" s="173"/>
      <c r="H936" s="170"/>
      <c r="I936" s="171"/>
    </row>
    <row r="937" ht="14.25" customHeight="1">
      <c r="A937" s="171"/>
      <c r="B937" s="282"/>
      <c r="C937" s="305"/>
      <c r="D937" s="78"/>
      <c r="E937" s="78"/>
      <c r="F937" s="171"/>
      <c r="G937" s="173"/>
      <c r="H937" s="170"/>
      <c r="I937" s="171"/>
    </row>
    <row r="938" ht="14.25" customHeight="1">
      <c r="A938" s="171"/>
      <c r="B938" s="282"/>
      <c r="C938" s="305"/>
      <c r="D938" s="78"/>
      <c r="E938" s="78"/>
      <c r="F938" s="171"/>
      <c r="G938" s="173"/>
      <c r="H938" s="170"/>
      <c r="I938" s="171"/>
    </row>
    <row r="939" ht="14.25" customHeight="1">
      <c r="A939" s="171"/>
      <c r="B939" s="282"/>
      <c r="C939" s="305"/>
      <c r="D939" s="78"/>
      <c r="E939" s="78"/>
      <c r="F939" s="171"/>
      <c r="G939" s="173"/>
      <c r="H939" s="170"/>
      <c r="I939" s="171"/>
    </row>
    <row r="940" ht="14.25" customHeight="1">
      <c r="A940" s="171"/>
      <c r="B940" s="282"/>
      <c r="C940" s="305"/>
      <c r="D940" s="78"/>
      <c r="E940" s="78"/>
      <c r="F940" s="171"/>
      <c r="G940" s="173"/>
      <c r="H940" s="170"/>
      <c r="I940" s="171"/>
    </row>
    <row r="941" ht="14.25" customHeight="1">
      <c r="A941" s="171"/>
      <c r="B941" s="282"/>
      <c r="C941" s="305"/>
      <c r="D941" s="78"/>
      <c r="E941" s="78"/>
      <c r="F941" s="171"/>
      <c r="G941" s="173"/>
      <c r="H941" s="170"/>
      <c r="I941" s="171"/>
    </row>
    <row r="942" ht="14.25" customHeight="1">
      <c r="A942" s="171"/>
      <c r="B942" s="282"/>
      <c r="C942" s="305"/>
      <c r="D942" s="78"/>
      <c r="E942" s="78"/>
      <c r="F942" s="171"/>
      <c r="G942" s="173"/>
      <c r="H942" s="170"/>
      <c r="I942" s="171"/>
    </row>
    <row r="943" ht="14.25" customHeight="1">
      <c r="A943" s="171"/>
      <c r="B943" s="282"/>
      <c r="C943" s="305"/>
      <c r="D943" s="78"/>
      <c r="E943" s="78"/>
      <c r="F943" s="171"/>
      <c r="G943" s="173"/>
      <c r="H943" s="170"/>
      <c r="I943" s="171"/>
    </row>
    <row r="944" ht="14.25" customHeight="1">
      <c r="A944" s="171"/>
      <c r="B944" s="282"/>
      <c r="C944" s="305"/>
      <c r="D944" s="78"/>
      <c r="E944" s="78"/>
      <c r="F944" s="171"/>
      <c r="G944" s="173"/>
      <c r="H944" s="170"/>
      <c r="I944" s="171"/>
    </row>
    <row r="945" ht="14.25" customHeight="1">
      <c r="A945" s="171"/>
      <c r="B945" s="282"/>
      <c r="C945" s="305"/>
      <c r="D945" s="78"/>
      <c r="E945" s="78"/>
      <c r="F945" s="171"/>
      <c r="G945" s="173"/>
      <c r="H945" s="170"/>
      <c r="I945" s="171"/>
    </row>
    <row r="946" ht="14.25" customHeight="1">
      <c r="A946" s="171"/>
      <c r="B946" s="282"/>
      <c r="C946" s="305"/>
      <c r="D946" s="78"/>
      <c r="E946" s="78"/>
      <c r="F946" s="171"/>
      <c r="G946" s="173"/>
      <c r="H946" s="170"/>
      <c r="I946" s="171"/>
    </row>
    <row r="947" ht="14.25" customHeight="1">
      <c r="A947" s="171"/>
      <c r="B947" s="282"/>
      <c r="C947" s="305"/>
      <c r="D947" s="78"/>
      <c r="E947" s="78"/>
      <c r="F947" s="171"/>
      <c r="G947" s="173"/>
      <c r="H947" s="170"/>
      <c r="I947" s="171"/>
    </row>
    <row r="948" ht="14.25" customHeight="1">
      <c r="A948" s="171"/>
      <c r="B948" s="282"/>
      <c r="C948" s="305"/>
      <c r="D948" s="78"/>
      <c r="E948" s="78"/>
      <c r="F948" s="171"/>
      <c r="G948" s="173"/>
      <c r="H948" s="170"/>
      <c r="I948" s="171"/>
    </row>
    <row r="949" ht="14.25" customHeight="1">
      <c r="A949" s="171"/>
      <c r="B949" s="282"/>
      <c r="C949" s="305"/>
      <c r="D949" s="78"/>
      <c r="E949" s="78"/>
      <c r="F949" s="171"/>
      <c r="G949" s="173"/>
      <c r="H949" s="170"/>
      <c r="I949" s="171"/>
    </row>
    <row r="950" ht="14.25" customHeight="1">
      <c r="A950" s="171"/>
      <c r="B950" s="282"/>
      <c r="C950" s="305"/>
      <c r="D950" s="78"/>
      <c r="E950" s="78"/>
      <c r="F950" s="171"/>
      <c r="G950" s="173"/>
      <c r="H950" s="170"/>
      <c r="I950" s="171"/>
    </row>
    <row r="951" ht="14.25" customHeight="1">
      <c r="A951" s="171"/>
      <c r="B951" s="282"/>
      <c r="C951" s="305"/>
      <c r="D951" s="78"/>
      <c r="E951" s="78"/>
      <c r="F951" s="171"/>
      <c r="G951" s="173"/>
      <c r="H951" s="170"/>
      <c r="I951" s="171"/>
    </row>
    <row r="952" ht="14.25" customHeight="1">
      <c r="A952" s="171"/>
      <c r="B952" s="282"/>
      <c r="C952" s="305"/>
      <c r="D952" s="78"/>
      <c r="E952" s="78"/>
      <c r="F952" s="171"/>
      <c r="G952" s="173"/>
      <c r="H952" s="170"/>
      <c r="I952" s="171"/>
    </row>
    <row r="953" ht="14.25" customHeight="1">
      <c r="A953" s="171"/>
      <c r="B953" s="282"/>
      <c r="C953" s="305"/>
      <c r="D953" s="78"/>
      <c r="E953" s="78"/>
      <c r="F953" s="171"/>
      <c r="G953" s="173"/>
      <c r="H953" s="170"/>
      <c r="I953" s="171"/>
    </row>
    <row r="954" ht="14.25" customHeight="1">
      <c r="A954" s="171"/>
      <c r="B954" s="282"/>
      <c r="C954" s="305"/>
      <c r="D954" s="78"/>
      <c r="E954" s="78"/>
      <c r="F954" s="171"/>
      <c r="G954" s="173"/>
      <c r="H954" s="170"/>
      <c r="I954" s="171"/>
    </row>
    <row r="955" ht="14.25" customHeight="1">
      <c r="A955" s="171"/>
      <c r="B955" s="282"/>
      <c r="C955" s="305"/>
      <c r="D955" s="78"/>
      <c r="E955" s="78"/>
      <c r="F955" s="171"/>
      <c r="G955" s="173"/>
      <c r="H955" s="170"/>
      <c r="I955" s="171"/>
    </row>
    <row r="956" ht="14.25" customHeight="1">
      <c r="A956" s="171"/>
      <c r="B956" s="282"/>
      <c r="C956" s="305"/>
      <c r="D956" s="78"/>
      <c r="E956" s="78"/>
      <c r="F956" s="171"/>
      <c r="G956" s="173"/>
      <c r="H956" s="170"/>
      <c r="I956" s="171"/>
    </row>
    <row r="957" ht="14.25" customHeight="1">
      <c r="A957" s="171"/>
      <c r="B957" s="282"/>
      <c r="C957" s="305"/>
      <c r="D957" s="78"/>
      <c r="E957" s="78"/>
      <c r="F957" s="171"/>
      <c r="G957" s="173"/>
      <c r="H957" s="170"/>
      <c r="I957" s="171"/>
    </row>
    <row r="958" ht="14.25" customHeight="1">
      <c r="A958" s="171"/>
      <c r="B958" s="282"/>
      <c r="C958" s="305"/>
      <c r="D958" s="78"/>
      <c r="E958" s="78"/>
      <c r="F958" s="171"/>
      <c r="G958" s="173"/>
      <c r="H958" s="170"/>
      <c r="I958" s="171"/>
    </row>
    <row r="959" ht="14.25" customHeight="1">
      <c r="A959" s="171"/>
      <c r="B959" s="282"/>
      <c r="C959" s="305"/>
      <c r="D959" s="78"/>
      <c r="E959" s="78"/>
      <c r="F959" s="171"/>
      <c r="G959" s="173"/>
      <c r="H959" s="170"/>
      <c r="I959" s="171"/>
    </row>
    <row r="960" ht="14.25" customHeight="1">
      <c r="A960" s="171"/>
      <c r="B960" s="282"/>
      <c r="C960" s="305"/>
      <c r="D960" s="78"/>
      <c r="E960" s="78"/>
      <c r="F960" s="171"/>
      <c r="G960" s="173"/>
      <c r="H960" s="170"/>
      <c r="I960" s="171"/>
    </row>
    <row r="961" ht="14.25" customHeight="1">
      <c r="A961" s="171"/>
      <c r="B961" s="282"/>
      <c r="C961" s="305"/>
      <c r="D961" s="78"/>
      <c r="E961" s="78"/>
      <c r="F961" s="171"/>
      <c r="G961" s="173"/>
      <c r="H961" s="170"/>
      <c r="I961" s="171"/>
    </row>
    <row r="962" ht="14.25" customHeight="1">
      <c r="A962" s="171"/>
      <c r="B962" s="282"/>
      <c r="C962" s="305"/>
      <c r="D962" s="78"/>
      <c r="E962" s="78"/>
      <c r="F962" s="171"/>
      <c r="G962" s="173"/>
      <c r="H962" s="170"/>
      <c r="I962" s="171"/>
    </row>
    <row r="963" ht="14.25" customHeight="1">
      <c r="A963" s="171"/>
      <c r="B963" s="282"/>
      <c r="C963" s="305"/>
      <c r="D963" s="78"/>
      <c r="E963" s="78"/>
      <c r="F963" s="171"/>
      <c r="G963" s="173"/>
      <c r="H963" s="170"/>
      <c r="I963" s="171"/>
    </row>
    <row r="964" ht="14.25" customHeight="1">
      <c r="A964" s="171"/>
      <c r="B964" s="282"/>
      <c r="C964" s="305"/>
      <c r="D964" s="78"/>
      <c r="E964" s="78"/>
      <c r="F964" s="171"/>
      <c r="G964" s="173"/>
      <c r="H964" s="170"/>
      <c r="I964" s="171"/>
    </row>
    <row r="965" ht="14.25" customHeight="1">
      <c r="A965" s="171"/>
      <c r="B965" s="282"/>
      <c r="C965" s="305"/>
      <c r="D965" s="78"/>
      <c r="E965" s="78"/>
      <c r="F965" s="171"/>
      <c r="G965" s="173"/>
      <c r="H965" s="170"/>
      <c r="I965" s="171"/>
    </row>
    <row r="966" ht="14.25" customHeight="1">
      <c r="A966" s="171"/>
      <c r="B966" s="282"/>
      <c r="C966" s="305"/>
      <c r="D966" s="78"/>
      <c r="E966" s="78"/>
      <c r="F966" s="171"/>
      <c r="G966" s="173"/>
      <c r="H966" s="170"/>
      <c r="I966" s="171"/>
    </row>
    <row r="967" ht="14.25" customHeight="1">
      <c r="A967" s="171"/>
      <c r="B967" s="282"/>
      <c r="C967" s="305"/>
      <c r="D967" s="78"/>
      <c r="E967" s="78"/>
      <c r="F967" s="171"/>
      <c r="G967" s="173"/>
      <c r="H967" s="170"/>
      <c r="I967" s="171"/>
    </row>
    <row r="968" ht="14.25" customHeight="1">
      <c r="A968" s="171"/>
      <c r="B968" s="282"/>
      <c r="C968" s="305"/>
      <c r="D968" s="78"/>
      <c r="E968" s="78"/>
      <c r="F968" s="171"/>
      <c r="G968" s="173"/>
      <c r="H968" s="170"/>
      <c r="I968" s="171"/>
    </row>
    <row r="969" ht="14.25" customHeight="1">
      <c r="A969" s="171"/>
      <c r="B969" s="282"/>
      <c r="C969" s="305"/>
      <c r="D969" s="78"/>
      <c r="E969" s="78"/>
      <c r="F969" s="171"/>
      <c r="G969" s="173"/>
      <c r="H969" s="170"/>
      <c r="I969" s="171"/>
    </row>
    <row r="970" ht="14.25" customHeight="1">
      <c r="A970" s="171"/>
      <c r="B970" s="282"/>
      <c r="C970" s="305"/>
      <c r="D970" s="78"/>
      <c r="E970" s="78"/>
      <c r="F970" s="171"/>
      <c r="G970" s="173"/>
      <c r="H970" s="170"/>
      <c r="I970" s="171"/>
    </row>
    <row r="971" ht="14.25" customHeight="1">
      <c r="A971" s="171"/>
      <c r="B971" s="282"/>
      <c r="C971" s="305"/>
      <c r="D971" s="78"/>
      <c r="E971" s="78"/>
      <c r="F971" s="171"/>
      <c r="G971" s="173"/>
      <c r="H971" s="170"/>
      <c r="I971" s="171"/>
    </row>
    <row r="972" ht="14.25" customHeight="1">
      <c r="A972" s="171"/>
      <c r="B972" s="282"/>
      <c r="C972" s="305"/>
      <c r="D972" s="78"/>
      <c r="E972" s="78"/>
      <c r="F972" s="171"/>
      <c r="G972" s="173"/>
      <c r="H972" s="170"/>
      <c r="I972" s="171"/>
    </row>
    <row r="973" ht="14.25" customHeight="1">
      <c r="A973" s="171"/>
      <c r="B973" s="282"/>
      <c r="C973" s="305"/>
      <c r="D973" s="78"/>
      <c r="E973" s="78"/>
      <c r="F973" s="171"/>
      <c r="G973" s="173"/>
      <c r="H973" s="170"/>
      <c r="I973" s="171"/>
    </row>
    <row r="974" ht="14.25" customHeight="1">
      <c r="A974" s="171"/>
      <c r="B974" s="282"/>
      <c r="C974" s="305"/>
      <c r="D974" s="78"/>
      <c r="E974" s="78"/>
      <c r="F974" s="171"/>
      <c r="G974" s="173"/>
      <c r="H974" s="170"/>
      <c r="I974" s="171"/>
    </row>
    <row r="975" ht="14.25" customHeight="1">
      <c r="A975" s="171"/>
      <c r="B975" s="282"/>
      <c r="C975" s="305"/>
      <c r="D975" s="78"/>
      <c r="E975" s="78"/>
      <c r="F975" s="171"/>
      <c r="G975" s="173"/>
      <c r="H975" s="170"/>
      <c r="I975" s="171"/>
    </row>
    <row r="976" ht="14.25" customHeight="1">
      <c r="A976" s="171"/>
      <c r="B976" s="282"/>
      <c r="C976" s="305"/>
      <c r="D976" s="78"/>
      <c r="E976" s="78"/>
      <c r="F976" s="171"/>
      <c r="G976" s="173"/>
      <c r="H976" s="170"/>
      <c r="I976" s="171"/>
    </row>
    <row r="977" ht="14.25" customHeight="1">
      <c r="A977" s="171"/>
      <c r="B977" s="282"/>
      <c r="C977" s="305"/>
      <c r="D977" s="78"/>
      <c r="E977" s="78"/>
      <c r="F977" s="171"/>
      <c r="G977" s="173"/>
      <c r="H977" s="170"/>
      <c r="I977" s="171"/>
    </row>
    <row r="978" ht="14.25" customHeight="1">
      <c r="A978" s="171"/>
      <c r="B978" s="282"/>
      <c r="C978" s="305"/>
      <c r="D978" s="78"/>
      <c r="E978" s="78"/>
      <c r="F978" s="171"/>
      <c r="G978" s="173"/>
      <c r="H978" s="170"/>
      <c r="I978" s="171"/>
    </row>
    <row r="979" ht="14.25" customHeight="1">
      <c r="A979" s="171"/>
      <c r="B979" s="282"/>
      <c r="C979" s="305"/>
      <c r="D979" s="78"/>
      <c r="E979" s="78"/>
      <c r="F979" s="171"/>
      <c r="G979" s="173"/>
      <c r="H979" s="170"/>
      <c r="I979" s="171"/>
    </row>
    <row r="980" ht="14.25" customHeight="1">
      <c r="A980" s="171"/>
      <c r="B980" s="282"/>
      <c r="C980" s="305"/>
      <c r="D980" s="78"/>
      <c r="E980" s="78"/>
      <c r="F980" s="171"/>
      <c r="G980" s="173"/>
      <c r="H980" s="170"/>
      <c r="I980" s="171"/>
    </row>
    <row r="981" ht="14.25" customHeight="1">
      <c r="A981" s="171"/>
      <c r="B981" s="282"/>
      <c r="C981" s="305"/>
      <c r="D981" s="78"/>
      <c r="E981" s="78"/>
      <c r="F981" s="171"/>
      <c r="G981" s="173"/>
      <c r="H981" s="170"/>
      <c r="I981" s="171"/>
    </row>
    <row r="982" ht="14.25" customHeight="1">
      <c r="A982" s="171"/>
      <c r="B982" s="282"/>
      <c r="C982" s="305"/>
      <c r="D982" s="78"/>
      <c r="E982" s="78"/>
      <c r="F982" s="171"/>
      <c r="G982" s="173"/>
      <c r="H982" s="170"/>
      <c r="I982" s="171"/>
    </row>
    <row r="983" ht="14.25" customHeight="1">
      <c r="A983" s="171"/>
      <c r="B983" s="282"/>
      <c r="C983" s="305"/>
      <c r="D983" s="78"/>
      <c r="E983" s="78"/>
      <c r="F983" s="171"/>
      <c r="G983" s="173"/>
      <c r="H983" s="170"/>
      <c r="I983" s="171"/>
    </row>
    <row r="984" ht="14.25" customHeight="1">
      <c r="A984" s="171"/>
      <c r="B984" s="282"/>
      <c r="C984" s="305"/>
      <c r="D984" s="78"/>
      <c r="E984" s="78"/>
      <c r="F984" s="171"/>
      <c r="G984" s="173"/>
      <c r="H984" s="170"/>
      <c r="I984" s="171"/>
    </row>
    <row r="985" ht="14.25" customHeight="1">
      <c r="A985" s="171"/>
      <c r="B985" s="282"/>
      <c r="C985" s="305"/>
      <c r="D985" s="78"/>
      <c r="E985" s="78"/>
      <c r="F985" s="171"/>
      <c r="G985" s="173"/>
      <c r="H985" s="170"/>
      <c r="I985" s="171"/>
    </row>
    <row r="986" ht="14.25" customHeight="1">
      <c r="A986" s="171"/>
      <c r="B986" s="282"/>
      <c r="C986" s="305"/>
      <c r="D986" s="78"/>
      <c r="E986" s="78"/>
      <c r="F986" s="171"/>
      <c r="G986" s="173"/>
      <c r="H986" s="170"/>
      <c r="I986" s="171"/>
    </row>
    <row r="987" ht="14.25" customHeight="1">
      <c r="A987" s="171"/>
      <c r="B987" s="282"/>
      <c r="C987" s="305"/>
      <c r="D987" s="78"/>
      <c r="E987" s="78"/>
      <c r="F987" s="171"/>
      <c r="G987" s="173"/>
      <c r="H987" s="170"/>
      <c r="I987" s="171"/>
    </row>
    <row r="988" ht="14.25" customHeight="1">
      <c r="A988" s="171"/>
      <c r="B988" s="282"/>
      <c r="C988" s="305"/>
      <c r="D988" s="78"/>
      <c r="E988" s="78"/>
      <c r="F988" s="171"/>
      <c r="G988" s="173"/>
      <c r="H988" s="170"/>
      <c r="I988" s="171"/>
    </row>
    <row r="989" ht="14.25" customHeight="1">
      <c r="A989" s="171"/>
      <c r="B989" s="282"/>
      <c r="C989" s="305"/>
      <c r="D989" s="78"/>
      <c r="E989" s="78"/>
      <c r="F989" s="171"/>
      <c r="G989" s="173"/>
      <c r="H989" s="170"/>
      <c r="I989" s="171"/>
    </row>
    <row r="990" ht="14.25" customHeight="1">
      <c r="A990" s="171"/>
      <c r="B990" s="282"/>
      <c r="C990" s="305"/>
      <c r="D990" s="78"/>
      <c r="E990" s="78"/>
      <c r="F990" s="171"/>
      <c r="G990" s="173"/>
      <c r="H990" s="170"/>
      <c r="I990" s="171"/>
    </row>
    <row r="991" ht="14.25" customHeight="1">
      <c r="A991" s="171"/>
      <c r="B991" s="282"/>
      <c r="C991" s="305"/>
      <c r="D991" s="78"/>
      <c r="E991" s="78"/>
      <c r="F991" s="171"/>
      <c r="G991" s="173"/>
      <c r="H991" s="170"/>
      <c r="I991" s="171"/>
    </row>
    <row r="992" ht="14.25" customHeight="1">
      <c r="A992" s="171"/>
      <c r="B992" s="282"/>
      <c r="C992" s="305"/>
      <c r="D992" s="78"/>
      <c r="E992" s="78"/>
      <c r="F992" s="171"/>
      <c r="G992" s="173"/>
      <c r="H992" s="170"/>
      <c r="I992" s="171"/>
    </row>
    <row r="993" ht="14.25" customHeight="1">
      <c r="A993" s="171"/>
      <c r="B993" s="282"/>
      <c r="C993" s="305"/>
      <c r="D993" s="78"/>
      <c r="E993" s="78"/>
      <c r="F993" s="171"/>
      <c r="G993" s="173"/>
      <c r="H993" s="170"/>
      <c r="I993" s="171"/>
    </row>
    <row r="994" ht="14.25" customHeight="1">
      <c r="A994" s="171"/>
      <c r="B994" s="282"/>
      <c r="C994" s="305"/>
      <c r="D994" s="78"/>
      <c r="E994" s="78"/>
      <c r="F994" s="171"/>
      <c r="G994" s="173"/>
      <c r="H994" s="170"/>
      <c r="I994" s="171"/>
    </row>
    <row r="995" ht="14.25" customHeight="1">
      <c r="A995" s="171"/>
      <c r="B995" s="282"/>
      <c r="C995" s="305"/>
      <c r="D995" s="78"/>
      <c r="E995" s="78"/>
      <c r="F995" s="171"/>
      <c r="G995" s="173"/>
      <c r="H995" s="170"/>
      <c r="I995" s="171"/>
    </row>
    <row r="996" ht="14.25" customHeight="1">
      <c r="A996" s="171"/>
      <c r="B996" s="282"/>
      <c r="C996" s="305"/>
      <c r="D996" s="78"/>
      <c r="E996" s="78"/>
      <c r="F996" s="171"/>
      <c r="G996" s="173"/>
      <c r="H996" s="170"/>
      <c r="I996" s="171"/>
    </row>
    <row r="997" ht="14.25" customHeight="1">
      <c r="A997" s="171"/>
      <c r="B997" s="282"/>
      <c r="C997" s="305"/>
      <c r="D997" s="78"/>
      <c r="E997" s="78"/>
      <c r="F997" s="171"/>
      <c r="G997" s="173"/>
      <c r="H997" s="170"/>
      <c r="I997" s="171"/>
    </row>
    <row r="998" ht="14.25" customHeight="1">
      <c r="A998" s="171"/>
      <c r="B998" s="282"/>
      <c r="C998" s="305"/>
      <c r="D998" s="78"/>
      <c r="E998" s="78"/>
      <c r="F998" s="171"/>
      <c r="G998" s="173"/>
      <c r="H998" s="170"/>
      <c r="I998" s="171"/>
    </row>
    <row r="999" ht="14.25" customHeight="1">
      <c r="A999" s="171"/>
      <c r="B999" s="282"/>
      <c r="C999" s="305"/>
      <c r="D999" s="78"/>
      <c r="E999" s="78"/>
      <c r="F999" s="171"/>
      <c r="G999" s="173"/>
      <c r="H999" s="170"/>
      <c r="I999" s="171"/>
    </row>
    <row r="1000" ht="14.25" customHeight="1">
      <c r="A1000" s="171"/>
      <c r="B1000" s="282"/>
      <c r="C1000" s="305"/>
      <c r="D1000" s="78"/>
      <c r="E1000" s="78"/>
      <c r="F1000" s="171"/>
      <c r="G1000" s="173"/>
      <c r="H1000" s="170"/>
      <c r="I1000" s="171"/>
    </row>
    <row r="1001" ht="14.25" customHeight="1">
      <c r="A1001" s="171"/>
      <c r="B1001" s="282"/>
      <c r="C1001" s="305"/>
      <c r="D1001" s="78"/>
      <c r="E1001" s="78"/>
      <c r="F1001" s="171"/>
      <c r="G1001" s="173"/>
      <c r="H1001" s="170"/>
      <c r="I1001" s="171"/>
    </row>
    <row r="1002" ht="14.25" customHeight="1">
      <c r="A1002" s="171"/>
      <c r="B1002" s="282"/>
      <c r="C1002" s="305"/>
      <c r="D1002" s="78"/>
      <c r="E1002" s="78"/>
      <c r="F1002" s="171"/>
      <c r="G1002" s="173"/>
      <c r="H1002" s="170"/>
      <c r="I1002" s="171"/>
    </row>
    <row r="1003" ht="14.25" customHeight="1">
      <c r="A1003" s="171"/>
      <c r="B1003" s="282"/>
      <c r="C1003" s="305"/>
      <c r="D1003" s="78"/>
      <c r="E1003" s="78"/>
      <c r="F1003" s="171"/>
      <c r="G1003" s="173"/>
      <c r="H1003" s="170"/>
      <c r="I1003" s="171"/>
    </row>
  </sheetData>
  <mergeCells count="11">
    <mergeCell ref="B5:D5"/>
    <mergeCell ref="B6:D6"/>
    <mergeCell ref="F6:G6"/>
    <mergeCell ref="F43:I43"/>
    <mergeCell ref="A1:G1"/>
    <mergeCell ref="C2:D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14"/>
    <col customWidth="1" min="6" max="6" width="19.29"/>
    <col customWidth="1" min="7" max="7" width="26.0"/>
    <col customWidth="1" min="8" max="8" width="12.86"/>
    <col customWidth="1" min="9" max="28" width="8.71"/>
  </cols>
  <sheetData>
    <row r="1" ht="32.25" customHeight="1">
      <c r="A1" s="105" t="s">
        <v>42</v>
      </c>
      <c r="H1" s="170"/>
      <c r="I1" s="171"/>
    </row>
    <row r="2" ht="24.75" customHeight="1">
      <c r="A2" s="282"/>
      <c r="B2" s="282"/>
      <c r="C2" s="312" t="s">
        <v>43</v>
      </c>
      <c r="F2" s="171"/>
      <c r="G2" s="173"/>
      <c r="H2" s="170"/>
      <c r="I2" s="171"/>
    </row>
    <row r="3" ht="14.25" customHeight="1">
      <c r="A3" s="313" t="s">
        <v>44</v>
      </c>
      <c r="B3" s="175" t="s">
        <v>1079</v>
      </c>
      <c r="E3" s="174" t="s">
        <v>46</v>
      </c>
      <c r="F3" s="175" t="s">
        <v>1080</v>
      </c>
      <c r="H3" s="170"/>
      <c r="I3" s="171"/>
    </row>
    <row r="4" ht="14.25" customHeight="1">
      <c r="A4" s="313" t="s">
        <v>48</v>
      </c>
      <c r="B4" s="175" t="s">
        <v>1081</v>
      </c>
      <c r="E4" s="174" t="s">
        <v>105</v>
      </c>
      <c r="F4" s="175">
        <v>7.607276100273E12</v>
      </c>
      <c r="H4" s="170"/>
      <c r="I4" s="171"/>
    </row>
    <row r="5" ht="14.25" customHeight="1">
      <c r="A5" s="313" t="s">
        <v>51</v>
      </c>
      <c r="B5" s="175" t="s">
        <v>231</v>
      </c>
      <c r="E5" s="174" t="s">
        <v>53</v>
      </c>
      <c r="F5" s="175" t="s">
        <v>1081</v>
      </c>
      <c r="H5" s="170"/>
      <c r="I5" s="171"/>
    </row>
    <row r="6" ht="14.25" customHeight="1">
      <c r="A6" s="313" t="s">
        <v>54</v>
      </c>
      <c r="B6" s="175">
        <v>283164.0</v>
      </c>
      <c r="E6" s="174" t="s">
        <v>55</v>
      </c>
      <c r="F6" s="175" t="s">
        <v>1082</v>
      </c>
      <c r="H6" s="170"/>
      <c r="I6" s="171"/>
    </row>
    <row r="7" ht="14.25" customHeight="1">
      <c r="A7" s="282"/>
      <c r="B7" s="282"/>
      <c r="C7" s="282"/>
      <c r="D7" s="314"/>
      <c r="E7" s="171"/>
      <c r="F7" s="171"/>
      <c r="G7" s="173"/>
      <c r="H7" s="170"/>
      <c r="I7" s="171"/>
    </row>
    <row r="8" ht="14.25" customHeight="1">
      <c r="A8" s="282"/>
      <c r="B8" s="282"/>
      <c r="C8" s="282"/>
      <c r="D8" s="314"/>
      <c r="E8" s="171"/>
      <c r="F8" s="171"/>
      <c r="G8" s="173"/>
      <c r="H8" s="170"/>
      <c r="I8" s="171"/>
    </row>
    <row r="9" ht="14.25" customHeight="1">
      <c r="A9" s="108" t="s">
        <v>56</v>
      </c>
      <c r="B9" s="108" t="s">
        <v>107</v>
      </c>
      <c r="C9" s="109" t="s">
        <v>58</v>
      </c>
      <c r="D9" s="315" t="s">
        <v>59</v>
      </c>
      <c r="E9" s="107" t="s">
        <v>60</v>
      </c>
      <c r="F9" s="107" t="s">
        <v>61</v>
      </c>
      <c r="G9" s="110" t="s">
        <v>62</v>
      </c>
      <c r="H9" s="111" t="s">
        <v>63</v>
      </c>
      <c r="I9" s="107" t="s">
        <v>64</v>
      </c>
    </row>
    <row r="10" ht="14.25" customHeight="1">
      <c r="A10" s="112" t="s">
        <v>1083</v>
      </c>
      <c r="B10" s="123">
        <v>7.6221774E7</v>
      </c>
      <c r="C10" s="127">
        <v>44996.0</v>
      </c>
      <c r="D10" s="307" t="s">
        <v>1084</v>
      </c>
      <c r="E10" s="123" t="s">
        <v>1085</v>
      </c>
      <c r="F10" s="116">
        <v>1.0</v>
      </c>
      <c r="G10" s="117">
        <v>1.0</v>
      </c>
      <c r="H10" s="118">
        <f t="shared" ref="H10:H50" si="1">G10*200</f>
        <v>200</v>
      </c>
      <c r="I10" s="119"/>
    </row>
    <row r="11" ht="14.25" customHeight="1">
      <c r="A11" s="135" t="s">
        <v>1086</v>
      </c>
      <c r="B11" s="123">
        <v>7.6966623E7</v>
      </c>
      <c r="C11" s="127">
        <v>44996.0</v>
      </c>
      <c r="D11" s="307" t="s">
        <v>1087</v>
      </c>
      <c r="E11" s="123" t="s">
        <v>1088</v>
      </c>
      <c r="F11" s="121">
        <v>2.0</v>
      </c>
      <c r="G11" s="117">
        <v>2.0</v>
      </c>
      <c r="H11" s="118">
        <f t="shared" si="1"/>
        <v>400</v>
      </c>
      <c r="I11" s="119"/>
    </row>
    <row r="12" ht="14.25" customHeight="1">
      <c r="A12" s="135" t="s">
        <v>1089</v>
      </c>
      <c r="B12" s="135">
        <v>7.6191195E7</v>
      </c>
      <c r="C12" s="127">
        <v>45088.0</v>
      </c>
      <c r="D12" s="307" t="s">
        <v>1090</v>
      </c>
      <c r="E12" s="123" t="s">
        <v>293</v>
      </c>
      <c r="F12" s="121">
        <v>1.0</v>
      </c>
      <c r="G12" s="309">
        <v>1.0</v>
      </c>
      <c r="H12" s="118">
        <f t="shared" si="1"/>
        <v>200</v>
      </c>
      <c r="I12" s="119"/>
    </row>
    <row r="13" ht="14.25" customHeight="1">
      <c r="A13" s="135" t="s">
        <v>1091</v>
      </c>
      <c r="B13" s="123">
        <v>7.6988006E7</v>
      </c>
      <c r="C13" s="133">
        <v>45088.0</v>
      </c>
      <c r="D13" s="113" t="s">
        <v>1092</v>
      </c>
      <c r="E13" s="307" t="s">
        <v>296</v>
      </c>
      <c r="F13" s="121">
        <v>2.0</v>
      </c>
      <c r="G13" s="117">
        <v>2.0</v>
      </c>
      <c r="H13" s="118">
        <f t="shared" si="1"/>
        <v>400</v>
      </c>
      <c r="I13" s="119"/>
    </row>
    <row r="14" ht="14.25" customHeight="1">
      <c r="A14" s="135" t="s">
        <v>1093</v>
      </c>
      <c r="B14" s="123">
        <v>7.857865E7</v>
      </c>
      <c r="C14" s="133">
        <v>45088.0</v>
      </c>
      <c r="D14" s="123" t="s">
        <v>1094</v>
      </c>
      <c r="E14" s="123" t="s">
        <v>1095</v>
      </c>
      <c r="F14" s="121">
        <v>1.0</v>
      </c>
      <c r="G14" s="117">
        <v>1.0</v>
      </c>
      <c r="H14" s="118">
        <f t="shared" si="1"/>
        <v>200</v>
      </c>
      <c r="I14" s="119"/>
    </row>
    <row r="15" ht="14.25" customHeight="1">
      <c r="A15" s="137" t="s">
        <v>1096</v>
      </c>
      <c r="B15" s="123">
        <v>7.6238865E7</v>
      </c>
      <c r="C15" s="133">
        <v>45088.0</v>
      </c>
      <c r="D15" s="303" t="s">
        <v>1095</v>
      </c>
      <c r="E15" s="123" t="s">
        <v>1097</v>
      </c>
      <c r="F15" s="126">
        <v>1.0</v>
      </c>
      <c r="G15" s="117">
        <v>1.0</v>
      </c>
      <c r="H15" s="118">
        <f t="shared" si="1"/>
        <v>200</v>
      </c>
      <c r="I15" s="119"/>
    </row>
    <row r="16" ht="14.25" customHeight="1">
      <c r="A16" s="135" t="s">
        <v>68</v>
      </c>
      <c r="B16" s="112">
        <v>7.60516355E8</v>
      </c>
      <c r="C16" s="133">
        <v>45088.0</v>
      </c>
      <c r="D16" s="179" t="s">
        <v>1098</v>
      </c>
      <c r="E16" s="179" t="s">
        <v>1099</v>
      </c>
      <c r="F16" s="121">
        <v>1.0</v>
      </c>
      <c r="G16" s="117">
        <v>1.0</v>
      </c>
      <c r="H16" s="118">
        <f t="shared" si="1"/>
        <v>200</v>
      </c>
      <c r="I16" s="119"/>
    </row>
    <row r="17" ht="14.25" customHeight="1">
      <c r="A17" s="137" t="s">
        <v>1100</v>
      </c>
      <c r="B17" s="123">
        <v>7.6081026E7</v>
      </c>
      <c r="C17" s="133">
        <v>45118.0</v>
      </c>
      <c r="D17" s="179" t="s">
        <v>677</v>
      </c>
      <c r="E17" s="179" t="s">
        <v>637</v>
      </c>
      <c r="F17" s="121">
        <v>1.0</v>
      </c>
      <c r="G17" s="117">
        <v>1.0</v>
      </c>
      <c r="H17" s="118">
        <f t="shared" si="1"/>
        <v>200</v>
      </c>
      <c r="I17" s="119"/>
    </row>
    <row r="18" ht="14.25" customHeight="1">
      <c r="A18" s="135" t="s">
        <v>1101</v>
      </c>
      <c r="B18" s="123">
        <v>7.6630802E7</v>
      </c>
      <c r="C18" s="133">
        <v>45118.0</v>
      </c>
      <c r="D18" s="179" t="s">
        <v>1102</v>
      </c>
      <c r="E18" s="179" t="s">
        <v>1103</v>
      </c>
      <c r="F18" s="121">
        <v>1.0</v>
      </c>
      <c r="G18" s="117">
        <v>1.0</v>
      </c>
      <c r="H18" s="118">
        <f t="shared" si="1"/>
        <v>200</v>
      </c>
      <c r="I18" s="119"/>
    </row>
    <row r="19" ht="14.25" customHeight="1">
      <c r="A19" s="137" t="s">
        <v>1104</v>
      </c>
      <c r="B19" s="123">
        <v>7.632376E7</v>
      </c>
      <c r="C19" s="133">
        <v>45149.0</v>
      </c>
      <c r="D19" s="179" t="s">
        <v>1105</v>
      </c>
      <c r="E19" s="316" t="s">
        <v>1106</v>
      </c>
      <c r="F19" s="126">
        <v>1.0</v>
      </c>
      <c r="G19" s="117">
        <v>1.0</v>
      </c>
      <c r="H19" s="118">
        <f t="shared" si="1"/>
        <v>200</v>
      </c>
      <c r="I19" s="119"/>
    </row>
    <row r="20" ht="14.25" customHeight="1">
      <c r="A20" s="135" t="s">
        <v>1107</v>
      </c>
      <c r="B20" s="123">
        <v>7.632376E7</v>
      </c>
      <c r="C20" s="133">
        <v>45149.0</v>
      </c>
      <c r="D20" s="179" t="s">
        <v>1108</v>
      </c>
      <c r="E20" s="179" t="s">
        <v>1109</v>
      </c>
      <c r="F20" s="121">
        <v>1.0</v>
      </c>
      <c r="G20" s="117">
        <v>1.0</v>
      </c>
      <c r="H20" s="118">
        <f t="shared" si="1"/>
        <v>200</v>
      </c>
      <c r="I20" s="119"/>
    </row>
    <row r="21" ht="14.25" customHeight="1">
      <c r="A21" s="135" t="s">
        <v>1110</v>
      </c>
      <c r="B21" s="123">
        <v>7.6329227E7</v>
      </c>
      <c r="C21" s="133">
        <v>45149.0</v>
      </c>
      <c r="D21" s="179" t="s">
        <v>1111</v>
      </c>
      <c r="E21" s="179" t="s">
        <v>290</v>
      </c>
      <c r="F21" s="121">
        <v>1.0</v>
      </c>
      <c r="G21" s="117">
        <v>1.0</v>
      </c>
      <c r="H21" s="118">
        <f t="shared" si="1"/>
        <v>200</v>
      </c>
      <c r="I21" s="119"/>
    </row>
    <row r="22" ht="14.25" customHeight="1">
      <c r="A22" s="135" t="s">
        <v>1112</v>
      </c>
      <c r="B22" s="123">
        <v>7.6225385E7</v>
      </c>
      <c r="C22" s="133">
        <v>45149.0</v>
      </c>
      <c r="D22" s="179" t="s">
        <v>1113</v>
      </c>
      <c r="E22" s="179" t="s">
        <v>1114</v>
      </c>
      <c r="F22" s="121">
        <v>3.0</v>
      </c>
      <c r="G22" s="117">
        <v>3.0</v>
      </c>
      <c r="H22" s="118">
        <f t="shared" si="1"/>
        <v>600</v>
      </c>
      <c r="I22" s="119"/>
    </row>
    <row r="23" ht="14.25" customHeight="1">
      <c r="A23" s="300" t="s">
        <v>1115</v>
      </c>
      <c r="B23" s="136">
        <v>7.8450505E7</v>
      </c>
      <c r="C23" s="133">
        <v>45149.0</v>
      </c>
      <c r="D23" s="179" t="s">
        <v>1116</v>
      </c>
      <c r="E23" s="179" t="s">
        <v>326</v>
      </c>
      <c r="F23" s="121">
        <v>2.0</v>
      </c>
      <c r="G23" s="117">
        <v>2.0</v>
      </c>
      <c r="H23" s="118">
        <f t="shared" si="1"/>
        <v>400</v>
      </c>
      <c r="I23" s="119"/>
    </row>
    <row r="24" ht="14.25" customHeight="1">
      <c r="A24" s="317" t="s">
        <v>1117</v>
      </c>
      <c r="B24" s="318">
        <v>7.6589085E7</v>
      </c>
      <c r="C24" s="133">
        <v>45149.0</v>
      </c>
      <c r="D24" s="179" t="s">
        <v>1118</v>
      </c>
      <c r="E24" s="179" t="s">
        <v>1119</v>
      </c>
      <c r="F24" s="121">
        <v>1.0</v>
      </c>
      <c r="G24" s="117">
        <v>1.0</v>
      </c>
      <c r="H24" s="118">
        <f t="shared" si="1"/>
        <v>200</v>
      </c>
      <c r="I24" s="119"/>
    </row>
    <row r="25" ht="14.25" customHeight="1">
      <c r="A25" s="135" t="s">
        <v>1120</v>
      </c>
      <c r="B25" s="123">
        <v>7.615373E7</v>
      </c>
      <c r="C25" s="250" t="s">
        <v>125</v>
      </c>
      <c r="D25" s="113" t="s">
        <v>1121</v>
      </c>
      <c r="E25" s="123" t="s">
        <v>1122</v>
      </c>
      <c r="F25" s="121">
        <v>1.0</v>
      </c>
      <c r="G25" s="117">
        <v>1.0</v>
      </c>
      <c r="H25" s="118">
        <f t="shared" si="1"/>
        <v>200</v>
      </c>
      <c r="I25" s="119"/>
    </row>
    <row r="26" ht="14.25" customHeight="1">
      <c r="A26" s="135" t="s">
        <v>1123</v>
      </c>
      <c r="B26" s="112">
        <v>7.6256491E7</v>
      </c>
      <c r="C26" s="250" t="s">
        <v>125</v>
      </c>
      <c r="D26" s="179" t="s">
        <v>1124</v>
      </c>
      <c r="E26" s="179" t="s">
        <v>1125</v>
      </c>
      <c r="F26" s="121">
        <v>1.0</v>
      </c>
      <c r="G26" s="117">
        <v>1.0</v>
      </c>
      <c r="H26" s="118">
        <f t="shared" si="1"/>
        <v>200</v>
      </c>
      <c r="I26" s="119"/>
    </row>
    <row r="27" ht="14.25" customHeight="1">
      <c r="A27" s="135" t="s">
        <v>1126</v>
      </c>
      <c r="B27" s="135">
        <v>7.6051601E7</v>
      </c>
      <c r="C27" s="250" t="s">
        <v>125</v>
      </c>
      <c r="D27" s="179" t="s">
        <v>1127</v>
      </c>
      <c r="E27" s="179" t="s">
        <v>1128</v>
      </c>
      <c r="F27" s="121">
        <v>2.0</v>
      </c>
      <c r="G27" s="117">
        <v>2.0</v>
      </c>
      <c r="H27" s="118">
        <f t="shared" si="1"/>
        <v>400</v>
      </c>
      <c r="I27" s="119"/>
    </row>
    <row r="28" ht="14.25" customHeight="1">
      <c r="A28" s="135" t="s">
        <v>1129</v>
      </c>
      <c r="B28" s="135">
        <v>7.6504433E7</v>
      </c>
      <c r="C28" s="250" t="s">
        <v>129</v>
      </c>
      <c r="D28" s="179" t="s">
        <v>284</v>
      </c>
      <c r="E28" s="179" t="s">
        <v>682</v>
      </c>
      <c r="F28" s="121">
        <v>1.0</v>
      </c>
      <c r="G28" s="117">
        <v>1.0</v>
      </c>
      <c r="H28" s="118">
        <f t="shared" si="1"/>
        <v>200</v>
      </c>
      <c r="I28" s="119"/>
    </row>
    <row r="29" ht="14.25" customHeight="1">
      <c r="A29" s="135" t="s">
        <v>1130</v>
      </c>
      <c r="B29" s="136">
        <v>7.6966623E7</v>
      </c>
      <c r="C29" s="250" t="s">
        <v>129</v>
      </c>
      <c r="D29" s="179" t="s">
        <v>1131</v>
      </c>
      <c r="E29" s="179" t="s">
        <v>1132</v>
      </c>
      <c r="F29" s="121">
        <v>1.0</v>
      </c>
      <c r="G29" s="117">
        <v>1.0</v>
      </c>
      <c r="H29" s="118">
        <f t="shared" si="1"/>
        <v>200</v>
      </c>
      <c r="I29" s="119"/>
    </row>
    <row r="30" ht="14.25" customHeight="1">
      <c r="A30" s="135" t="s">
        <v>1133</v>
      </c>
      <c r="B30" s="319">
        <v>7.6512233E7</v>
      </c>
      <c r="C30" s="250" t="s">
        <v>129</v>
      </c>
      <c r="D30" s="179" t="s">
        <v>1134</v>
      </c>
      <c r="E30" s="179" t="s">
        <v>1111</v>
      </c>
      <c r="F30" s="121">
        <v>0.5</v>
      </c>
      <c r="G30" s="117">
        <v>0.5</v>
      </c>
      <c r="H30" s="118">
        <f t="shared" si="1"/>
        <v>100</v>
      </c>
      <c r="I30" s="119"/>
    </row>
    <row r="31" ht="14.25" customHeight="1">
      <c r="A31" s="320" t="s">
        <v>1135</v>
      </c>
      <c r="B31" s="320">
        <v>7.6178985E7</v>
      </c>
      <c r="C31" s="250" t="s">
        <v>129</v>
      </c>
      <c r="D31" s="179" t="s">
        <v>683</v>
      </c>
      <c r="E31" s="179" t="s">
        <v>677</v>
      </c>
      <c r="F31" s="121">
        <v>1.0</v>
      </c>
      <c r="G31" s="117">
        <v>1.0</v>
      </c>
      <c r="H31" s="118">
        <f t="shared" si="1"/>
        <v>200</v>
      </c>
      <c r="I31" s="119"/>
    </row>
    <row r="32" ht="14.25" customHeight="1">
      <c r="A32" s="137" t="s">
        <v>1136</v>
      </c>
      <c r="B32" s="137">
        <v>7.6052208E7</v>
      </c>
      <c r="C32" s="250" t="s">
        <v>129</v>
      </c>
      <c r="D32" s="179" t="s">
        <v>1137</v>
      </c>
      <c r="E32" s="179" t="s">
        <v>1138</v>
      </c>
      <c r="F32" s="116">
        <v>1.0</v>
      </c>
      <c r="G32" s="117">
        <v>1.0</v>
      </c>
      <c r="H32" s="118">
        <f t="shared" si="1"/>
        <v>200</v>
      </c>
      <c r="I32" s="119"/>
    </row>
    <row r="33" ht="14.25" customHeight="1">
      <c r="A33" s="137" t="s">
        <v>1139</v>
      </c>
      <c r="B33" s="137">
        <v>7.6229098E7</v>
      </c>
      <c r="C33" s="250" t="s">
        <v>129</v>
      </c>
      <c r="D33" s="179" t="s">
        <v>1140</v>
      </c>
      <c r="E33" s="179" t="s">
        <v>1092</v>
      </c>
      <c r="F33" s="116">
        <v>1.0</v>
      </c>
      <c r="G33" s="117">
        <v>1.0</v>
      </c>
      <c r="H33" s="118">
        <f t="shared" si="1"/>
        <v>200</v>
      </c>
      <c r="I33" s="119"/>
    </row>
    <row r="34" ht="14.25" customHeight="1">
      <c r="A34" s="135" t="s">
        <v>238</v>
      </c>
      <c r="B34" s="135">
        <v>7.6051633E7</v>
      </c>
      <c r="C34" s="250" t="s">
        <v>129</v>
      </c>
      <c r="D34" s="179" t="s">
        <v>639</v>
      </c>
      <c r="E34" s="179" t="s">
        <v>1141</v>
      </c>
      <c r="F34" s="116">
        <v>1.5</v>
      </c>
      <c r="G34" s="117">
        <v>1.5</v>
      </c>
      <c r="H34" s="118">
        <f t="shared" si="1"/>
        <v>300</v>
      </c>
      <c r="I34" s="119"/>
    </row>
    <row r="35" ht="14.25" customHeight="1">
      <c r="A35" s="137" t="s">
        <v>1142</v>
      </c>
      <c r="B35" s="137">
        <v>7.6773506E7</v>
      </c>
      <c r="C35" s="250" t="s">
        <v>361</v>
      </c>
      <c r="D35" s="179" t="s">
        <v>682</v>
      </c>
      <c r="E35" s="179" t="s">
        <v>676</v>
      </c>
      <c r="F35" s="116">
        <v>1.0</v>
      </c>
      <c r="G35" s="117">
        <v>1.0</v>
      </c>
      <c r="H35" s="118">
        <f t="shared" si="1"/>
        <v>200</v>
      </c>
      <c r="I35" s="119"/>
    </row>
    <row r="36" ht="14.25" customHeight="1">
      <c r="A36" s="135" t="s">
        <v>1143</v>
      </c>
      <c r="B36" s="135">
        <v>7.6589085E7</v>
      </c>
      <c r="C36" s="250" t="s">
        <v>361</v>
      </c>
      <c r="D36" s="179" t="s">
        <v>1134</v>
      </c>
      <c r="E36" s="179" t="s">
        <v>1144</v>
      </c>
      <c r="F36" s="116">
        <v>1.0</v>
      </c>
      <c r="G36" s="117">
        <v>1.0</v>
      </c>
      <c r="H36" s="118">
        <f t="shared" si="1"/>
        <v>200</v>
      </c>
      <c r="I36" s="119"/>
    </row>
    <row r="37" ht="14.25" customHeight="1">
      <c r="A37" s="135" t="s">
        <v>1145</v>
      </c>
      <c r="B37" s="321">
        <v>7.6337178E7</v>
      </c>
      <c r="C37" s="250" t="s">
        <v>361</v>
      </c>
      <c r="D37" s="179" t="s">
        <v>686</v>
      </c>
      <c r="E37" s="179" t="s">
        <v>889</v>
      </c>
      <c r="F37" s="116">
        <v>1.0</v>
      </c>
      <c r="G37" s="117">
        <v>1.0</v>
      </c>
      <c r="H37" s="118">
        <f t="shared" si="1"/>
        <v>200</v>
      </c>
      <c r="I37" s="119"/>
    </row>
    <row r="38" ht="14.25" customHeight="1">
      <c r="A38" s="135" t="s">
        <v>1146</v>
      </c>
      <c r="B38" s="319">
        <v>7.6513533E7</v>
      </c>
      <c r="C38" s="250" t="s">
        <v>361</v>
      </c>
      <c r="D38" s="179" t="s">
        <v>1147</v>
      </c>
      <c r="E38" s="179" t="s">
        <v>1148</v>
      </c>
      <c r="F38" s="116">
        <v>1.0</v>
      </c>
      <c r="G38" s="117">
        <v>1.0</v>
      </c>
      <c r="H38" s="118">
        <f t="shared" si="1"/>
        <v>200</v>
      </c>
      <c r="I38" s="119"/>
    </row>
    <row r="39" ht="14.25" customHeight="1">
      <c r="A39" s="135" t="s">
        <v>1149</v>
      </c>
      <c r="B39" s="321">
        <v>7.852667E7</v>
      </c>
      <c r="C39" s="250" t="s">
        <v>141</v>
      </c>
      <c r="D39" s="179" t="s">
        <v>1103</v>
      </c>
      <c r="E39" s="179" t="s">
        <v>1121</v>
      </c>
      <c r="F39" s="116">
        <v>1.0</v>
      </c>
      <c r="G39" s="117">
        <v>1.0</v>
      </c>
      <c r="H39" s="118">
        <f t="shared" si="1"/>
        <v>200</v>
      </c>
      <c r="I39" s="119"/>
    </row>
    <row r="40" ht="14.25" customHeight="1">
      <c r="A40" s="135" t="s">
        <v>1150</v>
      </c>
      <c r="B40" s="319">
        <v>7.6558957E7</v>
      </c>
      <c r="C40" s="250" t="s">
        <v>141</v>
      </c>
      <c r="D40" s="179" t="s">
        <v>278</v>
      </c>
      <c r="E40" s="179" t="s">
        <v>296</v>
      </c>
      <c r="F40" s="116">
        <v>1.0</v>
      </c>
      <c r="G40" s="117">
        <v>1.0</v>
      </c>
      <c r="H40" s="118">
        <f t="shared" si="1"/>
        <v>200</v>
      </c>
      <c r="I40" s="119"/>
    </row>
    <row r="41" ht="14.25" customHeight="1">
      <c r="A41" s="135" t="s">
        <v>1151</v>
      </c>
      <c r="B41" s="319">
        <v>7.6112088E7</v>
      </c>
      <c r="C41" s="250" t="s">
        <v>141</v>
      </c>
      <c r="D41" s="179" t="s">
        <v>1152</v>
      </c>
      <c r="E41" s="179" t="s">
        <v>1153</v>
      </c>
      <c r="F41" s="116">
        <v>1.0</v>
      </c>
      <c r="G41" s="117">
        <v>1.0</v>
      </c>
      <c r="H41" s="118">
        <f t="shared" si="1"/>
        <v>200</v>
      </c>
      <c r="I41" s="119"/>
    </row>
    <row r="42" ht="14.25" customHeight="1">
      <c r="A42" s="135" t="s">
        <v>1112</v>
      </c>
      <c r="B42" s="319">
        <v>7.6037246E7</v>
      </c>
      <c r="C42" s="250" t="s">
        <v>141</v>
      </c>
      <c r="D42" s="179" t="s">
        <v>1154</v>
      </c>
      <c r="E42" s="179" t="s">
        <v>1155</v>
      </c>
      <c r="F42" s="116">
        <v>1.0</v>
      </c>
      <c r="G42" s="117">
        <v>1.0</v>
      </c>
      <c r="H42" s="118">
        <f t="shared" si="1"/>
        <v>200</v>
      </c>
      <c r="I42" s="119"/>
    </row>
    <row r="43" ht="14.25" customHeight="1">
      <c r="A43" s="135" t="s">
        <v>1156</v>
      </c>
      <c r="B43" s="322">
        <v>7.6752001E7</v>
      </c>
      <c r="C43" s="250" t="s">
        <v>147</v>
      </c>
      <c r="D43" s="179" t="s">
        <v>284</v>
      </c>
      <c r="E43" s="179" t="s">
        <v>683</v>
      </c>
      <c r="F43" s="116">
        <v>3.0</v>
      </c>
      <c r="G43" s="117">
        <v>3.0</v>
      </c>
      <c r="H43" s="118">
        <f t="shared" si="1"/>
        <v>600</v>
      </c>
      <c r="I43" s="119"/>
    </row>
    <row r="44" ht="14.25" customHeight="1">
      <c r="A44" s="135" t="s">
        <v>1157</v>
      </c>
      <c r="B44" s="322">
        <v>7.6088854E7</v>
      </c>
      <c r="C44" s="250" t="s">
        <v>147</v>
      </c>
      <c r="D44" s="179" t="s">
        <v>1158</v>
      </c>
      <c r="E44" s="179" t="s">
        <v>1159</v>
      </c>
      <c r="F44" s="116">
        <v>1.0</v>
      </c>
      <c r="G44" s="117">
        <v>1.0</v>
      </c>
      <c r="H44" s="118">
        <f t="shared" si="1"/>
        <v>200</v>
      </c>
      <c r="I44" s="119"/>
    </row>
    <row r="45" ht="14.25" customHeight="1">
      <c r="A45" s="135" t="s">
        <v>1160</v>
      </c>
      <c r="B45" s="319">
        <v>7.61299E7</v>
      </c>
      <c r="C45" s="250" t="s">
        <v>147</v>
      </c>
      <c r="D45" s="179" t="s">
        <v>352</v>
      </c>
      <c r="E45" s="179" t="s">
        <v>1140</v>
      </c>
      <c r="F45" s="116">
        <v>1.0</v>
      </c>
      <c r="G45" s="117">
        <v>1.0</v>
      </c>
      <c r="H45" s="118">
        <f t="shared" si="1"/>
        <v>200</v>
      </c>
      <c r="I45" s="119"/>
    </row>
    <row r="46" ht="14.25" customHeight="1">
      <c r="A46" s="135" t="s">
        <v>236</v>
      </c>
      <c r="B46" s="322">
        <v>7.6272871E7</v>
      </c>
      <c r="C46" s="250" t="s">
        <v>147</v>
      </c>
      <c r="D46" s="179" t="s">
        <v>1161</v>
      </c>
      <c r="E46" s="179" t="s">
        <v>639</v>
      </c>
      <c r="F46" s="116">
        <v>1.0</v>
      </c>
      <c r="G46" s="117">
        <v>1.0</v>
      </c>
      <c r="H46" s="118">
        <f t="shared" si="1"/>
        <v>200</v>
      </c>
      <c r="I46" s="119"/>
    </row>
    <row r="47" ht="14.25" customHeight="1">
      <c r="A47" s="135" t="s">
        <v>1162</v>
      </c>
      <c r="B47" s="322">
        <v>7.6284865E7</v>
      </c>
      <c r="C47" s="250" t="s">
        <v>147</v>
      </c>
      <c r="D47" s="179" t="s">
        <v>1163</v>
      </c>
      <c r="E47" s="179" t="s">
        <v>1164</v>
      </c>
      <c r="F47" s="116">
        <v>2.0</v>
      </c>
      <c r="G47" s="117">
        <v>2.0</v>
      </c>
      <c r="H47" s="118">
        <f t="shared" si="1"/>
        <v>400</v>
      </c>
      <c r="I47" s="119"/>
    </row>
    <row r="48" ht="14.25" customHeight="1">
      <c r="A48" s="135" t="s">
        <v>1165</v>
      </c>
      <c r="B48" s="319">
        <v>7.6363796E7</v>
      </c>
      <c r="C48" s="250" t="s">
        <v>147</v>
      </c>
      <c r="D48" s="179" t="s">
        <v>1166</v>
      </c>
      <c r="E48" s="179" t="s">
        <v>1167</v>
      </c>
      <c r="F48" s="116">
        <v>1.0</v>
      </c>
      <c r="G48" s="117">
        <v>1.0</v>
      </c>
      <c r="H48" s="118">
        <f t="shared" si="1"/>
        <v>200</v>
      </c>
      <c r="I48" s="119"/>
    </row>
    <row r="49" ht="14.25" customHeight="1">
      <c r="A49" s="135" t="s">
        <v>1168</v>
      </c>
      <c r="B49" s="319">
        <v>7.6345172E7</v>
      </c>
      <c r="C49" s="250" t="s">
        <v>147</v>
      </c>
      <c r="D49" s="179" t="s">
        <v>1169</v>
      </c>
      <c r="E49" s="179" t="s">
        <v>1170</v>
      </c>
      <c r="F49" s="116">
        <v>1.0</v>
      </c>
      <c r="G49" s="117">
        <v>1.0</v>
      </c>
      <c r="H49" s="118">
        <f t="shared" si="1"/>
        <v>200</v>
      </c>
      <c r="I49" s="119"/>
    </row>
    <row r="50" ht="14.25" customHeight="1">
      <c r="A50" s="135" t="s">
        <v>598</v>
      </c>
      <c r="B50" s="319">
        <v>7.6988006E7</v>
      </c>
      <c r="C50" s="250" t="s">
        <v>147</v>
      </c>
      <c r="D50" s="179" t="s">
        <v>617</v>
      </c>
      <c r="E50" s="179" t="s">
        <v>1171</v>
      </c>
      <c r="F50" s="116">
        <v>1.0</v>
      </c>
      <c r="G50" s="117">
        <v>1.0</v>
      </c>
      <c r="H50" s="118">
        <f t="shared" si="1"/>
        <v>200</v>
      </c>
      <c r="I50" s="119"/>
    </row>
    <row r="51" ht="16.5" customHeight="1">
      <c r="A51" s="185"/>
      <c r="B51" s="301"/>
      <c r="C51" s="138"/>
      <c r="D51" s="323"/>
      <c r="E51" s="141" t="s">
        <v>41</v>
      </c>
      <c r="F51" s="142">
        <f>SUM(F8:F50)</f>
        <v>50</v>
      </c>
      <c r="G51" s="142">
        <f>SUM(G10:G50)</f>
        <v>50</v>
      </c>
      <c r="H51" s="190">
        <f>SUM(H8:H50)</f>
        <v>10000</v>
      </c>
      <c r="I51" s="191"/>
    </row>
    <row r="52" ht="20.25" customHeight="1">
      <c r="A52" s="140"/>
      <c r="B52" s="140"/>
      <c r="C52" s="140"/>
      <c r="D52" s="324"/>
      <c r="E52" s="146" t="s">
        <v>100</v>
      </c>
      <c r="F52" s="147">
        <f>COUNT(F9:F50)</f>
        <v>41</v>
      </c>
      <c r="G52" s="47"/>
      <c r="H52" s="47"/>
      <c r="I52" s="48"/>
    </row>
    <row r="53" ht="14.25" customHeight="1">
      <c r="A53" s="282"/>
      <c r="B53" s="282"/>
      <c r="C53" s="282"/>
      <c r="D53" s="314"/>
      <c r="E53" s="171"/>
      <c r="F53" s="171"/>
      <c r="G53" s="173"/>
      <c r="H53" s="170"/>
      <c r="I53" s="171"/>
    </row>
    <row r="54" ht="14.25" customHeight="1">
      <c r="A54" s="282"/>
      <c r="B54" s="282"/>
      <c r="C54" s="282"/>
      <c r="D54" s="49" t="s">
        <v>101</v>
      </c>
      <c r="E54" s="50"/>
      <c r="F54" s="171"/>
      <c r="G54" s="173"/>
      <c r="H54" s="170"/>
      <c r="I54" s="171"/>
    </row>
    <row r="55" ht="14.25" customHeight="1">
      <c r="A55" s="282"/>
      <c r="B55" s="282"/>
      <c r="C55" s="282"/>
      <c r="D55" s="51" t="s">
        <v>102</v>
      </c>
      <c r="E55" s="50"/>
      <c r="F55" s="171"/>
      <c r="G55" s="173"/>
      <c r="H55" s="170"/>
      <c r="I55" s="171"/>
    </row>
    <row r="56" ht="14.25" customHeight="1">
      <c r="A56" s="282"/>
      <c r="B56" s="282"/>
      <c r="C56" s="282"/>
      <c r="D56" s="52" t="s">
        <v>58</v>
      </c>
      <c r="E56" s="53"/>
      <c r="F56" s="171"/>
      <c r="G56" s="173"/>
      <c r="H56" s="170"/>
      <c r="I56" s="171"/>
    </row>
    <row r="57" ht="14.25" customHeight="1">
      <c r="A57" s="282"/>
      <c r="B57" s="282"/>
      <c r="C57" s="282"/>
      <c r="D57" s="314"/>
      <c r="E57" s="171"/>
      <c r="F57" s="171"/>
      <c r="G57" s="173"/>
      <c r="H57" s="170"/>
      <c r="I57" s="171"/>
    </row>
    <row r="58" ht="14.25" customHeight="1">
      <c r="A58" s="282"/>
      <c r="B58" s="282"/>
      <c r="C58" s="282"/>
      <c r="D58" s="314"/>
      <c r="E58" s="171"/>
      <c r="F58" s="171"/>
      <c r="G58" s="173"/>
      <c r="H58" s="170"/>
      <c r="I58" s="171"/>
    </row>
    <row r="59" ht="14.25" customHeight="1">
      <c r="A59" s="282"/>
      <c r="B59" s="282"/>
      <c r="C59" s="282"/>
      <c r="D59" s="314"/>
      <c r="E59" s="171"/>
      <c r="F59" s="171"/>
      <c r="G59" s="173"/>
      <c r="H59" s="170"/>
      <c r="I59" s="171"/>
    </row>
    <row r="60" ht="14.25" customHeight="1">
      <c r="A60" s="282"/>
      <c r="B60" s="282"/>
      <c r="C60" s="282"/>
      <c r="D60" s="314"/>
      <c r="E60" s="171"/>
      <c r="F60" s="171"/>
      <c r="G60" s="173"/>
      <c r="H60" s="170"/>
      <c r="I60" s="171"/>
    </row>
    <row r="61" ht="14.25" customHeight="1">
      <c r="A61" s="282"/>
      <c r="B61" s="282"/>
      <c r="C61" s="282"/>
      <c r="D61" s="314"/>
      <c r="E61" s="171"/>
      <c r="F61" s="171"/>
      <c r="G61" s="173"/>
      <c r="H61" s="170"/>
      <c r="I61" s="171"/>
    </row>
    <row r="62" ht="14.25" customHeight="1">
      <c r="A62" s="282"/>
      <c r="B62" s="282"/>
      <c r="C62" s="282"/>
      <c r="D62" s="314"/>
      <c r="E62" s="171"/>
      <c r="F62" s="171"/>
      <c r="G62" s="173"/>
      <c r="H62" s="170"/>
      <c r="I62" s="171"/>
    </row>
    <row r="63" ht="14.25" customHeight="1">
      <c r="A63" s="282"/>
      <c r="B63" s="282"/>
      <c r="C63" s="282"/>
      <c r="D63" s="314"/>
      <c r="E63" s="171"/>
      <c r="F63" s="171"/>
      <c r="G63" s="173"/>
      <c r="H63" s="170"/>
      <c r="I63" s="171"/>
    </row>
    <row r="64" ht="14.25" customHeight="1">
      <c r="A64" s="282"/>
      <c r="B64" s="282"/>
      <c r="C64" s="282"/>
      <c r="D64" s="314"/>
      <c r="E64" s="171"/>
      <c r="F64" s="171"/>
      <c r="G64" s="173"/>
      <c r="H64" s="170"/>
      <c r="I64" s="171"/>
    </row>
    <row r="65" ht="14.25" customHeight="1">
      <c r="A65" s="282"/>
      <c r="B65" s="282"/>
      <c r="C65" s="282"/>
      <c r="D65" s="314"/>
      <c r="E65" s="171"/>
      <c r="F65" s="171"/>
      <c r="G65" s="173"/>
      <c r="H65" s="170"/>
      <c r="I65" s="171"/>
    </row>
    <row r="66" ht="14.25" customHeight="1">
      <c r="A66" s="282"/>
      <c r="B66" s="282"/>
      <c r="C66" s="282"/>
      <c r="D66" s="314"/>
      <c r="E66" s="171"/>
      <c r="F66" s="171"/>
      <c r="G66" s="173"/>
      <c r="H66" s="170"/>
      <c r="I66" s="171"/>
    </row>
    <row r="67" ht="14.25" customHeight="1">
      <c r="A67" s="282"/>
      <c r="B67" s="282"/>
      <c r="C67" s="282"/>
      <c r="D67" s="314"/>
      <c r="E67" s="171"/>
      <c r="F67" s="171"/>
      <c r="G67" s="173"/>
      <c r="H67" s="170"/>
      <c r="I67" s="171"/>
    </row>
    <row r="68" ht="14.25" customHeight="1">
      <c r="A68" s="282"/>
      <c r="B68" s="282"/>
      <c r="C68" s="282"/>
      <c r="D68" s="314"/>
      <c r="E68" s="171"/>
      <c r="F68" s="171"/>
      <c r="G68" s="173"/>
      <c r="H68" s="170"/>
      <c r="I68" s="171"/>
    </row>
    <row r="69" ht="14.25" customHeight="1">
      <c r="A69" s="282"/>
      <c r="B69" s="282"/>
      <c r="C69" s="282"/>
      <c r="D69" s="314"/>
      <c r="E69" s="171"/>
      <c r="F69" s="171"/>
      <c r="G69" s="173"/>
      <c r="H69" s="170"/>
      <c r="I69" s="171"/>
    </row>
    <row r="70" ht="14.25" customHeight="1">
      <c r="A70" s="282"/>
      <c r="B70" s="282"/>
      <c r="C70" s="282"/>
      <c r="D70" s="314"/>
      <c r="E70" s="171"/>
      <c r="F70" s="171"/>
      <c r="G70" s="173"/>
      <c r="H70" s="170"/>
      <c r="I70" s="171"/>
    </row>
    <row r="71" ht="14.25" customHeight="1">
      <c r="A71" s="282"/>
      <c r="B71" s="282"/>
      <c r="C71" s="282"/>
      <c r="D71" s="314"/>
      <c r="E71" s="171"/>
      <c r="F71" s="171"/>
      <c r="G71" s="173"/>
      <c r="H71" s="170"/>
      <c r="I71" s="171"/>
    </row>
    <row r="72" ht="14.25" customHeight="1">
      <c r="A72" s="282"/>
      <c r="B72" s="282"/>
      <c r="C72" s="282"/>
      <c r="D72" s="314"/>
      <c r="E72" s="171"/>
      <c r="F72" s="171"/>
      <c r="G72" s="173"/>
      <c r="H72" s="170"/>
      <c r="I72" s="171"/>
    </row>
    <row r="73" ht="14.25" customHeight="1">
      <c r="A73" s="282"/>
      <c r="B73" s="282"/>
      <c r="C73" s="282"/>
      <c r="D73" s="314"/>
      <c r="E73" s="171"/>
      <c r="F73" s="171"/>
      <c r="G73" s="173"/>
      <c r="H73" s="170"/>
      <c r="I73" s="171"/>
    </row>
    <row r="74" ht="14.25" customHeight="1">
      <c r="A74" s="282"/>
      <c r="B74" s="282"/>
      <c r="C74" s="282"/>
      <c r="D74" s="314"/>
      <c r="E74" s="171"/>
      <c r="F74" s="171"/>
      <c r="G74" s="173"/>
      <c r="H74" s="170"/>
      <c r="I74" s="171"/>
    </row>
    <row r="75" ht="14.25" customHeight="1">
      <c r="A75" s="282"/>
      <c r="B75" s="282"/>
      <c r="C75" s="282"/>
      <c r="D75" s="314"/>
      <c r="E75" s="171"/>
      <c r="F75" s="171"/>
      <c r="G75" s="173"/>
      <c r="H75" s="170"/>
      <c r="I75" s="171"/>
    </row>
    <row r="76" ht="14.25" customHeight="1">
      <c r="A76" s="282"/>
      <c r="B76" s="282"/>
      <c r="C76" s="282"/>
      <c r="D76" s="314"/>
      <c r="E76" s="171"/>
      <c r="F76" s="171"/>
      <c r="G76" s="173"/>
      <c r="H76" s="170"/>
      <c r="I76" s="171"/>
    </row>
    <row r="77" ht="14.25" customHeight="1">
      <c r="A77" s="282"/>
      <c r="B77" s="282"/>
      <c r="C77" s="282"/>
      <c r="D77" s="314"/>
      <c r="E77" s="171"/>
      <c r="F77" s="171"/>
      <c r="G77" s="173"/>
      <c r="H77" s="170"/>
      <c r="I77" s="171"/>
    </row>
    <row r="78" ht="14.25" customHeight="1">
      <c r="A78" s="282"/>
      <c r="B78" s="282"/>
      <c r="C78" s="282"/>
      <c r="D78" s="314"/>
      <c r="E78" s="171"/>
      <c r="F78" s="171"/>
      <c r="G78" s="173"/>
      <c r="H78" s="170"/>
      <c r="I78" s="171"/>
    </row>
    <row r="79" ht="14.25" customHeight="1">
      <c r="A79" s="282"/>
      <c r="B79" s="282"/>
      <c r="C79" s="282"/>
      <c r="D79" s="314"/>
      <c r="E79" s="171"/>
      <c r="F79" s="171"/>
      <c r="G79" s="173"/>
      <c r="H79" s="170"/>
      <c r="I79" s="171"/>
    </row>
    <row r="80" ht="14.25" customHeight="1">
      <c r="A80" s="282"/>
      <c r="B80" s="282"/>
      <c r="C80" s="282"/>
      <c r="D80" s="314"/>
      <c r="E80" s="171"/>
      <c r="F80" s="171"/>
      <c r="G80" s="173"/>
      <c r="H80" s="170"/>
      <c r="I80" s="171"/>
    </row>
    <row r="81" ht="14.25" customHeight="1">
      <c r="A81" s="282"/>
      <c r="B81" s="282"/>
      <c r="C81" s="282"/>
      <c r="D81" s="314"/>
      <c r="E81" s="171"/>
      <c r="F81" s="171"/>
      <c r="G81" s="173"/>
      <c r="H81" s="170"/>
      <c r="I81" s="171"/>
    </row>
    <row r="82" ht="14.25" customHeight="1">
      <c r="A82" s="282"/>
      <c r="B82" s="282"/>
      <c r="C82" s="282"/>
      <c r="D82" s="314"/>
      <c r="E82" s="171"/>
      <c r="F82" s="171"/>
      <c r="G82" s="173"/>
      <c r="H82" s="170"/>
      <c r="I82" s="171"/>
    </row>
    <row r="83" ht="14.25" customHeight="1">
      <c r="A83" s="282"/>
      <c r="B83" s="282"/>
      <c r="C83" s="282"/>
      <c r="D83" s="314"/>
      <c r="E83" s="171"/>
      <c r="F83" s="171"/>
      <c r="G83" s="173"/>
      <c r="H83" s="170"/>
      <c r="I83" s="171"/>
    </row>
    <row r="84" ht="14.25" customHeight="1">
      <c r="A84" s="282"/>
      <c r="B84" s="282"/>
      <c r="C84" s="282"/>
      <c r="D84" s="314"/>
      <c r="E84" s="171"/>
      <c r="F84" s="171"/>
      <c r="G84" s="173"/>
      <c r="H84" s="170"/>
      <c r="I84" s="171"/>
    </row>
    <row r="85" ht="14.25" customHeight="1">
      <c r="A85" s="282"/>
      <c r="B85" s="282"/>
      <c r="C85" s="282"/>
      <c r="D85" s="314"/>
      <c r="E85" s="171"/>
      <c r="F85" s="171"/>
      <c r="G85" s="173"/>
      <c r="H85" s="170"/>
      <c r="I85" s="171"/>
    </row>
    <row r="86" ht="14.25" customHeight="1">
      <c r="A86" s="282"/>
      <c r="B86" s="282"/>
      <c r="C86" s="282"/>
      <c r="D86" s="314"/>
      <c r="E86" s="171"/>
      <c r="F86" s="171"/>
      <c r="G86" s="173"/>
      <c r="H86" s="170"/>
      <c r="I86" s="171"/>
    </row>
    <row r="87" ht="14.25" customHeight="1">
      <c r="A87" s="282"/>
      <c r="B87" s="282"/>
      <c r="C87" s="282"/>
      <c r="D87" s="314"/>
      <c r="E87" s="171"/>
      <c r="F87" s="171"/>
      <c r="G87" s="173"/>
      <c r="H87" s="170"/>
      <c r="I87" s="171"/>
    </row>
    <row r="88" ht="14.25" customHeight="1">
      <c r="A88" s="282"/>
      <c r="B88" s="282"/>
      <c r="C88" s="282"/>
      <c r="D88" s="314"/>
      <c r="E88" s="171"/>
      <c r="F88" s="171"/>
      <c r="G88" s="173"/>
      <c r="H88" s="170"/>
      <c r="I88" s="171"/>
    </row>
    <row r="89" ht="14.25" customHeight="1">
      <c r="A89" s="282"/>
      <c r="B89" s="282"/>
      <c r="C89" s="282"/>
      <c r="D89" s="314"/>
      <c r="E89" s="171"/>
      <c r="F89" s="171"/>
      <c r="G89" s="173"/>
      <c r="H89" s="170"/>
      <c r="I89" s="171"/>
    </row>
    <row r="90" ht="14.25" customHeight="1">
      <c r="A90" s="282"/>
      <c r="B90" s="282"/>
      <c r="C90" s="282"/>
      <c r="D90" s="314"/>
      <c r="E90" s="171"/>
      <c r="F90" s="171"/>
      <c r="G90" s="173"/>
      <c r="H90" s="170"/>
      <c r="I90" s="171"/>
    </row>
    <row r="91" ht="14.25" customHeight="1">
      <c r="A91" s="282"/>
      <c r="B91" s="282"/>
      <c r="C91" s="282"/>
      <c r="D91" s="314"/>
      <c r="E91" s="171"/>
      <c r="F91" s="171"/>
      <c r="G91" s="173"/>
      <c r="H91" s="170"/>
      <c r="I91" s="171"/>
    </row>
    <row r="92" ht="14.25" customHeight="1">
      <c r="A92" s="282"/>
      <c r="B92" s="282"/>
      <c r="C92" s="282"/>
      <c r="D92" s="314"/>
      <c r="E92" s="171"/>
      <c r="F92" s="171"/>
      <c r="G92" s="173"/>
      <c r="H92" s="170"/>
      <c r="I92" s="171"/>
    </row>
    <row r="93" ht="14.25" customHeight="1">
      <c r="A93" s="282"/>
      <c r="B93" s="282"/>
      <c r="C93" s="282"/>
      <c r="D93" s="314"/>
      <c r="E93" s="171"/>
      <c r="F93" s="171"/>
      <c r="G93" s="173"/>
      <c r="H93" s="170"/>
      <c r="I93" s="171"/>
    </row>
    <row r="94" ht="14.25" customHeight="1">
      <c r="A94" s="282"/>
      <c r="B94" s="282"/>
      <c r="C94" s="282"/>
      <c r="D94" s="314"/>
      <c r="E94" s="171"/>
      <c r="F94" s="171"/>
      <c r="G94" s="173"/>
      <c r="H94" s="170"/>
      <c r="I94" s="171"/>
    </row>
    <row r="95" ht="14.25" customHeight="1">
      <c r="A95" s="282"/>
      <c r="B95" s="282"/>
      <c r="C95" s="282"/>
      <c r="D95" s="314"/>
      <c r="E95" s="171"/>
      <c r="F95" s="171"/>
      <c r="G95" s="173"/>
      <c r="H95" s="170"/>
      <c r="I95" s="171"/>
    </row>
    <row r="96" ht="14.25" customHeight="1">
      <c r="A96" s="282"/>
      <c r="B96" s="282"/>
      <c r="C96" s="282"/>
      <c r="D96" s="314"/>
      <c r="E96" s="171"/>
      <c r="F96" s="171"/>
      <c r="G96" s="173"/>
      <c r="H96" s="170"/>
      <c r="I96" s="171"/>
    </row>
    <row r="97" ht="14.25" customHeight="1">
      <c r="A97" s="282"/>
      <c r="B97" s="282"/>
      <c r="C97" s="282"/>
      <c r="D97" s="314"/>
      <c r="E97" s="171"/>
      <c r="F97" s="171"/>
      <c r="G97" s="173"/>
      <c r="H97" s="170"/>
      <c r="I97" s="171"/>
    </row>
    <row r="98" ht="14.25" customHeight="1">
      <c r="A98" s="282"/>
      <c r="B98" s="282"/>
      <c r="C98" s="282"/>
      <c r="D98" s="314"/>
      <c r="E98" s="171"/>
      <c r="F98" s="171"/>
      <c r="G98" s="173"/>
      <c r="H98" s="170"/>
      <c r="I98" s="171"/>
    </row>
    <row r="99" ht="14.25" customHeight="1">
      <c r="A99" s="282"/>
      <c r="B99" s="282"/>
      <c r="C99" s="282"/>
      <c r="D99" s="314"/>
      <c r="E99" s="171"/>
      <c r="F99" s="171"/>
      <c r="G99" s="173"/>
      <c r="H99" s="170"/>
      <c r="I99" s="171"/>
    </row>
    <row r="100" ht="14.25" customHeight="1">
      <c r="A100" s="282"/>
      <c r="B100" s="282"/>
      <c r="C100" s="282"/>
      <c r="D100" s="314"/>
      <c r="E100" s="171"/>
      <c r="F100" s="171"/>
      <c r="G100" s="173"/>
      <c r="H100" s="170"/>
      <c r="I100" s="171"/>
    </row>
    <row r="101" ht="14.25" customHeight="1">
      <c r="A101" s="282"/>
      <c r="B101" s="282"/>
      <c r="C101" s="282"/>
      <c r="D101" s="314"/>
      <c r="E101" s="171"/>
      <c r="F101" s="171"/>
      <c r="G101" s="173"/>
      <c r="H101" s="170"/>
      <c r="I101" s="171"/>
    </row>
    <row r="102" ht="14.25" customHeight="1">
      <c r="A102" s="282"/>
      <c r="B102" s="282"/>
      <c r="C102" s="282"/>
      <c r="D102" s="314"/>
      <c r="E102" s="171"/>
      <c r="F102" s="171"/>
      <c r="G102" s="173"/>
      <c r="H102" s="170"/>
      <c r="I102" s="171"/>
    </row>
    <row r="103" ht="14.25" customHeight="1">
      <c r="A103" s="282"/>
      <c r="B103" s="282"/>
      <c r="C103" s="282"/>
      <c r="D103" s="314"/>
      <c r="E103" s="171"/>
      <c r="F103" s="171"/>
      <c r="G103" s="173"/>
      <c r="H103" s="170"/>
      <c r="I103" s="171"/>
    </row>
    <row r="104" ht="14.25" customHeight="1">
      <c r="A104" s="282"/>
      <c r="B104" s="282"/>
      <c r="C104" s="282"/>
      <c r="D104" s="314"/>
      <c r="E104" s="171"/>
      <c r="F104" s="171"/>
      <c r="G104" s="173"/>
      <c r="H104" s="170"/>
      <c r="I104" s="171"/>
    </row>
    <row r="105" ht="14.25" customHeight="1">
      <c r="A105" s="282"/>
      <c r="B105" s="282"/>
      <c r="C105" s="282"/>
      <c r="D105" s="314"/>
      <c r="E105" s="171"/>
      <c r="F105" s="171"/>
      <c r="G105" s="173"/>
      <c r="H105" s="170"/>
      <c r="I105" s="171"/>
    </row>
    <row r="106" ht="14.25" customHeight="1">
      <c r="A106" s="282"/>
      <c r="B106" s="282"/>
      <c r="C106" s="282"/>
      <c r="D106" s="314"/>
      <c r="E106" s="171"/>
      <c r="F106" s="171"/>
      <c r="G106" s="173"/>
      <c r="H106" s="170"/>
      <c r="I106" s="171"/>
    </row>
    <row r="107" ht="14.25" customHeight="1">
      <c r="A107" s="282"/>
      <c r="B107" s="282"/>
      <c r="C107" s="282"/>
      <c r="D107" s="314"/>
      <c r="E107" s="171"/>
      <c r="F107" s="171"/>
      <c r="G107" s="173"/>
      <c r="H107" s="170"/>
      <c r="I107" s="171"/>
    </row>
    <row r="108" ht="14.25" customHeight="1">
      <c r="A108" s="282"/>
      <c r="B108" s="282"/>
      <c r="C108" s="282"/>
      <c r="D108" s="314"/>
      <c r="E108" s="171"/>
      <c r="F108" s="171"/>
      <c r="G108" s="173"/>
      <c r="H108" s="170"/>
      <c r="I108" s="171"/>
    </row>
    <row r="109" ht="14.25" customHeight="1">
      <c r="A109" s="282"/>
      <c r="B109" s="282"/>
      <c r="C109" s="282"/>
      <c r="D109" s="314"/>
      <c r="E109" s="171"/>
      <c r="F109" s="171"/>
      <c r="G109" s="173"/>
      <c r="H109" s="170"/>
      <c r="I109" s="171"/>
    </row>
    <row r="110" ht="14.25" customHeight="1">
      <c r="A110" s="282"/>
      <c r="B110" s="282"/>
      <c r="C110" s="282"/>
      <c r="D110" s="314"/>
      <c r="E110" s="171"/>
      <c r="F110" s="171"/>
      <c r="G110" s="173"/>
      <c r="H110" s="170"/>
      <c r="I110" s="171"/>
    </row>
    <row r="111" ht="14.25" customHeight="1">
      <c r="A111" s="282"/>
      <c r="B111" s="282"/>
      <c r="C111" s="282"/>
      <c r="D111" s="314"/>
      <c r="E111" s="171"/>
      <c r="F111" s="171"/>
      <c r="G111" s="173"/>
      <c r="H111" s="170"/>
      <c r="I111" s="171"/>
    </row>
    <row r="112" ht="14.25" customHeight="1">
      <c r="A112" s="282"/>
      <c r="B112" s="282"/>
      <c r="C112" s="282"/>
      <c r="D112" s="314"/>
      <c r="E112" s="171"/>
      <c r="F112" s="171"/>
      <c r="G112" s="173"/>
      <c r="H112" s="170"/>
      <c r="I112" s="171"/>
    </row>
    <row r="113" ht="14.25" customHeight="1">
      <c r="A113" s="282"/>
      <c r="B113" s="282"/>
      <c r="C113" s="282"/>
      <c r="D113" s="314"/>
      <c r="E113" s="171"/>
      <c r="F113" s="171"/>
      <c r="G113" s="173"/>
      <c r="H113" s="170"/>
      <c r="I113" s="171"/>
    </row>
    <row r="114" ht="14.25" customHeight="1">
      <c r="A114" s="282"/>
      <c r="B114" s="282"/>
      <c r="C114" s="282"/>
      <c r="D114" s="314"/>
      <c r="E114" s="171"/>
      <c r="F114" s="171"/>
      <c r="G114" s="173"/>
      <c r="H114" s="170"/>
      <c r="I114" s="171"/>
    </row>
    <row r="115" ht="14.25" customHeight="1">
      <c r="A115" s="282"/>
      <c r="B115" s="282"/>
      <c r="C115" s="282"/>
      <c r="D115" s="314"/>
      <c r="E115" s="171"/>
      <c r="F115" s="171"/>
      <c r="G115" s="173"/>
      <c r="H115" s="170"/>
      <c r="I115" s="171"/>
    </row>
    <row r="116" ht="14.25" customHeight="1">
      <c r="A116" s="282"/>
      <c r="B116" s="282"/>
      <c r="C116" s="282"/>
      <c r="D116" s="314"/>
      <c r="E116" s="171"/>
      <c r="F116" s="171"/>
      <c r="G116" s="173"/>
      <c r="H116" s="170"/>
      <c r="I116" s="171"/>
    </row>
    <row r="117" ht="14.25" customHeight="1">
      <c r="A117" s="282"/>
      <c r="B117" s="282"/>
      <c r="C117" s="282"/>
      <c r="D117" s="314"/>
      <c r="E117" s="171"/>
      <c r="F117" s="171"/>
      <c r="G117" s="173"/>
      <c r="H117" s="170"/>
      <c r="I117" s="171"/>
    </row>
    <row r="118" ht="14.25" customHeight="1">
      <c r="A118" s="282"/>
      <c r="B118" s="282"/>
      <c r="C118" s="282"/>
      <c r="D118" s="314"/>
      <c r="E118" s="171"/>
      <c r="F118" s="171"/>
      <c r="G118" s="173"/>
      <c r="H118" s="170"/>
      <c r="I118" s="171"/>
    </row>
    <row r="119" ht="14.25" customHeight="1">
      <c r="A119" s="282"/>
      <c r="B119" s="282"/>
      <c r="C119" s="282"/>
      <c r="D119" s="314"/>
      <c r="E119" s="171"/>
      <c r="F119" s="171"/>
      <c r="G119" s="173"/>
      <c r="H119" s="170"/>
      <c r="I119" s="171"/>
    </row>
    <row r="120" ht="14.25" customHeight="1">
      <c r="A120" s="282"/>
      <c r="B120" s="282"/>
      <c r="C120" s="282"/>
      <c r="D120" s="314"/>
      <c r="E120" s="171"/>
      <c r="F120" s="171"/>
      <c r="G120" s="173"/>
      <c r="H120" s="170"/>
      <c r="I120" s="171"/>
    </row>
    <row r="121" ht="14.25" customHeight="1">
      <c r="A121" s="282"/>
      <c r="B121" s="282"/>
      <c r="C121" s="282"/>
      <c r="D121" s="314"/>
      <c r="E121" s="171"/>
      <c r="F121" s="171"/>
      <c r="G121" s="173"/>
      <c r="H121" s="170"/>
      <c r="I121" s="171"/>
    </row>
    <row r="122" ht="14.25" customHeight="1">
      <c r="A122" s="282"/>
      <c r="B122" s="282"/>
      <c r="C122" s="282"/>
      <c r="D122" s="314"/>
      <c r="E122" s="171"/>
      <c r="F122" s="171"/>
      <c r="G122" s="173"/>
      <c r="H122" s="170"/>
      <c r="I122" s="171"/>
    </row>
    <row r="123" ht="14.25" customHeight="1">
      <c r="A123" s="282"/>
      <c r="B123" s="282"/>
      <c r="C123" s="282"/>
      <c r="D123" s="314"/>
      <c r="E123" s="171"/>
      <c r="F123" s="171"/>
      <c r="G123" s="173"/>
      <c r="H123" s="170"/>
      <c r="I123" s="171"/>
    </row>
    <row r="124" ht="14.25" customHeight="1">
      <c r="A124" s="282"/>
      <c r="B124" s="282"/>
      <c r="C124" s="282"/>
      <c r="D124" s="314"/>
      <c r="E124" s="171"/>
      <c r="F124" s="171"/>
      <c r="G124" s="173"/>
      <c r="H124" s="170"/>
      <c r="I124" s="171"/>
    </row>
    <row r="125" ht="14.25" customHeight="1">
      <c r="A125" s="282"/>
      <c r="B125" s="282"/>
      <c r="C125" s="282"/>
      <c r="D125" s="314"/>
      <c r="E125" s="171"/>
      <c r="F125" s="171"/>
      <c r="G125" s="173"/>
      <c r="H125" s="170"/>
      <c r="I125" s="171"/>
    </row>
    <row r="126" ht="14.25" customHeight="1">
      <c r="A126" s="282"/>
      <c r="B126" s="282"/>
      <c r="C126" s="282"/>
      <c r="D126" s="314"/>
      <c r="E126" s="171"/>
      <c r="F126" s="171"/>
      <c r="G126" s="173"/>
      <c r="H126" s="170"/>
      <c r="I126" s="171"/>
    </row>
    <row r="127" ht="14.25" customHeight="1">
      <c r="A127" s="282"/>
      <c r="B127" s="282"/>
      <c r="C127" s="282"/>
      <c r="D127" s="314"/>
      <c r="E127" s="171"/>
      <c r="F127" s="171"/>
      <c r="G127" s="173"/>
      <c r="H127" s="170"/>
      <c r="I127" s="171"/>
    </row>
    <row r="128" ht="14.25" customHeight="1">
      <c r="A128" s="282"/>
      <c r="B128" s="282"/>
      <c r="C128" s="282"/>
      <c r="D128" s="314"/>
      <c r="E128" s="171"/>
      <c r="F128" s="171"/>
      <c r="G128" s="173"/>
      <c r="H128" s="170"/>
      <c r="I128" s="171"/>
    </row>
    <row r="129" ht="14.25" customHeight="1">
      <c r="A129" s="282"/>
      <c r="B129" s="282"/>
      <c r="C129" s="282"/>
      <c r="D129" s="314"/>
      <c r="E129" s="171"/>
      <c r="F129" s="171"/>
      <c r="G129" s="173"/>
      <c r="H129" s="170"/>
      <c r="I129" s="171"/>
    </row>
    <row r="130" ht="14.25" customHeight="1">
      <c r="A130" s="282"/>
      <c r="B130" s="282"/>
      <c r="C130" s="282"/>
      <c r="D130" s="314"/>
      <c r="E130" s="171"/>
      <c r="F130" s="171"/>
      <c r="G130" s="173"/>
      <c r="H130" s="170"/>
      <c r="I130" s="171"/>
    </row>
    <row r="131" ht="14.25" customHeight="1">
      <c r="A131" s="282"/>
      <c r="B131" s="282"/>
      <c r="C131" s="282"/>
      <c r="D131" s="314"/>
      <c r="E131" s="171"/>
      <c r="F131" s="171"/>
      <c r="G131" s="173"/>
      <c r="H131" s="170"/>
      <c r="I131" s="171"/>
    </row>
    <row r="132" ht="14.25" customHeight="1">
      <c r="A132" s="282"/>
      <c r="B132" s="282"/>
      <c r="C132" s="282"/>
      <c r="D132" s="314"/>
      <c r="E132" s="171"/>
      <c r="F132" s="171"/>
      <c r="G132" s="173"/>
      <c r="H132" s="170"/>
      <c r="I132" s="171"/>
    </row>
    <row r="133" ht="14.25" customHeight="1">
      <c r="A133" s="282"/>
      <c r="B133" s="282"/>
      <c r="C133" s="282"/>
      <c r="D133" s="314"/>
      <c r="E133" s="171"/>
      <c r="F133" s="171"/>
      <c r="G133" s="173"/>
      <c r="H133" s="170"/>
      <c r="I133" s="171"/>
    </row>
    <row r="134" ht="14.25" customHeight="1">
      <c r="A134" s="282"/>
      <c r="B134" s="282"/>
      <c r="C134" s="282"/>
      <c r="D134" s="314"/>
      <c r="E134" s="171"/>
      <c r="F134" s="171"/>
      <c r="G134" s="173"/>
      <c r="H134" s="170"/>
      <c r="I134" s="171"/>
    </row>
    <row r="135" ht="14.25" customHeight="1">
      <c r="A135" s="282"/>
      <c r="B135" s="282"/>
      <c r="C135" s="282"/>
      <c r="D135" s="314"/>
      <c r="E135" s="171"/>
      <c r="F135" s="171"/>
      <c r="G135" s="173"/>
      <c r="H135" s="170"/>
      <c r="I135" s="171"/>
    </row>
    <row r="136" ht="14.25" customHeight="1">
      <c r="A136" s="282"/>
      <c r="B136" s="282"/>
      <c r="C136" s="282"/>
      <c r="D136" s="314"/>
      <c r="E136" s="171"/>
      <c r="F136" s="171"/>
      <c r="G136" s="173"/>
      <c r="H136" s="170"/>
      <c r="I136" s="171"/>
    </row>
    <row r="137" ht="14.25" customHeight="1">
      <c r="A137" s="282"/>
      <c r="B137" s="282"/>
      <c r="C137" s="282"/>
      <c r="D137" s="314"/>
      <c r="E137" s="171"/>
      <c r="F137" s="171"/>
      <c r="G137" s="173"/>
      <c r="H137" s="170"/>
      <c r="I137" s="171"/>
    </row>
    <row r="138" ht="14.25" customHeight="1">
      <c r="A138" s="282"/>
      <c r="B138" s="282"/>
      <c r="C138" s="282"/>
      <c r="D138" s="314"/>
      <c r="E138" s="171"/>
      <c r="F138" s="171"/>
      <c r="G138" s="173"/>
      <c r="H138" s="170"/>
      <c r="I138" s="171"/>
    </row>
    <row r="139" ht="14.25" customHeight="1">
      <c r="A139" s="282"/>
      <c r="B139" s="282"/>
      <c r="C139" s="282"/>
      <c r="D139" s="314"/>
      <c r="E139" s="171"/>
      <c r="F139" s="171"/>
      <c r="G139" s="173"/>
      <c r="H139" s="170"/>
      <c r="I139" s="171"/>
    </row>
    <row r="140" ht="14.25" customHeight="1">
      <c r="A140" s="282"/>
      <c r="B140" s="282"/>
      <c r="C140" s="282"/>
      <c r="D140" s="314"/>
      <c r="E140" s="171"/>
      <c r="F140" s="171"/>
      <c r="G140" s="173"/>
      <c r="H140" s="170"/>
      <c r="I140" s="171"/>
    </row>
    <row r="141" ht="14.25" customHeight="1">
      <c r="A141" s="282"/>
      <c r="B141" s="282"/>
      <c r="C141" s="282"/>
      <c r="D141" s="314"/>
      <c r="E141" s="171"/>
      <c r="F141" s="171"/>
      <c r="G141" s="173"/>
      <c r="H141" s="170"/>
      <c r="I141" s="171"/>
    </row>
    <row r="142" ht="14.25" customHeight="1">
      <c r="A142" s="282"/>
      <c r="B142" s="282"/>
      <c r="C142" s="282"/>
      <c r="D142" s="314"/>
      <c r="E142" s="171"/>
      <c r="F142" s="171"/>
      <c r="G142" s="173"/>
      <c r="H142" s="170"/>
      <c r="I142" s="171"/>
    </row>
    <row r="143" ht="14.25" customHeight="1">
      <c r="A143" s="282"/>
      <c r="B143" s="282"/>
      <c r="C143" s="282"/>
      <c r="D143" s="314"/>
      <c r="E143" s="171"/>
      <c r="F143" s="171"/>
      <c r="G143" s="173"/>
      <c r="H143" s="170"/>
      <c r="I143" s="171"/>
    </row>
    <row r="144" ht="14.25" customHeight="1">
      <c r="A144" s="282"/>
      <c r="B144" s="282"/>
      <c r="C144" s="282"/>
      <c r="D144" s="314"/>
      <c r="E144" s="171"/>
      <c r="F144" s="171"/>
      <c r="G144" s="173"/>
      <c r="H144" s="170"/>
      <c r="I144" s="171"/>
    </row>
    <row r="145" ht="14.25" customHeight="1">
      <c r="A145" s="282"/>
      <c r="B145" s="282"/>
      <c r="C145" s="282"/>
      <c r="D145" s="314"/>
      <c r="E145" s="171"/>
      <c r="F145" s="171"/>
      <c r="G145" s="173"/>
      <c r="H145" s="170"/>
      <c r="I145" s="171"/>
    </row>
    <row r="146" ht="14.25" customHeight="1">
      <c r="A146" s="282"/>
      <c r="B146" s="282"/>
      <c r="C146" s="282"/>
      <c r="D146" s="314"/>
      <c r="E146" s="171"/>
      <c r="F146" s="171"/>
      <c r="G146" s="173"/>
      <c r="H146" s="170"/>
      <c r="I146" s="171"/>
    </row>
    <row r="147" ht="14.25" customHeight="1">
      <c r="A147" s="282"/>
      <c r="B147" s="282"/>
      <c r="C147" s="282"/>
      <c r="D147" s="314"/>
      <c r="E147" s="171"/>
      <c r="F147" s="171"/>
      <c r="G147" s="173"/>
      <c r="H147" s="170"/>
      <c r="I147" s="171"/>
    </row>
    <row r="148" ht="14.25" customHeight="1">
      <c r="A148" s="282"/>
      <c r="B148" s="282"/>
      <c r="C148" s="282"/>
      <c r="D148" s="314"/>
      <c r="E148" s="171"/>
      <c r="F148" s="171"/>
      <c r="G148" s="173"/>
      <c r="H148" s="170"/>
      <c r="I148" s="171"/>
    </row>
    <row r="149" ht="14.25" customHeight="1">
      <c r="A149" s="282"/>
      <c r="B149" s="282"/>
      <c r="C149" s="282"/>
      <c r="D149" s="314"/>
      <c r="E149" s="171"/>
      <c r="F149" s="171"/>
      <c r="G149" s="173"/>
      <c r="H149" s="170"/>
      <c r="I149" s="171"/>
    </row>
    <row r="150" ht="14.25" customHeight="1">
      <c r="A150" s="282"/>
      <c r="B150" s="282"/>
      <c r="C150" s="282"/>
      <c r="D150" s="314"/>
      <c r="E150" s="171"/>
      <c r="F150" s="171"/>
      <c r="G150" s="173"/>
      <c r="H150" s="170"/>
      <c r="I150" s="171"/>
    </row>
    <row r="151" ht="14.25" customHeight="1">
      <c r="A151" s="282"/>
      <c r="B151" s="282"/>
      <c r="C151" s="282"/>
      <c r="D151" s="314"/>
      <c r="E151" s="171"/>
      <c r="F151" s="171"/>
      <c r="G151" s="173"/>
      <c r="H151" s="170"/>
      <c r="I151" s="171"/>
    </row>
    <row r="152" ht="14.25" customHeight="1">
      <c r="A152" s="282"/>
      <c r="B152" s="282"/>
      <c r="C152" s="282"/>
      <c r="D152" s="314"/>
      <c r="E152" s="171"/>
      <c r="F152" s="171"/>
      <c r="G152" s="173"/>
      <c r="H152" s="170"/>
      <c r="I152" s="171"/>
    </row>
    <row r="153" ht="14.25" customHeight="1">
      <c r="A153" s="282"/>
      <c r="B153" s="282"/>
      <c r="C153" s="282"/>
      <c r="D153" s="314"/>
      <c r="E153" s="171"/>
      <c r="F153" s="171"/>
      <c r="G153" s="173"/>
      <c r="H153" s="170"/>
      <c r="I153" s="171"/>
    </row>
    <row r="154" ht="14.25" customHeight="1">
      <c r="A154" s="282"/>
      <c r="B154" s="282"/>
      <c r="C154" s="282"/>
      <c r="D154" s="314"/>
      <c r="E154" s="171"/>
      <c r="F154" s="171"/>
      <c r="G154" s="173"/>
      <c r="H154" s="170"/>
      <c r="I154" s="171"/>
    </row>
    <row r="155" ht="14.25" customHeight="1">
      <c r="A155" s="282"/>
      <c r="B155" s="282"/>
      <c r="C155" s="282"/>
      <c r="D155" s="314"/>
      <c r="E155" s="171"/>
      <c r="F155" s="171"/>
      <c r="G155" s="173"/>
      <c r="H155" s="170"/>
      <c r="I155" s="171"/>
    </row>
    <row r="156" ht="14.25" customHeight="1">
      <c r="A156" s="282"/>
      <c r="B156" s="282"/>
      <c r="C156" s="282"/>
      <c r="D156" s="314"/>
      <c r="E156" s="171"/>
      <c r="F156" s="171"/>
      <c r="G156" s="173"/>
      <c r="H156" s="170"/>
      <c r="I156" s="171"/>
    </row>
    <row r="157" ht="14.25" customHeight="1">
      <c r="A157" s="282"/>
      <c r="B157" s="282"/>
      <c r="C157" s="282"/>
      <c r="D157" s="314"/>
      <c r="E157" s="171"/>
      <c r="F157" s="171"/>
      <c r="G157" s="173"/>
      <c r="H157" s="170"/>
      <c r="I157" s="171"/>
    </row>
    <row r="158" ht="14.25" customHeight="1">
      <c r="A158" s="282"/>
      <c r="B158" s="282"/>
      <c r="C158" s="282"/>
      <c r="D158" s="314"/>
      <c r="E158" s="171"/>
      <c r="F158" s="171"/>
      <c r="G158" s="173"/>
      <c r="H158" s="170"/>
      <c r="I158" s="171"/>
    </row>
    <row r="159" ht="14.25" customHeight="1">
      <c r="A159" s="282"/>
      <c r="B159" s="282"/>
      <c r="C159" s="282"/>
      <c r="D159" s="314"/>
      <c r="E159" s="171"/>
      <c r="F159" s="171"/>
      <c r="G159" s="173"/>
      <c r="H159" s="170"/>
      <c r="I159" s="171"/>
    </row>
    <row r="160" ht="14.25" customHeight="1">
      <c r="A160" s="282"/>
      <c r="B160" s="282"/>
      <c r="C160" s="282"/>
      <c r="D160" s="314"/>
      <c r="E160" s="171"/>
      <c r="F160" s="171"/>
      <c r="G160" s="173"/>
      <c r="H160" s="170"/>
      <c r="I160" s="171"/>
    </row>
    <row r="161" ht="14.25" customHeight="1">
      <c r="A161" s="282"/>
      <c r="B161" s="282"/>
      <c r="C161" s="282"/>
      <c r="D161" s="314"/>
      <c r="E161" s="171"/>
      <c r="F161" s="171"/>
      <c r="G161" s="173"/>
      <c r="H161" s="170"/>
      <c r="I161" s="171"/>
    </row>
    <row r="162" ht="14.25" customHeight="1">
      <c r="A162" s="282"/>
      <c r="B162" s="282"/>
      <c r="C162" s="282"/>
      <c r="D162" s="314"/>
      <c r="E162" s="171"/>
      <c r="F162" s="171"/>
      <c r="G162" s="173"/>
      <c r="H162" s="170"/>
      <c r="I162" s="171"/>
    </row>
    <row r="163" ht="14.25" customHeight="1">
      <c r="A163" s="282"/>
      <c r="B163" s="282"/>
      <c r="C163" s="282"/>
      <c r="D163" s="314"/>
      <c r="E163" s="171"/>
      <c r="F163" s="171"/>
      <c r="G163" s="173"/>
      <c r="H163" s="170"/>
      <c r="I163" s="171"/>
    </row>
    <row r="164" ht="14.25" customHeight="1">
      <c r="A164" s="282"/>
      <c r="B164" s="282"/>
      <c r="C164" s="282"/>
      <c r="D164" s="314"/>
      <c r="E164" s="171"/>
      <c r="F164" s="171"/>
      <c r="G164" s="173"/>
      <c r="H164" s="170"/>
      <c r="I164" s="171"/>
    </row>
    <row r="165" ht="14.25" customHeight="1">
      <c r="A165" s="282"/>
      <c r="B165" s="282"/>
      <c r="C165" s="282"/>
      <c r="D165" s="314"/>
      <c r="E165" s="171"/>
      <c r="F165" s="171"/>
      <c r="G165" s="173"/>
      <c r="H165" s="170"/>
      <c r="I165" s="171"/>
    </row>
    <row r="166" ht="14.25" customHeight="1">
      <c r="A166" s="282"/>
      <c r="B166" s="282"/>
      <c r="C166" s="282"/>
      <c r="D166" s="314"/>
      <c r="E166" s="171"/>
      <c r="F166" s="171"/>
      <c r="G166" s="173"/>
      <c r="H166" s="170"/>
      <c r="I166" s="171"/>
    </row>
    <row r="167" ht="14.25" customHeight="1">
      <c r="A167" s="282"/>
      <c r="B167" s="282"/>
      <c r="C167" s="282"/>
      <c r="D167" s="314"/>
      <c r="E167" s="171"/>
      <c r="F167" s="171"/>
      <c r="G167" s="173"/>
      <c r="H167" s="170"/>
      <c r="I167" s="171"/>
    </row>
    <row r="168" ht="14.25" customHeight="1">
      <c r="A168" s="282"/>
      <c r="B168" s="282"/>
      <c r="C168" s="282"/>
      <c r="D168" s="314"/>
      <c r="E168" s="171"/>
      <c r="F168" s="171"/>
      <c r="G168" s="173"/>
      <c r="H168" s="170"/>
      <c r="I168" s="171"/>
    </row>
    <row r="169" ht="14.25" customHeight="1">
      <c r="A169" s="282"/>
      <c r="B169" s="282"/>
      <c r="C169" s="282"/>
      <c r="D169" s="314"/>
      <c r="E169" s="171"/>
      <c r="F169" s="171"/>
      <c r="G169" s="173"/>
      <c r="H169" s="170"/>
      <c r="I169" s="171"/>
    </row>
    <row r="170" ht="14.25" customHeight="1">
      <c r="A170" s="282"/>
      <c r="B170" s="282"/>
      <c r="C170" s="282"/>
      <c r="D170" s="314"/>
      <c r="E170" s="171"/>
      <c r="F170" s="171"/>
      <c r="G170" s="173"/>
      <c r="H170" s="170"/>
      <c r="I170" s="171"/>
    </row>
    <row r="171" ht="14.25" customHeight="1">
      <c r="A171" s="282"/>
      <c r="B171" s="282"/>
      <c r="C171" s="282"/>
      <c r="D171" s="314"/>
      <c r="E171" s="171"/>
      <c r="F171" s="171"/>
      <c r="G171" s="173"/>
      <c r="H171" s="170"/>
      <c r="I171" s="171"/>
    </row>
    <row r="172" ht="14.25" customHeight="1">
      <c r="A172" s="282"/>
      <c r="B172" s="282"/>
      <c r="C172" s="282"/>
      <c r="D172" s="314"/>
      <c r="E172" s="171"/>
      <c r="F172" s="171"/>
      <c r="G172" s="173"/>
      <c r="H172" s="170"/>
      <c r="I172" s="171"/>
    </row>
    <row r="173" ht="14.25" customHeight="1">
      <c r="A173" s="282"/>
      <c r="B173" s="282"/>
      <c r="C173" s="282"/>
      <c r="D173" s="314"/>
      <c r="E173" s="171"/>
      <c r="F173" s="171"/>
      <c r="G173" s="173"/>
      <c r="H173" s="170"/>
      <c r="I173" s="171"/>
    </row>
    <row r="174" ht="14.25" customHeight="1">
      <c r="A174" s="282"/>
      <c r="B174" s="282"/>
      <c r="C174" s="282"/>
      <c r="D174" s="314"/>
      <c r="E174" s="171"/>
      <c r="F174" s="171"/>
      <c r="G174" s="173"/>
      <c r="H174" s="170"/>
      <c r="I174" s="171"/>
    </row>
    <row r="175" ht="14.25" customHeight="1">
      <c r="A175" s="282"/>
      <c r="B175" s="282"/>
      <c r="C175" s="282"/>
      <c r="D175" s="314"/>
      <c r="E175" s="171"/>
      <c r="F175" s="171"/>
      <c r="G175" s="173"/>
      <c r="H175" s="170"/>
      <c r="I175" s="171"/>
    </row>
    <row r="176" ht="14.25" customHeight="1">
      <c r="A176" s="282"/>
      <c r="B176" s="282"/>
      <c r="C176" s="282"/>
      <c r="D176" s="314"/>
      <c r="E176" s="171"/>
      <c r="F176" s="171"/>
      <c r="G176" s="173"/>
      <c r="H176" s="170"/>
      <c r="I176" s="171"/>
    </row>
    <row r="177" ht="14.25" customHeight="1">
      <c r="A177" s="282"/>
      <c r="B177" s="282"/>
      <c r="C177" s="282"/>
      <c r="D177" s="314"/>
      <c r="E177" s="171"/>
      <c r="F177" s="171"/>
      <c r="G177" s="173"/>
      <c r="H177" s="170"/>
      <c r="I177" s="171"/>
    </row>
    <row r="178" ht="14.25" customHeight="1">
      <c r="A178" s="282"/>
      <c r="B178" s="282"/>
      <c r="C178" s="282"/>
      <c r="D178" s="314"/>
      <c r="E178" s="171"/>
      <c r="F178" s="171"/>
      <c r="G178" s="173"/>
      <c r="H178" s="170"/>
      <c r="I178" s="171"/>
    </row>
    <row r="179" ht="14.25" customHeight="1">
      <c r="A179" s="282"/>
      <c r="B179" s="282"/>
      <c r="C179" s="282"/>
      <c r="D179" s="314"/>
      <c r="E179" s="171"/>
      <c r="F179" s="171"/>
      <c r="G179" s="173"/>
      <c r="H179" s="170"/>
      <c r="I179" s="171"/>
    </row>
    <row r="180" ht="14.25" customHeight="1">
      <c r="A180" s="282"/>
      <c r="B180" s="282"/>
      <c r="C180" s="282"/>
      <c r="D180" s="314"/>
      <c r="E180" s="171"/>
      <c r="F180" s="171"/>
      <c r="G180" s="173"/>
      <c r="H180" s="170"/>
      <c r="I180" s="171"/>
    </row>
    <row r="181" ht="14.25" customHeight="1">
      <c r="A181" s="282"/>
      <c r="B181" s="282"/>
      <c r="C181" s="282"/>
      <c r="D181" s="314"/>
      <c r="E181" s="171"/>
      <c r="F181" s="171"/>
      <c r="G181" s="173"/>
      <c r="H181" s="170"/>
      <c r="I181" s="171"/>
    </row>
    <row r="182" ht="14.25" customHeight="1">
      <c r="A182" s="282"/>
      <c r="B182" s="282"/>
      <c r="C182" s="282"/>
      <c r="D182" s="314"/>
      <c r="E182" s="171"/>
      <c r="F182" s="171"/>
      <c r="G182" s="173"/>
      <c r="H182" s="170"/>
      <c r="I182" s="171"/>
    </row>
    <row r="183" ht="14.25" customHeight="1">
      <c r="A183" s="282"/>
      <c r="B183" s="282"/>
      <c r="C183" s="282"/>
      <c r="D183" s="314"/>
      <c r="E183" s="171"/>
      <c r="F183" s="171"/>
      <c r="G183" s="173"/>
      <c r="H183" s="170"/>
      <c r="I183" s="171"/>
    </row>
    <row r="184" ht="14.25" customHeight="1">
      <c r="A184" s="282"/>
      <c r="B184" s="282"/>
      <c r="C184" s="282"/>
      <c r="D184" s="314"/>
      <c r="E184" s="171"/>
      <c r="F184" s="171"/>
      <c r="G184" s="173"/>
      <c r="H184" s="170"/>
      <c r="I184" s="171"/>
    </row>
    <row r="185" ht="14.25" customHeight="1">
      <c r="A185" s="282"/>
      <c r="B185" s="282"/>
      <c r="C185" s="282"/>
      <c r="D185" s="314"/>
      <c r="E185" s="171"/>
      <c r="F185" s="171"/>
      <c r="G185" s="173"/>
      <c r="H185" s="170"/>
      <c r="I185" s="171"/>
    </row>
    <row r="186" ht="14.25" customHeight="1">
      <c r="A186" s="282"/>
      <c r="B186" s="282"/>
      <c r="C186" s="282"/>
      <c r="D186" s="314"/>
      <c r="E186" s="171"/>
      <c r="F186" s="171"/>
      <c r="G186" s="173"/>
      <c r="H186" s="170"/>
      <c r="I186" s="171"/>
    </row>
    <row r="187" ht="14.25" customHeight="1">
      <c r="A187" s="282"/>
      <c r="B187" s="282"/>
      <c r="C187" s="282"/>
      <c r="D187" s="314"/>
      <c r="E187" s="171"/>
      <c r="F187" s="171"/>
      <c r="G187" s="173"/>
      <c r="H187" s="170"/>
      <c r="I187" s="171"/>
    </row>
    <row r="188" ht="14.25" customHeight="1">
      <c r="A188" s="282"/>
      <c r="B188" s="282"/>
      <c r="C188" s="282"/>
      <c r="D188" s="314"/>
      <c r="E188" s="171"/>
      <c r="F188" s="171"/>
      <c r="G188" s="173"/>
      <c r="H188" s="170"/>
      <c r="I188" s="171"/>
    </row>
    <row r="189" ht="14.25" customHeight="1">
      <c r="A189" s="282"/>
      <c r="B189" s="282"/>
      <c r="C189" s="282"/>
      <c r="D189" s="314"/>
      <c r="E189" s="171"/>
      <c r="F189" s="171"/>
      <c r="G189" s="173"/>
      <c r="H189" s="170"/>
      <c r="I189" s="171"/>
    </row>
    <row r="190" ht="14.25" customHeight="1">
      <c r="A190" s="282"/>
      <c r="B190" s="282"/>
      <c r="C190" s="282"/>
      <c r="D190" s="314"/>
      <c r="E190" s="171"/>
      <c r="F190" s="171"/>
      <c r="G190" s="173"/>
      <c r="H190" s="170"/>
      <c r="I190" s="171"/>
    </row>
    <row r="191" ht="14.25" customHeight="1">
      <c r="A191" s="282"/>
      <c r="B191" s="282"/>
      <c r="C191" s="282"/>
      <c r="D191" s="314"/>
      <c r="E191" s="171"/>
      <c r="F191" s="171"/>
      <c r="G191" s="173"/>
      <c r="H191" s="170"/>
      <c r="I191" s="171"/>
    </row>
    <row r="192" ht="14.25" customHeight="1">
      <c r="A192" s="282"/>
      <c r="B192" s="282"/>
      <c r="C192" s="282"/>
      <c r="D192" s="314"/>
      <c r="E192" s="171"/>
      <c r="F192" s="171"/>
      <c r="G192" s="173"/>
      <c r="H192" s="170"/>
      <c r="I192" s="171"/>
    </row>
    <row r="193" ht="14.25" customHeight="1">
      <c r="A193" s="282"/>
      <c r="B193" s="282"/>
      <c r="C193" s="282"/>
      <c r="D193" s="314"/>
      <c r="E193" s="171"/>
      <c r="F193" s="171"/>
      <c r="G193" s="173"/>
      <c r="H193" s="170"/>
      <c r="I193" s="171"/>
    </row>
    <row r="194" ht="14.25" customHeight="1">
      <c r="A194" s="282"/>
      <c r="B194" s="282"/>
      <c r="C194" s="282"/>
      <c r="D194" s="314"/>
      <c r="E194" s="171"/>
      <c r="F194" s="171"/>
      <c r="G194" s="173"/>
      <c r="H194" s="170"/>
      <c r="I194" s="171"/>
    </row>
    <row r="195" ht="14.25" customHeight="1">
      <c r="A195" s="282"/>
      <c r="B195" s="282"/>
      <c r="C195" s="282"/>
      <c r="D195" s="314"/>
      <c r="E195" s="171"/>
      <c r="F195" s="171"/>
      <c r="G195" s="173"/>
      <c r="H195" s="170"/>
      <c r="I195" s="171"/>
    </row>
    <row r="196" ht="14.25" customHeight="1">
      <c r="A196" s="282"/>
      <c r="B196" s="282"/>
      <c r="C196" s="282"/>
      <c r="D196" s="314"/>
      <c r="E196" s="171"/>
      <c r="F196" s="171"/>
      <c r="G196" s="173"/>
      <c r="H196" s="170"/>
      <c r="I196" s="171"/>
    </row>
    <row r="197" ht="14.25" customHeight="1">
      <c r="A197" s="282"/>
      <c r="B197" s="282"/>
      <c r="C197" s="282"/>
      <c r="D197" s="314"/>
      <c r="E197" s="171"/>
      <c r="F197" s="171"/>
      <c r="G197" s="173"/>
      <c r="H197" s="170"/>
      <c r="I197" s="171"/>
    </row>
    <row r="198" ht="14.25" customHeight="1">
      <c r="A198" s="282"/>
      <c r="B198" s="282"/>
      <c r="C198" s="282"/>
      <c r="D198" s="314"/>
      <c r="E198" s="171"/>
      <c r="F198" s="171"/>
      <c r="G198" s="173"/>
      <c r="H198" s="170"/>
      <c r="I198" s="171"/>
    </row>
    <row r="199" ht="14.25" customHeight="1">
      <c r="A199" s="282"/>
      <c r="B199" s="282"/>
      <c r="C199" s="282"/>
      <c r="D199" s="314"/>
      <c r="E199" s="171"/>
      <c r="F199" s="171"/>
      <c r="G199" s="173"/>
      <c r="H199" s="170"/>
      <c r="I199" s="171"/>
    </row>
    <row r="200" ht="14.25" customHeight="1">
      <c r="A200" s="282"/>
      <c r="B200" s="282"/>
      <c r="C200" s="282"/>
      <c r="D200" s="314"/>
      <c r="E200" s="171"/>
      <c r="F200" s="171"/>
      <c r="G200" s="173"/>
      <c r="H200" s="170"/>
      <c r="I200" s="171"/>
    </row>
    <row r="201" ht="14.25" customHeight="1">
      <c r="A201" s="282"/>
      <c r="B201" s="282"/>
      <c r="C201" s="282"/>
      <c r="D201" s="314"/>
      <c r="E201" s="171"/>
      <c r="F201" s="171"/>
      <c r="G201" s="173"/>
      <c r="H201" s="170"/>
      <c r="I201" s="171"/>
    </row>
    <row r="202" ht="14.25" customHeight="1">
      <c r="A202" s="282"/>
      <c r="B202" s="282"/>
      <c r="C202" s="282"/>
      <c r="D202" s="314"/>
      <c r="E202" s="171"/>
      <c r="F202" s="171"/>
      <c r="G202" s="173"/>
      <c r="H202" s="170"/>
      <c r="I202" s="171"/>
    </row>
    <row r="203" ht="14.25" customHeight="1">
      <c r="A203" s="282"/>
      <c r="B203" s="282"/>
      <c r="C203" s="282"/>
      <c r="D203" s="314"/>
      <c r="E203" s="171"/>
      <c r="F203" s="171"/>
      <c r="G203" s="173"/>
      <c r="H203" s="170"/>
      <c r="I203" s="171"/>
    </row>
    <row r="204" ht="14.25" customHeight="1">
      <c r="A204" s="282"/>
      <c r="B204" s="282"/>
      <c r="C204" s="282"/>
      <c r="D204" s="314"/>
      <c r="E204" s="171"/>
      <c r="F204" s="171"/>
      <c r="G204" s="173"/>
      <c r="H204" s="170"/>
      <c r="I204" s="171"/>
    </row>
    <row r="205" ht="14.25" customHeight="1">
      <c r="A205" s="282"/>
      <c r="B205" s="282"/>
      <c r="C205" s="282"/>
      <c r="D205" s="314"/>
      <c r="E205" s="171"/>
      <c r="F205" s="171"/>
      <c r="G205" s="173"/>
      <c r="H205" s="170"/>
      <c r="I205" s="171"/>
    </row>
    <row r="206" ht="14.25" customHeight="1">
      <c r="A206" s="282"/>
      <c r="B206" s="282"/>
      <c r="C206" s="282"/>
      <c r="D206" s="314"/>
      <c r="E206" s="171"/>
      <c r="F206" s="171"/>
      <c r="G206" s="173"/>
      <c r="H206" s="170"/>
      <c r="I206" s="171"/>
    </row>
    <row r="207" ht="14.25" customHeight="1">
      <c r="A207" s="282"/>
      <c r="B207" s="282"/>
      <c r="C207" s="282"/>
      <c r="D207" s="314"/>
      <c r="E207" s="171"/>
      <c r="F207" s="171"/>
      <c r="G207" s="173"/>
      <c r="H207" s="170"/>
      <c r="I207" s="171"/>
    </row>
    <row r="208" ht="14.25" customHeight="1">
      <c r="A208" s="282"/>
      <c r="B208" s="282"/>
      <c r="C208" s="282"/>
      <c r="D208" s="314"/>
      <c r="E208" s="171"/>
      <c r="F208" s="171"/>
      <c r="G208" s="173"/>
      <c r="H208" s="170"/>
      <c r="I208" s="171"/>
    </row>
    <row r="209" ht="14.25" customHeight="1">
      <c r="A209" s="282"/>
      <c r="B209" s="282"/>
      <c r="C209" s="282"/>
      <c r="D209" s="314"/>
      <c r="E209" s="171"/>
      <c r="F209" s="171"/>
      <c r="G209" s="173"/>
      <c r="H209" s="170"/>
      <c r="I209" s="171"/>
    </row>
    <row r="210" ht="14.25" customHeight="1">
      <c r="A210" s="282"/>
      <c r="B210" s="282"/>
      <c r="C210" s="282"/>
      <c r="D210" s="314"/>
      <c r="E210" s="171"/>
      <c r="F210" s="171"/>
      <c r="G210" s="173"/>
      <c r="H210" s="170"/>
      <c r="I210" s="171"/>
    </row>
    <row r="211" ht="14.25" customHeight="1">
      <c r="A211" s="282"/>
      <c r="B211" s="282"/>
      <c r="C211" s="282"/>
      <c r="D211" s="314"/>
      <c r="E211" s="171"/>
      <c r="F211" s="171"/>
      <c r="G211" s="173"/>
      <c r="H211" s="170"/>
      <c r="I211" s="171"/>
    </row>
    <row r="212" ht="14.25" customHeight="1">
      <c r="A212" s="282"/>
      <c r="B212" s="282"/>
      <c r="C212" s="282"/>
      <c r="D212" s="314"/>
      <c r="E212" s="171"/>
      <c r="F212" s="171"/>
      <c r="G212" s="173"/>
      <c r="H212" s="170"/>
      <c r="I212" s="171"/>
    </row>
    <row r="213" ht="14.25" customHeight="1">
      <c r="A213" s="282"/>
      <c r="B213" s="282"/>
      <c r="C213" s="282"/>
      <c r="D213" s="314"/>
      <c r="E213" s="171"/>
      <c r="F213" s="171"/>
      <c r="G213" s="173"/>
      <c r="H213" s="170"/>
      <c r="I213" s="171"/>
    </row>
    <row r="214" ht="14.25" customHeight="1">
      <c r="A214" s="282"/>
      <c r="B214" s="282"/>
      <c r="C214" s="282"/>
      <c r="D214" s="314"/>
      <c r="E214" s="171"/>
      <c r="F214" s="171"/>
      <c r="G214" s="173"/>
      <c r="H214" s="170"/>
      <c r="I214" s="171"/>
    </row>
    <row r="215" ht="14.25" customHeight="1">
      <c r="A215" s="282"/>
      <c r="B215" s="282"/>
      <c r="C215" s="282"/>
      <c r="D215" s="314"/>
      <c r="E215" s="171"/>
      <c r="F215" s="171"/>
      <c r="G215" s="173"/>
      <c r="H215" s="170"/>
      <c r="I215" s="171"/>
    </row>
    <row r="216" ht="14.25" customHeight="1">
      <c r="A216" s="282"/>
      <c r="B216" s="282"/>
      <c r="C216" s="282"/>
      <c r="D216" s="314"/>
      <c r="E216" s="171"/>
      <c r="F216" s="171"/>
      <c r="G216" s="173"/>
      <c r="H216" s="170"/>
      <c r="I216" s="171"/>
    </row>
    <row r="217" ht="14.25" customHeight="1">
      <c r="A217" s="282"/>
      <c r="B217" s="282"/>
      <c r="C217" s="282"/>
      <c r="D217" s="314"/>
      <c r="E217" s="171"/>
      <c r="F217" s="171"/>
      <c r="G217" s="173"/>
      <c r="H217" s="170"/>
      <c r="I217" s="171"/>
    </row>
    <row r="218" ht="14.25" customHeight="1">
      <c r="A218" s="282"/>
      <c r="B218" s="282"/>
      <c r="C218" s="282"/>
      <c r="D218" s="314"/>
      <c r="E218" s="171"/>
      <c r="F218" s="171"/>
      <c r="G218" s="173"/>
      <c r="H218" s="170"/>
      <c r="I218" s="171"/>
    </row>
    <row r="219" ht="14.25" customHeight="1">
      <c r="A219" s="282"/>
      <c r="B219" s="282"/>
      <c r="C219" s="282"/>
      <c r="D219" s="314"/>
      <c r="E219" s="171"/>
      <c r="F219" s="171"/>
      <c r="G219" s="173"/>
      <c r="H219" s="170"/>
      <c r="I219" s="171"/>
    </row>
    <row r="220" ht="14.25" customHeight="1">
      <c r="A220" s="282"/>
      <c r="B220" s="282"/>
      <c r="C220" s="282"/>
      <c r="D220" s="314"/>
      <c r="E220" s="171"/>
      <c r="F220" s="171"/>
      <c r="G220" s="173"/>
      <c r="H220" s="170"/>
      <c r="I220" s="171"/>
    </row>
    <row r="221" ht="14.25" customHeight="1">
      <c r="A221" s="282"/>
      <c r="B221" s="282"/>
      <c r="C221" s="282"/>
      <c r="D221" s="314"/>
      <c r="E221" s="171"/>
      <c r="F221" s="171"/>
      <c r="G221" s="173"/>
      <c r="H221" s="170"/>
      <c r="I221" s="171"/>
    </row>
    <row r="222" ht="14.25" customHeight="1">
      <c r="A222" s="282"/>
      <c r="B222" s="282"/>
      <c r="C222" s="282"/>
      <c r="D222" s="314"/>
      <c r="E222" s="171"/>
      <c r="F222" s="171"/>
      <c r="G222" s="173"/>
      <c r="H222" s="170"/>
      <c r="I222" s="171"/>
    </row>
    <row r="223" ht="14.25" customHeight="1">
      <c r="A223" s="282"/>
      <c r="B223" s="282"/>
      <c r="C223" s="282"/>
      <c r="D223" s="314"/>
      <c r="E223" s="171"/>
      <c r="F223" s="171"/>
      <c r="G223" s="173"/>
      <c r="H223" s="170"/>
      <c r="I223" s="171"/>
    </row>
    <row r="224" ht="14.25" customHeight="1">
      <c r="A224" s="282"/>
      <c r="B224" s="282"/>
      <c r="C224" s="282"/>
      <c r="D224" s="314"/>
      <c r="E224" s="171"/>
      <c r="F224" s="171"/>
      <c r="G224" s="173"/>
      <c r="H224" s="170"/>
      <c r="I224" s="171"/>
    </row>
    <row r="225" ht="14.25" customHeight="1">
      <c r="A225" s="282"/>
      <c r="B225" s="282"/>
      <c r="C225" s="282"/>
      <c r="D225" s="314"/>
      <c r="E225" s="171"/>
      <c r="F225" s="171"/>
      <c r="G225" s="173"/>
      <c r="H225" s="170"/>
      <c r="I225" s="171"/>
    </row>
    <row r="226" ht="14.25" customHeight="1">
      <c r="A226" s="282"/>
      <c r="B226" s="282"/>
      <c r="C226" s="282"/>
      <c r="D226" s="314"/>
      <c r="E226" s="171"/>
      <c r="F226" s="171"/>
      <c r="G226" s="173"/>
      <c r="H226" s="170"/>
      <c r="I226" s="171"/>
    </row>
    <row r="227" ht="14.25" customHeight="1">
      <c r="A227" s="282"/>
      <c r="B227" s="282"/>
      <c r="C227" s="282"/>
      <c r="D227" s="314"/>
      <c r="E227" s="171"/>
      <c r="F227" s="171"/>
      <c r="G227" s="173"/>
      <c r="H227" s="170"/>
      <c r="I227" s="171"/>
    </row>
    <row r="228" ht="14.25" customHeight="1">
      <c r="A228" s="282"/>
      <c r="B228" s="282"/>
      <c r="C228" s="282"/>
      <c r="D228" s="314"/>
      <c r="E228" s="171"/>
      <c r="F228" s="171"/>
      <c r="G228" s="173"/>
      <c r="H228" s="170"/>
      <c r="I228" s="171"/>
    </row>
    <row r="229" ht="14.25" customHeight="1">
      <c r="A229" s="282"/>
      <c r="B229" s="282"/>
      <c r="C229" s="282"/>
      <c r="D229" s="314"/>
      <c r="E229" s="171"/>
      <c r="F229" s="171"/>
      <c r="G229" s="173"/>
      <c r="H229" s="170"/>
      <c r="I229" s="171"/>
    </row>
    <row r="230" ht="14.25" customHeight="1">
      <c r="A230" s="282"/>
      <c r="B230" s="282"/>
      <c r="C230" s="282"/>
      <c r="D230" s="314"/>
      <c r="E230" s="171"/>
      <c r="F230" s="171"/>
      <c r="G230" s="173"/>
      <c r="H230" s="170"/>
      <c r="I230" s="171"/>
    </row>
    <row r="231" ht="14.25" customHeight="1">
      <c r="A231" s="282"/>
      <c r="B231" s="282"/>
      <c r="C231" s="282"/>
      <c r="D231" s="314"/>
      <c r="E231" s="171"/>
      <c r="F231" s="171"/>
      <c r="G231" s="173"/>
      <c r="H231" s="170"/>
      <c r="I231" s="171"/>
    </row>
    <row r="232" ht="14.25" customHeight="1">
      <c r="A232" s="282"/>
      <c r="B232" s="282"/>
      <c r="C232" s="282"/>
      <c r="D232" s="314"/>
      <c r="E232" s="171"/>
      <c r="F232" s="171"/>
      <c r="G232" s="173"/>
      <c r="H232" s="170"/>
      <c r="I232" s="171"/>
    </row>
    <row r="233" ht="14.25" customHeight="1">
      <c r="A233" s="282"/>
      <c r="B233" s="282"/>
      <c r="C233" s="282"/>
      <c r="D233" s="314"/>
      <c r="E233" s="171"/>
      <c r="F233" s="171"/>
      <c r="G233" s="173"/>
      <c r="H233" s="170"/>
      <c r="I233" s="171"/>
    </row>
    <row r="234" ht="14.25" customHeight="1">
      <c r="A234" s="282"/>
      <c r="B234" s="282"/>
      <c r="C234" s="282"/>
      <c r="D234" s="314"/>
      <c r="E234" s="171"/>
      <c r="F234" s="171"/>
      <c r="G234" s="173"/>
      <c r="H234" s="170"/>
      <c r="I234" s="171"/>
    </row>
    <row r="235" ht="14.25" customHeight="1">
      <c r="A235" s="282"/>
      <c r="B235" s="282"/>
      <c r="C235" s="282"/>
      <c r="D235" s="314"/>
      <c r="E235" s="171"/>
      <c r="F235" s="171"/>
      <c r="G235" s="173"/>
      <c r="H235" s="170"/>
      <c r="I235" s="171"/>
    </row>
    <row r="236" ht="14.25" customHeight="1">
      <c r="A236" s="282"/>
      <c r="B236" s="282"/>
      <c r="C236" s="282"/>
      <c r="D236" s="314"/>
      <c r="E236" s="171"/>
      <c r="F236" s="171"/>
      <c r="G236" s="173"/>
      <c r="H236" s="170"/>
      <c r="I236" s="171"/>
    </row>
    <row r="237" ht="14.25" customHeight="1">
      <c r="A237" s="282"/>
      <c r="B237" s="282"/>
      <c r="C237" s="282"/>
      <c r="D237" s="314"/>
      <c r="E237" s="171"/>
      <c r="F237" s="171"/>
      <c r="G237" s="173"/>
      <c r="H237" s="170"/>
      <c r="I237" s="171"/>
    </row>
    <row r="238" ht="14.25" customHeight="1">
      <c r="A238" s="282"/>
      <c r="B238" s="282"/>
      <c r="C238" s="282"/>
      <c r="D238" s="314"/>
      <c r="E238" s="171"/>
      <c r="F238" s="171"/>
      <c r="G238" s="173"/>
      <c r="H238" s="170"/>
      <c r="I238" s="171"/>
    </row>
    <row r="239" ht="14.25" customHeight="1">
      <c r="A239" s="282"/>
      <c r="B239" s="282"/>
      <c r="C239" s="282"/>
      <c r="D239" s="314"/>
      <c r="E239" s="171"/>
      <c r="F239" s="171"/>
      <c r="G239" s="173"/>
      <c r="H239" s="170"/>
      <c r="I239" s="171"/>
    </row>
    <row r="240" ht="14.25" customHeight="1">
      <c r="A240" s="282"/>
      <c r="B240" s="282"/>
      <c r="C240" s="282"/>
      <c r="D240" s="314"/>
      <c r="E240" s="171"/>
      <c r="F240" s="171"/>
      <c r="G240" s="173"/>
      <c r="H240" s="170"/>
      <c r="I240" s="171"/>
    </row>
    <row r="241" ht="14.25" customHeight="1">
      <c r="A241" s="282"/>
      <c r="B241" s="282"/>
      <c r="C241" s="282"/>
      <c r="D241" s="314"/>
      <c r="E241" s="171"/>
      <c r="F241" s="171"/>
      <c r="G241" s="173"/>
      <c r="H241" s="170"/>
      <c r="I241" s="171"/>
    </row>
    <row r="242" ht="14.25" customHeight="1">
      <c r="A242" s="282"/>
      <c r="B242" s="282"/>
      <c r="C242" s="282"/>
      <c r="D242" s="314"/>
      <c r="E242" s="171"/>
      <c r="F242" s="171"/>
      <c r="G242" s="173"/>
      <c r="H242" s="170"/>
      <c r="I242" s="171"/>
    </row>
    <row r="243" ht="14.25" customHeight="1">
      <c r="A243" s="282"/>
      <c r="B243" s="282"/>
      <c r="C243" s="282"/>
      <c r="D243" s="314"/>
      <c r="E243" s="171"/>
      <c r="F243" s="171"/>
      <c r="G243" s="173"/>
      <c r="H243" s="170"/>
      <c r="I243" s="171"/>
    </row>
    <row r="244" ht="14.25" customHeight="1">
      <c r="A244" s="282"/>
      <c r="B244" s="282"/>
      <c r="C244" s="282"/>
      <c r="D244" s="314"/>
      <c r="E244" s="171"/>
      <c r="F244" s="171"/>
      <c r="G244" s="173"/>
      <c r="H244" s="170"/>
      <c r="I244" s="171"/>
    </row>
    <row r="245" ht="14.25" customHeight="1">
      <c r="A245" s="282"/>
      <c r="B245" s="282"/>
      <c r="C245" s="282"/>
      <c r="D245" s="314"/>
      <c r="E245" s="171"/>
      <c r="F245" s="171"/>
      <c r="G245" s="173"/>
      <c r="H245" s="170"/>
      <c r="I245" s="171"/>
    </row>
    <row r="246" ht="14.25" customHeight="1">
      <c r="A246" s="282"/>
      <c r="B246" s="282"/>
      <c r="C246" s="282"/>
      <c r="D246" s="314"/>
      <c r="E246" s="171"/>
      <c r="F246" s="171"/>
      <c r="G246" s="173"/>
      <c r="H246" s="170"/>
      <c r="I246" s="171"/>
    </row>
    <row r="247" ht="14.25" customHeight="1">
      <c r="A247" s="282"/>
      <c r="B247" s="282"/>
      <c r="C247" s="282"/>
      <c r="D247" s="314"/>
      <c r="E247" s="171"/>
      <c r="F247" s="171"/>
      <c r="G247" s="173"/>
      <c r="H247" s="170"/>
      <c r="I247" s="171"/>
    </row>
    <row r="248" ht="14.25" customHeight="1">
      <c r="A248" s="282"/>
      <c r="B248" s="282"/>
      <c r="C248" s="282"/>
      <c r="D248" s="314"/>
      <c r="E248" s="171"/>
      <c r="F248" s="171"/>
      <c r="G248" s="173"/>
      <c r="H248" s="170"/>
      <c r="I248" s="171"/>
    </row>
    <row r="249" ht="14.25" customHeight="1">
      <c r="A249" s="282"/>
      <c r="B249" s="282"/>
      <c r="C249" s="282"/>
      <c r="D249" s="314"/>
      <c r="E249" s="171"/>
      <c r="F249" s="171"/>
      <c r="G249" s="173"/>
      <c r="H249" s="170"/>
      <c r="I249" s="171"/>
    </row>
    <row r="250" ht="14.25" customHeight="1">
      <c r="A250" s="282"/>
      <c r="B250" s="282"/>
      <c r="C250" s="282"/>
      <c r="D250" s="314"/>
      <c r="E250" s="171"/>
      <c r="F250" s="171"/>
      <c r="G250" s="173"/>
      <c r="H250" s="170"/>
      <c r="I250" s="171"/>
    </row>
    <row r="251" ht="14.25" customHeight="1">
      <c r="A251" s="282"/>
      <c r="B251" s="282"/>
      <c r="C251" s="282"/>
      <c r="D251" s="314"/>
      <c r="E251" s="171"/>
      <c r="F251" s="171"/>
      <c r="G251" s="173"/>
      <c r="H251" s="170"/>
      <c r="I251" s="171"/>
    </row>
    <row r="252" ht="14.25" customHeight="1">
      <c r="A252" s="282"/>
      <c r="B252" s="282"/>
      <c r="C252" s="282"/>
      <c r="D252" s="314"/>
      <c r="E252" s="171"/>
      <c r="F252" s="171"/>
      <c r="G252" s="173"/>
      <c r="H252" s="170"/>
      <c r="I252" s="171"/>
    </row>
    <row r="253" ht="14.25" customHeight="1">
      <c r="A253" s="282"/>
      <c r="B253" s="282"/>
      <c r="C253" s="282"/>
      <c r="D253" s="314"/>
      <c r="E253" s="171"/>
      <c r="F253" s="171"/>
      <c r="G253" s="173"/>
      <c r="H253" s="170"/>
      <c r="I253" s="171"/>
    </row>
    <row r="254" ht="14.25" customHeight="1">
      <c r="A254" s="282"/>
      <c r="B254" s="282"/>
      <c r="C254" s="282"/>
      <c r="D254" s="314"/>
      <c r="E254" s="171"/>
      <c r="F254" s="171"/>
      <c r="G254" s="173"/>
      <c r="H254" s="170"/>
      <c r="I254" s="171"/>
    </row>
    <row r="255" ht="14.25" customHeight="1">
      <c r="A255" s="282"/>
      <c r="B255" s="282"/>
      <c r="C255" s="282"/>
      <c r="D255" s="314"/>
      <c r="E255" s="171"/>
      <c r="F255" s="171"/>
      <c r="G255" s="173"/>
      <c r="H255" s="170"/>
      <c r="I255" s="171"/>
    </row>
    <row r="256" ht="14.25" customHeight="1">
      <c r="A256" s="282"/>
      <c r="B256" s="282"/>
      <c r="C256" s="282"/>
      <c r="D256" s="314"/>
      <c r="E256" s="171"/>
      <c r="F256" s="171"/>
      <c r="G256" s="173"/>
      <c r="H256" s="170"/>
      <c r="I256" s="171"/>
    </row>
    <row r="257" ht="14.25" customHeight="1">
      <c r="A257" s="282"/>
      <c r="B257" s="282"/>
      <c r="C257" s="282"/>
      <c r="D257" s="314"/>
      <c r="E257" s="171"/>
      <c r="F257" s="171"/>
      <c r="G257" s="173"/>
      <c r="H257" s="170"/>
      <c r="I257" s="171"/>
    </row>
    <row r="258" ht="14.25" customHeight="1">
      <c r="A258" s="282"/>
      <c r="B258" s="282"/>
      <c r="C258" s="282"/>
      <c r="D258" s="314"/>
      <c r="E258" s="171"/>
      <c r="F258" s="171"/>
      <c r="G258" s="173"/>
      <c r="H258" s="170"/>
      <c r="I258" s="171"/>
    </row>
    <row r="259" ht="14.25" customHeight="1">
      <c r="A259" s="282"/>
      <c r="B259" s="282"/>
      <c r="C259" s="282"/>
      <c r="D259" s="314"/>
      <c r="E259" s="171"/>
      <c r="F259" s="171"/>
      <c r="G259" s="173"/>
      <c r="H259" s="170"/>
      <c r="I259" s="171"/>
    </row>
    <row r="260" ht="14.25" customHeight="1">
      <c r="A260" s="282"/>
      <c r="B260" s="282"/>
      <c r="C260" s="282"/>
      <c r="D260" s="314"/>
      <c r="E260" s="171"/>
      <c r="F260" s="171"/>
      <c r="G260" s="173"/>
      <c r="H260" s="170"/>
      <c r="I260" s="171"/>
    </row>
    <row r="261" ht="14.25" customHeight="1">
      <c r="A261" s="282"/>
      <c r="B261" s="282"/>
      <c r="C261" s="282"/>
      <c r="D261" s="314"/>
      <c r="E261" s="171"/>
      <c r="F261" s="171"/>
      <c r="G261" s="173"/>
      <c r="H261" s="170"/>
      <c r="I261" s="171"/>
    </row>
    <row r="262" ht="14.25" customHeight="1">
      <c r="A262" s="282"/>
      <c r="B262" s="282"/>
      <c r="C262" s="282"/>
      <c r="D262" s="314"/>
      <c r="E262" s="171"/>
      <c r="F262" s="171"/>
      <c r="G262" s="173"/>
      <c r="H262" s="170"/>
      <c r="I262" s="171"/>
    </row>
    <row r="263" ht="14.25" customHeight="1">
      <c r="A263" s="282"/>
      <c r="B263" s="282"/>
      <c r="C263" s="282"/>
      <c r="D263" s="314"/>
      <c r="E263" s="171"/>
      <c r="F263" s="171"/>
      <c r="G263" s="173"/>
      <c r="H263" s="170"/>
      <c r="I263" s="171"/>
    </row>
    <row r="264" ht="14.25" customHeight="1">
      <c r="A264" s="282"/>
      <c r="B264" s="282"/>
      <c r="C264" s="282"/>
      <c r="D264" s="314"/>
      <c r="E264" s="171"/>
      <c r="F264" s="171"/>
      <c r="G264" s="173"/>
      <c r="H264" s="170"/>
      <c r="I264" s="171"/>
    </row>
    <row r="265" ht="14.25" customHeight="1">
      <c r="A265" s="282"/>
      <c r="B265" s="282"/>
      <c r="C265" s="282"/>
      <c r="D265" s="314"/>
      <c r="E265" s="171"/>
      <c r="F265" s="171"/>
      <c r="G265" s="173"/>
      <c r="H265" s="170"/>
      <c r="I265" s="171"/>
    </row>
    <row r="266" ht="14.25" customHeight="1">
      <c r="A266" s="282"/>
      <c r="B266" s="282"/>
      <c r="C266" s="282"/>
      <c r="D266" s="314"/>
      <c r="E266" s="171"/>
      <c r="F266" s="171"/>
      <c r="G266" s="173"/>
      <c r="H266" s="170"/>
      <c r="I266" s="171"/>
    </row>
    <row r="267" ht="14.25" customHeight="1">
      <c r="A267" s="282"/>
      <c r="B267" s="282"/>
      <c r="C267" s="282"/>
      <c r="D267" s="314"/>
      <c r="E267" s="171"/>
      <c r="F267" s="171"/>
      <c r="G267" s="173"/>
      <c r="H267" s="170"/>
      <c r="I267" s="171"/>
    </row>
    <row r="268" ht="14.25" customHeight="1">
      <c r="A268" s="282"/>
      <c r="B268" s="282"/>
      <c r="C268" s="282"/>
      <c r="D268" s="314"/>
      <c r="E268" s="171"/>
      <c r="F268" s="171"/>
      <c r="G268" s="173"/>
      <c r="H268" s="170"/>
      <c r="I268" s="171"/>
    </row>
    <row r="269" ht="14.25" customHeight="1">
      <c r="A269" s="282"/>
      <c r="B269" s="282"/>
      <c r="C269" s="282"/>
      <c r="D269" s="314"/>
      <c r="E269" s="171"/>
      <c r="F269" s="171"/>
      <c r="G269" s="173"/>
      <c r="H269" s="170"/>
      <c r="I269" s="171"/>
    </row>
    <row r="270" ht="14.25" customHeight="1">
      <c r="A270" s="282"/>
      <c r="B270" s="282"/>
      <c r="C270" s="282"/>
      <c r="D270" s="314"/>
      <c r="E270" s="171"/>
      <c r="F270" s="171"/>
      <c r="G270" s="173"/>
      <c r="H270" s="170"/>
      <c r="I270" s="171"/>
    </row>
    <row r="271" ht="14.25" customHeight="1">
      <c r="A271" s="282"/>
      <c r="B271" s="282"/>
      <c r="C271" s="282"/>
      <c r="D271" s="314"/>
      <c r="E271" s="171"/>
      <c r="F271" s="171"/>
      <c r="G271" s="173"/>
      <c r="H271" s="170"/>
      <c r="I271" s="171"/>
    </row>
    <row r="272" ht="14.25" customHeight="1">
      <c r="A272" s="282"/>
      <c r="B272" s="282"/>
      <c r="C272" s="282"/>
      <c r="D272" s="314"/>
      <c r="E272" s="171"/>
      <c r="F272" s="171"/>
      <c r="G272" s="173"/>
      <c r="H272" s="170"/>
      <c r="I272" s="171"/>
    </row>
    <row r="273" ht="14.25" customHeight="1">
      <c r="A273" s="282"/>
      <c r="B273" s="282"/>
      <c r="C273" s="282"/>
      <c r="D273" s="314"/>
      <c r="E273" s="171"/>
      <c r="F273" s="171"/>
      <c r="G273" s="173"/>
      <c r="H273" s="170"/>
      <c r="I273" s="171"/>
    </row>
    <row r="274" ht="14.25" customHeight="1">
      <c r="A274" s="282"/>
      <c r="B274" s="282"/>
      <c r="C274" s="282"/>
      <c r="D274" s="314"/>
      <c r="E274" s="171"/>
      <c r="F274" s="171"/>
      <c r="G274" s="173"/>
      <c r="H274" s="170"/>
      <c r="I274" s="171"/>
    </row>
    <row r="275" ht="14.25" customHeight="1">
      <c r="A275" s="282"/>
      <c r="B275" s="282"/>
      <c r="C275" s="282"/>
      <c r="D275" s="314"/>
      <c r="E275" s="171"/>
      <c r="F275" s="171"/>
      <c r="G275" s="173"/>
      <c r="H275" s="170"/>
      <c r="I275" s="171"/>
    </row>
    <row r="276" ht="14.25" customHeight="1">
      <c r="A276" s="282"/>
      <c r="B276" s="282"/>
      <c r="C276" s="282"/>
      <c r="D276" s="314"/>
      <c r="E276" s="171"/>
      <c r="F276" s="171"/>
      <c r="G276" s="173"/>
      <c r="H276" s="170"/>
      <c r="I276" s="171"/>
    </row>
    <row r="277" ht="14.25" customHeight="1">
      <c r="A277" s="282"/>
      <c r="B277" s="282"/>
      <c r="C277" s="282"/>
      <c r="D277" s="314"/>
      <c r="E277" s="171"/>
      <c r="F277" s="171"/>
      <c r="G277" s="173"/>
      <c r="H277" s="170"/>
      <c r="I277" s="171"/>
    </row>
    <row r="278" ht="14.25" customHeight="1">
      <c r="A278" s="282"/>
      <c r="B278" s="282"/>
      <c r="C278" s="282"/>
      <c r="D278" s="314"/>
      <c r="E278" s="171"/>
      <c r="F278" s="171"/>
      <c r="G278" s="173"/>
      <c r="H278" s="170"/>
      <c r="I278" s="171"/>
    </row>
    <row r="279" ht="14.25" customHeight="1">
      <c r="A279" s="282"/>
      <c r="B279" s="282"/>
      <c r="C279" s="282"/>
      <c r="D279" s="314"/>
      <c r="E279" s="171"/>
      <c r="F279" s="171"/>
      <c r="G279" s="173"/>
      <c r="H279" s="170"/>
      <c r="I279" s="171"/>
    </row>
    <row r="280" ht="14.25" customHeight="1">
      <c r="A280" s="282"/>
      <c r="B280" s="282"/>
      <c r="C280" s="282"/>
      <c r="D280" s="314"/>
      <c r="E280" s="171"/>
      <c r="F280" s="171"/>
      <c r="G280" s="173"/>
      <c r="H280" s="170"/>
      <c r="I280" s="171"/>
    </row>
    <row r="281" ht="14.25" customHeight="1">
      <c r="A281" s="282"/>
      <c r="B281" s="282"/>
      <c r="C281" s="282"/>
      <c r="D281" s="314"/>
      <c r="E281" s="171"/>
      <c r="F281" s="171"/>
      <c r="G281" s="173"/>
      <c r="H281" s="170"/>
      <c r="I281" s="171"/>
    </row>
    <row r="282" ht="14.25" customHeight="1">
      <c r="A282" s="282"/>
      <c r="B282" s="282"/>
      <c r="C282" s="282"/>
      <c r="D282" s="314"/>
      <c r="E282" s="171"/>
      <c r="F282" s="171"/>
      <c r="G282" s="173"/>
      <c r="H282" s="170"/>
      <c r="I282" s="171"/>
    </row>
    <row r="283" ht="14.25" customHeight="1">
      <c r="A283" s="282"/>
      <c r="B283" s="282"/>
      <c r="C283" s="282"/>
      <c r="D283" s="314"/>
      <c r="E283" s="171"/>
      <c r="F283" s="171"/>
      <c r="G283" s="173"/>
      <c r="H283" s="170"/>
      <c r="I283" s="171"/>
    </row>
    <row r="284" ht="14.25" customHeight="1">
      <c r="A284" s="282"/>
      <c r="B284" s="282"/>
      <c r="C284" s="282"/>
      <c r="D284" s="314"/>
      <c r="E284" s="171"/>
      <c r="F284" s="171"/>
      <c r="G284" s="173"/>
      <c r="H284" s="170"/>
      <c r="I284" s="171"/>
    </row>
    <row r="285" ht="14.25" customHeight="1">
      <c r="A285" s="282"/>
      <c r="B285" s="282"/>
      <c r="C285" s="282"/>
      <c r="D285" s="314"/>
      <c r="E285" s="171"/>
      <c r="F285" s="171"/>
      <c r="G285" s="173"/>
      <c r="H285" s="170"/>
      <c r="I285" s="171"/>
    </row>
    <row r="286" ht="14.25" customHeight="1">
      <c r="A286" s="282"/>
      <c r="B286" s="282"/>
      <c r="C286" s="282"/>
      <c r="D286" s="314"/>
      <c r="E286" s="171"/>
      <c r="F286" s="171"/>
      <c r="G286" s="173"/>
      <c r="H286" s="170"/>
      <c r="I286" s="171"/>
    </row>
    <row r="287" ht="14.25" customHeight="1">
      <c r="A287" s="282"/>
      <c r="B287" s="282"/>
      <c r="C287" s="282"/>
      <c r="D287" s="314"/>
      <c r="E287" s="171"/>
      <c r="F287" s="171"/>
      <c r="G287" s="173"/>
      <c r="H287" s="170"/>
      <c r="I287" s="171"/>
    </row>
    <row r="288" ht="14.25" customHeight="1">
      <c r="A288" s="282"/>
      <c r="B288" s="282"/>
      <c r="C288" s="282"/>
      <c r="D288" s="314"/>
      <c r="E288" s="171"/>
      <c r="F288" s="171"/>
      <c r="G288" s="173"/>
      <c r="H288" s="170"/>
      <c r="I288" s="171"/>
    </row>
    <row r="289" ht="14.25" customHeight="1">
      <c r="A289" s="282"/>
      <c r="B289" s="282"/>
      <c r="C289" s="282"/>
      <c r="D289" s="314"/>
      <c r="E289" s="171"/>
      <c r="F289" s="171"/>
      <c r="G289" s="173"/>
      <c r="H289" s="170"/>
      <c r="I289" s="171"/>
    </row>
    <row r="290" ht="14.25" customHeight="1">
      <c r="A290" s="282"/>
      <c r="B290" s="282"/>
      <c r="C290" s="282"/>
      <c r="D290" s="314"/>
      <c r="E290" s="171"/>
      <c r="F290" s="171"/>
      <c r="G290" s="173"/>
      <c r="H290" s="170"/>
      <c r="I290" s="171"/>
    </row>
    <row r="291" ht="14.25" customHeight="1">
      <c r="A291" s="282"/>
      <c r="B291" s="282"/>
      <c r="C291" s="282"/>
      <c r="D291" s="314"/>
      <c r="E291" s="171"/>
      <c r="F291" s="171"/>
      <c r="G291" s="173"/>
      <c r="H291" s="170"/>
      <c r="I291" s="171"/>
    </row>
    <row r="292" ht="14.25" customHeight="1">
      <c r="A292" s="282"/>
      <c r="B292" s="282"/>
      <c r="C292" s="282"/>
      <c r="D292" s="314"/>
      <c r="E292" s="171"/>
      <c r="F292" s="171"/>
      <c r="G292" s="173"/>
      <c r="H292" s="170"/>
      <c r="I292" s="171"/>
    </row>
    <row r="293" ht="14.25" customHeight="1">
      <c r="A293" s="282"/>
      <c r="B293" s="282"/>
      <c r="C293" s="282"/>
      <c r="D293" s="314"/>
      <c r="E293" s="171"/>
      <c r="F293" s="171"/>
      <c r="G293" s="173"/>
      <c r="H293" s="170"/>
      <c r="I293" s="171"/>
    </row>
    <row r="294" ht="14.25" customHeight="1">
      <c r="A294" s="282"/>
      <c r="B294" s="282"/>
      <c r="C294" s="282"/>
      <c r="D294" s="314"/>
      <c r="E294" s="171"/>
      <c r="F294" s="171"/>
      <c r="G294" s="173"/>
      <c r="H294" s="170"/>
      <c r="I294" s="171"/>
    </row>
    <row r="295" ht="14.25" customHeight="1">
      <c r="A295" s="282"/>
      <c r="B295" s="282"/>
      <c r="C295" s="282"/>
      <c r="D295" s="314"/>
      <c r="E295" s="171"/>
      <c r="F295" s="171"/>
      <c r="G295" s="173"/>
      <c r="H295" s="170"/>
      <c r="I295" s="171"/>
    </row>
    <row r="296" ht="14.25" customHeight="1">
      <c r="A296" s="282"/>
      <c r="B296" s="282"/>
      <c r="C296" s="282"/>
      <c r="D296" s="314"/>
      <c r="E296" s="171"/>
      <c r="F296" s="171"/>
      <c r="G296" s="173"/>
      <c r="H296" s="170"/>
      <c r="I296" s="171"/>
    </row>
    <row r="297" ht="14.25" customHeight="1">
      <c r="A297" s="282"/>
      <c r="B297" s="282"/>
      <c r="C297" s="282"/>
      <c r="D297" s="314"/>
      <c r="E297" s="171"/>
      <c r="F297" s="171"/>
      <c r="G297" s="173"/>
      <c r="H297" s="170"/>
      <c r="I297" s="171"/>
    </row>
    <row r="298" ht="14.25" customHeight="1">
      <c r="A298" s="282"/>
      <c r="B298" s="282"/>
      <c r="C298" s="282"/>
      <c r="D298" s="314"/>
      <c r="E298" s="171"/>
      <c r="F298" s="171"/>
      <c r="G298" s="173"/>
      <c r="H298" s="170"/>
      <c r="I298" s="171"/>
    </row>
    <row r="299" ht="14.25" customHeight="1">
      <c r="A299" s="282"/>
      <c r="B299" s="282"/>
      <c r="C299" s="282"/>
      <c r="D299" s="314"/>
      <c r="E299" s="171"/>
      <c r="F299" s="171"/>
      <c r="G299" s="173"/>
      <c r="H299" s="170"/>
      <c r="I299" s="171"/>
    </row>
    <row r="300" ht="14.25" customHeight="1">
      <c r="A300" s="282"/>
      <c r="B300" s="282"/>
      <c r="C300" s="282"/>
      <c r="D300" s="314"/>
      <c r="E300" s="171"/>
      <c r="F300" s="171"/>
      <c r="G300" s="173"/>
      <c r="H300" s="170"/>
      <c r="I300" s="171"/>
    </row>
    <row r="301" ht="14.25" customHeight="1">
      <c r="A301" s="282"/>
      <c r="B301" s="282"/>
      <c r="C301" s="282"/>
      <c r="D301" s="314"/>
      <c r="E301" s="171"/>
      <c r="F301" s="171"/>
      <c r="G301" s="173"/>
      <c r="H301" s="170"/>
      <c r="I301" s="171"/>
    </row>
    <row r="302" ht="14.25" customHeight="1">
      <c r="A302" s="282"/>
      <c r="B302" s="282"/>
      <c r="C302" s="282"/>
      <c r="D302" s="314"/>
      <c r="E302" s="171"/>
      <c r="F302" s="171"/>
      <c r="G302" s="173"/>
      <c r="H302" s="170"/>
      <c r="I302" s="171"/>
    </row>
    <row r="303" ht="14.25" customHeight="1">
      <c r="A303" s="282"/>
      <c r="B303" s="282"/>
      <c r="C303" s="282"/>
      <c r="D303" s="314"/>
      <c r="E303" s="171"/>
      <c r="F303" s="171"/>
      <c r="G303" s="173"/>
      <c r="H303" s="170"/>
      <c r="I303" s="171"/>
    </row>
    <row r="304" ht="14.25" customHeight="1">
      <c r="A304" s="282"/>
      <c r="B304" s="282"/>
      <c r="C304" s="282"/>
      <c r="D304" s="314"/>
      <c r="E304" s="171"/>
      <c r="F304" s="171"/>
      <c r="G304" s="173"/>
      <c r="H304" s="170"/>
      <c r="I304" s="171"/>
    </row>
    <row r="305" ht="14.25" customHeight="1">
      <c r="A305" s="282"/>
      <c r="B305" s="282"/>
      <c r="C305" s="282"/>
      <c r="D305" s="314"/>
      <c r="E305" s="171"/>
      <c r="F305" s="171"/>
      <c r="G305" s="173"/>
      <c r="H305" s="170"/>
      <c r="I305" s="171"/>
    </row>
    <row r="306" ht="14.25" customHeight="1">
      <c r="A306" s="282"/>
      <c r="B306" s="282"/>
      <c r="C306" s="282"/>
      <c r="D306" s="314"/>
      <c r="E306" s="171"/>
      <c r="F306" s="171"/>
      <c r="G306" s="173"/>
      <c r="H306" s="170"/>
      <c r="I306" s="171"/>
    </row>
    <row r="307" ht="14.25" customHeight="1">
      <c r="A307" s="282"/>
      <c r="B307" s="282"/>
      <c r="C307" s="282"/>
      <c r="D307" s="314"/>
      <c r="E307" s="171"/>
      <c r="F307" s="171"/>
      <c r="G307" s="173"/>
      <c r="H307" s="170"/>
      <c r="I307" s="171"/>
    </row>
    <row r="308" ht="14.25" customHeight="1">
      <c r="A308" s="282"/>
      <c r="B308" s="282"/>
      <c r="C308" s="282"/>
      <c r="D308" s="314"/>
      <c r="E308" s="171"/>
      <c r="F308" s="171"/>
      <c r="G308" s="173"/>
      <c r="H308" s="170"/>
      <c r="I308" s="171"/>
    </row>
    <row r="309" ht="14.25" customHeight="1">
      <c r="A309" s="282"/>
      <c r="B309" s="282"/>
      <c r="C309" s="282"/>
      <c r="D309" s="314"/>
      <c r="E309" s="171"/>
      <c r="F309" s="171"/>
      <c r="G309" s="173"/>
      <c r="H309" s="170"/>
      <c r="I309" s="171"/>
    </row>
    <row r="310" ht="14.25" customHeight="1">
      <c r="A310" s="282"/>
      <c r="B310" s="282"/>
      <c r="C310" s="282"/>
      <c r="D310" s="314"/>
      <c r="E310" s="171"/>
      <c r="F310" s="171"/>
      <c r="G310" s="173"/>
      <c r="H310" s="170"/>
      <c r="I310" s="171"/>
    </row>
    <row r="311" ht="14.25" customHeight="1">
      <c r="A311" s="282"/>
      <c r="B311" s="282"/>
      <c r="C311" s="282"/>
      <c r="D311" s="314"/>
      <c r="E311" s="171"/>
      <c r="F311" s="171"/>
      <c r="G311" s="173"/>
      <c r="H311" s="170"/>
      <c r="I311" s="171"/>
    </row>
    <row r="312" ht="14.25" customHeight="1">
      <c r="A312" s="282"/>
      <c r="B312" s="282"/>
      <c r="C312" s="282"/>
      <c r="D312" s="314"/>
      <c r="E312" s="171"/>
      <c r="F312" s="171"/>
      <c r="G312" s="173"/>
      <c r="H312" s="170"/>
      <c r="I312" s="171"/>
    </row>
    <row r="313" ht="14.25" customHeight="1">
      <c r="A313" s="282"/>
      <c r="B313" s="282"/>
      <c r="C313" s="282"/>
      <c r="D313" s="314"/>
      <c r="E313" s="171"/>
      <c r="F313" s="171"/>
      <c r="G313" s="173"/>
      <c r="H313" s="170"/>
      <c r="I313" s="171"/>
    </row>
    <row r="314" ht="14.25" customHeight="1">
      <c r="A314" s="282"/>
      <c r="B314" s="282"/>
      <c r="C314" s="282"/>
      <c r="D314" s="314"/>
      <c r="E314" s="171"/>
      <c r="F314" s="171"/>
      <c r="G314" s="173"/>
      <c r="H314" s="170"/>
      <c r="I314" s="171"/>
    </row>
    <row r="315" ht="14.25" customHeight="1">
      <c r="A315" s="282"/>
      <c r="B315" s="282"/>
      <c r="C315" s="282"/>
      <c r="D315" s="314"/>
      <c r="E315" s="171"/>
      <c r="F315" s="171"/>
      <c r="G315" s="173"/>
      <c r="H315" s="170"/>
      <c r="I315" s="171"/>
    </row>
    <row r="316" ht="14.25" customHeight="1">
      <c r="A316" s="282"/>
      <c r="B316" s="282"/>
      <c r="C316" s="282"/>
      <c r="D316" s="314"/>
      <c r="E316" s="171"/>
      <c r="F316" s="171"/>
      <c r="G316" s="173"/>
      <c r="H316" s="170"/>
      <c r="I316" s="171"/>
    </row>
    <row r="317" ht="14.25" customHeight="1">
      <c r="A317" s="282"/>
      <c r="B317" s="282"/>
      <c r="C317" s="282"/>
      <c r="D317" s="314"/>
      <c r="E317" s="171"/>
      <c r="F317" s="171"/>
      <c r="G317" s="173"/>
      <c r="H317" s="170"/>
      <c r="I317" s="171"/>
    </row>
    <row r="318" ht="14.25" customHeight="1">
      <c r="A318" s="282"/>
      <c r="B318" s="282"/>
      <c r="C318" s="282"/>
      <c r="D318" s="314"/>
      <c r="E318" s="171"/>
      <c r="F318" s="171"/>
      <c r="G318" s="173"/>
      <c r="H318" s="170"/>
      <c r="I318" s="171"/>
    </row>
    <row r="319" ht="14.25" customHeight="1">
      <c r="A319" s="282"/>
      <c r="B319" s="282"/>
      <c r="C319" s="282"/>
      <c r="D319" s="314"/>
      <c r="E319" s="171"/>
      <c r="F319" s="171"/>
      <c r="G319" s="173"/>
      <c r="H319" s="170"/>
      <c r="I319" s="171"/>
    </row>
    <row r="320" ht="14.25" customHeight="1">
      <c r="A320" s="282"/>
      <c r="B320" s="282"/>
      <c r="C320" s="282"/>
      <c r="D320" s="314"/>
      <c r="E320" s="171"/>
      <c r="F320" s="171"/>
      <c r="G320" s="173"/>
      <c r="H320" s="170"/>
      <c r="I320" s="171"/>
    </row>
    <row r="321" ht="14.25" customHeight="1">
      <c r="A321" s="282"/>
      <c r="B321" s="282"/>
      <c r="C321" s="282"/>
      <c r="D321" s="314"/>
      <c r="E321" s="171"/>
      <c r="F321" s="171"/>
      <c r="G321" s="173"/>
      <c r="H321" s="170"/>
      <c r="I321" s="171"/>
    </row>
    <row r="322" ht="14.25" customHeight="1">
      <c r="A322" s="282"/>
      <c r="B322" s="282"/>
      <c r="C322" s="282"/>
      <c r="D322" s="314"/>
      <c r="E322" s="171"/>
      <c r="F322" s="171"/>
      <c r="G322" s="173"/>
      <c r="H322" s="170"/>
      <c r="I322" s="171"/>
    </row>
    <row r="323" ht="14.25" customHeight="1">
      <c r="A323" s="282"/>
      <c r="B323" s="282"/>
      <c r="C323" s="282"/>
      <c r="D323" s="314"/>
      <c r="E323" s="171"/>
      <c r="F323" s="171"/>
      <c r="G323" s="173"/>
      <c r="H323" s="170"/>
      <c r="I323" s="171"/>
    </row>
    <row r="324" ht="14.25" customHeight="1">
      <c r="A324" s="282"/>
      <c r="B324" s="282"/>
      <c r="C324" s="282"/>
      <c r="D324" s="314"/>
      <c r="E324" s="171"/>
      <c r="F324" s="171"/>
      <c r="G324" s="173"/>
      <c r="H324" s="170"/>
      <c r="I324" s="171"/>
    </row>
    <row r="325" ht="14.25" customHeight="1">
      <c r="A325" s="282"/>
      <c r="B325" s="282"/>
      <c r="C325" s="282"/>
      <c r="D325" s="314"/>
      <c r="E325" s="171"/>
      <c r="F325" s="171"/>
      <c r="G325" s="173"/>
      <c r="H325" s="170"/>
      <c r="I325" s="171"/>
    </row>
    <row r="326" ht="14.25" customHeight="1">
      <c r="A326" s="282"/>
      <c r="B326" s="282"/>
      <c r="C326" s="282"/>
      <c r="D326" s="314"/>
      <c r="E326" s="171"/>
      <c r="F326" s="171"/>
      <c r="G326" s="173"/>
      <c r="H326" s="170"/>
      <c r="I326" s="171"/>
    </row>
    <row r="327" ht="14.25" customHeight="1">
      <c r="A327" s="282"/>
      <c r="B327" s="282"/>
      <c r="C327" s="282"/>
      <c r="D327" s="314"/>
      <c r="E327" s="171"/>
      <c r="F327" s="171"/>
      <c r="G327" s="173"/>
      <c r="H327" s="170"/>
      <c r="I327" s="171"/>
    </row>
    <row r="328" ht="14.25" customHeight="1">
      <c r="A328" s="282"/>
      <c r="B328" s="282"/>
      <c r="C328" s="282"/>
      <c r="D328" s="314"/>
      <c r="E328" s="171"/>
      <c r="F328" s="171"/>
      <c r="G328" s="173"/>
      <c r="H328" s="170"/>
      <c r="I328" s="171"/>
    </row>
    <row r="329" ht="14.25" customHeight="1">
      <c r="A329" s="282"/>
      <c r="B329" s="282"/>
      <c r="C329" s="282"/>
      <c r="D329" s="314"/>
      <c r="E329" s="171"/>
      <c r="F329" s="171"/>
      <c r="G329" s="173"/>
      <c r="H329" s="170"/>
      <c r="I329" s="171"/>
    </row>
    <row r="330" ht="14.25" customHeight="1">
      <c r="A330" s="282"/>
      <c r="B330" s="282"/>
      <c r="C330" s="282"/>
      <c r="D330" s="314"/>
      <c r="E330" s="171"/>
      <c r="F330" s="171"/>
      <c r="G330" s="173"/>
      <c r="H330" s="170"/>
      <c r="I330" s="171"/>
    </row>
    <row r="331" ht="14.25" customHeight="1">
      <c r="A331" s="282"/>
      <c r="B331" s="282"/>
      <c r="C331" s="282"/>
      <c r="D331" s="314"/>
      <c r="E331" s="171"/>
      <c r="F331" s="171"/>
      <c r="G331" s="173"/>
      <c r="H331" s="170"/>
      <c r="I331" s="171"/>
    </row>
    <row r="332" ht="14.25" customHeight="1">
      <c r="A332" s="282"/>
      <c r="B332" s="282"/>
      <c r="C332" s="282"/>
      <c r="D332" s="314"/>
      <c r="E332" s="171"/>
      <c r="F332" s="171"/>
      <c r="G332" s="173"/>
      <c r="H332" s="170"/>
      <c r="I332" s="171"/>
    </row>
    <row r="333" ht="14.25" customHeight="1">
      <c r="A333" s="282"/>
      <c r="B333" s="282"/>
      <c r="C333" s="282"/>
      <c r="D333" s="314"/>
      <c r="E333" s="171"/>
      <c r="F333" s="171"/>
      <c r="G333" s="173"/>
      <c r="H333" s="170"/>
      <c r="I333" s="171"/>
    </row>
    <row r="334" ht="14.25" customHeight="1">
      <c r="A334" s="282"/>
      <c r="B334" s="282"/>
      <c r="C334" s="282"/>
      <c r="D334" s="314"/>
      <c r="E334" s="171"/>
      <c r="F334" s="171"/>
      <c r="G334" s="173"/>
      <c r="H334" s="170"/>
      <c r="I334" s="171"/>
    </row>
    <row r="335" ht="14.25" customHeight="1">
      <c r="A335" s="282"/>
      <c r="B335" s="282"/>
      <c r="C335" s="282"/>
      <c r="D335" s="314"/>
      <c r="E335" s="171"/>
      <c r="F335" s="171"/>
      <c r="G335" s="173"/>
      <c r="H335" s="170"/>
      <c r="I335" s="171"/>
    </row>
    <row r="336" ht="14.25" customHeight="1">
      <c r="A336" s="282"/>
      <c r="B336" s="282"/>
      <c r="C336" s="282"/>
      <c r="D336" s="314"/>
      <c r="E336" s="171"/>
      <c r="F336" s="171"/>
      <c r="G336" s="173"/>
      <c r="H336" s="170"/>
      <c r="I336" s="171"/>
    </row>
    <row r="337" ht="14.25" customHeight="1">
      <c r="A337" s="282"/>
      <c r="B337" s="282"/>
      <c r="C337" s="282"/>
      <c r="D337" s="314"/>
      <c r="E337" s="171"/>
      <c r="F337" s="171"/>
      <c r="G337" s="173"/>
      <c r="H337" s="170"/>
      <c r="I337" s="171"/>
    </row>
    <row r="338" ht="14.25" customHeight="1">
      <c r="A338" s="282"/>
      <c r="B338" s="282"/>
      <c r="C338" s="282"/>
      <c r="D338" s="314"/>
      <c r="E338" s="171"/>
      <c r="F338" s="171"/>
      <c r="G338" s="173"/>
      <c r="H338" s="170"/>
      <c r="I338" s="171"/>
    </row>
    <row r="339" ht="14.25" customHeight="1">
      <c r="A339" s="282"/>
      <c r="B339" s="282"/>
      <c r="C339" s="282"/>
      <c r="D339" s="314"/>
      <c r="E339" s="171"/>
      <c r="F339" s="171"/>
      <c r="G339" s="173"/>
      <c r="H339" s="170"/>
      <c r="I339" s="171"/>
    </row>
    <row r="340" ht="14.25" customHeight="1">
      <c r="A340" s="282"/>
      <c r="B340" s="282"/>
      <c r="C340" s="282"/>
      <c r="D340" s="314"/>
      <c r="E340" s="171"/>
      <c r="F340" s="171"/>
      <c r="G340" s="173"/>
      <c r="H340" s="170"/>
      <c r="I340" s="171"/>
    </row>
    <row r="341" ht="14.25" customHeight="1">
      <c r="A341" s="282"/>
      <c r="B341" s="282"/>
      <c r="C341" s="282"/>
      <c r="D341" s="314"/>
      <c r="E341" s="171"/>
      <c r="F341" s="171"/>
      <c r="G341" s="173"/>
      <c r="H341" s="170"/>
      <c r="I341" s="171"/>
    </row>
    <row r="342" ht="14.25" customHeight="1">
      <c r="A342" s="282"/>
      <c r="B342" s="282"/>
      <c r="C342" s="282"/>
      <c r="D342" s="314"/>
      <c r="E342" s="171"/>
      <c r="F342" s="171"/>
      <c r="G342" s="173"/>
      <c r="H342" s="170"/>
      <c r="I342" s="171"/>
    </row>
    <row r="343" ht="14.25" customHeight="1">
      <c r="A343" s="282"/>
      <c r="B343" s="282"/>
      <c r="C343" s="282"/>
      <c r="D343" s="314"/>
      <c r="E343" s="171"/>
      <c r="F343" s="171"/>
      <c r="G343" s="173"/>
      <c r="H343" s="170"/>
      <c r="I343" s="171"/>
    </row>
    <row r="344" ht="14.25" customHeight="1">
      <c r="A344" s="282"/>
      <c r="B344" s="282"/>
      <c r="C344" s="282"/>
      <c r="D344" s="314"/>
      <c r="E344" s="171"/>
      <c r="F344" s="171"/>
      <c r="G344" s="173"/>
      <c r="H344" s="170"/>
      <c r="I344" s="171"/>
    </row>
    <row r="345" ht="14.25" customHeight="1">
      <c r="A345" s="282"/>
      <c r="B345" s="282"/>
      <c r="C345" s="282"/>
      <c r="D345" s="314"/>
      <c r="E345" s="171"/>
      <c r="F345" s="171"/>
      <c r="G345" s="173"/>
      <c r="H345" s="170"/>
      <c r="I345" s="171"/>
    </row>
    <row r="346" ht="14.25" customHeight="1">
      <c r="A346" s="282"/>
      <c r="B346" s="282"/>
      <c r="C346" s="282"/>
      <c r="D346" s="314"/>
      <c r="E346" s="171"/>
      <c r="F346" s="171"/>
      <c r="G346" s="173"/>
      <c r="H346" s="170"/>
      <c r="I346" s="171"/>
    </row>
    <row r="347" ht="14.25" customHeight="1">
      <c r="A347" s="282"/>
      <c r="B347" s="282"/>
      <c r="C347" s="282"/>
      <c r="D347" s="314"/>
      <c r="E347" s="171"/>
      <c r="F347" s="171"/>
      <c r="G347" s="173"/>
      <c r="H347" s="170"/>
      <c r="I347" s="171"/>
    </row>
    <row r="348" ht="14.25" customHeight="1">
      <c r="A348" s="282"/>
      <c r="B348" s="282"/>
      <c r="C348" s="282"/>
      <c r="D348" s="314"/>
      <c r="E348" s="171"/>
      <c r="F348" s="171"/>
      <c r="G348" s="173"/>
      <c r="H348" s="170"/>
      <c r="I348" s="171"/>
    </row>
    <row r="349" ht="14.25" customHeight="1">
      <c r="A349" s="282"/>
      <c r="B349" s="282"/>
      <c r="C349" s="282"/>
      <c r="D349" s="314"/>
      <c r="E349" s="171"/>
      <c r="F349" s="171"/>
      <c r="G349" s="173"/>
      <c r="H349" s="170"/>
      <c r="I349" s="171"/>
    </row>
    <row r="350" ht="14.25" customHeight="1">
      <c r="A350" s="282"/>
      <c r="B350" s="282"/>
      <c r="C350" s="282"/>
      <c r="D350" s="314"/>
      <c r="E350" s="171"/>
      <c r="F350" s="171"/>
      <c r="G350" s="173"/>
      <c r="H350" s="170"/>
      <c r="I350" s="171"/>
    </row>
    <row r="351" ht="14.25" customHeight="1">
      <c r="A351" s="282"/>
      <c r="B351" s="282"/>
      <c r="C351" s="282"/>
      <c r="D351" s="314"/>
      <c r="E351" s="171"/>
      <c r="F351" s="171"/>
      <c r="G351" s="173"/>
      <c r="H351" s="170"/>
      <c r="I351" s="171"/>
    </row>
    <row r="352" ht="14.25" customHeight="1">
      <c r="A352" s="282"/>
      <c r="B352" s="282"/>
      <c r="C352" s="282"/>
      <c r="D352" s="314"/>
      <c r="E352" s="171"/>
      <c r="F352" s="171"/>
      <c r="G352" s="173"/>
      <c r="H352" s="170"/>
      <c r="I352" s="171"/>
    </row>
    <row r="353" ht="14.25" customHeight="1">
      <c r="A353" s="282"/>
      <c r="B353" s="282"/>
      <c r="C353" s="282"/>
      <c r="D353" s="314"/>
      <c r="E353" s="171"/>
      <c r="F353" s="171"/>
      <c r="G353" s="173"/>
      <c r="H353" s="170"/>
      <c r="I353" s="171"/>
    </row>
    <row r="354" ht="14.25" customHeight="1">
      <c r="A354" s="282"/>
      <c r="B354" s="282"/>
      <c r="C354" s="282"/>
      <c r="D354" s="314"/>
      <c r="E354" s="171"/>
      <c r="F354" s="171"/>
      <c r="G354" s="173"/>
      <c r="H354" s="170"/>
      <c r="I354" s="171"/>
    </row>
    <row r="355" ht="14.25" customHeight="1">
      <c r="A355" s="282"/>
      <c r="B355" s="282"/>
      <c r="C355" s="282"/>
      <c r="D355" s="314"/>
      <c r="E355" s="171"/>
      <c r="F355" s="171"/>
      <c r="G355" s="173"/>
      <c r="H355" s="170"/>
      <c r="I355" s="171"/>
    </row>
    <row r="356" ht="14.25" customHeight="1">
      <c r="A356" s="282"/>
      <c r="B356" s="282"/>
      <c r="C356" s="282"/>
      <c r="D356" s="314"/>
      <c r="E356" s="171"/>
      <c r="F356" s="171"/>
      <c r="G356" s="173"/>
      <c r="H356" s="170"/>
      <c r="I356" s="171"/>
    </row>
    <row r="357" ht="14.25" customHeight="1">
      <c r="A357" s="282"/>
      <c r="B357" s="282"/>
      <c r="C357" s="282"/>
      <c r="D357" s="314"/>
      <c r="E357" s="171"/>
      <c r="F357" s="171"/>
      <c r="G357" s="173"/>
      <c r="H357" s="170"/>
      <c r="I357" s="171"/>
    </row>
    <row r="358" ht="14.25" customHeight="1">
      <c r="A358" s="282"/>
      <c r="B358" s="282"/>
      <c r="C358" s="282"/>
      <c r="D358" s="314"/>
      <c r="E358" s="171"/>
      <c r="F358" s="171"/>
      <c r="G358" s="173"/>
      <c r="H358" s="170"/>
      <c r="I358" s="171"/>
    </row>
    <row r="359" ht="14.25" customHeight="1">
      <c r="A359" s="282"/>
      <c r="B359" s="282"/>
      <c r="C359" s="282"/>
      <c r="D359" s="314"/>
      <c r="E359" s="171"/>
      <c r="F359" s="171"/>
      <c r="G359" s="173"/>
      <c r="H359" s="170"/>
      <c r="I359" s="171"/>
    </row>
    <row r="360" ht="14.25" customHeight="1">
      <c r="A360" s="282"/>
      <c r="B360" s="282"/>
      <c r="C360" s="282"/>
      <c r="D360" s="314"/>
      <c r="E360" s="171"/>
      <c r="F360" s="171"/>
      <c r="G360" s="173"/>
      <c r="H360" s="170"/>
      <c r="I360" s="171"/>
    </row>
    <row r="361" ht="14.25" customHeight="1">
      <c r="A361" s="282"/>
      <c r="B361" s="282"/>
      <c r="C361" s="282"/>
      <c r="D361" s="314"/>
      <c r="E361" s="171"/>
      <c r="F361" s="171"/>
      <c r="G361" s="173"/>
      <c r="H361" s="170"/>
      <c r="I361" s="171"/>
    </row>
    <row r="362" ht="14.25" customHeight="1">
      <c r="A362" s="282"/>
      <c r="B362" s="282"/>
      <c r="C362" s="282"/>
      <c r="D362" s="314"/>
      <c r="E362" s="171"/>
      <c r="F362" s="171"/>
      <c r="G362" s="173"/>
      <c r="H362" s="170"/>
      <c r="I362" s="171"/>
    </row>
    <row r="363" ht="14.25" customHeight="1">
      <c r="A363" s="282"/>
      <c r="B363" s="282"/>
      <c r="C363" s="282"/>
      <c r="D363" s="314"/>
      <c r="E363" s="171"/>
      <c r="F363" s="171"/>
      <c r="G363" s="173"/>
      <c r="H363" s="170"/>
      <c r="I363" s="171"/>
    </row>
    <row r="364" ht="14.25" customHeight="1">
      <c r="A364" s="282"/>
      <c r="B364" s="282"/>
      <c r="C364" s="282"/>
      <c r="D364" s="314"/>
      <c r="E364" s="171"/>
      <c r="F364" s="171"/>
      <c r="G364" s="173"/>
      <c r="H364" s="170"/>
      <c r="I364" s="171"/>
    </row>
    <row r="365" ht="14.25" customHeight="1">
      <c r="A365" s="282"/>
      <c r="B365" s="282"/>
      <c r="C365" s="282"/>
      <c r="D365" s="314"/>
      <c r="E365" s="171"/>
      <c r="F365" s="171"/>
      <c r="G365" s="173"/>
      <c r="H365" s="170"/>
      <c r="I365" s="171"/>
    </row>
    <row r="366" ht="14.25" customHeight="1">
      <c r="A366" s="282"/>
      <c r="B366" s="282"/>
      <c r="C366" s="282"/>
      <c r="D366" s="314"/>
      <c r="E366" s="171"/>
      <c r="F366" s="171"/>
      <c r="G366" s="173"/>
      <c r="H366" s="170"/>
      <c r="I366" s="171"/>
    </row>
    <row r="367" ht="14.25" customHeight="1">
      <c r="A367" s="282"/>
      <c r="B367" s="282"/>
      <c r="C367" s="282"/>
      <c r="D367" s="314"/>
      <c r="E367" s="171"/>
      <c r="F367" s="171"/>
      <c r="G367" s="173"/>
      <c r="H367" s="170"/>
      <c r="I367" s="171"/>
    </row>
    <row r="368" ht="14.25" customHeight="1">
      <c r="A368" s="282"/>
      <c r="B368" s="282"/>
      <c r="C368" s="282"/>
      <c r="D368" s="314"/>
      <c r="E368" s="171"/>
      <c r="F368" s="171"/>
      <c r="G368" s="173"/>
      <c r="H368" s="170"/>
      <c r="I368" s="171"/>
    </row>
    <row r="369" ht="14.25" customHeight="1">
      <c r="A369" s="282"/>
      <c r="B369" s="282"/>
      <c r="C369" s="282"/>
      <c r="D369" s="314"/>
      <c r="E369" s="171"/>
      <c r="F369" s="171"/>
      <c r="G369" s="173"/>
      <c r="H369" s="170"/>
      <c r="I369" s="171"/>
    </row>
    <row r="370" ht="14.25" customHeight="1">
      <c r="A370" s="282"/>
      <c r="B370" s="282"/>
      <c r="C370" s="282"/>
      <c r="D370" s="314"/>
      <c r="E370" s="171"/>
      <c r="F370" s="171"/>
      <c r="G370" s="173"/>
      <c r="H370" s="170"/>
      <c r="I370" s="171"/>
    </row>
    <row r="371" ht="14.25" customHeight="1">
      <c r="A371" s="282"/>
      <c r="B371" s="282"/>
      <c r="C371" s="282"/>
      <c r="D371" s="314"/>
      <c r="E371" s="171"/>
      <c r="F371" s="171"/>
      <c r="G371" s="173"/>
      <c r="H371" s="170"/>
      <c r="I371" s="171"/>
    </row>
    <row r="372" ht="14.25" customHeight="1">
      <c r="A372" s="282"/>
      <c r="B372" s="282"/>
      <c r="C372" s="282"/>
      <c r="D372" s="314"/>
      <c r="E372" s="171"/>
      <c r="F372" s="171"/>
      <c r="G372" s="173"/>
      <c r="H372" s="170"/>
      <c r="I372" s="171"/>
    </row>
    <row r="373" ht="14.25" customHeight="1">
      <c r="A373" s="282"/>
      <c r="B373" s="282"/>
      <c r="C373" s="282"/>
      <c r="D373" s="314"/>
      <c r="E373" s="171"/>
      <c r="F373" s="171"/>
      <c r="G373" s="173"/>
      <c r="H373" s="170"/>
      <c r="I373" s="171"/>
    </row>
    <row r="374" ht="14.25" customHeight="1">
      <c r="A374" s="282"/>
      <c r="B374" s="282"/>
      <c r="C374" s="282"/>
      <c r="D374" s="314"/>
      <c r="E374" s="171"/>
      <c r="F374" s="171"/>
      <c r="G374" s="173"/>
      <c r="H374" s="170"/>
      <c r="I374" s="171"/>
    </row>
    <row r="375" ht="14.25" customHeight="1">
      <c r="A375" s="282"/>
      <c r="B375" s="282"/>
      <c r="C375" s="282"/>
      <c r="D375" s="314"/>
      <c r="E375" s="171"/>
      <c r="F375" s="171"/>
      <c r="G375" s="173"/>
      <c r="H375" s="170"/>
      <c r="I375" s="171"/>
    </row>
    <row r="376" ht="14.25" customHeight="1">
      <c r="A376" s="282"/>
      <c r="B376" s="282"/>
      <c r="C376" s="282"/>
      <c r="D376" s="314"/>
      <c r="E376" s="171"/>
      <c r="F376" s="171"/>
      <c r="G376" s="173"/>
      <c r="H376" s="170"/>
      <c r="I376" s="171"/>
    </row>
    <row r="377" ht="14.25" customHeight="1">
      <c r="A377" s="282"/>
      <c r="B377" s="282"/>
      <c r="C377" s="282"/>
      <c r="D377" s="314"/>
      <c r="E377" s="171"/>
      <c r="F377" s="171"/>
      <c r="G377" s="173"/>
      <c r="H377" s="170"/>
      <c r="I377" s="171"/>
    </row>
    <row r="378" ht="14.25" customHeight="1">
      <c r="A378" s="282"/>
      <c r="B378" s="282"/>
      <c r="C378" s="282"/>
      <c r="D378" s="314"/>
      <c r="E378" s="171"/>
      <c r="F378" s="171"/>
      <c r="G378" s="173"/>
      <c r="H378" s="170"/>
      <c r="I378" s="171"/>
    </row>
    <row r="379" ht="14.25" customHeight="1">
      <c r="A379" s="282"/>
      <c r="B379" s="282"/>
      <c r="C379" s="282"/>
      <c r="D379" s="314"/>
      <c r="E379" s="171"/>
      <c r="F379" s="171"/>
      <c r="G379" s="173"/>
      <c r="H379" s="170"/>
      <c r="I379" s="171"/>
    </row>
    <row r="380" ht="14.25" customHeight="1">
      <c r="A380" s="282"/>
      <c r="B380" s="282"/>
      <c r="C380" s="282"/>
      <c r="D380" s="314"/>
      <c r="E380" s="171"/>
      <c r="F380" s="171"/>
      <c r="G380" s="173"/>
      <c r="H380" s="170"/>
      <c r="I380" s="171"/>
    </row>
    <row r="381" ht="14.25" customHeight="1">
      <c r="A381" s="282"/>
      <c r="B381" s="282"/>
      <c r="C381" s="282"/>
      <c r="D381" s="314"/>
      <c r="E381" s="171"/>
      <c r="F381" s="171"/>
      <c r="G381" s="173"/>
      <c r="H381" s="170"/>
      <c r="I381" s="171"/>
    </row>
    <row r="382" ht="14.25" customHeight="1">
      <c r="A382" s="282"/>
      <c r="B382" s="282"/>
      <c r="C382" s="282"/>
      <c r="D382" s="314"/>
      <c r="E382" s="171"/>
      <c r="F382" s="171"/>
      <c r="G382" s="173"/>
      <c r="H382" s="170"/>
      <c r="I382" s="171"/>
    </row>
    <row r="383" ht="14.25" customHeight="1">
      <c r="A383" s="282"/>
      <c r="B383" s="282"/>
      <c r="C383" s="282"/>
      <c r="D383" s="314"/>
      <c r="E383" s="171"/>
      <c r="F383" s="171"/>
      <c r="G383" s="173"/>
      <c r="H383" s="170"/>
      <c r="I383" s="171"/>
    </row>
    <row r="384" ht="14.25" customHeight="1">
      <c r="A384" s="282"/>
      <c r="B384" s="282"/>
      <c r="C384" s="282"/>
      <c r="D384" s="314"/>
      <c r="E384" s="171"/>
      <c r="F384" s="171"/>
      <c r="G384" s="173"/>
      <c r="H384" s="170"/>
      <c r="I384" s="171"/>
    </row>
    <row r="385" ht="14.25" customHeight="1">
      <c r="A385" s="282"/>
      <c r="B385" s="282"/>
      <c r="C385" s="282"/>
      <c r="D385" s="314"/>
      <c r="E385" s="171"/>
      <c r="F385" s="171"/>
      <c r="G385" s="173"/>
      <c r="H385" s="170"/>
      <c r="I385" s="171"/>
    </row>
    <row r="386" ht="14.25" customHeight="1">
      <c r="A386" s="282"/>
      <c r="B386" s="282"/>
      <c r="C386" s="282"/>
      <c r="D386" s="314"/>
      <c r="E386" s="171"/>
      <c r="F386" s="171"/>
      <c r="G386" s="173"/>
      <c r="H386" s="170"/>
      <c r="I386" s="171"/>
    </row>
    <row r="387" ht="14.25" customHeight="1">
      <c r="A387" s="282"/>
      <c r="B387" s="282"/>
      <c r="C387" s="282"/>
      <c r="D387" s="314"/>
      <c r="E387" s="171"/>
      <c r="F387" s="171"/>
      <c r="G387" s="173"/>
      <c r="H387" s="170"/>
      <c r="I387" s="171"/>
    </row>
    <row r="388" ht="14.25" customHeight="1">
      <c r="A388" s="282"/>
      <c r="B388" s="282"/>
      <c r="C388" s="282"/>
      <c r="D388" s="314"/>
      <c r="E388" s="171"/>
      <c r="F388" s="171"/>
      <c r="G388" s="173"/>
      <c r="H388" s="170"/>
      <c r="I388" s="171"/>
    </row>
    <row r="389" ht="14.25" customHeight="1">
      <c r="A389" s="282"/>
      <c r="B389" s="282"/>
      <c r="C389" s="282"/>
      <c r="D389" s="314"/>
      <c r="E389" s="171"/>
      <c r="F389" s="171"/>
      <c r="G389" s="173"/>
      <c r="H389" s="170"/>
      <c r="I389" s="171"/>
    </row>
    <row r="390" ht="14.25" customHeight="1">
      <c r="A390" s="282"/>
      <c r="B390" s="282"/>
      <c r="C390" s="282"/>
      <c r="D390" s="314"/>
      <c r="E390" s="171"/>
      <c r="F390" s="171"/>
      <c r="G390" s="173"/>
      <c r="H390" s="170"/>
      <c r="I390" s="171"/>
    </row>
    <row r="391" ht="14.25" customHeight="1">
      <c r="A391" s="282"/>
      <c r="B391" s="282"/>
      <c r="C391" s="282"/>
      <c r="D391" s="314"/>
      <c r="E391" s="171"/>
      <c r="F391" s="171"/>
      <c r="G391" s="173"/>
      <c r="H391" s="170"/>
      <c r="I391" s="171"/>
    </row>
    <row r="392" ht="14.25" customHeight="1">
      <c r="A392" s="282"/>
      <c r="B392" s="282"/>
      <c r="C392" s="282"/>
      <c r="D392" s="314"/>
      <c r="E392" s="171"/>
      <c r="F392" s="171"/>
      <c r="G392" s="173"/>
      <c r="H392" s="170"/>
      <c r="I392" s="171"/>
    </row>
    <row r="393" ht="14.25" customHeight="1">
      <c r="A393" s="282"/>
      <c r="B393" s="282"/>
      <c r="C393" s="282"/>
      <c r="D393" s="314"/>
      <c r="E393" s="171"/>
      <c r="F393" s="171"/>
      <c r="G393" s="173"/>
      <c r="H393" s="170"/>
      <c r="I393" s="171"/>
    </row>
    <row r="394" ht="14.25" customHeight="1">
      <c r="A394" s="282"/>
      <c r="B394" s="282"/>
      <c r="C394" s="282"/>
      <c r="D394" s="314"/>
      <c r="E394" s="171"/>
      <c r="F394" s="171"/>
      <c r="G394" s="173"/>
      <c r="H394" s="170"/>
      <c r="I394" s="171"/>
    </row>
    <row r="395" ht="14.25" customHeight="1">
      <c r="A395" s="282"/>
      <c r="B395" s="282"/>
      <c r="C395" s="282"/>
      <c r="D395" s="314"/>
      <c r="E395" s="171"/>
      <c r="F395" s="171"/>
      <c r="G395" s="173"/>
      <c r="H395" s="170"/>
      <c r="I395" s="171"/>
    </row>
    <row r="396" ht="14.25" customHeight="1">
      <c r="A396" s="282"/>
      <c r="B396" s="282"/>
      <c r="C396" s="282"/>
      <c r="D396" s="314"/>
      <c r="E396" s="171"/>
      <c r="F396" s="171"/>
      <c r="G396" s="173"/>
      <c r="H396" s="170"/>
      <c r="I396" s="171"/>
    </row>
    <row r="397" ht="14.25" customHeight="1">
      <c r="A397" s="282"/>
      <c r="B397" s="282"/>
      <c r="C397" s="282"/>
      <c r="D397" s="314"/>
      <c r="E397" s="171"/>
      <c r="F397" s="171"/>
      <c r="G397" s="173"/>
      <c r="H397" s="170"/>
      <c r="I397" s="171"/>
    </row>
    <row r="398" ht="14.25" customHeight="1">
      <c r="A398" s="282"/>
      <c r="B398" s="282"/>
      <c r="C398" s="282"/>
      <c r="D398" s="314"/>
      <c r="E398" s="171"/>
      <c r="F398" s="171"/>
      <c r="G398" s="173"/>
      <c r="H398" s="170"/>
      <c r="I398" s="171"/>
    </row>
    <row r="399" ht="14.25" customHeight="1">
      <c r="A399" s="282"/>
      <c r="B399" s="282"/>
      <c r="C399" s="282"/>
      <c r="D399" s="314"/>
      <c r="E399" s="171"/>
      <c r="F399" s="171"/>
      <c r="G399" s="173"/>
      <c r="H399" s="170"/>
      <c r="I399" s="171"/>
    </row>
    <row r="400" ht="14.25" customHeight="1">
      <c r="A400" s="282"/>
      <c r="B400" s="282"/>
      <c r="C400" s="282"/>
      <c r="D400" s="314"/>
      <c r="E400" s="171"/>
      <c r="F400" s="171"/>
      <c r="G400" s="173"/>
      <c r="H400" s="170"/>
      <c r="I400" s="171"/>
    </row>
    <row r="401" ht="14.25" customHeight="1">
      <c r="A401" s="282"/>
      <c r="B401" s="282"/>
      <c r="C401" s="282"/>
      <c r="D401" s="314"/>
      <c r="E401" s="171"/>
      <c r="F401" s="171"/>
      <c r="G401" s="173"/>
      <c r="H401" s="170"/>
      <c r="I401" s="171"/>
    </row>
    <row r="402" ht="14.25" customHeight="1">
      <c r="A402" s="282"/>
      <c r="B402" s="282"/>
      <c r="C402" s="282"/>
      <c r="D402" s="314"/>
      <c r="E402" s="171"/>
      <c r="F402" s="171"/>
      <c r="G402" s="173"/>
      <c r="H402" s="170"/>
      <c r="I402" s="171"/>
    </row>
    <row r="403" ht="14.25" customHeight="1">
      <c r="A403" s="282"/>
      <c r="B403" s="282"/>
      <c r="C403" s="282"/>
      <c r="D403" s="314"/>
      <c r="E403" s="171"/>
      <c r="F403" s="171"/>
      <c r="G403" s="173"/>
      <c r="H403" s="170"/>
      <c r="I403" s="171"/>
    </row>
    <row r="404" ht="14.25" customHeight="1">
      <c r="A404" s="282"/>
      <c r="B404" s="282"/>
      <c r="C404" s="282"/>
      <c r="D404" s="314"/>
      <c r="E404" s="171"/>
      <c r="F404" s="171"/>
      <c r="G404" s="173"/>
      <c r="H404" s="170"/>
      <c r="I404" s="171"/>
    </row>
    <row r="405" ht="14.25" customHeight="1">
      <c r="A405" s="282"/>
      <c r="B405" s="282"/>
      <c r="C405" s="282"/>
      <c r="D405" s="314"/>
      <c r="E405" s="171"/>
      <c r="F405" s="171"/>
      <c r="G405" s="173"/>
      <c r="H405" s="170"/>
      <c r="I405" s="171"/>
    </row>
    <row r="406" ht="14.25" customHeight="1">
      <c r="A406" s="282"/>
      <c r="B406" s="282"/>
      <c r="C406" s="282"/>
      <c r="D406" s="314"/>
      <c r="E406" s="171"/>
      <c r="F406" s="171"/>
      <c r="G406" s="173"/>
      <c r="H406" s="170"/>
      <c r="I406" s="171"/>
    </row>
    <row r="407" ht="14.25" customHeight="1">
      <c r="A407" s="282"/>
      <c r="B407" s="282"/>
      <c r="C407" s="282"/>
      <c r="D407" s="314"/>
      <c r="E407" s="171"/>
      <c r="F407" s="171"/>
      <c r="G407" s="173"/>
      <c r="H407" s="170"/>
      <c r="I407" s="171"/>
    </row>
    <row r="408" ht="14.25" customHeight="1">
      <c r="A408" s="282"/>
      <c r="B408" s="282"/>
      <c r="C408" s="282"/>
      <c r="D408" s="314"/>
      <c r="E408" s="171"/>
      <c r="F408" s="171"/>
      <c r="G408" s="173"/>
      <c r="H408" s="170"/>
      <c r="I408" s="171"/>
    </row>
    <row r="409" ht="14.25" customHeight="1">
      <c r="A409" s="282"/>
      <c r="B409" s="282"/>
      <c r="C409" s="282"/>
      <c r="D409" s="314"/>
      <c r="E409" s="171"/>
      <c r="F409" s="171"/>
      <c r="G409" s="173"/>
      <c r="H409" s="170"/>
      <c r="I409" s="171"/>
    </row>
    <row r="410" ht="14.25" customHeight="1">
      <c r="A410" s="282"/>
      <c r="B410" s="282"/>
      <c r="C410" s="282"/>
      <c r="D410" s="314"/>
      <c r="E410" s="171"/>
      <c r="F410" s="171"/>
      <c r="G410" s="173"/>
      <c r="H410" s="170"/>
      <c r="I410" s="171"/>
    </row>
    <row r="411" ht="14.25" customHeight="1">
      <c r="A411" s="282"/>
      <c r="B411" s="282"/>
      <c r="C411" s="282"/>
      <c r="D411" s="314"/>
      <c r="E411" s="171"/>
      <c r="F411" s="171"/>
      <c r="G411" s="173"/>
      <c r="H411" s="170"/>
      <c r="I411" s="171"/>
    </row>
    <row r="412" ht="14.25" customHeight="1">
      <c r="A412" s="282"/>
      <c r="B412" s="282"/>
      <c r="C412" s="282"/>
      <c r="D412" s="314"/>
      <c r="E412" s="171"/>
      <c r="F412" s="171"/>
      <c r="G412" s="173"/>
      <c r="H412" s="170"/>
      <c r="I412" s="171"/>
    </row>
    <row r="413" ht="14.25" customHeight="1">
      <c r="A413" s="282"/>
      <c r="B413" s="282"/>
      <c r="C413" s="282"/>
      <c r="D413" s="314"/>
      <c r="E413" s="171"/>
      <c r="F413" s="171"/>
      <c r="G413" s="173"/>
      <c r="H413" s="170"/>
      <c r="I413" s="171"/>
    </row>
    <row r="414" ht="14.25" customHeight="1">
      <c r="A414" s="282"/>
      <c r="B414" s="282"/>
      <c r="C414" s="282"/>
      <c r="D414" s="314"/>
      <c r="E414" s="171"/>
      <c r="F414" s="171"/>
      <c r="G414" s="173"/>
      <c r="H414" s="170"/>
      <c r="I414" s="171"/>
    </row>
    <row r="415" ht="14.25" customHeight="1">
      <c r="A415" s="282"/>
      <c r="B415" s="282"/>
      <c r="C415" s="282"/>
      <c r="D415" s="314"/>
      <c r="E415" s="171"/>
      <c r="F415" s="171"/>
      <c r="G415" s="173"/>
      <c r="H415" s="170"/>
      <c r="I415" s="171"/>
    </row>
    <row r="416" ht="14.25" customHeight="1">
      <c r="A416" s="282"/>
      <c r="B416" s="282"/>
      <c r="C416" s="282"/>
      <c r="D416" s="314"/>
      <c r="E416" s="171"/>
      <c r="F416" s="171"/>
      <c r="G416" s="173"/>
      <c r="H416" s="170"/>
      <c r="I416" s="171"/>
    </row>
    <row r="417" ht="14.25" customHeight="1">
      <c r="A417" s="282"/>
      <c r="B417" s="282"/>
      <c r="C417" s="282"/>
      <c r="D417" s="314"/>
      <c r="E417" s="171"/>
      <c r="F417" s="171"/>
      <c r="G417" s="173"/>
      <c r="H417" s="170"/>
      <c r="I417" s="171"/>
    </row>
    <row r="418" ht="14.25" customHeight="1">
      <c r="A418" s="282"/>
      <c r="B418" s="282"/>
      <c r="C418" s="282"/>
      <c r="D418" s="314"/>
      <c r="E418" s="171"/>
      <c r="F418" s="171"/>
      <c r="G418" s="173"/>
      <c r="H418" s="170"/>
      <c r="I418" s="171"/>
    </row>
    <row r="419" ht="14.25" customHeight="1">
      <c r="A419" s="282"/>
      <c r="B419" s="282"/>
      <c r="C419" s="282"/>
      <c r="D419" s="314"/>
      <c r="E419" s="171"/>
      <c r="F419" s="171"/>
      <c r="G419" s="173"/>
      <c r="H419" s="170"/>
      <c r="I419" s="171"/>
    </row>
    <row r="420" ht="14.25" customHeight="1">
      <c r="A420" s="282"/>
      <c r="B420" s="282"/>
      <c r="C420" s="282"/>
      <c r="D420" s="314"/>
      <c r="E420" s="171"/>
      <c r="F420" s="171"/>
      <c r="G420" s="173"/>
      <c r="H420" s="170"/>
      <c r="I420" s="171"/>
    </row>
    <row r="421" ht="14.25" customHeight="1">
      <c r="A421" s="282"/>
      <c r="B421" s="282"/>
      <c r="C421" s="282"/>
      <c r="D421" s="314"/>
      <c r="E421" s="171"/>
      <c r="F421" s="171"/>
      <c r="G421" s="173"/>
      <c r="H421" s="170"/>
      <c r="I421" s="171"/>
    </row>
    <row r="422" ht="14.25" customHeight="1">
      <c r="A422" s="282"/>
      <c r="B422" s="282"/>
      <c r="C422" s="282"/>
      <c r="D422" s="314"/>
      <c r="E422" s="171"/>
      <c r="F422" s="171"/>
      <c r="G422" s="173"/>
      <c r="H422" s="170"/>
      <c r="I422" s="171"/>
    </row>
    <row r="423" ht="14.25" customHeight="1">
      <c r="A423" s="282"/>
      <c r="B423" s="282"/>
      <c r="C423" s="282"/>
      <c r="D423" s="314"/>
      <c r="E423" s="171"/>
      <c r="F423" s="171"/>
      <c r="G423" s="173"/>
      <c r="H423" s="170"/>
      <c r="I423" s="171"/>
    </row>
    <row r="424" ht="14.25" customHeight="1">
      <c r="A424" s="282"/>
      <c r="B424" s="282"/>
      <c r="C424" s="282"/>
      <c r="D424" s="314"/>
      <c r="E424" s="171"/>
      <c r="F424" s="171"/>
      <c r="G424" s="173"/>
      <c r="H424" s="170"/>
      <c r="I424" s="171"/>
    </row>
    <row r="425" ht="14.25" customHeight="1">
      <c r="A425" s="282"/>
      <c r="B425" s="282"/>
      <c r="C425" s="282"/>
      <c r="D425" s="314"/>
      <c r="E425" s="171"/>
      <c r="F425" s="171"/>
      <c r="G425" s="173"/>
      <c r="H425" s="170"/>
      <c r="I425" s="171"/>
    </row>
    <row r="426" ht="14.25" customHeight="1">
      <c r="A426" s="282"/>
      <c r="B426" s="282"/>
      <c r="C426" s="282"/>
      <c r="D426" s="314"/>
      <c r="E426" s="171"/>
      <c r="F426" s="171"/>
      <c r="G426" s="173"/>
      <c r="H426" s="170"/>
      <c r="I426" s="171"/>
    </row>
    <row r="427" ht="14.25" customHeight="1">
      <c r="A427" s="282"/>
      <c r="B427" s="282"/>
      <c r="C427" s="282"/>
      <c r="D427" s="314"/>
      <c r="E427" s="171"/>
      <c r="F427" s="171"/>
      <c r="G427" s="173"/>
      <c r="H427" s="170"/>
      <c r="I427" s="171"/>
    </row>
    <row r="428" ht="14.25" customHeight="1">
      <c r="A428" s="282"/>
      <c r="B428" s="282"/>
      <c r="C428" s="282"/>
      <c r="D428" s="314"/>
      <c r="E428" s="171"/>
      <c r="F428" s="171"/>
      <c r="G428" s="173"/>
      <c r="H428" s="170"/>
      <c r="I428" s="171"/>
    </row>
    <row r="429" ht="14.25" customHeight="1">
      <c r="A429" s="282"/>
      <c r="B429" s="282"/>
      <c r="C429" s="282"/>
      <c r="D429" s="314"/>
      <c r="E429" s="171"/>
      <c r="F429" s="171"/>
      <c r="G429" s="173"/>
      <c r="H429" s="170"/>
      <c r="I429" s="171"/>
    </row>
    <row r="430" ht="14.25" customHeight="1">
      <c r="A430" s="282"/>
      <c r="B430" s="282"/>
      <c r="C430" s="282"/>
      <c r="D430" s="314"/>
      <c r="E430" s="171"/>
      <c r="F430" s="171"/>
      <c r="G430" s="173"/>
      <c r="H430" s="170"/>
      <c r="I430" s="171"/>
    </row>
    <row r="431" ht="14.25" customHeight="1">
      <c r="A431" s="282"/>
      <c r="B431" s="282"/>
      <c r="C431" s="282"/>
      <c r="D431" s="314"/>
      <c r="E431" s="171"/>
      <c r="F431" s="171"/>
      <c r="G431" s="173"/>
      <c r="H431" s="170"/>
      <c r="I431" s="171"/>
    </row>
    <row r="432" ht="14.25" customHeight="1">
      <c r="A432" s="282"/>
      <c r="B432" s="282"/>
      <c r="C432" s="282"/>
      <c r="D432" s="314"/>
      <c r="E432" s="171"/>
      <c r="F432" s="171"/>
      <c r="G432" s="173"/>
      <c r="H432" s="170"/>
      <c r="I432" s="171"/>
    </row>
    <row r="433" ht="14.25" customHeight="1">
      <c r="A433" s="282"/>
      <c r="B433" s="282"/>
      <c r="C433" s="282"/>
      <c r="D433" s="314"/>
      <c r="E433" s="171"/>
      <c r="F433" s="171"/>
      <c r="G433" s="173"/>
      <c r="H433" s="170"/>
      <c r="I433" s="171"/>
    </row>
    <row r="434" ht="14.25" customHeight="1">
      <c r="A434" s="282"/>
      <c r="B434" s="282"/>
      <c r="C434" s="282"/>
      <c r="D434" s="314"/>
      <c r="E434" s="171"/>
      <c r="F434" s="171"/>
      <c r="G434" s="173"/>
      <c r="H434" s="170"/>
      <c r="I434" s="171"/>
    </row>
    <row r="435" ht="14.25" customHeight="1">
      <c r="A435" s="282"/>
      <c r="B435" s="282"/>
      <c r="C435" s="282"/>
      <c r="D435" s="314"/>
      <c r="E435" s="171"/>
      <c r="F435" s="171"/>
      <c r="G435" s="173"/>
      <c r="H435" s="170"/>
      <c r="I435" s="171"/>
    </row>
    <row r="436" ht="14.25" customHeight="1">
      <c r="A436" s="282"/>
      <c r="B436" s="282"/>
      <c r="C436" s="282"/>
      <c r="D436" s="314"/>
      <c r="E436" s="171"/>
      <c r="F436" s="171"/>
      <c r="G436" s="173"/>
      <c r="H436" s="170"/>
      <c r="I436" s="171"/>
    </row>
    <row r="437" ht="14.25" customHeight="1">
      <c r="A437" s="282"/>
      <c r="B437" s="282"/>
      <c r="C437" s="282"/>
      <c r="D437" s="314"/>
      <c r="E437" s="171"/>
      <c r="F437" s="171"/>
      <c r="G437" s="173"/>
      <c r="H437" s="170"/>
      <c r="I437" s="171"/>
    </row>
    <row r="438" ht="14.25" customHeight="1">
      <c r="A438" s="282"/>
      <c r="B438" s="282"/>
      <c r="C438" s="282"/>
      <c r="D438" s="314"/>
      <c r="E438" s="171"/>
      <c r="F438" s="171"/>
      <c r="G438" s="173"/>
      <c r="H438" s="170"/>
      <c r="I438" s="171"/>
    </row>
    <row r="439" ht="14.25" customHeight="1">
      <c r="A439" s="282"/>
      <c r="B439" s="282"/>
      <c r="C439" s="282"/>
      <c r="D439" s="314"/>
      <c r="E439" s="171"/>
      <c r="F439" s="171"/>
      <c r="G439" s="173"/>
      <c r="H439" s="170"/>
      <c r="I439" s="171"/>
    </row>
    <row r="440" ht="14.25" customHeight="1">
      <c r="A440" s="282"/>
      <c r="B440" s="282"/>
      <c r="C440" s="282"/>
      <c r="D440" s="314"/>
      <c r="E440" s="171"/>
      <c r="F440" s="171"/>
      <c r="G440" s="173"/>
      <c r="H440" s="170"/>
      <c r="I440" s="171"/>
    </row>
    <row r="441" ht="14.25" customHeight="1">
      <c r="A441" s="282"/>
      <c r="B441" s="282"/>
      <c r="C441" s="282"/>
      <c r="D441" s="314"/>
      <c r="E441" s="171"/>
      <c r="F441" s="171"/>
      <c r="G441" s="173"/>
      <c r="H441" s="170"/>
      <c r="I441" s="171"/>
    </row>
    <row r="442" ht="14.25" customHeight="1">
      <c r="A442" s="282"/>
      <c r="B442" s="282"/>
      <c r="C442" s="282"/>
      <c r="D442" s="314"/>
      <c r="E442" s="171"/>
      <c r="F442" s="171"/>
      <c r="G442" s="173"/>
      <c r="H442" s="170"/>
      <c r="I442" s="171"/>
    </row>
    <row r="443" ht="14.25" customHeight="1">
      <c r="A443" s="282"/>
      <c r="B443" s="282"/>
      <c r="C443" s="282"/>
      <c r="D443" s="314"/>
      <c r="E443" s="171"/>
      <c r="F443" s="171"/>
      <c r="G443" s="173"/>
      <c r="H443" s="170"/>
      <c r="I443" s="171"/>
    </row>
    <row r="444" ht="14.25" customHeight="1">
      <c r="A444" s="282"/>
      <c r="B444" s="282"/>
      <c r="C444" s="282"/>
      <c r="D444" s="314"/>
      <c r="E444" s="171"/>
      <c r="F444" s="171"/>
      <c r="G444" s="173"/>
      <c r="H444" s="170"/>
      <c r="I444" s="171"/>
    </row>
    <row r="445" ht="14.25" customHeight="1">
      <c r="A445" s="282"/>
      <c r="B445" s="282"/>
      <c r="C445" s="282"/>
      <c r="D445" s="314"/>
      <c r="E445" s="171"/>
      <c r="F445" s="171"/>
      <c r="G445" s="173"/>
      <c r="H445" s="170"/>
      <c r="I445" s="171"/>
    </row>
    <row r="446" ht="14.25" customHeight="1">
      <c r="A446" s="282"/>
      <c r="B446" s="282"/>
      <c r="C446" s="282"/>
      <c r="D446" s="314"/>
      <c r="E446" s="171"/>
      <c r="F446" s="171"/>
      <c r="G446" s="173"/>
      <c r="H446" s="170"/>
      <c r="I446" s="171"/>
    </row>
    <row r="447" ht="14.25" customHeight="1">
      <c r="A447" s="282"/>
      <c r="B447" s="282"/>
      <c r="C447" s="282"/>
      <c r="D447" s="314"/>
      <c r="E447" s="171"/>
      <c r="F447" s="171"/>
      <c r="G447" s="173"/>
      <c r="H447" s="170"/>
      <c r="I447" s="171"/>
    </row>
    <row r="448" ht="14.25" customHeight="1">
      <c r="A448" s="282"/>
      <c r="B448" s="282"/>
      <c r="C448" s="282"/>
      <c r="D448" s="314"/>
      <c r="E448" s="171"/>
      <c r="F448" s="171"/>
      <c r="G448" s="173"/>
      <c r="H448" s="170"/>
      <c r="I448" s="171"/>
    </row>
    <row r="449" ht="14.25" customHeight="1">
      <c r="A449" s="282"/>
      <c r="B449" s="282"/>
      <c r="C449" s="282"/>
      <c r="D449" s="314"/>
      <c r="E449" s="171"/>
      <c r="F449" s="171"/>
      <c r="G449" s="173"/>
      <c r="H449" s="170"/>
      <c r="I449" s="171"/>
    </row>
    <row r="450" ht="14.25" customHeight="1">
      <c r="A450" s="282"/>
      <c r="B450" s="282"/>
      <c r="C450" s="282"/>
      <c r="D450" s="314"/>
      <c r="E450" s="171"/>
      <c r="F450" s="171"/>
      <c r="G450" s="173"/>
      <c r="H450" s="170"/>
      <c r="I450" s="171"/>
    </row>
    <row r="451" ht="14.25" customHeight="1">
      <c r="A451" s="282"/>
      <c r="B451" s="282"/>
      <c r="C451" s="282"/>
      <c r="D451" s="314"/>
      <c r="E451" s="171"/>
      <c r="F451" s="171"/>
      <c r="G451" s="173"/>
      <c r="H451" s="170"/>
      <c r="I451" s="171"/>
    </row>
    <row r="452" ht="14.25" customHeight="1">
      <c r="A452" s="282"/>
      <c r="B452" s="282"/>
      <c r="C452" s="282"/>
      <c r="D452" s="314"/>
      <c r="E452" s="171"/>
      <c r="F452" s="171"/>
      <c r="G452" s="173"/>
      <c r="H452" s="170"/>
      <c r="I452" s="171"/>
    </row>
    <row r="453" ht="14.25" customHeight="1">
      <c r="A453" s="282"/>
      <c r="B453" s="282"/>
      <c r="C453" s="282"/>
      <c r="D453" s="314"/>
      <c r="E453" s="171"/>
      <c r="F453" s="171"/>
      <c r="G453" s="173"/>
      <c r="H453" s="170"/>
      <c r="I453" s="171"/>
    </row>
    <row r="454" ht="14.25" customHeight="1">
      <c r="A454" s="282"/>
      <c r="B454" s="282"/>
      <c r="C454" s="282"/>
      <c r="D454" s="314"/>
      <c r="E454" s="171"/>
      <c r="F454" s="171"/>
      <c r="G454" s="173"/>
      <c r="H454" s="170"/>
      <c r="I454" s="171"/>
    </row>
    <row r="455" ht="14.25" customHeight="1">
      <c r="A455" s="282"/>
      <c r="B455" s="282"/>
      <c r="C455" s="282"/>
      <c r="D455" s="314"/>
      <c r="E455" s="171"/>
      <c r="F455" s="171"/>
      <c r="G455" s="173"/>
      <c r="H455" s="170"/>
      <c r="I455" s="171"/>
    </row>
    <row r="456" ht="14.25" customHeight="1">
      <c r="A456" s="282"/>
      <c r="B456" s="282"/>
      <c r="C456" s="282"/>
      <c r="D456" s="314"/>
      <c r="E456" s="171"/>
      <c r="F456" s="171"/>
      <c r="G456" s="173"/>
      <c r="H456" s="170"/>
      <c r="I456" s="171"/>
    </row>
    <row r="457" ht="14.25" customHeight="1">
      <c r="A457" s="282"/>
      <c r="B457" s="282"/>
      <c r="C457" s="282"/>
      <c r="D457" s="314"/>
      <c r="E457" s="171"/>
      <c r="F457" s="171"/>
      <c r="G457" s="173"/>
      <c r="H457" s="170"/>
      <c r="I457" s="171"/>
    </row>
    <row r="458" ht="14.25" customHeight="1">
      <c r="A458" s="282"/>
      <c r="B458" s="282"/>
      <c r="C458" s="282"/>
      <c r="D458" s="314"/>
      <c r="E458" s="171"/>
      <c r="F458" s="171"/>
      <c r="G458" s="173"/>
      <c r="H458" s="170"/>
      <c r="I458" s="171"/>
    </row>
    <row r="459" ht="14.25" customHeight="1">
      <c r="A459" s="282"/>
      <c r="B459" s="282"/>
      <c r="C459" s="282"/>
      <c r="D459" s="314"/>
      <c r="E459" s="171"/>
      <c r="F459" s="171"/>
      <c r="G459" s="173"/>
      <c r="H459" s="170"/>
      <c r="I459" s="171"/>
    </row>
    <row r="460" ht="14.25" customHeight="1">
      <c r="A460" s="282"/>
      <c r="B460" s="282"/>
      <c r="C460" s="282"/>
      <c r="D460" s="314"/>
      <c r="E460" s="171"/>
      <c r="F460" s="171"/>
      <c r="G460" s="173"/>
      <c r="H460" s="170"/>
      <c r="I460" s="171"/>
    </row>
    <row r="461" ht="14.25" customHeight="1">
      <c r="A461" s="282"/>
      <c r="B461" s="282"/>
      <c r="C461" s="282"/>
      <c r="D461" s="314"/>
      <c r="E461" s="171"/>
      <c r="F461" s="171"/>
      <c r="G461" s="173"/>
      <c r="H461" s="170"/>
      <c r="I461" s="171"/>
    </row>
    <row r="462" ht="14.25" customHeight="1">
      <c r="A462" s="282"/>
      <c r="B462" s="282"/>
      <c r="C462" s="282"/>
      <c r="D462" s="314"/>
      <c r="E462" s="171"/>
      <c r="F462" s="171"/>
      <c r="G462" s="173"/>
      <c r="H462" s="170"/>
      <c r="I462" s="171"/>
    </row>
    <row r="463" ht="14.25" customHeight="1">
      <c r="A463" s="282"/>
      <c r="B463" s="282"/>
      <c r="C463" s="282"/>
      <c r="D463" s="314"/>
      <c r="E463" s="171"/>
      <c r="F463" s="171"/>
      <c r="G463" s="173"/>
      <c r="H463" s="170"/>
      <c r="I463" s="171"/>
    </row>
    <row r="464" ht="14.25" customHeight="1">
      <c r="A464" s="282"/>
      <c r="B464" s="282"/>
      <c r="C464" s="282"/>
      <c r="D464" s="314"/>
      <c r="E464" s="171"/>
      <c r="F464" s="171"/>
      <c r="G464" s="173"/>
      <c r="H464" s="170"/>
      <c r="I464" s="171"/>
    </row>
    <row r="465" ht="14.25" customHeight="1">
      <c r="A465" s="282"/>
      <c r="B465" s="282"/>
      <c r="C465" s="282"/>
      <c r="D465" s="314"/>
      <c r="E465" s="171"/>
      <c r="F465" s="171"/>
      <c r="G465" s="173"/>
      <c r="H465" s="170"/>
      <c r="I465" s="171"/>
    </row>
    <row r="466" ht="14.25" customHeight="1">
      <c r="A466" s="282"/>
      <c r="B466" s="282"/>
      <c r="C466" s="282"/>
      <c r="D466" s="314"/>
      <c r="E466" s="171"/>
      <c r="F466" s="171"/>
      <c r="G466" s="173"/>
      <c r="H466" s="170"/>
      <c r="I466" s="171"/>
    </row>
    <row r="467" ht="14.25" customHeight="1">
      <c r="A467" s="282"/>
      <c r="B467" s="282"/>
      <c r="C467" s="282"/>
      <c r="D467" s="314"/>
      <c r="E467" s="171"/>
      <c r="F467" s="171"/>
      <c r="G467" s="173"/>
      <c r="H467" s="170"/>
      <c r="I467" s="171"/>
    </row>
    <row r="468" ht="14.25" customHeight="1">
      <c r="A468" s="282"/>
      <c r="B468" s="282"/>
      <c r="C468" s="282"/>
      <c r="D468" s="314"/>
      <c r="E468" s="171"/>
      <c r="F468" s="171"/>
      <c r="G468" s="173"/>
      <c r="H468" s="170"/>
      <c r="I468" s="171"/>
    </row>
    <row r="469" ht="14.25" customHeight="1">
      <c r="A469" s="282"/>
      <c r="B469" s="282"/>
      <c r="C469" s="282"/>
      <c r="D469" s="314"/>
      <c r="E469" s="171"/>
      <c r="F469" s="171"/>
      <c r="G469" s="173"/>
      <c r="H469" s="170"/>
      <c r="I469" s="171"/>
    </row>
    <row r="470" ht="14.25" customHeight="1">
      <c r="A470" s="282"/>
      <c r="B470" s="282"/>
      <c r="C470" s="282"/>
      <c r="D470" s="314"/>
      <c r="E470" s="171"/>
      <c r="F470" s="171"/>
      <c r="G470" s="173"/>
      <c r="H470" s="170"/>
      <c r="I470" s="171"/>
    </row>
    <row r="471" ht="14.25" customHeight="1">
      <c r="A471" s="282"/>
      <c r="B471" s="282"/>
      <c r="C471" s="282"/>
      <c r="D471" s="314"/>
      <c r="E471" s="171"/>
      <c r="F471" s="171"/>
      <c r="G471" s="173"/>
      <c r="H471" s="170"/>
      <c r="I471" s="171"/>
    </row>
    <row r="472" ht="14.25" customHeight="1">
      <c r="A472" s="282"/>
      <c r="B472" s="282"/>
      <c r="C472" s="282"/>
      <c r="D472" s="314"/>
      <c r="E472" s="171"/>
      <c r="F472" s="171"/>
      <c r="G472" s="173"/>
      <c r="H472" s="170"/>
      <c r="I472" s="171"/>
    </row>
    <row r="473" ht="14.25" customHeight="1">
      <c r="A473" s="282"/>
      <c r="B473" s="282"/>
      <c r="C473" s="282"/>
      <c r="D473" s="314"/>
      <c r="E473" s="171"/>
      <c r="F473" s="171"/>
      <c r="G473" s="173"/>
      <c r="H473" s="170"/>
      <c r="I473" s="171"/>
    </row>
    <row r="474" ht="14.25" customHeight="1">
      <c r="A474" s="282"/>
      <c r="B474" s="282"/>
      <c r="C474" s="282"/>
      <c r="D474" s="314"/>
      <c r="E474" s="171"/>
      <c r="F474" s="171"/>
      <c r="G474" s="173"/>
      <c r="H474" s="170"/>
      <c r="I474" s="171"/>
    </row>
    <row r="475" ht="14.25" customHeight="1">
      <c r="A475" s="282"/>
      <c r="B475" s="282"/>
      <c r="C475" s="282"/>
      <c r="D475" s="314"/>
      <c r="E475" s="171"/>
      <c r="F475" s="171"/>
      <c r="G475" s="173"/>
      <c r="H475" s="170"/>
      <c r="I475" s="171"/>
    </row>
    <row r="476" ht="14.25" customHeight="1">
      <c r="A476" s="282"/>
      <c r="B476" s="282"/>
      <c r="C476" s="282"/>
      <c r="D476" s="314"/>
      <c r="E476" s="171"/>
      <c r="F476" s="171"/>
      <c r="G476" s="173"/>
      <c r="H476" s="170"/>
      <c r="I476" s="171"/>
    </row>
    <row r="477" ht="14.25" customHeight="1">
      <c r="A477" s="282"/>
      <c r="B477" s="282"/>
      <c r="C477" s="282"/>
      <c r="D477" s="314"/>
      <c r="E477" s="171"/>
      <c r="F477" s="171"/>
      <c r="G477" s="173"/>
      <c r="H477" s="170"/>
      <c r="I477" s="171"/>
    </row>
    <row r="478" ht="14.25" customHeight="1">
      <c r="A478" s="282"/>
      <c r="B478" s="282"/>
      <c r="C478" s="282"/>
      <c r="D478" s="314"/>
      <c r="E478" s="171"/>
      <c r="F478" s="171"/>
      <c r="G478" s="173"/>
      <c r="H478" s="170"/>
      <c r="I478" s="171"/>
    </row>
    <row r="479" ht="14.25" customHeight="1">
      <c r="A479" s="282"/>
      <c r="B479" s="282"/>
      <c r="C479" s="282"/>
      <c r="D479" s="314"/>
      <c r="E479" s="171"/>
      <c r="F479" s="171"/>
      <c r="G479" s="173"/>
      <c r="H479" s="170"/>
      <c r="I479" s="171"/>
    </row>
    <row r="480" ht="14.25" customHeight="1">
      <c r="A480" s="282"/>
      <c r="B480" s="282"/>
      <c r="C480" s="282"/>
      <c r="D480" s="314"/>
      <c r="E480" s="171"/>
      <c r="F480" s="171"/>
      <c r="G480" s="173"/>
      <c r="H480" s="170"/>
      <c r="I480" s="171"/>
    </row>
    <row r="481" ht="14.25" customHeight="1">
      <c r="A481" s="282"/>
      <c r="B481" s="282"/>
      <c r="C481" s="282"/>
      <c r="D481" s="314"/>
      <c r="E481" s="171"/>
      <c r="F481" s="171"/>
      <c r="G481" s="173"/>
      <c r="H481" s="170"/>
      <c r="I481" s="171"/>
    </row>
    <row r="482" ht="14.25" customHeight="1">
      <c r="A482" s="282"/>
      <c r="B482" s="282"/>
      <c r="C482" s="282"/>
      <c r="D482" s="314"/>
      <c r="E482" s="171"/>
      <c r="F482" s="171"/>
      <c r="G482" s="173"/>
      <c r="H482" s="170"/>
      <c r="I482" s="171"/>
    </row>
    <row r="483" ht="14.25" customHeight="1">
      <c r="A483" s="282"/>
      <c r="B483" s="282"/>
      <c r="C483" s="282"/>
      <c r="D483" s="314"/>
      <c r="E483" s="171"/>
      <c r="F483" s="171"/>
      <c r="G483" s="173"/>
      <c r="H483" s="170"/>
      <c r="I483" s="171"/>
    </row>
    <row r="484" ht="14.25" customHeight="1">
      <c r="A484" s="282"/>
      <c r="B484" s="282"/>
      <c r="C484" s="282"/>
      <c r="D484" s="314"/>
      <c r="E484" s="171"/>
      <c r="F484" s="171"/>
      <c r="G484" s="173"/>
      <c r="H484" s="170"/>
      <c r="I484" s="171"/>
    </row>
    <row r="485" ht="14.25" customHeight="1">
      <c r="A485" s="282"/>
      <c r="B485" s="282"/>
      <c r="C485" s="282"/>
      <c r="D485" s="314"/>
      <c r="E485" s="171"/>
      <c r="F485" s="171"/>
      <c r="G485" s="173"/>
      <c r="H485" s="170"/>
      <c r="I485" s="171"/>
    </row>
    <row r="486" ht="14.25" customHeight="1">
      <c r="A486" s="282"/>
      <c r="B486" s="282"/>
      <c r="C486" s="282"/>
      <c r="D486" s="314"/>
      <c r="E486" s="171"/>
      <c r="F486" s="171"/>
      <c r="G486" s="173"/>
      <c r="H486" s="170"/>
      <c r="I486" s="171"/>
    </row>
    <row r="487" ht="14.25" customHeight="1">
      <c r="A487" s="282"/>
      <c r="B487" s="282"/>
      <c r="C487" s="282"/>
      <c r="D487" s="314"/>
      <c r="E487" s="171"/>
      <c r="F487" s="171"/>
      <c r="G487" s="173"/>
      <c r="H487" s="170"/>
      <c r="I487" s="171"/>
    </row>
    <row r="488" ht="14.25" customHeight="1">
      <c r="A488" s="282"/>
      <c r="B488" s="282"/>
      <c r="C488" s="282"/>
      <c r="D488" s="314"/>
      <c r="E488" s="171"/>
      <c r="F488" s="171"/>
      <c r="G488" s="173"/>
      <c r="H488" s="170"/>
      <c r="I488" s="171"/>
    </row>
    <row r="489" ht="14.25" customHeight="1">
      <c r="A489" s="282"/>
      <c r="B489" s="282"/>
      <c r="C489" s="282"/>
      <c r="D489" s="314"/>
      <c r="E489" s="171"/>
      <c r="F489" s="171"/>
      <c r="G489" s="173"/>
      <c r="H489" s="170"/>
      <c r="I489" s="171"/>
    </row>
    <row r="490" ht="14.25" customHeight="1">
      <c r="A490" s="282"/>
      <c r="B490" s="282"/>
      <c r="C490" s="282"/>
      <c r="D490" s="314"/>
      <c r="E490" s="171"/>
      <c r="F490" s="171"/>
      <c r="G490" s="173"/>
      <c r="H490" s="170"/>
      <c r="I490" s="171"/>
    </row>
    <row r="491" ht="14.25" customHeight="1">
      <c r="A491" s="282"/>
      <c r="B491" s="282"/>
      <c r="C491" s="282"/>
      <c r="D491" s="314"/>
      <c r="E491" s="171"/>
      <c r="F491" s="171"/>
      <c r="G491" s="173"/>
      <c r="H491" s="170"/>
      <c r="I491" s="171"/>
    </row>
    <row r="492" ht="14.25" customHeight="1">
      <c r="A492" s="282"/>
      <c r="B492" s="282"/>
      <c r="C492" s="282"/>
      <c r="D492" s="314"/>
      <c r="E492" s="171"/>
      <c r="F492" s="171"/>
      <c r="G492" s="173"/>
      <c r="H492" s="170"/>
      <c r="I492" s="171"/>
    </row>
    <row r="493" ht="14.25" customHeight="1">
      <c r="A493" s="282"/>
      <c r="B493" s="282"/>
      <c r="C493" s="282"/>
      <c r="D493" s="314"/>
      <c r="E493" s="171"/>
      <c r="F493" s="171"/>
      <c r="G493" s="173"/>
      <c r="H493" s="170"/>
      <c r="I493" s="171"/>
    </row>
    <row r="494" ht="14.25" customHeight="1">
      <c r="A494" s="282"/>
      <c r="B494" s="282"/>
      <c r="C494" s="282"/>
      <c r="D494" s="314"/>
      <c r="E494" s="171"/>
      <c r="F494" s="171"/>
      <c r="G494" s="173"/>
      <c r="H494" s="170"/>
      <c r="I494" s="171"/>
    </row>
    <row r="495" ht="14.25" customHeight="1">
      <c r="A495" s="282"/>
      <c r="B495" s="282"/>
      <c r="C495" s="282"/>
      <c r="D495" s="314"/>
      <c r="E495" s="171"/>
      <c r="F495" s="171"/>
      <c r="G495" s="173"/>
      <c r="H495" s="170"/>
      <c r="I495" s="171"/>
    </row>
    <row r="496" ht="14.25" customHeight="1">
      <c r="A496" s="282"/>
      <c r="B496" s="282"/>
      <c r="C496" s="282"/>
      <c r="D496" s="314"/>
      <c r="E496" s="171"/>
      <c r="F496" s="171"/>
      <c r="G496" s="173"/>
      <c r="H496" s="170"/>
      <c r="I496" s="171"/>
    </row>
    <row r="497" ht="14.25" customHeight="1">
      <c r="A497" s="282"/>
      <c r="B497" s="282"/>
      <c r="C497" s="282"/>
      <c r="D497" s="314"/>
      <c r="E497" s="171"/>
      <c r="F497" s="171"/>
      <c r="G497" s="173"/>
      <c r="H497" s="170"/>
      <c r="I497" s="171"/>
    </row>
    <row r="498" ht="14.25" customHeight="1">
      <c r="A498" s="282"/>
      <c r="B498" s="282"/>
      <c r="C498" s="282"/>
      <c r="D498" s="314"/>
      <c r="E498" s="171"/>
      <c r="F498" s="171"/>
      <c r="G498" s="173"/>
      <c r="H498" s="170"/>
      <c r="I498" s="171"/>
    </row>
    <row r="499" ht="14.25" customHeight="1">
      <c r="A499" s="282"/>
      <c r="B499" s="282"/>
      <c r="C499" s="282"/>
      <c r="D499" s="314"/>
      <c r="E499" s="171"/>
      <c r="F499" s="171"/>
      <c r="G499" s="173"/>
      <c r="H499" s="170"/>
      <c r="I499" s="171"/>
    </row>
    <row r="500" ht="14.25" customHeight="1">
      <c r="A500" s="282"/>
      <c r="B500" s="282"/>
      <c r="C500" s="282"/>
      <c r="D500" s="314"/>
      <c r="E500" s="171"/>
      <c r="F500" s="171"/>
      <c r="G500" s="173"/>
      <c r="H500" s="170"/>
      <c r="I500" s="171"/>
    </row>
    <row r="501" ht="14.25" customHeight="1">
      <c r="A501" s="282"/>
      <c r="B501" s="282"/>
      <c r="C501" s="282"/>
      <c r="D501" s="314"/>
      <c r="E501" s="171"/>
      <c r="F501" s="171"/>
      <c r="G501" s="173"/>
      <c r="H501" s="170"/>
      <c r="I501" s="171"/>
    </row>
    <row r="502" ht="14.25" customHeight="1">
      <c r="A502" s="282"/>
      <c r="B502" s="282"/>
      <c r="C502" s="282"/>
      <c r="D502" s="314"/>
      <c r="E502" s="171"/>
      <c r="F502" s="171"/>
      <c r="G502" s="173"/>
      <c r="H502" s="170"/>
      <c r="I502" s="171"/>
    </row>
    <row r="503" ht="14.25" customHeight="1">
      <c r="A503" s="282"/>
      <c r="B503" s="282"/>
      <c r="C503" s="282"/>
      <c r="D503" s="314"/>
      <c r="E503" s="171"/>
      <c r="F503" s="171"/>
      <c r="G503" s="173"/>
      <c r="H503" s="170"/>
      <c r="I503" s="171"/>
    </row>
    <row r="504" ht="14.25" customHeight="1">
      <c r="A504" s="282"/>
      <c r="B504" s="282"/>
      <c r="C504" s="282"/>
      <c r="D504" s="314"/>
      <c r="E504" s="171"/>
      <c r="F504" s="171"/>
      <c r="G504" s="173"/>
      <c r="H504" s="170"/>
      <c r="I504" s="171"/>
    </row>
    <row r="505" ht="14.25" customHeight="1">
      <c r="A505" s="282"/>
      <c r="B505" s="282"/>
      <c r="C505" s="282"/>
      <c r="D505" s="314"/>
      <c r="E505" s="171"/>
      <c r="F505" s="171"/>
      <c r="G505" s="173"/>
      <c r="H505" s="170"/>
      <c r="I505" s="171"/>
    </row>
    <row r="506" ht="14.25" customHeight="1">
      <c r="A506" s="282"/>
      <c r="B506" s="282"/>
      <c r="C506" s="282"/>
      <c r="D506" s="314"/>
      <c r="E506" s="171"/>
      <c r="F506" s="171"/>
      <c r="G506" s="173"/>
      <c r="H506" s="170"/>
      <c r="I506" s="171"/>
    </row>
    <row r="507" ht="14.25" customHeight="1">
      <c r="A507" s="282"/>
      <c r="B507" s="282"/>
      <c r="C507" s="282"/>
      <c r="D507" s="314"/>
      <c r="E507" s="171"/>
      <c r="F507" s="171"/>
      <c r="G507" s="173"/>
      <c r="H507" s="170"/>
      <c r="I507" s="171"/>
    </row>
    <row r="508" ht="14.25" customHeight="1">
      <c r="A508" s="282"/>
      <c r="B508" s="282"/>
      <c r="C508" s="282"/>
      <c r="D508" s="314"/>
      <c r="E508" s="171"/>
      <c r="F508" s="171"/>
      <c r="G508" s="173"/>
      <c r="H508" s="170"/>
      <c r="I508" s="171"/>
    </row>
    <row r="509" ht="14.25" customHeight="1">
      <c r="A509" s="282"/>
      <c r="B509" s="282"/>
      <c r="C509" s="282"/>
      <c r="D509" s="314"/>
      <c r="E509" s="171"/>
      <c r="F509" s="171"/>
      <c r="G509" s="173"/>
      <c r="H509" s="170"/>
      <c r="I509" s="171"/>
    </row>
    <row r="510" ht="14.25" customHeight="1">
      <c r="A510" s="282"/>
      <c r="B510" s="282"/>
      <c r="C510" s="282"/>
      <c r="D510" s="314"/>
      <c r="E510" s="171"/>
      <c r="F510" s="171"/>
      <c r="G510" s="173"/>
      <c r="H510" s="170"/>
      <c r="I510" s="171"/>
    </row>
    <row r="511" ht="14.25" customHeight="1">
      <c r="A511" s="282"/>
      <c r="B511" s="282"/>
      <c r="C511" s="282"/>
      <c r="D511" s="314"/>
      <c r="E511" s="171"/>
      <c r="F511" s="171"/>
      <c r="G511" s="173"/>
      <c r="H511" s="170"/>
      <c r="I511" s="171"/>
    </row>
    <row r="512" ht="14.25" customHeight="1">
      <c r="A512" s="282"/>
      <c r="B512" s="282"/>
      <c r="C512" s="282"/>
      <c r="D512" s="314"/>
      <c r="E512" s="171"/>
      <c r="F512" s="171"/>
      <c r="G512" s="173"/>
      <c r="H512" s="170"/>
      <c r="I512" s="171"/>
    </row>
    <row r="513" ht="14.25" customHeight="1">
      <c r="A513" s="282"/>
      <c r="B513" s="282"/>
      <c r="C513" s="282"/>
      <c r="D513" s="314"/>
      <c r="E513" s="171"/>
      <c r="F513" s="171"/>
      <c r="G513" s="173"/>
      <c r="H513" s="170"/>
      <c r="I513" s="171"/>
    </row>
    <row r="514" ht="14.25" customHeight="1">
      <c r="A514" s="282"/>
      <c r="B514" s="282"/>
      <c r="C514" s="282"/>
      <c r="D514" s="314"/>
      <c r="E514" s="171"/>
      <c r="F514" s="171"/>
      <c r="G514" s="173"/>
      <c r="H514" s="170"/>
      <c r="I514" s="171"/>
    </row>
    <row r="515" ht="14.25" customHeight="1">
      <c r="A515" s="282"/>
      <c r="B515" s="282"/>
      <c r="C515" s="282"/>
      <c r="D515" s="314"/>
      <c r="E515" s="171"/>
      <c r="F515" s="171"/>
      <c r="G515" s="173"/>
      <c r="H515" s="170"/>
      <c r="I515" s="171"/>
    </row>
    <row r="516" ht="14.25" customHeight="1">
      <c r="A516" s="282"/>
      <c r="B516" s="282"/>
      <c r="C516" s="282"/>
      <c r="D516" s="314"/>
      <c r="E516" s="171"/>
      <c r="F516" s="171"/>
      <c r="G516" s="173"/>
      <c r="H516" s="170"/>
      <c r="I516" s="171"/>
    </row>
    <row r="517" ht="14.25" customHeight="1">
      <c r="A517" s="282"/>
      <c r="B517" s="282"/>
      <c r="C517" s="282"/>
      <c r="D517" s="314"/>
      <c r="E517" s="171"/>
      <c r="F517" s="171"/>
      <c r="G517" s="173"/>
      <c r="H517" s="170"/>
      <c r="I517" s="171"/>
    </row>
    <row r="518" ht="14.25" customHeight="1">
      <c r="A518" s="282"/>
      <c r="B518" s="282"/>
      <c r="C518" s="282"/>
      <c r="D518" s="314"/>
      <c r="E518" s="171"/>
      <c r="F518" s="171"/>
      <c r="G518" s="173"/>
      <c r="H518" s="170"/>
      <c r="I518" s="171"/>
    </row>
    <row r="519" ht="14.25" customHeight="1">
      <c r="A519" s="282"/>
      <c r="B519" s="282"/>
      <c r="C519" s="282"/>
      <c r="D519" s="314"/>
      <c r="E519" s="171"/>
      <c r="F519" s="171"/>
      <c r="G519" s="173"/>
      <c r="H519" s="170"/>
      <c r="I519" s="171"/>
    </row>
    <row r="520" ht="14.25" customHeight="1">
      <c r="A520" s="282"/>
      <c r="B520" s="282"/>
      <c r="C520" s="282"/>
      <c r="D520" s="314"/>
      <c r="E520" s="171"/>
      <c r="F520" s="171"/>
      <c r="G520" s="173"/>
      <c r="H520" s="170"/>
      <c r="I520" s="171"/>
    </row>
    <row r="521" ht="14.25" customHeight="1">
      <c r="A521" s="282"/>
      <c r="B521" s="282"/>
      <c r="C521" s="282"/>
      <c r="D521" s="314"/>
      <c r="E521" s="171"/>
      <c r="F521" s="171"/>
      <c r="G521" s="173"/>
      <c r="H521" s="170"/>
      <c r="I521" s="171"/>
    </row>
    <row r="522" ht="14.25" customHeight="1">
      <c r="A522" s="282"/>
      <c r="B522" s="282"/>
      <c r="C522" s="282"/>
      <c r="D522" s="314"/>
      <c r="E522" s="171"/>
      <c r="F522" s="171"/>
      <c r="G522" s="173"/>
      <c r="H522" s="170"/>
      <c r="I522" s="171"/>
    </row>
    <row r="523" ht="14.25" customHeight="1">
      <c r="A523" s="282"/>
      <c r="B523" s="282"/>
      <c r="C523" s="282"/>
      <c r="D523" s="314"/>
      <c r="E523" s="171"/>
      <c r="F523" s="171"/>
      <c r="G523" s="173"/>
      <c r="H523" s="170"/>
      <c r="I523" s="171"/>
    </row>
    <row r="524" ht="14.25" customHeight="1">
      <c r="A524" s="282"/>
      <c r="B524" s="282"/>
      <c r="C524" s="282"/>
      <c r="D524" s="314"/>
      <c r="E524" s="171"/>
      <c r="F524" s="171"/>
      <c r="G524" s="173"/>
      <c r="H524" s="170"/>
      <c r="I524" s="171"/>
    </row>
    <row r="525" ht="14.25" customHeight="1">
      <c r="A525" s="282"/>
      <c r="B525" s="282"/>
      <c r="C525" s="282"/>
      <c r="D525" s="314"/>
      <c r="E525" s="171"/>
      <c r="F525" s="171"/>
      <c r="G525" s="173"/>
      <c r="H525" s="170"/>
      <c r="I525" s="171"/>
    </row>
    <row r="526" ht="14.25" customHeight="1">
      <c r="A526" s="282"/>
      <c r="B526" s="282"/>
      <c r="C526" s="282"/>
      <c r="D526" s="314"/>
      <c r="E526" s="171"/>
      <c r="F526" s="171"/>
      <c r="G526" s="173"/>
      <c r="H526" s="170"/>
      <c r="I526" s="171"/>
    </row>
    <row r="527" ht="14.25" customHeight="1">
      <c r="A527" s="282"/>
      <c r="B527" s="282"/>
      <c r="C527" s="282"/>
      <c r="D527" s="314"/>
      <c r="E527" s="171"/>
      <c r="F527" s="171"/>
      <c r="G527" s="173"/>
      <c r="H527" s="170"/>
      <c r="I527" s="171"/>
    </row>
    <row r="528" ht="14.25" customHeight="1">
      <c r="A528" s="282"/>
      <c r="B528" s="282"/>
      <c r="C528" s="282"/>
      <c r="D528" s="314"/>
      <c r="E528" s="171"/>
      <c r="F528" s="171"/>
      <c r="G528" s="173"/>
      <c r="H528" s="170"/>
      <c r="I528" s="171"/>
    </row>
    <row r="529" ht="14.25" customHeight="1">
      <c r="A529" s="282"/>
      <c r="B529" s="282"/>
      <c r="C529" s="282"/>
      <c r="D529" s="314"/>
      <c r="E529" s="171"/>
      <c r="F529" s="171"/>
      <c r="G529" s="173"/>
      <c r="H529" s="170"/>
      <c r="I529" s="171"/>
    </row>
    <row r="530" ht="14.25" customHeight="1">
      <c r="A530" s="282"/>
      <c r="B530" s="282"/>
      <c r="C530" s="282"/>
      <c r="D530" s="314"/>
      <c r="E530" s="171"/>
      <c r="F530" s="171"/>
      <c r="G530" s="173"/>
      <c r="H530" s="170"/>
      <c r="I530" s="171"/>
    </row>
    <row r="531" ht="14.25" customHeight="1">
      <c r="A531" s="282"/>
      <c r="B531" s="282"/>
      <c r="C531" s="282"/>
      <c r="D531" s="314"/>
      <c r="E531" s="171"/>
      <c r="F531" s="171"/>
      <c r="G531" s="173"/>
      <c r="H531" s="170"/>
      <c r="I531" s="171"/>
    </row>
    <row r="532" ht="14.25" customHeight="1">
      <c r="A532" s="282"/>
      <c r="B532" s="282"/>
      <c r="C532" s="282"/>
      <c r="D532" s="314"/>
      <c r="E532" s="171"/>
      <c r="F532" s="171"/>
      <c r="G532" s="173"/>
      <c r="H532" s="170"/>
      <c r="I532" s="171"/>
    </row>
    <row r="533" ht="14.25" customHeight="1">
      <c r="A533" s="282"/>
      <c r="B533" s="282"/>
      <c r="C533" s="282"/>
      <c r="D533" s="314"/>
      <c r="E533" s="171"/>
      <c r="F533" s="171"/>
      <c r="G533" s="173"/>
      <c r="H533" s="170"/>
      <c r="I533" s="171"/>
    </row>
    <row r="534" ht="14.25" customHeight="1">
      <c r="A534" s="282"/>
      <c r="B534" s="282"/>
      <c r="C534" s="282"/>
      <c r="D534" s="314"/>
      <c r="E534" s="171"/>
      <c r="F534" s="171"/>
      <c r="G534" s="173"/>
      <c r="H534" s="170"/>
      <c r="I534" s="171"/>
    </row>
    <row r="535" ht="14.25" customHeight="1">
      <c r="A535" s="282"/>
      <c r="B535" s="282"/>
      <c r="C535" s="282"/>
      <c r="D535" s="314"/>
      <c r="E535" s="171"/>
      <c r="F535" s="171"/>
      <c r="G535" s="173"/>
      <c r="H535" s="170"/>
      <c r="I535" s="171"/>
    </row>
    <row r="536" ht="14.25" customHeight="1">
      <c r="A536" s="282"/>
      <c r="B536" s="282"/>
      <c r="C536" s="282"/>
      <c r="D536" s="314"/>
      <c r="E536" s="171"/>
      <c r="F536" s="171"/>
      <c r="G536" s="173"/>
      <c r="H536" s="170"/>
      <c r="I536" s="171"/>
    </row>
    <row r="537" ht="14.25" customHeight="1">
      <c r="A537" s="282"/>
      <c r="B537" s="282"/>
      <c r="C537" s="282"/>
      <c r="D537" s="314"/>
      <c r="E537" s="171"/>
      <c r="F537" s="171"/>
      <c r="G537" s="173"/>
      <c r="H537" s="170"/>
      <c r="I537" s="171"/>
    </row>
    <row r="538" ht="14.25" customHeight="1">
      <c r="A538" s="282"/>
      <c r="B538" s="282"/>
      <c r="C538" s="282"/>
      <c r="D538" s="314"/>
      <c r="E538" s="171"/>
      <c r="F538" s="171"/>
      <c r="G538" s="173"/>
      <c r="H538" s="170"/>
      <c r="I538" s="171"/>
    </row>
    <row r="539" ht="14.25" customHeight="1">
      <c r="A539" s="282"/>
      <c r="B539" s="282"/>
      <c r="C539" s="282"/>
      <c r="D539" s="314"/>
      <c r="E539" s="171"/>
      <c r="F539" s="171"/>
      <c r="G539" s="173"/>
      <c r="H539" s="170"/>
      <c r="I539" s="171"/>
    </row>
    <row r="540" ht="14.25" customHeight="1">
      <c r="A540" s="282"/>
      <c r="B540" s="282"/>
      <c r="C540" s="282"/>
      <c r="D540" s="314"/>
      <c r="E540" s="171"/>
      <c r="F540" s="171"/>
      <c r="G540" s="173"/>
      <c r="H540" s="170"/>
      <c r="I540" s="171"/>
    </row>
    <row r="541" ht="14.25" customHeight="1">
      <c r="A541" s="282"/>
      <c r="B541" s="282"/>
      <c r="C541" s="282"/>
      <c r="D541" s="314"/>
      <c r="E541" s="171"/>
      <c r="F541" s="171"/>
      <c r="G541" s="173"/>
      <c r="H541" s="170"/>
      <c r="I541" s="171"/>
    </row>
    <row r="542" ht="14.25" customHeight="1">
      <c r="A542" s="282"/>
      <c r="B542" s="282"/>
      <c r="C542" s="282"/>
      <c r="D542" s="314"/>
      <c r="E542" s="171"/>
      <c r="F542" s="171"/>
      <c r="G542" s="173"/>
      <c r="H542" s="170"/>
      <c r="I542" s="171"/>
    </row>
    <row r="543" ht="14.25" customHeight="1">
      <c r="A543" s="282"/>
      <c r="B543" s="282"/>
      <c r="C543" s="282"/>
      <c r="D543" s="314"/>
      <c r="E543" s="171"/>
      <c r="F543" s="171"/>
      <c r="G543" s="173"/>
      <c r="H543" s="170"/>
      <c r="I543" s="171"/>
    </row>
    <row r="544" ht="14.25" customHeight="1">
      <c r="A544" s="282"/>
      <c r="B544" s="282"/>
      <c r="C544" s="282"/>
      <c r="D544" s="314"/>
      <c r="E544" s="171"/>
      <c r="F544" s="171"/>
      <c r="G544" s="173"/>
      <c r="H544" s="170"/>
      <c r="I544" s="171"/>
    </row>
    <row r="545" ht="14.25" customHeight="1">
      <c r="A545" s="282"/>
      <c r="B545" s="282"/>
      <c r="C545" s="282"/>
      <c r="D545" s="314"/>
      <c r="E545" s="171"/>
      <c r="F545" s="171"/>
      <c r="G545" s="173"/>
      <c r="H545" s="170"/>
      <c r="I545" s="171"/>
    </row>
    <row r="546" ht="14.25" customHeight="1">
      <c r="A546" s="282"/>
      <c r="B546" s="282"/>
      <c r="C546" s="282"/>
      <c r="D546" s="314"/>
      <c r="E546" s="171"/>
      <c r="F546" s="171"/>
      <c r="G546" s="173"/>
      <c r="H546" s="170"/>
      <c r="I546" s="171"/>
    </row>
    <row r="547" ht="14.25" customHeight="1">
      <c r="A547" s="282"/>
      <c r="B547" s="282"/>
      <c r="C547" s="282"/>
      <c r="D547" s="314"/>
      <c r="E547" s="171"/>
      <c r="F547" s="171"/>
      <c r="G547" s="173"/>
      <c r="H547" s="170"/>
      <c r="I547" s="171"/>
    </row>
    <row r="548" ht="14.25" customHeight="1">
      <c r="A548" s="282"/>
      <c r="B548" s="282"/>
      <c r="C548" s="282"/>
      <c r="D548" s="314"/>
      <c r="E548" s="171"/>
      <c r="F548" s="171"/>
      <c r="G548" s="173"/>
      <c r="H548" s="170"/>
      <c r="I548" s="171"/>
    </row>
    <row r="549" ht="14.25" customHeight="1">
      <c r="A549" s="282"/>
      <c r="B549" s="282"/>
      <c r="C549" s="282"/>
      <c r="D549" s="314"/>
      <c r="E549" s="171"/>
      <c r="F549" s="171"/>
      <c r="G549" s="173"/>
      <c r="H549" s="170"/>
      <c r="I549" s="171"/>
    </row>
    <row r="550" ht="14.25" customHeight="1">
      <c r="A550" s="282"/>
      <c r="B550" s="282"/>
      <c r="C550" s="282"/>
      <c r="D550" s="314"/>
      <c r="E550" s="171"/>
      <c r="F550" s="171"/>
      <c r="G550" s="173"/>
      <c r="H550" s="170"/>
      <c r="I550" s="171"/>
    </row>
    <row r="551" ht="14.25" customHeight="1">
      <c r="A551" s="282"/>
      <c r="B551" s="282"/>
      <c r="C551" s="282"/>
      <c r="D551" s="314"/>
      <c r="E551" s="171"/>
      <c r="F551" s="171"/>
      <c r="G551" s="173"/>
      <c r="H551" s="170"/>
      <c r="I551" s="171"/>
    </row>
    <row r="552" ht="14.25" customHeight="1">
      <c r="A552" s="282"/>
      <c r="B552" s="282"/>
      <c r="C552" s="282"/>
      <c r="D552" s="314"/>
      <c r="E552" s="171"/>
      <c r="F552" s="171"/>
      <c r="G552" s="173"/>
      <c r="H552" s="170"/>
      <c r="I552" s="171"/>
    </row>
    <row r="553" ht="14.25" customHeight="1">
      <c r="A553" s="282"/>
      <c r="B553" s="282"/>
      <c r="C553" s="282"/>
      <c r="D553" s="314"/>
      <c r="E553" s="171"/>
      <c r="F553" s="171"/>
      <c r="G553" s="173"/>
      <c r="H553" s="170"/>
      <c r="I553" s="171"/>
    </row>
    <row r="554" ht="14.25" customHeight="1">
      <c r="A554" s="282"/>
      <c r="B554" s="282"/>
      <c r="C554" s="282"/>
      <c r="D554" s="314"/>
      <c r="E554" s="171"/>
      <c r="F554" s="171"/>
      <c r="G554" s="173"/>
      <c r="H554" s="170"/>
      <c r="I554" s="171"/>
    </row>
    <row r="555" ht="14.25" customHeight="1">
      <c r="A555" s="282"/>
      <c r="B555" s="282"/>
      <c r="C555" s="282"/>
      <c r="D555" s="314"/>
      <c r="E555" s="171"/>
      <c r="F555" s="171"/>
      <c r="G555" s="173"/>
      <c r="H555" s="170"/>
      <c r="I555" s="171"/>
    </row>
    <row r="556" ht="14.25" customHeight="1">
      <c r="A556" s="282"/>
      <c r="B556" s="282"/>
      <c r="C556" s="282"/>
      <c r="D556" s="314"/>
      <c r="E556" s="171"/>
      <c r="F556" s="171"/>
      <c r="G556" s="173"/>
      <c r="H556" s="170"/>
      <c r="I556" s="171"/>
    </row>
    <row r="557" ht="14.25" customHeight="1">
      <c r="A557" s="282"/>
      <c r="B557" s="282"/>
      <c r="C557" s="282"/>
      <c r="D557" s="314"/>
      <c r="E557" s="171"/>
      <c r="F557" s="171"/>
      <c r="G557" s="173"/>
      <c r="H557" s="170"/>
      <c r="I557" s="171"/>
    </row>
    <row r="558" ht="14.25" customHeight="1">
      <c r="A558" s="282"/>
      <c r="B558" s="282"/>
      <c r="C558" s="282"/>
      <c r="D558" s="314"/>
      <c r="E558" s="171"/>
      <c r="F558" s="171"/>
      <c r="G558" s="173"/>
      <c r="H558" s="170"/>
      <c r="I558" s="171"/>
    </row>
    <row r="559" ht="14.25" customHeight="1">
      <c r="A559" s="282"/>
      <c r="B559" s="282"/>
      <c r="C559" s="282"/>
      <c r="D559" s="314"/>
      <c r="E559" s="171"/>
      <c r="F559" s="171"/>
      <c r="G559" s="173"/>
      <c r="H559" s="170"/>
      <c r="I559" s="171"/>
    </row>
    <row r="560" ht="14.25" customHeight="1">
      <c r="A560" s="282"/>
      <c r="B560" s="282"/>
      <c r="C560" s="282"/>
      <c r="D560" s="314"/>
      <c r="E560" s="171"/>
      <c r="F560" s="171"/>
      <c r="G560" s="173"/>
      <c r="H560" s="170"/>
      <c r="I560" s="171"/>
    </row>
    <row r="561" ht="14.25" customHeight="1">
      <c r="A561" s="282"/>
      <c r="B561" s="282"/>
      <c r="C561" s="282"/>
      <c r="D561" s="314"/>
      <c r="E561" s="171"/>
      <c r="F561" s="171"/>
      <c r="G561" s="173"/>
      <c r="H561" s="170"/>
      <c r="I561" s="171"/>
    </row>
    <row r="562" ht="14.25" customHeight="1">
      <c r="A562" s="282"/>
      <c r="B562" s="282"/>
      <c r="C562" s="282"/>
      <c r="D562" s="314"/>
      <c r="E562" s="171"/>
      <c r="F562" s="171"/>
      <c r="G562" s="173"/>
      <c r="H562" s="170"/>
      <c r="I562" s="171"/>
    </row>
    <row r="563" ht="14.25" customHeight="1">
      <c r="A563" s="282"/>
      <c r="B563" s="282"/>
      <c r="C563" s="282"/>
      <c r="D563" s="314"/>
      <c r="E563" s="171"/>
      <c r="F563" s="171"/>
      <c r="G563" s="173"/>
      <c r="H563" s="170"/>
      <c r="I563" s="171"/>
    </row>
    <row r="564" ht="14.25" customHeight="1">
      <c r="A564" s="282"/>
      <c r="B564" s="282"/>
      <c r="C564" s="282"/>
      <c r="D564" s="314"/>
      <c r="E564" s="171"/>
      <c r="F564" s="171"/>
      <c r="G564" s="173"/>
      <c r="H564" s="170"/>
      <c r="I564" s="171"/>
    </row>
    <row r="565" ht="14.25" customHeight="1">
      <c r="A565" s="282"/>
      <c r="B565" s="282"/>
      <c r="C565" s="282"/>
      <c r="D565" s="314"/>
      <c r="E565" s="171"/>
      <c r="F565" s="171"/>
      <c r="G565" s="173"/>
      <c r="H565" s="170"/>
      <c r="I565" s="171"/>
    </row>
    <row r="566" ht="14.25" customHeight="1">
      <c r="A566" s="282"/>
      <c r="B566" s="282"/>
      <c r="C566" s="282"/>
      <c r="D566" s="314"/>
      <c r="E566" s="171"/>
      <c r="F566" s="171"/>
      <c r="G566" s="173"/>
      <c r="H566" s="170"/>
      <c r="I566" s="171"/>
    </row>
    <row r="567" ht="14.25" customHeight="1">
      <c r="A567" s="282"/>
      <c r="B567" s="282"/>
      <c r="C567" s="282"/>
      <c r="D567" s="314"/>
      <c r="E567" s="171"/>
      <c r="F567" s="171"/>
      <c r="G567" s="173"/>
      <c r="H567" s="170"/>
      <c r="I567" s="171"/>
    </row>
    <row r="568" ht="14.25" customHeight="1">
      <c r="A568" s="282"/>
      <c r="B568" s="282"/>
      <c r="C568" s="282"/>
      <c r="D568" s="314"/>
      <c r="E568" s="171"/>
      <c r="F568" s="171"/>
      <c r="G568" s="173"/>
      <c r="H568" s="170"/>
      <c r="I568" s="171"/>
    </row>
    <row r="569" ht="14.25" customHeight="1">
      <c r="A569" s="282"/>
      <c r="B569" s="282"/>
      <c r="C569" s="282"/>
      <c r="D569" s="314"/>
      <c r="E569" s="171"/>
      <c r="F569" s="171"/>
      <c r="G569" s="173"/>
      <c r="H569" s="170"/>
      <c r="I569" s="171"/>
    </row>
    <row r="570" ht="14.25" customHeight="1">
      <c r="A570" s="282"/>
      <c r="B570" s="282"/>
      <c r="C570" s="282"/>
      <c r="D570" s="314"/>
      <c r="E570" s="171"/>
      <c r="F570" s="171"/>
      <c r="G570" s="173"/>
      <c r="H570" s="170"/>
      <c r="I570" s="171"/>
    </row>
    <row r="571" ht="14.25" customHeight="1">
      <c r="A571" s="282"/>
      <c r="B571" s="282"/>
      <c r="C571" s="282"/>
      <c r="D571" s="314"/>
      <c r="E571" s="171"/>
      <c r="F571" s="171"/>
      <c r="G571" s="173"/>
      <c r="H571" s="170"/>
      <c r="I571" s="171"/>
    </row>
    <row r="572" ht="14.25" customHeight="1">
      <c r="A572" s="282"/>
      <c r="B572" s="282"/>
      <c r="C572" s="282"/>
      <c r="D572" s="314"/>
      <c r="E572" s="171"/>
      <c r="F572" s="171"/>
      <c r="G572" s="173"/>
      <c r="H572" s="170"/>
      <c r="I572" s="171"/>
    </row>
    <row r="573" ht="14.25" customHeight="1">
      <c r="A573" s="282"/>
      <c r="B573" s="282"/>
      <c r="C573" s="282"/>
      <c r="D573" s="314"/>
      <c r="E573" s="171"/>
      <c r="F573" s="171"/>
      <c r="G573" s="173"/>
      <c r="H573" s="170"/>
      <c r="I573" s="171"/>
    </row>
    <row r="574" ht="14.25" customHeight="1">
      <c r="A574" s="282"/>
      <c r="B574" s="282"/>
      <c r="C574" s="282"/>
      <c r="D574" s="314"/>
      <c r="E574" s="171"/>
      <c r="F574" s="171"/>
      <c r="G574" s="173"/>
      <c r="H574" s="170"/>
      <c r="I574" s="171"/>
    </row>
    <row r="575" ht="14.25" customHeight="1">
      <c r="A575" s="282"/>
      <c r="B575" s="282"/>
      <c r="C575" s="282"/>
      <c r="D575" s="314"/>
      <c r="E575" s="171"/>
      <c r="F575" s="171"/>
      <c r="G575" s="173"/>
      <c r="H575" s="170"/>
      <c r="I575" s="171"/>
    </row>
    <row r="576" ht="14.25" customHeight="1">
      <c r="A576" s="282"/>
      <c r="B576" s="282"/>
      <c r="C576" s="282"/>
      <c r="D576" s="314"/>
      <c r="E576" s="171"/>
      <c r="F576" s="171"/>
      <c r="G576" s="173"/>
      <c r="H576" s="170"/>
      <c r="I576" s="171"/>
    </row>
    <row r="577" ht="14.25" customHeight="1">
      <c r="A577" s="282"/>
      <c r="B577" s="282"/>
      <c r="C577" s="282"/>
      <c r="D577" s="314"/>
      <c r="E577" s="171"/>
      <c r="F577" s="171"/>
      <c r="G577" s="173"/>
      <c r="H577" s="170"/>
      <c r="I577" s="171"/>
    </row>
    <row r="578" ht="14.25" customHeight="1">
      <c r="A578" s="282"/>
      <c r="B578" s="282"/>
      <c r="C578" s="282"/>
      <c r="D578" s="314"/>
      <c r="E578" s="171"/>
      <c r="F578" s="171"/>
      <c r="G578" s="173"/>
      <c r="H578" s="170"/>
      <c r="I578" s="171"/>
    </row>
    <row r="579" ht="14.25" customHeight="1">
      <c r="A579" s="282"/>
      <c r="B579" s="282"/>
      <c r="C579" s="282"/>
      <c r="D579" s="314"/>
      <c r="E579" s="171"/>
      <c r="F579" s="171"/>
      <c r="G579" s="173"/>
      <c r="H579" s="170"/>
      <c r="I579" s="171"/>
    </row>
    <row r="580" ht="14.25" customHeight="1">
      <c r="A580" s="282"/>
      <c r="B580" s="282"/>
      <c r="C580" s="282"/>
      <c r="D580" s="314"/>
      <c r="E580" s="171"/>
      <c r="F580" s="171"/>
      <c r="G580" s="173"/>
      <c r="H580" s="170"/>
      <c r="I580" s="171"/>
    </row>
    <row r="581" ht="14.25" customHeight="1">
      <c r="A581" s="282"/>
      <c r="B581" s="282"/>
      <c r="C581" s="282"/>
      <c r="D581" s="314"/>
      <c r="E581" s="171"/>
      <c r="F581" s="171"/>
      <c r="G581" s="173"/>
      <c r="H581" s="170"/>
      <c r="I581" s="171"/>
    </row>
    <row r="582" ht="14.25" customHeight="1">
      <c r="A582" s="282"/>
      <c r="B582" s="282"/>
      <c r="C582" s="282"/>
      <c r="D582" s="314"/>
      <c r="E582" s="171"/>
      <c r="F582" s="171"/>
      <c r="G582" s="173"/>
      <c r="H582" s="170"/>
      <c r="I582" s="171"/>
    </row>
    <row r="583" ht="14.25" customHeight="1">
      <c r="A583" s="282"/>
      <c r="B583" s="282"/>
      <c r="C583" s="282"/>
      <c r="D583" s="314"/>
      <c r="E583" s="171"/>
      <c r="F583" s="171"/>
      <c r="G583" s="173"/>
      <c r="H583" s="170"/>
      <c r="I583" s="171"/>
    </row>
    <row r="584" ht="14.25" customHeight="1">
      <c r="A584" s="282"/>
      <c r="B584" s="282"/>
      <c r="C584" s="282"/>
      <c r="D584" s="314"/>
      <c r="E584" s="171"/>
      <c r="F584" s="171"/>
      <c r="G584" s="173"/>
      <c r="H584" s="170"/>
      <c r="I584" s="171"/>
    </row>
    <row r="585" ht="14.25" customHeight="1">
      <c r="A585" s="282"/>
      <c r="B585" s="282"/>
      <c r="C585" s="282"/>
      <c r="D585" s="314"/>
      <c r="E585" s="171"/>
      <c r="F585" s="171"/>
      <c r="G585" s="173"/>
      <c r="H585" s="170"/>
      <c r="I585" s="171"/>
    </row>
    <row r="586" ht="14.25" customHeight="1">
      <c r="A586" s="282"/>
      <c r="B586" s="282"/>
      <c r="C586" s="282"/>
      <c r="D586" s="314"/>
      <c r="E586" s="171"/>
      <c r="F586" s="171"/>
      <c r="G586" s="173"/>
      <c r="H586" s="170"/>
      <c r="I586" s="171"/>
    </row>
    <row r="587" ht="14.25" customHeight="1">
      <c r="A587" s="282"/>
      <c r="B587" s="282"/>
      <c r="C587" s="282"/>
      <c r="D587" s="314"/>
      <c r="E587" s="171"/>
      <c r="F587" s="171"/>
      <c r="G587" s="173"/>
      <c r="H587" s="170"/>
      <c r="I587" s="171"/>
    </row>
    <row r="588" ht="14.25" customHeight="1">
      <c r="A588" s="282"/>
      <c r="B588" s="282"/>
      <c r="C588" s="282"/>
      <c r="D588" s="314"/>
      <c r="E588" s="171"/>
      <c r="F588" s="171"/>
      <c r="G588" s="173"/>
      <c r="H588" s="170"/>
      <c r="I588" s="171"/>
    </row>
    <row r="589" ht="14.25" customHeight="1">
      <c r="A589" s="282"/>
      <c r="B589" s="282"/>
      <c r="C589" s="282"/>
      <c r="D589" s="314"/>
      <c r="E589" s="171"/>
      <c r="F589" s="171"/>
      <c r="G589" s="173"/>
      <c r="H589" s="170"/>
      <c r="I589" s="171"/>
    </row>
    <row r="590" ht="14.25" customHeight="1">
      <c r="A590" s="282"/>
      <c r="B590" s="282"/>
      <c r="C590" s="282"/>
      <c r="D590" s="314"/>
      <c r="E590" s="171"/>
      <c r="F590" s="171"/>
      <c r="G590" s="173"/>
      <c r="H590" s="170"/>
      <c r="I590" s="171"/>
    </row>
    <row r="591" ht="14.25" customHeight="1">
      <c r="A591" s="282"/>
      <c r="B591" s="282"/>
      <c r="C591" s="282"/>
      <c r="D591" s="314"/>
      <c r="E591" s="171"/>
      <c r="F591" s="171"/>
      <c r="G591" s="173"/>
      <c r="H591" s="170"/>
      <c r="I591" s="171"/>
    </row>
    <row r="592" ht="14.25" customHeight="1">
      <c r="A592" s="282"/>
      <c r="B592" s="282"/>
      <c r="C592" s="282"/>
      <c r="D592" s="314"/>
      <c r="E592" s="171"/>
      <c r="F592" s="171"/>
      <c r="G592" s="173"/>
      <c r="H592" s="170"/>
      <c r="I592" s="171"/>
    </row>
    <row r="593" ht="14.25" customHeight="1">
      <c r="A593" s="282"/>
      <c r="B593" s="282"/>
      <c r="C593" s="282"/>
      <c r="D593" s="314"/>
      <c r="E593" s="171"/>
      <c r="F593" s="171"/>
      <c r="G593" s="173"/>
      <c r="H593" s="170"/>
      <c r="I593" s="171"/>
    </row>
    <row r="594" ht="14.25" customHeight="1">
      <c r="A594" s="282"/>
      <c r="B594" s="282"/>
      <c r="C594" s="282"/>
      <c r="D594" s="314"/>
      <c r="E594" s="171"/>
      <c r="F594" s="171"/>
      <c r="G594" s="173"/>
      <c r="H594" s="170"/>
      <c r="I594" s="171"/>
    </row>
    <row r="595" ht="14.25" customHeight="1">
      <c r="A595" s="282"/>
      <c r="B595" s="282"/>
      <c r="C595" s="282"/>
      <c r="D595" s="314"/>
      <c r="E595" s="171"/>
      <c r="F595" s="171"/>
      <c r="G595" s="173"/>
      <c r="H595" s="170"/>
      <c r="I595" s="171"/>
    </row>
    <row r="596" ht="14.25" customHeight="1">
      <c r="A596" s="282"/>
      <c r="B596" s="282"/>
      <c r="C596" s="282"/>
      <c r="D596" s="314"/>
      <c r="E596" s="171"/>
      <c r="F596" s="171"/>
      <c r="G596" s="173"/>
      <c r="H596" s="170"/>
      <c r="I596" s="171"/>
    </row>
    <row r="597" ht="14.25" customHeight="1">
      <c r="A597" s="282"/>
      <c r="B597" s="282"/>
      <c r="C597" s="282"/>
      <c r="D597" s="314"/>
      <c r="E597" s="171"/>
      <c r="F597" s="171"/>
      <c r="G597" s="173"/>
      <c r="H597" s="170"/>
      <c r="I597" s="171"/>
    </row>
    <row r="598" ht="14.25" customHeight="1">
      <c r="A598" s="282"/>
      <c r="B598" s="282"/>
      <c r="C598" s="282"/>
      <c r="D598" s="314"/>
      <c r="E598" s="171"/>
      <c r="F598" s="171"/>
      <c r="G598" s="173"/>
      <c r="H598" s="170"/>
      <c r="I598" s="171"/>
    </row>
    <row r="599" ht="14.25" customHeight="1">
      <c r="A599" s="282"/>
      <c r="B599" s="282"/>
      <c r="C599" s="282"/>
      <c r="D599" s="314"/>
      <c r="E599" s="171"/>
      <c r="F599" s="171"/>
      <c r="G599" s="173"/>
      <c r="H599" s="170"/>
      <c r="I599" s="171"/>
    </row>
    <row r="600" ht="14.25" customHeight="1">
      <c r="A600" s="282"/>
      <c r="B600" s="282"/>
      <c r="C600" s="282"/>
      <c r="D600" s="314"/>
      <c r="E600" s="171"/>
      <c r="F600" s="171"/>
      <c r="G600" s="173"/>
      <c r="H600" s="170"/>
      <c r="I600" s="171"/>
    </row>
    <row r="601" ht="14.25" customHeight="1">
      <c r="A601" s="282"/>
      <c r="B601" s="282"/>
      <c r="C601" s="282"/>
      <c r="D601" s="314"/>
      <c r="E601" s="171"/>
      <c r="F601" s="171"/>
      <c r="G601" s="173"/>
      <c r="H601" s="170"/>
      <c r="I601" s="171"/>
    </row>
    <row r="602" ht="14.25" customHeight="1">
      <c r="A602" s="282"/>
      <c r="B602" s="282"/>
      <c r="C602" s="282"/>
      <c r="D602" s="314"/>
      <c r="E602" s="171"/>
      <c r="F602" s="171"/>
      <c r="G602" s="173"/>
      <c r="H602" s="170"/>
      <c r="I602" s="171"/>
    </row>
    <row r="603" ht="14.25" customHeight="1">
      <c r="A603" s="282"/>
      <c r="B603" s="282"/>
      <c r="C603" s="282"/>
      <c r="D603" s="314"/>
      <c r="E603" s="171"/>
      <c r="F603" s="171"/>
      <c r="G603" s="173"/>
      <c r="H603" s="170"/>
      <c r="I603" s="171"/>
    </row>
    <row r="604" ht="14.25" customHeight="1">
      <c r="A604" s="282"/>
      <c r="B604" s="282"/>
      <c r="C604" s="282"/>
      <c r="D604" s="314"/>
      <c r="E604" s="171"/>
      <c r="F604" s="171"/>
      <c r="G604" s="173"/>
      <c r="H604" s="170"/>
      <c r="I604" s="171"/>
    </row>
    <row r="605" ht="14.25" customHeight="1">
      <c r="A605" s="282"/>
      <c r="B605" s="282"/>
      <c r="C605" s="282"/>
      <c r="D605" s="314"/>
      <c r="E605" s="171"/>
      <c r="F605" s="171"/>
      <c r="G605" s="173"/>
      <c r="H605" s="170"/>
      <c r="I605" s="171"/>
    </row>
    <row r="606" ht="14.25" customHeight="1">
      <c r="A606" s="282"/>
      <c r="B606" s="282"/>
      <c r="C606" s="282"/>
      <c r="D606" s="314"/>
      <c r="E606" s="171"/>
      <c r="F606" s="171"/>
      <c r="G606" s="173"/>
      <c r="H606" s="170"/>
      <c r="I606" s="171"/>
    </row>
    <row r="607" ht="14.25" customHeight="1">
      <c r="A607" s="282"/>
      <c r="B607" s="282"/>
      <c r="C607" s="282"/>
      <c r="D607" s="314"/>
      <c r="E607" s="171"/>
      <c r="F607" s="171"/>
      <c r="G607" s="173"/>
      <c r="H607" s="170"/>
      <c r="I607" s="171"/>
    </row>
    <row r="608" ht="14.25" customHeight="1">
      <c r="A608" s="282"/>
      <c r="B608" s="282"/>
      <c r="C608" s="282"/>
      <c r="D608" s="314"/>
      <c r="E608" s="171"/>
      <c r="F608" s="171"/>
      <c r="G608" s="173"/>
      <c r="H608" s="170"/>
      <c r="I608" s="171"/>
    </row>
    <row r="609" ht="14.25" customHeight="1">
      <c r="A609" s="282"/>
      <c r="B609" s="282"/>
      <c r="C609" s="282"/>
      <c r="D609" s="314"/>
      <c r="E609" s="171"/>
      <c r="F609" s="171"/>
      <c r="G609" s="173"/>
      <c r="H609" s="170"/>
      <c r="I609" s="171"/>
    </row>
    <row r="610" ht="14.25" customHeight="1">
      <c r="A610" s="282"/>
      <c r="B610" s="282"/>
      <c r="C610" s="282"/>
      <c r="D610" s="314"/>
      <c r="E610" s="171"/>
      <c r="F610" s="171"/>
      <c r="G610" s="173"/>
      <c r="H610" s="170"/>
      <c r="I610" s="171"/>
    </row>
    <row r="611" ht="14.25" customHeight="1">
      <c r="A611" s="282"/>
      <c r="B611" s="282"/>
      <c r="C611" s="282"/>
      <c r="D611" s="314"/>
      <c r="E611" s="171"/>
      <c r="F611" s="171"/>
      <c r="G611" s="173"/>
      <c r="H611" s="170"/>
      <c r="I611" s="171"/>
    </row>
    <row r="612" ht="14.25" customHeight="1">
      <c r="A612" s="282"/>
      <c r="B612" s="282"/>
      <c r="C612" s="282"/>
      <c r="D612" s="314"/>
      <c r="E612" s="171"/>
      <c r="F612" s="171"/>
      <c r="G612" s="173"/>
      <c r="H612" s="170"/>
      <c r="I612" s="171"/>
    </row>
    <row r="613" ht="14.25" customHeight="1">
      <c r="A613" s="282"/>
      <c r="B613" s="282"/>
      <c r="C613" s="282"/>
      <c r="D613" s="314"/>
      <c r="E613" s="171"/>
      <c r="F613" s="171"/>
      <c r="G613" s="173"/>
      <c r="H613" s="170"/>
      <c r="I613" s="171"/>
    </row>
    <row r="614" ht="14.25" customHeight="1">
      <c r="A614" s="282"/>
      <c r="B614" s="282"/>
      <c r="C614" s="282"/>
      <c r="D614" s="314"/>
      <c r="E614" s="171"/>
      <c r="F614" s="171"/>
      <c r="G614" s="173"/>
      <c r="H614" s="170"/>
      <c r="I614" s="171"/>
    </row>
    <row r="615" ht="14.25" customHeight="1">
      <c r="A615" s="282"/>
      <c r="B615" s="282"/>
      <c r="C615" s="282"/>
      <c r="D615" s="314"/>
      <c r="E615" s="171"/>
      <c r="F615" s="171"/>
      <c r="G615" s="173"/>
      <c r="H615" s="170"/>
      <c r="I615" s="171"/>
    </row>
    <row r="616" ht="14.25" customHeight="1">
      <c r="A616" s="282"/>
      <c r="B616" s="282"/>
      <c r="C616" s="282"/>
      <c r="D616" s="314"/>
      <c r="E616" s="171"/>
      <c r="F616" s="171"/>
      <c r="G616" s="173"/>
      <c r="H616" s="170"/>
      <c r="I616" s="171"/>
    </row>
    <row r="617" ht="14.25" customHeight="1">
      <c r="A617" s="282"/>
      <c r="B617" s="282"/>
      <c r="C617" s="282"/>
      <c r="D617" s="314"/>
      <c r="E617" s="171"/>
      <c r="F617" s="171"/>
      <c r="G617" s="173"/>
      <c r="H617" s="170"/>
      <c r="I617" s="171"/>
    </row>
    <row r="618" ht="14.25" customHeight="1">
      <c r="A618" s="282"/>
      <c r="B618" s="282"/>
      <c r="C618" s="282"/>
      <c r="D618" s="314"/>
      <c r="E618" s="171"/>
      <c r="F618" s="171"/>
      <c r="G618" s="173"/>
      <c r="H618" s="170"/>
      <c r="I618" s="171"/>
    </row>
    <row r="619" ht="14.25" customHeight="1">
      <c r="A619" s="282"/>
      <c r="B619" s="282"/>
      <c r="C619" s="282"/>
      <c r="D619" s="314"/>
      <c r="E619" s="171"/>
      <c r="F619" s="171"/>
      <c r="G619" s="173"/>
      <c r="H619" s="170"/>
      <c r="I619" s="171"/>
    </row>
    <row r="620" ht="14.25" customHeight="1">
      <c r="A620" s="282"/>
      <c r="B620" s="282"/>
      <c r="C620" s="282"/>
      <c r="D620" s="314"/>
      <c r="E620" s="171"/>
      <c r="F620" s="171"/>
      <c r="G620" s="173"/>
      <c r="H620" s="170"/>
      <c r="I620" s="171"/>
    </row>
    <row r="621" ht="14.25" customHeight="1">
      <c r="A621" s="282"/>
      <c r="B621" s="282"/>
      <c r="C621" s="282"/>
      <c r="D621" s="314"/>
      <c r="E621" s="171"/>
      <c r="F621" s="171"/>
      <c r="G621" s="173"/>
      <c r="H621" s="170"/>
      <c r="I621" s="171"/>
    </row>
    <row r="622" ht="14.25" customHeight="1">
      <c r="A622" s="282"/>
      <c r="B622" s="282"/>
      <c r="C622" s="282"/>
      <c r="D622" s="314"/>
      <c r="E622" s="171"/>
      <c r="F622" s="171"/>
      <c r="G622" s="173"/>
      <c r="H622" s="170"/>
      <c r="I622" s="171"/>
    </row>
    <row r="623" ht="14.25" customHeight="1">
      <c r="A623" s="282"/>
      <c r="B623" s="282"/>
      <c r="C623" s="282"/>
      <c r="D623" s="314"/>
      <c r="E623" s="171"/>
      <c r="F623" s="171"/>
      <c r="G623" s="173"/>
      <c r="H623" s="170"/>
      <c r="I623" s="171"/>
    </row>
    <row r="624" ht="14.25" customHeight="1">
      <c r="A624" s="282"/>
      <c r="B624" s="282"/>
      <c r="C624" s="282"/>
      <c r="D624" s="314"/>
      <c r="E624" s="171"/>
      <c r="F624" s="171"/>
      <c r="G624" s="173"/>
      <c r="H624" s="170"/>
      <c r="I624" s="171"/>
    </row>
    <row r="625" ht="14.25" customHeight="1">
      <c r="A625" s="282"/>
      <c r="B625" s="282"/>
      <c r="C625" s="282"/>
      <c r="D625" s="314"/>
      <c r="E625" s="171"/>
      <c r="F625" s="171"/>
      <c r="G625" s="173"/>
      <c r="H625" s="170"/>
      <c r="I625" s="171"/>
    </row>
    <row r="626" ht="14.25" customHeight="1">
      <c r="A626" s="282"/>
      <c r="B626" s="282"/>
      <c r="C626" s="282"/>
      <c r="D626" s="314"/>
      <c r="E626" s="171"/>
      <c r="F626" s="171"/>
      <c r="G626" s="173"/>
      <c r="H626" s="170"/>
      <c r="I626" s="171"/>
    </row>
    <row r="627" ht="14.25" customHeight="1">
      <c r="A627" s="282"/>
      <c r="B627" s="282"/>
      <c r="C627" s="282"/>
      <c r="D627" s="314"/>
      <c r="E627" s="171"/>
      <c r="F627" s="171"/>
      <c r="G627" s="173"/>
      <c r="H627" s="170"/>
      <c r="I627" s="171"/>
    </row>
    <row r="628" ht="14.25" customHeight="1">
      <c r="A628" s="282"/>
      <c r="B628" s="282"/>
      <c r="C628" s="282"/>
      <c r="D628" s="314"/>
      <c r="E628" s="171"/>
      <c r="F628" s="171"/>
      <c r="G628" s="173"/>
      <c r="H628" s="170"/>
      <c r="I628" s="171"/>
    </row>
    <row r="629" ht="14.25" customHeight="1">
      <c r="A629" s="282"/>
      <c r="B629" s="282"/>
      <c r="C629" s="282"/>
      <c r="D629" s="314"/>
      <c r="E629" s="171"/>
      <c r="F629" s="171"/>
      <c r="G629" s="173"/>
      <c r="H629" s="170"/>
      <c r="I629" s="171"/>
    </row>
    <row r="630" ht="14.25" customHeight="1">
      <c r="A630" s="282"/>
      <c r="B630" s="282"/>
      <c r="C630" s="282"/>
      <c r="D630" s="314"/>
      <c r="E630" s="171"/>
      <c r="F630" s="171"/>
      <c r="G630" s="173"/>
      <c r="H630" s="170"/>
      <c r="I630" s="171"/>
    </row>
    <row r="631" ht="14.25" customHeight="1">
      <c r="A631" s="282"/>
      <c r="B631" s="282"/>
      <c r="C631" s="282"/>
      <c r="D631" s="314"/>
      <c r="E631" s="171"/>
      <c r="F631" s="171"/>
      <c r="G631" s="173"/>
      <c r="H631" s="170"/>
      <c r="I631" s="171"/>
    </row>
    <row r="632" ht="14.25" customHeight="1">
      <c r="A632" s="282"/>
      <c r="B632" s="282"/>
      <c r="C632" s="282"/>
      <c r="D632" s="314"/>
      <c r="E632" s="171"/>
      <c r="F632" s="171"/>
      <c r="G632" s="173"/>
      <c r="H632" s="170"/>
      <c r="I632" s="171"/>
    </row>
    <row r="633" ht="14.25" customHeight="1">
      <c r="A633" s="282"/>
      <c r="B633" s="282"/>
      <c r="C633" s="282"/>
      <c r="D633" s="314"/>
      <c r="E633" s="171"/>
      <c r="F633" s="171"/>
      <c r="G633" s="173"/>
      <c r="H633" s="170"/>
      <c r="I633" s="171"/>
    </row>
    <row r="634" ht="14.25" customHeight="1">
      <c r="A634" s="282"/>
      <c r="B634" s="282"/>
      <c r="C634" s="282"/>
      <c r="D634" s="314"/>
      <c r="E634" s="171"/>
      <c r="F634" s="171"/>
      <c r="G634" s="173"/>
      <c r="H634" s="170"/>
      <c r="I634" s="171"/>
    </row>
    <row r="635" ht="14.25" customHeight="1">
      <c r="A635" s="282"/>
      <c r="B635" s="282"/>
      <c r="C635" s="282"/>
      <c r="D635" s="314"/>
      <c r="E635" s="171"/>
      <c r="F635" s="171"/>
      <c r="G635" s="173"/>
      <c r="H635" s="170"/>
      <c r="I635" s="171"/>
    </row>
    <row r="636" ht="14.25" customHeight="1">
      <c r="A636" s="282"/>
      <c r="B636" s="282"/>
      <c r="C636" s="282"/>
      <c r="D636" s="314"/>
      <c r="E636" s="171"/>
      <c r="F636" s="171"/>
      <c r="G636" s="173"/>
      <c r="H636" s="170"/>
      <c r="I636" s="171"/>
    </row>
    <row r="637" ht="14.25" customHeight="1">
      <c r="A637" s="282"/>
      <c r="B637" s="282"/>
      <c r="C637" s="282"/>
      <c r="D637" s="314"/>
      <c r="E637" s="171"/>
      <c r="F637" s="171"/>
      <c r="G637" s="173"/>
      <c r="H637" s="170"/>
      <c r="I637" s="171"/>
    </row>
    <row r="638" ht="14.25" customHeight="1">
      <c r="A638" s="282"/>
      <c r="B638" s="282"/>
      <c r="C638" s="282"/>
      <c r="D638" s="314"/>
      <c r="E638" s="171"/>
      <c r="F638" s="171"/>
      <c r="G638" s="173"/>
      <c r="H638" s="170"/>
      <c r="I638" s="171"/>
    </row>
    <row r="639" ht="14.25" customHeight="1">
      <c r="A639" s="282"/>
      <c r="B639" s="282"/>
      <c r="C639" s="282"/>
      <c r="D639" s="314"/>
      <c r="E639" s="171"/>
      <c r="F639" s="171"/>
      <c r="G639" s="173"/>
      <c r="H639" s="170"/>
      <c r="I639" s="171"/>
    </row>
    <row r="640" ht="14.25" customHeight="1">
      <c r="A640" s="282"/>
      <c r="B640" s="282"/>
      <c r="C640" s="282"/>
      <c r="D640" s="314"/>
      <c r="E640" s="171"/>
      <c r="F640" s="171"/>
      <c r="G640" s="173"/>
      <c r="H640" s="170"/>
      <c r="I640" s="171"/>
    </row>
    <row r="641" ht="14.25" customHeight="1">
      <c r="A641" s="282"/>
      <c r="B641" s="282"/>
      <c r="C641" s="282"/>
      <c r="D641" s="314"/>
      <c r="E641" s="171"/>
      <c r="F641" s="171"/>
      <c r="G641" s="173"/>
      <c r="H641" s="170"/>
      <c r="I641" s="171"/>
    </row>
    <row r="642" ht="14.25" customHeight="1">
      <c r="A642" s="282"/>
      <c r="B642" s="282"/>
      <c r="C642" s="282"/>
      <c r="D642" s="314"/>
      <c r="E642" s="171"/>
      <c r="F642" s="171"/>
      <c r="G642" s="173"/>
      <c r="H642" s="170"/>
      <c r="I642" s="171"/>
    </row>
    <row r="643" ht="14.25" customHeight="1">
      <c r="A643" s="282"/>
      <c r="B643" s="282"/>
      <c r="C643" s="282"/>
      <c r="D643" s="314"/>
      <c r="E643" s="171"/>
      <c r="F643" s="171"/>
      <c r="G643" s="173"/>
      <c r="H643" s="170"/>
      <c r="I643" s="171"/>
    </row>
    <row r="644" ht="14.25" customHeight="1">
      <c r="A644" s="282"/>
      <c r="B644" s="282"/>
      <c r="C644" s="282"/>
      <c r="D644" s="314"/>
      <c r="E644" s="171"/>
      <c r="F644" s="171"/>
      <c r="G644" s="173"/>
      <c r="H644" s="170"/>
      <c r="I644" s="171"/>
    </row>
    <row r="645" ht="14.25" customHeight="1">
      <c r="A645" s="282"/>
      <c r="B645" s="282"/>
      <c r="C645" s="282"/>
      <c r="D645" s="314"/>
      <c r="E645" s="171"/>
      <c r="F645" s="171"/>
      <c r="G645" s="173"/>
      <c r="H645" s="170"/>
      <c r="I645" s="171"/>
    </row>
    <row r="646" ht="14.25" customHeight="1">
      <c r="A646" s="282"/>
      <c r="B646" s="282"/>
      <c r="C646" s="282"/>
      <c r="D646" s="314"/>
      <c r="E646" s="171"/>
      <c r="F646" s="171"/>
      <c r="G646" s="173"/>
      <c r="H646" s="170"/>
      <c r="I646" s="171"/>
    </row>
    <row r="647" ht="14.25" customHeight="1">
      <c r="A647" s="282"/>
      <c r="B647" s="282"/>
      <c r="C647" s="282"/>
      <c r="D647" s="314"/>
      <c r="E647" s="171"/>
      <c r="F647" s="171"/>
      <c r="G647" s="173"/>
      <c r="H647" s="170"/>
      <c r="I647" s="171"/>
    </row>
    <row r="648" ht="14.25" customHeight="1">
      <c r="A648" s="282"/>
      <c r="B648" s="282"/>
      <c r="C648" s="282"/>
      <c r="D648" s="314"/>
      <c r="E648" s="171"/>
      <c r="F648" s="171"/>
      <c r="G648" s="173"/>
      <c r="H648" s="170"/>
      <c r="I648" s="171"/>
    </row>
    <row r="649" ht="14.25" customHeight="1">
      <c r="A649" s="282"/>
      <c r="B649" s="282"/>
      <c r="C649" s="282"/>
      <c r="D649" s="314"/>
      <c r="E649" s="171"/>
      <c r="F649" s="171"/>
      <c r="G649" s="173"/>
      <c r="H649" s="170"/>
      <c r="I649" s="171"/>
    </row>
    <row r="650" ht="14.25" customHeight="1">
      <c r="A650" s="282"/>
      <c r="B650" s="282"/>
      <c r="C650" s="282"/>
      <c r="D650" s="314"/>
      <c r="E650" s="171"/>
      <c r="F650" s="171"/>
      <c r="G650" s="173"/>
      <c r="H650" s="170"/>
      <c r="I650" s="171"/>
    </row>
    <row r="651" ht="14.25" customHeight="1">
      <c r="A651" s="282"/>
      <c r="B651" s="282"/>
      <c r="C651" s="282"/>
      <c r="D651" s="314"/>
      <c r="E651" s="171"/>
      <c r="F651" s="171"/>
      <c r="G651" s="173"/>
      <c r="H651" s="170"/>
      <c r="I651" s="171"/>
    </row>
    <row r="652" ht="14.25" customHeight="1">
      <c r="A652" s="282"/>
      <c r="B652" s="282"/>
      <c r="C652" s="282"/>
      <c r="D652" s="314"/>
      <c r="E652" s="171"/>
      <c r="F652" s="171"/>
      <c r="G652" s="173"/>
      <c r="H652" s="170"/>
      <c r="I652" s="171"/>
    </row>
    <row r="653" ht="14.25" customHeight="1">
      <c r="A653" s="282"/>
      <c r="B653" s="282"/>
      <c r="C653" s="282"/>
      <c r="D653" s="314"/>
      <c r="E653" s="171"/>
      <c r="F653" s="171"/>
      <c r="G653" s="173"/>
      <c r="H653" s="170"/>
      <c r="I653" s="171"/>
    </row>
    <row r="654" ht="14.25" customHeight="1">
      <c r="A654" s="282"/>
      <c r="B654" s="282"/>
      <c r="C654" s="282"/>
      <c r="D654" s="314"/>
      <c r="E654" s="171"/>
      <c r="F654" s="171"/>
      <c r="G654" s="173"/>
      <c r="H654" s="170"/>
      <c r="I654" s="171"/>
    </row>
    <row r="655" ht="14.25" customHeight="1">
      <c r="A655" s="282"/>
      <c r="B655" s="282"/>
      <c r="C655" s="282"/>
      <c r="D655" s="314"/>
      <c r="E655" s="171"/>
      <c r="F655" s="171"/>
      <c r="G655" s="173"/>
      <c r="H655" s="170"/>
      <c r="I655" s="171"/>
    </row>
    <row r="656" ht="14.25" customHeight="1">
      <c r="A656" s="282"/>
      <c r="B656" s="282"/>
      <c r="C656" s="282"/>
      <c r="D656" s="314"/>
      <c r="E656" s="171"/>
      <c r="F656" s="171"/>
      <c r="G656" s="173"/>
      <c r="H656" s="170"/>
      <c r="I656" s="171"/>
    </row>
    <row r="657" ht="14.25" customHeight="1">
      <c r="A657" s="282"/>
      <c r="B657" s="282"/>
      <c r="C657" s="282"/>
      <c r="D657" s="314"/>
      <c r="E657" s="171"/>
      <c r="F657" s="171"/>
      <c r="G657" s="173"/>
      <c r="H657" s="170"/>
      <c r="I657" s="171"/>
    </row>
    <row r="658" ht="14.25" customHeight="1">
      <c r="A658" s="282"/>
      <c r="B658" s="282"/>
      <c r="C658" s="282"/>
      <c r="D658" s="314"/>
      <c r="E658" s="171"/>
      <c r="F658" s="171"/>
      <c r="G658" s="173"/>
      <c r="H658" s="170"/>
      <c r="I658" s="171"/>
    </row>
    <row r="659" ht="14.25" customHeight="1">
      <c r="A659" s="282"/>
      <c r="B659" s="282"/>
      <c r="C659" s="282"/>
      <c r="D659" s="314"/>
      <c r="E659" s="171"/>
      <c r="F659" s="171"/>
      <c r="G659" s="173"/>
      <c r="H659" s="170"/>
      <c r="I659" s="171"/>
    </row>
    <row r="660" ht="14.25" customHeight="1">
      <c r="A660" s="282"/>
      <c r="B660" s="282"/>
      <c r="C660" s="282"/>
      <c r="D660" s="314"/>
      <c r="E660" s="171"/>
      <c r="F660" s="171"/>
      <c r="G660" s="173"/>
      <c r="H660" s="170"/>
      <c r="I660" s="171"/>
    </row>
    <row r="661" ht="14.25" customHeight="1">
      <c r="A661" s="282"/>
      <c r="B661" s="282"/>
      <c r="C661" s="282"/>
      <c r="D661" s="314"/>
      <c r="E661" s="171"/>
      <c r="F661" s="171"/>
      <c r="G661" s="173"/>
      <c r="H661" s="170"/>
      <c r="I661" s="171"/>
    </row>
    <row r="662" ht="14.25" customHeight="1">
      <c r="A662" s="282"/>
      <c r="B662" s="282"/>
      <c r="C662" s="282"/>
      <c r="D662" s="314"/>
      <c r="E662" s="171"/>
      <c r="F662" s="171"/>
      <c r="G662" s="173"/>
      <c r="H662" s="170"/>
      <c r="I662" s="171"/>
    </row>
    <row r="663" ht="14.25" customHeight="1">
      <c r="A663" s="282"/>
      <c r="B663" s="282"/>
      <c r="C663" s="282"/>
      <c r="D663" s="314"/>
      <c r="E663" s="171"/>
      <c r="F663" s="171"/>
      <c r="G663" s="173"/>
      <c r="H663" s="170"/>
      <c r="I663" s="171"/>
    </row>
    <row r="664" ht="14.25" customHeight="1">
      <c r="A664" s="282"/>
      <c r="B664" s="282"/>
      <c r="C664" s="282"/>
      <c r="D664" s="314"/>
      <c r="E664" s="171"/>
      <c r="F664" s="171"/>
      <c r="G664" s="173"/>
      <c r="H664" s="170"/>
      <c r="I664" s="171"/>
    </row>
    <row r="665" ht="14.25" customHeight="1">
      <c r="A665" s="282"/>
      <c r="B665" s="282"/>
      <c r="C665" s="282"/>
      <c r="D665" s="314"/>
      <c r="E665" s="171"/>
      <c r="F665" s="171"/>
      <c r="G665" s="173"/>
      <c r="H665" s="170"/>
      <c r="I665" s="171"/>
    </row>
    <row r="666" ht="14.25" customHeight="1">
      <c r="A666" s="282"/>
      <c r="B666" s="282"/>
      <c r="C666" s="282"/>
      <c r="D666" s="314"/>
      <c r="E666" s="171"/>
      <c r="F666" s="171"/>
      <c r="G666" s="173"/>
      <c r="H666" s="170"/>
      <c r="I666" s="171"/>
    </row>
    <row r="667" ht="14.25" customHeight="1">
      <c r="A667" s="282"/>
      <c r="B667" s="282"/>
      <c r="C667" s="282"/>
      <c r="D667" s="314"/>
      <c r="E667" s="171"/>
      <c r="F667" s="171"/>
      <c r="G667" s="173"/>
      <c r="H667" s="170"/>
      <c r="I667" s="171"/>
    </row>
    <row r="668" ht="14.25" customHeight="1">
      <c r="A668" s="282"/>
      <c r="B668" s="282"/>
      <c r="C668" s="282"/>
      <c r="D668" s="314"/>
      <c r="E668" s="171"/>
      <c r="F668" s="171"/>
      <c r="G668" s="173"/>
      <c r="H668" s="170"/>
      <c r="I668" s="171"/>
    </row>
    <row r="669" ht="14.25" customHeight="1">
      <c r="A669" s="282"/>
      <c r="B669" s="282"/>
      <c r="C669" s="282"/>
      <c r="D669" s="314"/>
      <c r="E669" s="171"/>
      <c r="F669" s="171"/>
      <c r="G669" s="173"/>
      <c r="H669" s="170"/>
      <c r="I669" s="171"/>
    </row>
    <row r="670" ht="14.25" customHeight="1">
      <c r="A670" s="282"/>
      <c r="B670" s="282"/>
      <c r="C670" s="282"/>
      <c r="D670" s="314"/>
      <c r="E670" s="171"/>
      <c r="F670" s="171"/>
      <c r="G670" s="173"/>
      <c r="H670" s="170"/>
      <c r="I670" s="171"/>
    </row>
    <row r="671" ht="14.25" customHeight="1">
      <c r="A671" s="282"/>
      <c r="B671" s="282"/>
      <c r="C671" s="282"/>
      <c r="D671" s="314"/>
      <c r="E671" s="171"/>
      <c r="F671" s="171"/>
      <c r="G671" s="173"/>
      <c r="H671" s="170"/>
      <c r="I671" s="171"/>
    </row>
    <row r="672" ht="14.25" customHeight="1">
      <c r="A672" s="282"/>
      <c r="B672" s="282"/>
      <c r="C672" s="282"/>
      <c r="D672" s="314"/>
      <c r="E672" s="171"/>
      <c r="F672" s="171"/>
      <c r="G672" s="173"/>
      <c r="H672" s="170"/>
      <c r="I672" s="171"/>
    </row>
    <row r="673" ht="14.25" customHeight="1">
      <c r="A673" s="282"/>
      <c r="B673" s="282"/>
      <c r="C673" s="282"/>
      <c r="D673" s="314"/>
      <c r="E673" s="171"/>
      <c r="F673" s="171"/>
      <c r="G673" s="173"/>
      <c r="H673" s="170"/>
      <c r="I673" s="171"/>
    </row>
    <row r="674" ht="14.25" customHeight="1">
      <c r="A674" s="282"/>
      <c r="B674" s="282"/>
      <c r="C674" s="282"/>
      <c r="D674" s="314"/>
      <c r="E674" s="171"/>
      <c r="F674" s="171"/>
      <c r="G674" s="173"/>
      <c r="H674" s="170"/>
      <c r="I674" s="171"/>
    </row>
    <row r="675" ht="14.25" customHeight="1">
      <c r="A675" s="282"/>
      <c r="B675" s="282"/>
      <c r="C675" s="282"/>
      <c r="D675" s="314"/>
      <c r="E675" s="171"/>
      <c r="F675" s="171"/>
      <c r="G675" s="173"/>
      <c r="H675" s="170"/>
      <c r="I675" s="171"/>
    </row>
    <row r="676" ht="14.25" customHeight="1">
      <c r="A676" s="282"/>
      <c r="B676" s="282"/>
      <c r="C676" s="282"/>
      <c r="D676" s="314"/>
      <c r="E676" s="171"/>
      <c r="F676" s="171"/>
      <c r="G676" s="173"/>
      <c r="H676" s="170"/>
      <c r="I676" s="171"/>
    </row>
    <row r="677" ht="14.25" customHeight="1">
      <c r="A677" s="282"/>
      <c r="B677" s="282"/>
      <c r="C677" s="282"/>
      <c r="D677" s="314"/>
      <c r="E677" s="171"/>
      <c r="F677" s="171"/>
      <c r="G677" s="173"/>
      <c r="H677" s="170"/>
      <c r="I677" s="171"/>
    </row>
    <row r="678" ht="14.25" customHeight="1">
      <c r="A678" s="282"/>
      <c r="B678" s="282"/>
      <c r="C678" s="282"/>
      <c r="D678" s="314"/>
      <c r="E678" s="171"/>
      <c r="F678" s="171"/>
      <c r="G678" s="173"/>
      <c r="H678" s="170"/>
      <c r="I678" s="171"/>
    </row>
    <row r="679" ht="14.25" customHeight="1">
      <c r="A679" s="282"/>
      <c r="B679" s="282"/>
      <c r="C679" s="282"/>
      <c r="D679" s="314"/>
      <c r="E679" s="171"/>
      <c r="F679" s="171"/>
      <c r="G679" s="173"/>
      <c r="H679" s="170"/>
      <c r="I679" s="171"/>
    </row>
    <row r="680" ht="14.25" customHeight="1">
      <c r="A680" s="282"/>
      <c r="B680" s="282"/>
      <c r="C680" s="282"/>
      <c r="D680" s="314"/>
      <c r="E680" s="171"/>
      <c r="F680" s="171"/>
      <c r="G680" s="173"/>
      <c r="H680" s="170"/>
      <c r="I680" s="171"/>
    </row>
    <row r="681" ht="14.25" customHeight="1">
      <c r="A681" s="282"/>
      <c r="B681" s="282"/>
      <c r="C681" s="282"/>
      <c r="D681" s="314"/>
      <c r="E681" s="171"/>
      <c r="F681" s="171"/>
      <c r="G681" s="173"/>
      <c r="H681" s="170"/>
      <c r="I681" s="171"/>
    </row>
    <row r="682" ht="14.25" customHeight="1">
      <c r="A682" s="282"/>
      <c r="B682" s="282"/>
      <c r="C682" s="282"/>
      <c r="D682" s="314"/>
      <c r="E682" s="171"/>
      <c r="F682" s="171"/>
      <c r="G682" s="173"/>
      <c r="H682" s="170"/>
      <c r="I682" s="171"/>
    </row>
    <row r="683" ht="14.25" customHeight="1">
      <c r="A683" s="282"/>
      <c r="B683" s="282"/>
      <c r="C683" s="282"/>
      <c r="D683" s="314"/>
      <c r="E683" s="171"/>
      <c r="F683" s="171"/>
      <c r="G683" s="173"/>
      <c r="H683" s="170"/>
      <c r="I683" s="171"/>
    </row>
    <row r="684" ht="14.25" customHeight="1">
      <c r="A684" s="282"/>
      <c r="B684" s="282"/>
      <c r="C684" s="282"/>
      <c r="D684" s="314"/>
      <c r="E684" s="171"/>
      <c r="F684" s="171"/>
      <c r="G684" s="173"/>
      <c r="H684" s="170"/>
      <c r="I684" s="171"/>
    </row>
    <row r="685" ht="14.25" customHeight="1">
      <c r="A685" s="282"/>
      <c r="B685" s="282"/>
      <c r="C685" s="282"/>
      <c r="D685" s="314"/>
      <c r="E685" s="171"/>
      <c r="F685" s="171"/>
      <c r="G685" s="173"/>
      <c r="H685" s="170"/>
      <c r="I685" s="171"/>
    </row>
    <row r="686" ht="14.25" customHeight="1">
      <c r="A686" s="282"/>
      <c r="B686" s="282"/>
      <c r="C686" s="282"/>
      <c r="D686" s="314"/>
      <c r="E686" s="171"/>
      <c r="F686" s="171"/>
      <c r="G686" s="173"/>
      <c r="H686" s="170"/>
      <c r="I686" s="171"/>
    </row>
    <row r="687" ht="14.25" customHeight="1">
      <c r="A687" s="282"/>
      <c r="B687" s="282"/>
      <c r="C687" s="282"/>
      <c r="D687" s="314"/>
      <c r="E687" s="171"/>
      <c r="F687" s="171"/>
      <c r="G687" s="173"/>
      <c r="H687" s="170"/>
      <c r="I687" s="171"/>
    </row>
    <row r="688" ht="14.25" customHeight="1">
      <c r="A688" s="282"/>
      <c r="B688" s="282"/>
      <c r="C688" s="282"/>
      <c r="D688" s="314"/>
      <c r="E688" s="171"/>
      <c r="F688" s="171"/>
      <c r="G688" s="173"/>
      <c r="H688" s="170"/>
      <c r="I688" s="171"/>
    </row>
    <row r="689" ht="14.25" customHeight="1">
      <c r="A689" s="282"/>
      <c r="B689" s="282"/>
      <c r="C689" s="282"/>
      <c r="D689" s="314"/>
      <c r="E689" s="171"/>
      <c r="F689" s="171"/>
      <c r="G689" s="173"/>
      <c r="H689" s="170"/>
      <c r="I689" s="171"/>
    </row>
    <row r="690" ht="14.25" customHeight="1">
      <c r="A690" s="282"/>
      <c r="B690" s="282"/>
      <c r="C690" s="282"/>
      <c r="D690" s="314"/>
      <c r="E690" s="171"/>
      <c r="F690" s="171"/>
      <c r="G690" s="173"/>
      <c r="H690" s="170"/>
      <c r="I690" s="171"/>
    </row>
    <row r="691" ht="14.25" customHeight="1">
      <c r="A691" s="282"/>
      <c r="B691" s="282"/>
      <c r="C691" s="282"/>
      <c r="D691" s="314"/>
      <c r="E691" s="171"/>
      <c r="F691" s="171"/>
      <c r="G691" s="173"/>
      <c r="H691" s="170"/>
      <c r="I691" s="171"/>
    </row>
    <row r="692" ht="14.25" customHeight="1">
      <c r="A692" s="282"/>
      <c r="B692" s="282"/>
      <c r="C692" s="282"/>
      <c r="D692" s="314"/>
      <c r="E692" s="171"/>
      <c r="F692" s="171"/>
      <c r="G692" s="173"/>
      <c r="H692" s="170"/>
      <c r="I692" s="171"/>
    </row>
    <row r="693" ht="14.25" customHeight="1">
      <c r="A693" s="282"/>
      <c r="B693" s="282"/>
      <c r="C693" s="282"/>
      <c r="D693" s="314"/>
      <c r="E693" s="171"/>
      <c r="F693" s="171"/>
      <c r="G693" s="173"/>
      <c r="H693" s="170"/>
      <c r="I693" s="171"/>
    </row>
    <row r="694" ht="14.25" customHeight="1">
      <c r="A694" s="282"/>
      <c r="B694" s="282"/>
      <c r="C694" s="282"/>
      <c r="D694" s="314"/>
      <c r="E694" s="171"/>
      <c r="F694" s="171"/>
      <c r="G694" s="173"/>
      <c r="H694" s="170"/>
      <c r="I694" s="171"/>
    </row>
    <row r="695" ht="14.25" customHeight="1">
      <c r="A695" s="282"/>
      <c r="B695" s="282"/>
      <c r="C695" s="282"/>
      <c r="D695" s="314"/>
      <c r="E695" s="171"/>
      <c r="F695" s="171"/>
      <c r="G695" s="173"/>
      <c r="H695" s="170"/>
      <c r="I695" s="171"/>
    </row>
    <row r="696" ht="14.25" customHeight="1">
      <c r="A696" s="282"/>
      <c r="B696" s="282"/>
      <c r="C696" s="282"/>
      <c r="D696" s="314"/>
      <c r="E696" s="171"/>
      <c r="F696" s="171"/>
      <c r="G696" s="173"/>
      <c r="H696" s="170"/>
      <c r="I696" s="171"/>
    </row>
    <row r="697" ht="14.25" customHeight="1">
      <c r="A697" s="282"/>
      <c r="B697" s="282"/>
      <c r="C697" s="282"/>
      <c r="D697" s="314"/>
      <c r="E697" s="171"/>
      <c r="F697" s="171"/>
      <c r="G697" s="173"/>
      <c r="H697" s="170"/>
      <c r="I697" s="171"/>
    </row>
    <row r="698" ht="14.25" customHeight="1">
      <c r="A698" s="282"/>
      <c r="B698" s="282"/>
      <c r="C698" s="282"/>
      <c r="D698" s="314"/>
      <c r="E698" s="171"/>
      <c r="F698" s="171"/>
      <c r="G698" s="173"/>
      <c r="H698" s="170"/>
      <c r="I698" s="171"/>
    </row>
    <row r="699" ht="14.25" customHeight="1">
      <c r="A699" s="282"/>
      <c r="B699" s="282"/>
      <c r="C699" s="282"/>
      <c r="D699" s="314"/>
      <c r="E699" s="171"/>
      <c r="F699" s="171"/>
      <c r="G699" s="173"/>
      <c r="H699" s="170"/>
      <c r="I699" s="171"/>
    </row>
    <row r="700" ht="14.25" customHeight="1">
      <c r="A700" s="282"/>
      <c r="B700" s="282"/>
      <c r="C700" s="282"/>
      <c r="D700" s="314"/>
      <c r="E700" s="171"/>
      <c r="F700" s="171"/>
      <c r="G700" s="173"/>
      <c r="H700" s="170"/>
      <c r="I700" s="171"/>
    </row>
    <row r="701" ht="14.25" customHeight="1">
      <c r="A701" s="282"/>
      <c r="B701" s="282"/>
      <c r="C701" s="282"/>
      <c r="D701" s="314"/>
      <c r="E701" s="171"/>
      <c r="F701" s="171"/>
      <c r="G701" s="173"/>
      <c r="H701" s="170"/>
      <c r="I701" s="171"/>
    </row>
    <row r="702" ht="14.25" customHeight="1">
      <c r="A702" s="282"/>
      <c r="B702" s="282"/>
      <c r="C702" s="282"/>
      <c r="D702" s="314"/>
      <c r="E702" s="171"/>
      <c r="F702" s="171"/>
      <c r="G702" s="173"/>
      <c r="H702" s="170"/>
      <c r="I702" s="171"/>
    </row>
    <row r="703" ht="14.25" customHeight="1">
      <c r="A703" s="282"/>
      <c r="B703" s="282"/>
      <c r="C703" s="282"/>
      <c r="D703" s="314"/>
      <c r="E703" s="171"/>
      <c r="F703" s="171"/>
      <c r="G703" s="173"/>
      <c r="H703" s="170"/>
      <c r="I703" s="171"/>
    </row>
    <row r="704" ht="14.25" customHeight="1">
      <c r="A704" s="282"/>
      <c r="B704" s="282"/>
      <c r="C704" s="282"/>
      <c r="D704" s="314"/>
      <c r="E704" s="171"/>
      <c r="F704" s="171"/>
      <c r="G704" s="173"/>
      <c r="H704" s="170"/>
      <c r="I704" s="171"/>
    </row>
    <row r="705" ht="14.25" customHeight="1">
      <c r="A705" s="282"/>
      <c r="B705" s="282"/>
      <c r="C705" s="282"/>
      <c r="D705" s="314"/>
      <c r="E705" s="171"/>
      <c r="F705" s="171"/>
      <c r="G705" s="173"/>
      <c r="H705" s="170"/>
      <c r="I705" s="171"/>
    </row>
    <row r="706" ht="14.25" customHeight="1">
      <c r="A706" s="282"/>
      <c r="B706" s="282"/>
      <c r="C706" s="282"/>
      <c r="D706" s="314"/>
      <c r="E706" s="171"/>
      <c r="F706" s="171"/>
      <c r="G706" s="173"/>
      <c r="H706" s="170"/>
      <c r="I706" s="171"/>
    </row>
    <row r="707" ht="14.25" customHeight="1">
      <c r="A707" s="282"/>
      <c r="B707" s="282"/>
      <c r="C707" s="282"/>
      <c r="D707" s="314"/>
      <c r="E707" s="171"/>
      <c r="F707" s="171"/>
      <c r="G707" s="173"/>
      <c r="H707" s="170"/>
      <c r="I707" s="171"/>
    </row>
    <row r="708" ht="14.25" customHeight="1">
      <c r="A708" s="282"/>
      <c r="B708" s="282"/>
      <c r="C708" s="282"/>
      <c r="D708" s="314"/>
      <c r="E708" s="171"/>
      <c r="F708" s="171"/>
      <c r="G708" s="173"/>
      <c r="H708" s="170"/>
      <c r="I708" s="171"/>
    </row>
    <row r="709" ht="14.25" customHeight="1">
      <c r="A709" s="282"/>
      <c r="B709" s="282"/>
      <c r="C709" s="282"/>
      <c r="D709" s="314"/>
      <c r="E709" s="171"/>
      <c r="F709" s="171"/>
      <c r="G709" s="173"/>
      <c r="H709" s="170"/>
      <c r="I709" s="171"/>
    </row>
    <row r="710" ht="14.25" customHeight="1">
      <c r="A710" s="282"/>
      <c r="B710" s="282"/>
      <c r="C710" s="282"/>
      <c r="D710" s="314"/>
      <c r="E710" s="171"/>
      <c r="F710" s="171"/>
      <c r="G710" s="173"/>
      <c r="H710" s="170"/>
      <c r="I710" s="171"/>
    </row>
    <row r="711" ht="14.25" customHeight="1">
      <c r="A711" s="282"/>
      <c r="B711" s="282"/>
      <c r="C711" s="282"/>
      <c r="D711" s="314"/>
      <c r="E711" s="171"/>
      <c r="F711" s="171"/>
      <c r="G711" s="173"/>
      <c r="H711" s="170"/>
      <c r="I711" s="171"/>
    </row>
    <row r="712" ht="14.25" customHeight="1">
      <c r="A712" s="282"/>
      <c r="B712" s="282"/>
      <c r="C712" s="282"/>
      <c r="D712" s="314"/>
      <c r="E712" s="171"/>
      <c r="F712" s="171"/>
      <c r="G712" s="173"/>
      <c r="H712" s="170"/>
      <c r="I712" s="171"/>
    </row>
    <row r="713" ht="14.25" customHeight="1">
      <c r="A713" s="282"/>
      <c r="B713" s="282"/>
      <c r="C713" s="282"/>
      <c r="D713" s="314"/>
      <c r="E713" s="171"/>
      <c r="F713" s="171"/>
      <c r="G713" s="173"/>
      <c r="H713" s="170"/>
      <c r="I713" s="171"/>
    </row>
    <row r="714" ht="14.25" customHeight="1">
      <c r="A714" s="282"/>
      <c r="B714" s="282"/>
      <c r="C714" s="282"/>
      <c r="D714" s="314"/>
      <c r="E714" s="171"/>
      <c r="F714" s="171"/>
      <c r="G714" s="173"/>
      <c r="H714" s="170"/>
      <c r="I714" s="171"/>
    </row>
    <row r="715" ht="14.25" customHeight="1">
      <c r="A715" s="282"/>
      <c r="B715" s="282"/>
      <c r="C715" s="282"/>
      <c r="D715" s="314"/>
      <c r="E715" s="171"/>
      <c r="F715" s="171"/>
      <c r="G715" s="173"/>
      <c r="H715" s="170"/>
      <c r="I715" s="171"/>
    </row>
    <row r="716" ht="14.25" customHeight="1">
      <c r="A716" s="282"/>
      <c r="B716" s="282"/>
      <c r="C716" s="282"/>
      <c r="D716" s="314"/>
      <c r="E716" s="171"/>
      <c r="F716" s="171"/>
      <c r="G716" s="173"/>
      <c r="H716" s="170"/>
      <c r="I716" s="171"/>
    </row>
    <row r="717" ht="14.25" customHeight="1">
      <c r="A717" s="282"/>
      <c r="B717" s="282"/>
      <c r="C717" s="282"/>
      <c r="D717" s="314"/>
      <c r="E717" s="171"/>
      <c r="F717" s="171"/>
      <c r="G717" s="173"/>
      <c r="H717" s="170"/>
      <c r="I717" s="171"/>
    </row>
    <row r="718" ht="14.25" customHeight="1">
      <c r="A718" s="282"/>
      <c r="B718" s="282"/>
      <c r="C718" s="282"/>
      <c r="D718" s="314"/>
      <c r="E718" s="171"/>
      <c r="F718" s="171"/>
      <c r="G718" s="173"/>
      <c r="H718" s="170"/>
      <c r="I718" s="171"/>
    </row>
    <row r="719" ht="14.25" customHeight="1">
      <c r="A719" s="282"/>
      <c r="B719" s="282"/>
      <c r="C719" s="282"/>
      <c r="D719" s="314"/>
      <c r="E719" s="171"/>
      <c r="F719" s="171"/>
      <c r="G719" s="173"/>
      <c r="H719" s="170"/>
      <c r="I719" s="171"/>
    </row>
    <row r="720" ht="14.25" customHeight="1">
      <c r="A720" s="282"/>
      <c r="B720" s="282"/>
      <c r="C720" s="282"/>
      <c r="D720" s="314"/>
      <c r="E720" s="171"/>
      <c r="F720" s="171"/>
      <c r="G720" s="173"/>
      <c r="H720" s="170"/>
      <c r="I720" s="171"/>
    </row>
    <row r="721" ht="14.25" customHeight="1">
      <c r="A721" s="282"/>
      <c r="B721" s="282"/>
      <c r="C721" s="282"/>
      <c r="D721" s="314"/>
      <c r="E721" s="171"/>
      <c r="F721" s="171"/>
      <c r="G721" s="173"/>
      <c r="H721" s="170"/>
      <c r="I721" s="171"/>
    </row>
    <row r="722" ht="14.25" customHeight="1">
      <c r="A722" s="282"/>
      <c r="B722" s="282"/>
      <c r="C722" s="282"/>
      <c r="D722" s="314"/>
      <c r="E722" s="171"/>
      <c r="F722" s="171"/>
      <c r="G722" s="173"/>
      <c r="H722" s="170"/>
      <c r="I722" s="171"/>
    </row>
    <row r="723" ht="14.25" customHeight="1">
      <c r="A723" s="282"/>
      <c r="B723" s="282"/>
      <c r="C723" s="282"/>
      <c r="D723" s="314"/>
      <c r="E723" s="171"/>
      <c r="F723" s="171"/>
      <c r="G723" s="173"/>
      <c r="H723" s="170"/>
      <c r="I723" s="171"/>
    </row>
    <row r="724" ht="14.25" customHeight="1">
      <c r="A724" s="282"/>
      <c r="B724" s="282"/>
      <c r="C724" s="282"/>
      <c r="D724" s="314"/>
      <c r="E724" s="171"/>
      <c r="F724" s="171"/>
      <c r="G724" s="173"/>
      <c r="H724" s="170"/>
      <c r="I724" s="171"/>
    </row>
    <row r="725" ht="14.25" customHeight="1">
      <c r="A725" s="282"/>
      <c r="B725" s="282"/>
      <c r="C725" s="282"/>
      <c r="D725" s="314"/>
      <c r="E725" s="171"/>
      <c r="F725" s="171"/>
      <c r="G725" s="173"/>
      <c r="H725" s="170"/>
      <c r="I725" s="171"/>
    </row>
    <row r="726" ht="14.25" customHeight="1">
      <c r="A726" s="282"/>
      <c r="B726" s="282"/>
      <c r="C726" s="282"/>
      <c r="D726" s="314"/>
      <c r="E726" s="171"/>
      <c r="F726" s="171"/>
      <c r="G726" s="173"/>
      <c r="H726" s="170"/>
      <c r="I726" s="171"/>
    </row>
    <row r="727" ht="14.25" customHeight="1">
      <c r="A727" s="282"/>
      <c r="B727" s="282"/>
      <c r="C727" s="282"/>
      <c r="D727" s="314"/>
      <c r="E727" s="171"/>
      <c r="F727" s="171"/>
      <c r="G727" s="173"/>
      <c r="H727" s="170"/>
      <c r="I727" s="171"/>
    </row>
    <row r="728" ht="14.25" customHeight="1">
      <c r="A728" s="282"/>
      <c r="B728" s="282"/>
      <c r="C728" s="282"/>
      <c r="D728" s="314"/>
      <c r="E728" s="171"/>
      <c r="F728" s="171"/>
      <c r="G728" s="173"/>
      <c r="H728" s="170"/>
      <c r="I728" s="171"/>
    </row>
    <row r="729" ht="14.25" customHeight="1">
      <c r="A729" s="282"/>
      <c r="B729" s="282"/>
      <c r="C729" s="282"/>
      <c r="D729" s="314"/>
      <c r="E729" s="171"/>
      <c r="F729" s="171"/>
      <c r="G729" s="173"/>
      <c r="H729" s="170"/>
      <c r="I729" s="171"/>
    </row>
    <row r="730" ht="14.25" customHeight="1">
      <c r="A730" s="282"/>
      <c r="B730" s="282"/>
      <c r="C730" s="282"/>
      <c r="D730" s="314"/>
      <c r="E730" s="171"/>
      <c r="F730" s="171"/>
      <c r="G730" s="173"/>
      <c r="H730" s="170"/>
      <c r="I730" s="171"/>
    </row>
    <row r="731" ht="14.25" customHeight="1">
      <c r="A731" s="282"/>
      <c r="B731" s="282"/>
      <c r="C731" s="282"/>
      <c r="D731" s="314"/>
      <c r="E731" s="171"/>
      <c r="F731" s="171"/>
      <c r="G731" s="173"/>
      <c r="H731" s="170"/>
      <c r="I731" s="171"/>
    </row>
    <row r="732" ht="14.25" customHeight="1">
      <c r="A732" s="282"/>
      <c r="B732" s="282"/>
      <c r="C732" s="282"/>
      <c r="D732" s="314"/>
      <c r="E732" s="171"/>
      <c r="F732" s="171"/>
      <c r="G732" s="173"/>
      <c r="H732" s="170"/>
      <c r="I732" s="171"/>
    </row>
    <row r="733" ht="14.25" customHeight="1">
      <c r="A733" s="282"/>
      <c r="B733" s="282"/>
      <c r="C733" s="282"/>
      <c r="D733" s="314"/>
      <c r="E733" s="171"/>
      <c r="F733" s="171"/>
      <c r="G733" s="173"/>
      <c r="H733" s="170"/>
      <c r="I733" s="171"/>
    </row>
    <row r="734" ht="14.25" customHeight="1">
      <c r="A734" s="282"/>
      <c r="B734" s="282"/>
      <c r="C734" s="282"/>
      <c r="D734" s="314"/>
      <c r="E734" s="171"/>
      <c r="F734" s="171"/>
      <c r="G734" s="173"/>
      <c r="H734" s="170"/>
      <c r="I734" s="171"/>
    </row>
    <row r="735" ht="14.25" customHeight="1">
      <c r="A735" s="282"/>
      <c r="B735" s="282"/>
      <c r="C735" s="282"/>
      <c r="D735" s="314"/>
      <c r="E735" s="171"/>
      <c r="F735" s="171"/>
      <c r="G735" s="173"/>
      <c r="H735" s="170"/>
      <c r="I735" s="171"/>
    </row>
    <row r="736" ht="14.25" customHeight="1">
      <c r="A736" s="282"/>
      <c r="B736" s="282"/>
      <c r="C736" s="282"/>
      <c r="D736" s="314"/>
      <c r="E736" s="171"/>
      <c r="F736" s="171"/>
      <c r="G736" s="173"/>
      <c r="H736" s="170"/>
      <c r="I736" s="171"/>
    </row>
    <row r="737" ht="14.25" customHeight="1">
      <c r="A737" s="282"/>
      <c r="B737" s="282"/>
      <c r="C737" s="282"/>
      <c r="D737" s="314"/>
      <c r="E737" s="171"/>
      <c r="F737" s="171"/>
      <c r="G737" s="173"/>
      <c r="H737" s="170"/>
      <c r="I737" s="171"/>
    </row>
    <row r="738" ht="14.25" customHeight="1">
      <c r="A738" s="282"/>
      <c r="B738" s="282"/>
      <c r="C738" s="282"/>
      <c r="D738" s="314"/>
      <c r="E738" s="171"/>
      <c r="F738" s="171"/>
      <c r="G738" s="173"/>
      <c r="H738" s="170"/>
      <c r="I738" s="171"/>
    </row>
    <row r="739" ht="14.25" customHeight="1">
      <c r="A739" s="282"/>
      <c r="B739" s="282"/>
      <c r="C739" s="282"/>
      <c r="D739" s="314"/>
      <c r="E739" s="171"/>
      <c r="F739" s="171"/>
      <c r="G739" s="173"/>
      <c r="H739" s="170"/>
      <c r="I739" s="171"/>
    </row>
    <row r="740" ht="14.25" customHeight="1">
      <c r="A740" s="282"/>
      <c r="B740" s="282"/>
      <c r="C740" s="282"/>
      <c r="D740" s="314"/>
      <c r="E740" s="171"/>
      <c r="F740" s="171"/>
      <c r="G740" s="173"/>
      <c r="H740" s="170"/>
      <c r="I740" s="171"/>
    </row>
    <row r="741" ht="14.25" customHeight="1">
      <c r="A741" s="282"/>
      <c r="B741" s="282"/>
      <c r="C741" s="282"/>
      <c r="D741" s="314"/>
      <c r="E741" s="171"/>
      <c r="F741" s="171"/>
      <c r="G741" s="173"/>
      <c r="H741" s="170"/>
      <c r="I741" s="171"/>
    </row>
    <row r="742" ht="14.25" customHeight="1">
      <c r="A742" s="282"/>
      <c r="B742" s="282"/>
      <c r="C742" s="282"/>
      <c r="D742" s="314"/>
      <c r="E742" s="171"/>
      <c r="F742" s="171"/>
      <c r="G742" s="173"/>
      <c r="H742" s="170"/>
      <c r="I742" s="171"/>
    </row>
    <row r="743" ht="14.25" customHeight="1">
      <c r="A743" s="282"/>
      <c r="B743" s="282"/>
      <c r="C743" s="282"/>
      <c r="D743" s="314"/>
      <c r="E743" s="171"/>
      <c r="F743" s="171"/>
      <c r="G743" s="173"/>
      <c r="H743" s="170"/>
      <c r="I743" s="171"/>
    </row>
    <row r="744" ht="14.25" customHeight="1">
      <c r="A744" s="282"/>
      <c r="B744" s="282"/>
      <c r="C744" s="282"/>
      <c r="D744" s="314"/>
      <c r="E744" s="171"/>
      <c r="F744" s="171"/>
      <c r="G744" s="173"/>
      <c r="H744" s="170"/>
      <c r="I744" s="171"/>
    </row>
    <row r="745" ht="14.25" customHeight="1">
      <c r="A745" s="282"/>
      <c r="B745" s="282"/>
      <c r="C745" s="282"/>
      <c r="D745" s="314"/>
      <c r="E745" s="171"/>
      <c r="F745" s="171"/>
      <c r="G745" s="173"/>
      <c r="H745" s="170"/>
      <c r="I745" s="171"/>
    </row>
    <row r="746" ht="14.25" customHeight="1">
      <c r="A746" s="282"/>
      <c r="B746" s="282"/>
      <c r="C746" s="282"/>
      <c r="D746" s="314"/>
      <c r="E746" s="171"/>
      <c r="F746" s="171"/>
      <c r="G746" s="173"/>
      <c r="H746" s="170"/>
      <c r="I746" s="171"/>
    </row>
    <row r="747" ht="14.25" customHeight="1">
      <c r="A747" s="282"/>
      <c r="B747" s="282"/>
      <c r="C747" s="282"/>
      <c r="D747" s="314"/>
      <c r="E747" s="171"/>
      <c r="F747" s="171"/>
      <c r="G747" s="173"/>
      <c r="H747" s="170"/>
      <c r="I747" s="171"/>
    </row>
    <row r="748" ht="14.25" customHeight="1">
      <c r="A748" s="282"/>
      <c r="B748" s="282"/>
      <c r="C748" s="282"/>
      <c r="D748" s="314"/>
      <c r="E748" s="171"/>
      <c r="F748" s="171"/>
      <c r="G748" s="173"/>
      <c r="H748" s="170"/>
      <c r="I748" s="171"/>
    </row>
    <row r="749" ht="14.25" customHeight="1">
      <c r="A749" s="282"/>
      <c r="B749" s="282"/>
      <c r="C749" s="282"/>
      <c r="D749" s="314"/>
      <c r="E749" s="171"/>
      <c r="F749" s="171"/>
      <c r="G749" s="173"/>
      <c r="H749" s="170"/>
      <c r="I749" s="171"/>
    </row>
    <row r="750" ht="14.25" customHeight="1">
      <c r="A750" s="282"/>
      <c r="B750" s="282"/>
      <c r="C750" s="282"/>
      <c r="D750" s="314"/>
      <c r="E750" s="171"/>
      <c r="F750" s="171"/>
      <c r="G750" s="173"/>
      <c r="H750" s="170"/>
      <c r="I750" s="171"/>
    </row>
    <row r="751" ht="14.25" customHeight="1">
      <c r="A751" s="282"/>
      <c r="B751" s="282"/>
      <c r="C751" s="282"/>
      <c r="D751" s="314"/>
      <c r="E751" s="171"/>
      <c r="F751" s="171"/>
      <c r="G751" s="173"/>
      <c r="H751" s="170"/>
      <c r="I751" s="171"/>
    </row>
    <row r="752" ht="14.25" customHeight="1">
      <c r="A752" s="282"/>
      <c r="B752" s="282"/>
      <c r="C752" s="282"/>
      <c r="D752" s="314"/>
      <c r="E752" s="171"/>
      <c r="F752" s="171"/>
      <c r="G752" s="173"/>
      <c r="H752" s="170"/>
      <c r="I752" s="171"/>
    </row>
    <row r="753" ht="14.25" customHeight="1">
      <c r="A753" s="282"/>
      <c r="B753" s="282"/>
      <c r="C753" s="282"/>
      <c r="D753" s="314"/>
      <c r="E753" s="171"/>
      <c r="F753" s="171"/>
      <c r="G753" s="173"/>
      <c r="H753" s="170"/>
      <c r="I753" s="171"/>
    </row>
    <row r="754" ht="14.25" customHeight="1">
      <c r="A754" s="282"/>
      <c r="B754" s="282"/>
      <c r="C754" s="282"/>
      <c r="D754" s="314"/>
      <c r="E754" s="171"/>
      <c r="F754" s="171"/>
      <c r="G754" s="173"/>
      <c r="H754" s="170"/>
      <c r="I754" s="171"/>
    </row>
    <row r="755" ht="14.25" customHeight="1">
      <c r="A755" s="282"/>
      <c r="B755" s="282"/>
      <c r="C755" s="282"/>
      <c r="D755" s="314"/>
      <c r="E755" s="171"/>
      <c r="F755" s="171"/>
      <c r="G755" s="173"/>
      <c r="H755" s="170"/>
      <c r="I755" s="171"/>
    </row>
    <row r="756" ht="14.25" customHeight="1">
      <c r="A756" s="282"/>
      <c r="B756" s="282"/>
      <c r="C756" s="282"/>
      <c r="D756" s="314"/>
      <c r="E756" s="171"/>
      <c r="F756" s="171"/>
      <c r="G756" s="173"/>
      <c r="H756" s="170"/>
      <c r="I756" s="171"/>
    </row>
    <row r="757" ht="14.25" customHeight="1">
      <c r="A757" s="282"/>
      <c r="B757" s="282"/>
      <c r="C757" s="282"/>
      <c r="D757" s="314"/>
      <c r="E757" s="171"/>
      <c r="F757" s="171"/>
      <c r="G757" s="173"/>
      <c r="H757" s="170"/>
      <c r="I757" s="171"/>
    </row>
    <row r="758" ht="14.25" customHeight="1">
      <c r="A758" s="282"/>
      <c r="B758" s="282"/>
      <c r="C758" s="282"/>
      <c r="D758" s="314"/>
      <c r="E758" s="171"/>
      <c r="F758" s="171"/>
      <c r="G758" s="173"/>
      <c r="H758" s="170"/>
      <c r="I758" s="171"/>
    </row>
    <row r="759" ht="14.25" customHeight="1">
      <c r="A759" s="282"/>
      <c r="B759" s="282"/>
      <c r="C759" s="282"/>
      <c r="D759" s="314"/>
      <c r="E759" s="171"/>
      <c r="F759" s="171"/>
      <c r="G759" s="173"/>
      <c r="H759" s="170"/>
      <c r="I759" s="171"/>
    </row>
    <row r="760" ht="14.25" customHeight="1">
      <c r="A760" s="282"/>
      <c r="B760" s="282"/>
      <c r="C760" s="282"/>
      <c r="D760" s="314"/>
      <c r="E760" s="171"/>
      <c r="F760" s="171"/>
      <c r="G760" s="173"/>
      <c r="H760" s="170"/>
      <c r="I760" s="171"/>
    </row>
    <row r="761" ht="14.25" customHeight="1">
      <c r="A761" s="282"/>
      <c r="B761" s="282"/>
      <c r="C761" s="282"/>
      <c r="D761" s="314"/>
      <c r="E761" s="171"/>
      <c r="F761" s="171"/>
      <c r="G761" s="173"/>
      <c r="H761" s="170"/>
      <c r="I761" s="171"/>
    </row>
    <row r="762" ht="14.25" customHeight="1">
      <c r="A762" s="282"/>
      <c r="B762" s="282"/>
      <c r="C762" s="282"/>
      <c r="D762" s="314"/>
      <c r="E762" s="171"/>
      <c r="F762" s="171"/>
      <c r="G762" s="173"/>
      <c r="H762" s="170"/>
      <c r="I762" s="171"/>
    </row>
    <row r="763" ht="14.25" customHeight="1">
      <c r="A763" s="282"/>
      <c r="B763" s="282"/>
      <c r="C763" s="282"/>
      <c r="D763" s="314"/>
      <c r="E763" s="171"/>
      <c r="F763" s="171"/>
      <c r="G763" s="173"/>
      <c r="H763" s="170"/>
      <c r="I763" s="171"/>
    </row>
    <row r="764" ht="14.25" customHeight="1">
      <c r="A764" s="282"/>
      <c r="B764" s="282"/>
      <c r="C764" s="282"/>
      <c r="D764" s="314"/>
      <c r="E764" s="171"/>
      <c r="F764" s="171"/>
      <c r="G764" s="173"/>
      <c r="H764" s="170"/>
      <c r="I764" s="171"/>
    </row>
    <row r="765" ht="14.25" customHeight="1">
      <c r="A765" s="282"/>
      <c r="B765" s="282"/>
      <c r="C765" s="282"/>
      <c r="D765" s="314"/>
      <c r="E765" s="171"/>
      <c r="F765" s="171"/>
      <c r="G765" s="173"/>
      <c r="H765" s="170"/>
      <c r="I765" s="171"/>
    </row>
    <row r="766" ht="14.25" customHeight="1">
      <c r="A766" s="282"/>
      <c r="B766" s="282"/>
      <c r="C766" s="282"/>
      <c r="D766" s="314"/>
      <c r="E766" s="171"/>
      <c r="F766" s="171"/>
      <c r="G766" s="173"/>
      <c r="H766" s="170"/>
      <c r="I766" s="171"/>
    </row>
    <row r="767" ht="14.25" customHeight="1">
      <c r="A767" s="282"/>
      <c r="B767" s="282"/>
      <c r="C767" s="282"/>
      <c r="D767" s="314"/>
      <c r="E767" s="171"/>
      <c r="F767" s="171"/>
      <c r="G767" s="173"/>
      <c r="H767" s="170"/>
      <c r="I767" s="171"/>
    </row>
    <row r="768" ht="14.25" customHeight="1">
      <c r="A768" s="282"/>
      <c r="B768" s="282"/>
      <c r="C768" s="282"/>
      <c r="D768" s="314"/>
      <c r="E768" s="171"/>
      <c r="F768" s="171"/>
      <c r="G768" s="173"/>
      <c r="H768" s="170"/>
      <c r="I768" s="171"/>
    </row>
    <row r="769" ht="14.25" customHeight="1">
      <c r="A769" s="282"/>
      <c r="B769" s="282"/>
      <c r="C769" s="282"/>
      <c r="D769" s="314"/>
      <c r="E769" s="171"/>
      <c r="F769" s="171"/>
      <c r="G769" s="173"/>
      <c r="H769" s="170"/>
      <c r="I769" s="171"/>
    </row>
    <row r="770" ht="14.25" customHeight="1">
      <c r="A770" s="282"/>
      <c r="B770" s="282"/>
      <c r="C770" s="282"/>
      <c r="D770" s="314"/>
      <c r="E770" s="171"/>
      <c r="F770" s="171"/>
      <c r="G770" s="173"/>
      <c r="H770" s="170"/>
      <c r="I770" s="171"/>
    </row>
    <row r="771" ht="14.25" customHeight="1">
      <c r="A771" s="282"/>
      <c r="B771" s="282"/>
      <c r="C771" s="282"/>
      <c r="D771" s="314"/>
      <c r="E771" s="171"/>
      <c r="F771" s="171"/>
      <c r="G771" s="173"/>
      <c r="H771" s="170"/>
      <c r="I771" s="171"/>
    </row>
    <row r="772" ht="14.25" customHeight="1">
      <c r="A772" s="282"/>
      <c r="B772" s="282"/>
      <c r="C772" s="282"/>
      <c r="D772" s="314"/>
      <c r="E772" s="171"/>
      <c r="F772" s="171"/>
      <c r="G772" s="173"/>
      <c r="H772" s="170"/>
      <c r="I772" s="171"/>
    </row>
    <row r="773" ht="14.25" customHeight="1">
      <c r="A773" s="282"/>
      <c r="B773" s="282"/>
      <c r="C773" s="282"/>
      <c r="D773" s="314"/>
      <c r="E773" s="171"/>
      <c r="F773" s="171"/>
      <c r="G773" s="173"/>
      <c r="H773" s="170"/>
      <c r="I773" s="171"/>
    </row>
    <row r="774" ht="14.25" customHeight="1">
      <c r="A774" s="282"/>
      <c r="B774" s="282"/>
      <c r="C774" s="282"/>
      <c r="D774" s="314"/>
      <c r="E774" s="171"/>
      <c r="F774" s="171"/>
      <c r="G774" s="173"/>
      <c r="H774" s="170"/>
      <c r="I774" s="171"/>
    </row>
    <row r="775" ht="14.25" customHeight="1">
      <c r="A775" s="282"/>
      <c r="B775" s="282"/>
      <c r="C775" s="282"/>
      <c r="D775" s="314"/>
      <c r="E775" s="171"/>
      <c r="F775" s="171"/>
      <c r="G775" s="173"/>
      <c r="H775" s="170"/>
      <c r="I775" s="171"/>
    </row>
    <row r="776" ht="14.25" customHeight="1">
      <c r="A776" s="282"/>
      <c r="B776" s="282"/>
      <c r="C776" s="282"/>
      <c r="D776" s="314"/>
      <c r="E776" s="171"/>
      <c r="F776" s="171"/>
      <c r="G776" s="173"/>
      <c r="H776" s="170"/>
      <c r="I776" s="171"/>
    </row>
    <row r="777" ht="14.25" customHeight="1">
      <c r="A777" s="282"/>
      <c r="B777" s="282"/>
      <c r="C777" s="282"/>
      <c r="D777" s="314"/>
      <c r="E777" s="171"/>
      <c r="F777" s="171"/>
      <c r="G777" s="173"/>
      <c r="H777" s="170"/>
      <c r="I777" s="171"/>
    </row>
    <row r="778" ht="14.25" customHeight="1">
      <c r="A778" s="282"/>
      <c r="B778" s="282"/>
      <c r="C778" s="282"/>
      <c r="D778" s="314"/>
      <c r="E778" s="171"/>
      <c r="F778" s="171"/>
      <c r="G778" s="173"/>
      <c r="H778" s="170"/>
      <c r="I778" s="171"/>
    </row>
    <row r="779" ht="14.25" customHeight="1">
      <c r="A779" s="282"/>
      <c r="B779" s="282"/>
      <c r="C779" s="282"/>
      <c r="D779" s="314"/>
      <c r="E779" s="171"/>
      <c r="F779" s="171"/>
      <c r="G779" s="173"/>
      <c r="H779" s="170"/>
      <c r="I779" s="171"/>
    </row>
    <row r="780" ht="14.25" customHeight="1">
      <c r="A780" s="282"/>
      <c r="B780" s="282"/>
      <c r="C780" s="282"/>
      <c r="D780" s="314"/>
      <c r="E780" s="171"/>
      <c r="F780" s="171"/>
      <c r="G780" s="173"/>
      <c r="H780" s="170"/>
      <c r="I780" s="171"/>
    </row>
    <row r="781" ht="14.25" customHeight="1">
      <c r="A781" s="282"/>
      <c r="B781" s="282"/>
      <c r="C781" s="282"/>
      <c r="D781" s="314"/>
      <c r="E781" s="171"/>
      <c r="F781" s="171"/>
      <c r="G781" s="173"/>
      <c r="H781" s="170"/>
      <c r="I781" s="171"/>
    </row>
    <row r="782" ht="14.25" customHeight="1">
      <c r="A782" s="282"/>
      <c r="B782" s="282"/>
      <c r="C782" s="282"/>
      <c r="D782" s="314"/>
      <c r="E782" s="171"/>
      <c r="F782" s="171"/>
      <c r="G782" s="173"/>
      <c r="H782" s="170"/>
      <c r="I782" s="171"/>
    </row>
    <row r="783" ht="14.25" customHeight="1">
      <c r="A783" s="282"/>
      <c r="B783" s="282"/>
      <c r="C783" s="282"/>
      <c r="D783" s="314"/>
      <c r="E783" s="171"/>
      <c r="F783" s="171"/>
      <c r="G783" s="173"/>
      <c r="H783" s="170"/>
      <c r="I783" s="171"/>
    </row>
    <row r="784" ht="14.25" customHeight="1">
      <c r="A784" s="282"/>
      <c r="B784" s="282"/>
      <c r="C784" s="282"/>
      <c r="D784" s="314"/>
      <c r="E784" s="171"/>
      <c r="F784" s="171"/>
      <c r="G784" s="173"/>
      <c r="H784" s="170"/>
      <c r="I784" s="171"/>
    </row>
    <row r="785" ht="14.25" customHeight="1">
      <c r="A785" s="282"/>
      <c r="B785" s="282"/>
      <c r="C785" s="282"/>
      <c r="D785" s="314"/>
      <c r="E785" s="171"/>
      <c r="F785" s="171"/>
      <c r="G785" s="173"/>
      <c r="H785" s="170"/>
      <c r="I785" s="171"/>
    </row>
    <row r="786" ht="14.25" customHeight="1">
      <c r="A786" s="282"/>
      <c r="B786" s="282"/>
      <c r="C786" s="282"/>
      <c r="D786" s="314"/>
      <c r="E786" s="171"/>
      <c r="F786" s="171"/>
      <c r="G786" s="173"/>
      <c r="H786" s="170"/>
      <c r="I786" s="171"/>
    </row>
    <row r="787" ht="14.25" customHeight="1">
      <c r="A787" s="282"/>
      <c r="B787" s="282"/>
      <c r="C787" s="282"/>
      <c r="D787" s="314"/>
      <c r="E787" s="171"/>
      <c r="F787" s="171"/>
      <c r="G787" s="173"/>
      <c r="H787" s="170"/>
      <c r="I787" s="171"/>
    </row>
    <row r="788" ht="14.25" customHeight="1">
      <c r="A788" s="282"/>
      <c r="B788" s="282"/>
      <c r="C788" s="282"/>
      <c r="D788" s="314"/>
      <c r="E788" s="171"/>
      <c r="F788" s="171"/>
      <c r="G788" s="173"/>
      <c r="H788" s="170"/>
      <c r="I788" s="171"/>
    </row>
    <row r="789" ht="14.25" customHeight="1">
      <c r="A789" s="282"/>
      <c r="B789" s="282"/>
      <c r="C789" s="282"/>
      <c r="D789" s="314"/>
      <c r="E789" s="171"/>
      <c r="F789" s="171"/>
      <c r="G789" s="173"/>
      <c r="H789" s="170"/>
      <c r="I789" s="171"/>
    </row>
    <row r="790" ht="14.25" customHeight="1">
      <c r="A790" s="282"/>
      <c r="B790" s="282"/>
      <c r="C790" s="282"/>
      <c r="D790" s="314"/>
      <c r="E790" s="171"/>
      <c r="F790" s="171"/>
      <c r="G790" s="173"/>
      <c r="H790" s="170"/>
      <c r="I790" s="171"/>
    </row>
    <row r="791" ht="14.25" customHeight="1">
      <c r="A791" s="282"/>
      <c r="B791" s="282"/>
      <c r="C791" s="282"/>
      <c r="D791" s="314"/>
      <c r="E791" s="171"/>
      <c r="F791" s="171"/>
      <c r="G791" s="173"/>
      <c r="H791" s="170"/>
      <c r="I791" s="171"/>
    </row>
    <row r="792" ht="14.25" customHeight="1">
      <c r="A792" s="282"/>
      <c r="B792" s="282"/>
      <c r="C792" s="282"/>
      <c r="D792" s="314"/>
      <c r="E792" s="171"/>
      <c r="F792" s="171"/>
      <c r="G792" s="173"/>
      <c r="H792" s="170"/>
      <c r="I792" s="171"/>
    </row>
    <row r="793" ht="14.25" customHeight="1">
      <c r="A793" s="282"/>
      <c r="B793" s="282"/>
      <c r="C793" s="282"/>
      <c r="D793" s="314"/>
      <c r="E793" s="171"/>
      <c r="F793" s="171"/>
      <c r="G793" s="173"/>
      <c r="H793" s="170"/>
      <c r="I793" s="171"/>
    </row>
    <row r="794" ht="14.25" customHeight="1">
      <c r="A794" s="282"/>
      <c r="B794" s="282"/>
      <c r="C794" s="282"/>
      <c r="D794" s="314"/>
      <c r="E794" s="171"/>
      <c r="F794" s="171"/>
      <c r="G794" s="173"/>
      <c r="H794" s="170"/>
      <c r="I794" s="171"/>
    </row>
    <row r="795" ht="14.25" customHeight="1">
      <c r="A795" s="282"/>
      <c r="B795" s="282"/>
      <c r="C795" s="282"/>
      <c r="D795" s="314"/>
      <c r="E795" s="171"/>
      <c r="F795" s="171"/>
      <c r="G795" s="173"/>
      <c r="H795" s="170"/>
      <c r="I795" s="171"/>
    </row>
    <row r="796" ht="14.25" customHeight="1">
      <c r="A796" s="282"/>
      <c r="B796" s="282"/>
      <c r="C796" s="282"/>
      <c r="D796" s="314"/>
      <c r="E796" s="171"/>
      <c r="F796" s="171"/>
      <c r="G796" s="173"/>
      <c r="H796" s="170"/>
      <c r="I796" s="171"/>
    </row>
    <row r="797" ht="14.25" customHeight="1">
      <c r="A797" s="282"/>
      <c r="B797" s="282"/>
      <c r="C797" s="282"/>
      <c r="D797" s="314"/>
      <c r="E797" s="171"/>
      <c r="F797" s="171"/>
      <c r="G797" s="173"/>
      <c r="H797" s="170"/>
      <c r="I797" s="171"/>
    </row>
    <row r="798" ht="14.25" customHeight="1">
      <c r="A798" s="282"/>
      <c r="B798" s="282"/>
      <c r="C798" s="282"/>
      <c r="D798" s="314"/>
      <c r="E798" s="171"/>
      <c r="F798" s="171"/>
      <c r="G798" s="173"/>
      <c r="H798" s="170"/>
      <c r="I798" s="171"/>
    </row>
    <row r="799" ht="14.25" customHeight="1">
      <c r="A799" s="282"/>
      <c r="B799" s="282"/>
      <c r="C799" s="282"/>
      <c r="D799" s="314"/>
      <c r="E799" s="171"/>
      <c r="F799" s="171"/>
      <c r="G799" s="173"/>
      <c r="H799" s="170"/>
      <c r="I799" s="171"/>
    </row>
    <row r="800" ht="14.25" customHeight="1">
      <c r="A800" s="282"/>
      <c r="B800" s="282"/>
      <c r="C800" s="282"/>
      <c r="D800" s="314"/>
      <c r="E800" s="171"/>
      <c r="F800" s="171"/>
      <c r="G800" s="173"/>
      <c r="H800" s="170"/>
      <c r="I800" s="171"/>
    </row>
    <row r="801" ht="14.25" customHeight="1">
      <c r="A801" s="282"/>
      <c r="B801" s="282"/>
      <c r="C801" s="282"/>
      <c r="D801" s="314"/>
      <c r="E801" s="171"/>
      <c r="F801" s="171"/>
      <c r="G801" s="173"/>
      <c r="H801" s="170"/>
      <c r="I801" s="171"/>
    </row>
    <row r="802" ht="14.25" customHeight="1">
      <c r="A802" s="282"/>
      <c r="B802" s="282"/>
      <c r="C802" s="282"/>
      <c r="D802" s="314"/>
      <c r="E802" s="171"/>
      <c r="F802" s="171"/>
      <c r="G802" s="173"/>
      <c r="H802" s="170"/>
      <c r="I802" s="171"/>
    </row>
    <row r="803" ht="14.25" customHeight="1">
      <c r="A803" s="282"/>
      <c r="B803" s="282"/>
      <c r="C803" s="282"/>
      <c r="D803" s="314"/>
      <c r="E803" s="171"/>
      <c r="F803" s="171"/>
      <c r="G803" s="173"/>
      <c r="H803" s="170"/>
      <c r="I803" s="171"/>
    </row>
    <row r="804" ht="14.25" customHeight="1">
      <c r="A804" s="282"/>
      <c r="B804" s="282"/>
      <c r="C804" s="282"/>
      <c r="D804" s="314"/>
      <c r="E804" s="171"/>
      <c r="F804" s="171"/>
      <c r="G804" s="173"/>
      <c r="H804" s="170"/>
      <c r="I804" s="171"/>
    </row>
    <row r="805" ht="14.25" customHeight="1">
      <c r="A805" s="282"/>
      <c r="B805" s="282"/>
      <c r="C805" s="282"/>
      <c r="D805" s="314"/>
      <c r="E805" s="171"/>
      <c r="F805" s="171"/>
      <c r="G805" s="173"/>
      <c r="H805" s="170"/>
      <c r="I805" s="171"/>
    </row>
    <row r="806" ht="14.25" customHeight="1">
      <c r="A806" s="282"/>
      <c r="B806" s="282"/>
      <c r="C806" s="282"/>
      <c r="D806" s="314"/>
      <c r="E806" s="171"/>
      <c r="F806" s="171"/>
      <c r="G806" s="173"/>
      <c r="H806" s="170"/>
      <c r="I806" s="171"/>
    </row>
    <row r="807" ht="14.25" customHeight="1">
      <c r="A807" s="282"/>
      <c r="B807" s="282"/>
      <c r="C807" s="282"/>
      <c r="D807" s="314"/>
      <c r="E807" s="171"/>
      <c r="F807" s="171"/>
      <c r="G807" s="173"/>
      <c r="H807" s="170"/>
      <c r="I807" s="171"/>
    </row>
    <row r="808" ht="14.25" customHeight="1">
      <c r="A808" s="282"/>
      <c r="B808" s="282"/>
      <c r="C808" s="282"/>
      <c r="D808" s="314"/>
      <c r="E808" s="171"/>
      <c r="F808" s="171"/>
      <c r="G808" s="173"/>
      <c r="H808" s="170"/>
      <c r="I808" s="171"/>
    </row>
    <row r="809" ht="14.25" customHeight="1">
      <c r="A809" s="282"/>
      <c r="B809" s="282"/>
      <c r="C809" s="282"/>
      <c r="D809" s="314"/>
      <c r="E809" s="171"/>
      <c r="F809" s="171"/>
      <c r="G809" s="173"/>
      <c r="H809" s="170"/>
      <c r="I809" s="171"/>
    </row>
    <row r="810" ht="14.25" customHeight="1">
      <c r="A810" s="282"/>
      <c r="B810" s="282"/>
      <c r="C810" s="282"/>
      <c r="D810" s="314"/>
      <c r="E810" s="171"/>
      <c r="F810" s="171"/>
      <c r="G810" s="173"/>
      <c r="H810" s="170"/>
      <c r="I810" s="171"/>
    </row>
    <row r="811" ht="14.25" customHeight="1">
      <c r="A811" s="282"/>
      <c r="B811" s="282"/>
      <c r="C811" s="282"/>
      <c r="D811" s="314"/>
      <c r="E811" s="171"/>
      <c r="F811" s="171"/>
      <c r="G811" s="173"/>
      <c r="H811" s="170"/>
      <c r="I811" s="171"/>
    </row>
    <row r="812" ht="14.25" customHeight="1">
      <c r="A812" s="282"/>
      <c r="B812" s="282"/>
      <c r="C812" s="282"/>
      <c r="D812" s="314"/>
      <c r="E812" s="171"/>
      <c r="F812" s="171"/>
      <c r="G812" s="173"/>
      <c r="H812" s="170"/>
      <c r="I812" s="171"/>
    </row>
    <row r="813" ht="14.25" customHeight="1">
      <c r="A813" s="282"/>
      <c r="B813" s="282"/>
      <c r="C813" s="282"/>
      <c r="D813" s="314"/>
      <c r="E813" s="171"/>
      <c r="F813" s="171"/>
      <c r="G813" s="173"/>
      <c r="H813" s="170"/>
      <c r="I813" s="171"/>
    </row>
    <row r="814" ht="14.25" customHeight="1">
      <c r="A814" s="282"/>
      <c r="B814" s="282"/>
      <c r="C814" s="282"/>
      <c r="D814" s="314"/>
      <c r="E814" s="171"/>
      <c r="F814" s="171"/>
      <c r="G814" s="173"/>
      <c r="H814" s="170"/>
      <c r="I814" s="171"/>
    </row>
    <row r="815" ht="14.25" customHeight="1">
      <c r="A815" s="282"/>
      <c r="B815" s="282"/>
      <c r="C815" s="282"/>
      <c r="D815" s="314"/>
      <c r="E815" s="171"/>
      <c r="F815" s="171"/>
      <c r="G815" s="173"/>
      <c r="H815" s="170"/>
      <c r="I815" s="171"/>
    </row>
    <row r="816" ht="14.25" customHeight="1">
      <c r="A816" s="282"/>
      <c r="B816" s="282"/>
      <c r="C816" s="282"/>
      <c r="D816" s="314"/>
      <c r="E816" s="171"/>
      <c r="F816" s="171"/>
      <c r="G816" s="173"/>
      <c r="H816" s="170"/>
      <c r="I816" s="171"/>
    </row>
    <row r="817" ht="14.25" customHeight="1">
      <c r="A817" s="282"/>
      <c r="B817" s="282"/>
      <c r="C817" s="282"/>
      <c r="D817" s="314"/>
      <c r="E817" s="171"/>
      <c r="F817" s="171"/>
      <c r="G817" s="173"/>
      <c r="H817" s="170"/>
      <c r="I817" s="171"/>
    </row>
    <row r="818" ht="14.25" customHeight="1">
      <c r="A818" s="282"/>
      <c r="B818" s="282"/>
      <c r="C818" s="282"/>
      <c r="D818" s="314"/>
      <c r="E818" s="171"/>
      <c r="F818" s="171"/>
      <c r="G818" s="173"/>
      <c r="H818" s="170"/>
      <c r="I818" s="171"/>
    </row>
    <row r="819" ht="14.25" customHeight="1">
      <c r="A819" s="282"/>
      <c r="B819" s="282"/>
      <c r="C819" s="282"/>
      <c r="D819" s="314"/>
      <c r="E819" s="171"/>
      <c r="F819" s="171"/>
      <c r="G819" s="173"/>
      <c r="H819" s="170"/>
      <c r="I819" s="171"/>
    </row>
    <row r="820" ht="14.25" customHeight="1">
      <c r="A820" s="282"/>
      <c r="B820" s="282"/>
      <c r="C820" s="282"/>
      <c r="D820" s="314"/>
      <c r="E820" s="171"/>
      <c r="F820" s="171"/>
      <c r="G820" s="173"/>
      <c r="H820" s="170"/>
      <c r="I820" s="171"/>
    </row>
    <row r="821" ht="14.25" customHeight="1">
      <c r="A821" s="282"/>
      <c r="B821" s="282"/>
      <c r="C821" s="282"/>
      <c r="D821" s="314"/>
      <c r="E821" s="171"/>
      <c r="F821" s="171"/>
      <c r="G821" s="173"/>
      <c r="H821" s="170"/>
      <c r="I821" s="171"/>
    </row>
    <row r="822" ht="14.25" customHeight="1">
      <c r="A822" s="282"/>
      <c r="B822" s="282"/>
      <c r="C822" s="282"/>
      <c r="D822" s="314"/>
      <c r="E822" s="171"/>
      <c r="F822" s="171"/>
      <c r="G822" s="173"/>
      <c r="H822" s="170"/>
      <c r="I822" s="171"/>
    </row>
    <row r="823" ht="14.25" customHeight="1">
      <c r="A823" s="282"/>
      <c r="B823" s="282"/>
      <c r="C823" s="282"/>
      <c r="D823" s="314"/>
      <c r="E823" s="171"/>
      <c r="F823" s="171"/>
      <c r="G823" s="173"/>
      <c r="H823" s="170"/>
      <c r="I823" s="171"/>
    </row>
    <row r="824" ht="14.25" customHeight="1">
      <c r="A824" s="282"/>
      <c r="B824" s="282"/>
      <c r="C824" s="282"/>
      <c r="D824" s="314"/>
      <c r="E824" s="171"/>
      <c r="F824" s="171"/>
      <c r="G824" s="173"/>
      <c r="H824" s="170"/>
      <c r="I824" s="171"/>
    </row>
    <row r="825" ht="14.25" customHeight="1">
      <c r="A825" s="282"/>
      <c r="B825" s="282"/>
      <c r="C825" s="282"/>
      <c r="D825" s="314"/>
      <c r="E825" s="171"/>
      <c r="F825" s="171"/>
      <c r="G825" s="173"/>
      <c r="H825" s="170"/>
      <c r="I825" s="171"/>
    </row>
    <row r="826" ht="14.25" customHeight="1">
      <c r="A826" s="282"/>
      <c r="B826" s="282"/>
      <c r="C826" s="282"/>
      <c r="D826" s="314"/>
      <c r="E826" s="171"/>
      <c r="F826" s="171"/>
      <c r="G826" s="173"/>
      <c r="H826" s="170"/>
      <c r="I826" s="171"/>
    </row>
    <row r="827" ht="14.25" customHeight="1">
      <c r="A827" s="282"/>
      <c r="B827" s="282"/>
      <c r="C827" s="282"/>
      <c r="D827" s="314"/>
      <c r="E827" s="171"/>
      <c r="F827" s="171"/>
      <c r="G827" s="173"/>
      <c r="H827" s="170"/>
      <c r="I827" s="171"/>
    </row>
    <row r="828" ht="14.25" customHeight="1">
      <c r="A828" s="282"/>
      <c r="B828" s="282"/>
      <c r="C828" s="282"/>
      <c r="D828" s="314"/>
      <c r="E828" s="171"/>
      <c r="F828" s="171"/>
      <c r="G828" s="173"/>
      <c r="H828" s="170"/>
      <c r="I828" s="171"/>
    </row>
    <row r="829" ht="14.25" customHeight="1">
      <c r="A829" s="282"/>
      <c r="B829" s="282"/>
      <c r="C829" s="282"/>
      <c r="D829" s="314"/>
      <c r="E829" s="171"/>
      <c r="F829" s="171"/>
      <c r="G829" s="173"/>
      <c r="H829" s="170"/>
      <c r="I829" s="171"/>
    </row>
    <row r="830" ht="14.25" customHeight="1">
      <c r="A830" s="282"/>
      <c r="B830" s="282"/>
      <c r="C830" s="282"/>
      <c r="D830" s="314"/>
      <c r="E830" s="171"/>
      <c r="F830" s="171"/>
      <c r="G830" s="173"/>
      <c r="H830" s="170"/>
      <c r="I830" s="171"/>
    </row>
    <row r="831" ht="14.25" customHeight="1">
      <c r="A831" s="282"/>
      <c r="B831" s="282"/>
      <c r="C831" s="282"/>
      <c r="D831" s="314"/>
      <c r="E831" s="171"/>
      <c r="F831" s="171"/>
      <c r="G831" s="173"/>
      <c r="H831" s="170"/>
      <c r="I831" s="171"/>
    </row>
    <row r="832" ht="14.25" customHeight="1">
      <c r="A832" s="282"/>
      <c r="B832" s="282"/>
      <c r="C832" s="282"/>
      <c r="D832" s="314"/>
      <c r="E832" s="171"/>
      <c r="F832" s="171"/>
      <c r="G832" s="173"/>
      <c r="H832" s="170"/>
      <c r="I832" s="171"/>
    </row>
    <row r="833" ht="14.25" customHeight="1">
      <c r="A833" s="282"/>
      <c r="B833" s="282"/>
      <c r="C833" s="282"/>
      <c r="D833" s="314"/>
      <c r="E833" s="171"/>
      <c r="F833" s="171"/>
      <c r="G833" s="173"/>
      <c r="H833" s="170"/>
      <c r="I833" s="171"/>
    </row>
    <row r="834" ht="14.25" customHeight="1">
      <c r="A834" s="282"/>
      <c r="B834" s="282"/>
      <c r="C834" s="282"/>
      <c r="D834" s="314"/>
      <c r="E834" s="171"/>
      <c r="F834" s="171"/>
      <c r="G834" s="173"/>
      <c r="H834" s="170"/>
      <c r="I834" s="171"/>
    </row>
    <row r="835" ht="14.25" customHeight="1">
      <c r="A835" s="282"/>
      <c r="B835" s="282"/>
      <c r="C835" s="282"/>
      <c r="D835" s="314"/>
      <c r="E835" s="171"/>
      <c r="F835" s="171"/>
      <c r="G835" s="173"/>
      <c r="H835" s="170"/>
      <c r="I835" s="171"/>
    </row>
    <row r="836" ht="14.25" customHeight="1">
      <c r="A836" s="282"/>
      <c r="B836" s="282"/>
      <c r="C836" s="282"/>
      <c r="D836" s="314"/>
      <c r="E836" s="171"/>
      <c r="F836" s="171"/>
      <c r="G836" s="173"/>
      <c r="H836" s="170"/>
      <c r="I836" s="171"/>
    </row>
    <row r="837" ht="14.25" customHeight="1">
      <c r="A837" s="282"/>
      <c r="B837" s="282"/>
      <c r="C837" s="282"/>
      <c r="D837" s="314"/>
      <c r="E837" s="171"/>
      <c r="F837" s="171"/>
      <c r="G837" s="173"/>
      <c r="H837" s="170"/>
      <c r="I837" s="171"/>
    </row>
    <row r="838" ht="14.25" customHeight="1">
      <c r="A838" s="282"/>
      <c r="B838" s="282"/>
      <c r="C838" s="282"/>
      <c r="D838" s="314"/>
      <c r="E838" s="171"/>
      <c r="F838" s="171"/>
      <c r="G838" s="173"/>
      <c r="H838" s="170"/>
      <c r="I838" s="171"/>
    </row>
    <row r="839" ht="14.25" customHeight="1">
      <c r="A839" s="282"/>
      <c r="B839" s="282"/>
      <c r="C839" s="282"/>
      <c r="D839" s="314"/>
      <c r="E839" s="171"/>
      <c r="F839" s="171"/>
      <c r="G839" s="173"/>
      <c r="H839" s="170"/>
      <c r="I839" s="171"/>
    </row>
    <row r="840" ht="14.25" customHeight="1">
      <c r="A840" s="282"/>
      <c r="B840" s="282"/>
      <c r="C840" s="282"/>
      <c r="D840" s="314"/>
      <c r="E840" s="171"/>
      <c r="F840" s="171"/>
      <c r="G840" s="173"/>
      <c r="H840" s="170"/>
      <c r="I840" s="171"/>
    </row>
    <row r="841" ht="14.25" customHeight="1">
      <c r="A841" s="282"/>
      <c r="B841" s="282"/>
      <c r="C841" s="282"/>
      <c r="D841" s="314"/>
      <c r="E841" s="171"/>
      <c r="F841" s="171"/>
      <c r="G841" s="173"/>
      <c r="H841" s="170"/>
      <c r="I841" s="171"/>
    </row>
    <row r="842" ht="14.25" customHeight="1">
      <c r="A842" s="282"/>
      <c r="B842" s="282"/>
      <c r="C842" s="282"/>
      <c r="D842" s="314"/>
      <c r="E842" s="171"/>
      <c r="F842" s="171"/>
      <c r="G842" s="173"/>
      <c r="H842" s="170"/>
      <c r="I842" s="171"/>
    </row>
    <row r="843" ht="14.25" customHeight="1">
      <c r="A843" s="282"/>
      <c r="B843" s="282"/>
      <c r="C843" s="282"/>
      <c r="D843" s="314"/>
      <c r="E843" s="171"/>
      <c r="F843" s="171"/>
      <c r="G843" s="173"/>
      <c r="H843" s="170"/>
      <c r="I843" s="171"/>
    </row>
    <row r="844" ht="14.25" customHeight="1">
      <c r="A844" s="282"/>
      <c r="B844" s="282"/>
      <c r="C844" s="282"/>
      <c r="D844" s="314"/>
      <c r="E844" s="171"/>
      <c r="F844" s="171"/>
      <c r="G844" s="173"/>
      <c r="H844" s="170"/>
      <c r="I844" s="171"/>
    </row>
    <row r="845" ht="14.25" customHeight="1">
      <c r="A845" s="282"/>
      <c r="B845" s="282"/>
      <c r="C845" s="282"/>
      <c r="D845" s="314"/>
      <c r="E845" s="171"/>
      <c r="F845" s="171"/>
      <c r="G845" s="173"/>
      <c r="H845" s="170"/>
      <c r="I845" s="171"/>
    </row>
    <row r="846" ht="14.25" customHeight="1">
      <c r="A846" s="282"/>
      <c r="B846" s="282"/>
      <c r="C846" s="282"/>
      <c r="D846" s="314"/>
      <c r="E846" s="171"/>
      <c r="F846" s="171"/>
      <c r="G846" s="173"/>
      <c r="H846" s="170"/>
      <c r="I846" s="171"/>
    </row>
    <row r="847" ht="14.25" customHeight="1">
      <c r="A847" s="282"/>
      <c r="B847" s="282"/>
      <c r="C847" s="282"/>
      <c r="D847" s="314"/>
      <c r="E847" s="171"/>
      <c r="F847" s="171"/>
      <c r="G847" s="173"/>
      <c r="H847" s="170"/>
      <c r="I847" s="171"/>
    </row>
    <row r="848" ht="14.25" customHeight="1">
      <c r="A848" s="282"/>
      <c r="B848" s="282"/>
      <c r="C848" s="282"/>
      <c r="D848" s="314"/>
      <c r="E848" s="171"/>
      <c r="F848" s="171"/>
      <c r="G848" s="173"/>
      <c r="H848" s="170"/>
      <c r="I848" s="171"/>
    </row>
    <row r="849" ht="14.25" customHeight="1">
      <c r="A849" s="282"/>
      <c r="B849" s="282"/>
      <c r="C849" s="282"/>
      <c r="D849" s="314"/>
      <c r="E849" s="171"/>
      <c r="F849" s="171"/>
      <c r="G849" s="173"/>
      <c r="H849" s="170"/>
      <c r="I849" s="171"/>
    </row>
    <row r="850" ht="14.25" customHeight="1">
      <c r="A850" s="282"/>
      <c r="B850" s="282"/>
      <c r="C850" s="282"/>
      <c r="D850" s="314"/>
      <c r="E850" s="171"/>
      <c r="F850" s="171"/>
      <c r="G850" s="173"/>
      <c r="H850" s="170"/>
      <c r="I850" s="171"/>
    </row>
    <row r="851" ht="14.25" customHeight="1">
      <c r="A851" s="282"/>
      <c r="B851" s="282"/>
      <c r="C851" s="282"/>
      <c r="D851" s="314"/>
      <c r="E851" s="171"/>
      <c r="F851" s="171"/>
      <c r="G851" s="173"/>
      <c r="H851" s="170"/>
      <c r="I851" s="171"/>
    </row>
    <row r="852" ht="14.25" customHeight="1">
      <c r="A852" s="282"/>
      <c r="B852" s="282"/>
      <c r="C852" s="282"/>
      <c r="D852" s="314"/>
      <c r="E852" s="171"/>
      <c r="F852" s="171"/>
      <c r="G852" s="173"/>
      <c r="H852" s="170"/>
      <c r="I852" s="171"/>
    </row>
    <row r="853" ht="14.25" customHeight="1">
      <c r="A853" s="282"/>
      <c r="B853" s="282"/>
      <c r="C853" s="282"/>
      <c r="D853" s="314"/>
      <c r="E853" s="171"/>
      <c r="F853" s="171"/>
      <c r="G853" s="173"/>
      <c r="H853" s="170"/>
      <c r="I853" s="171"/>
    </row>
    <row r="854" ht="14.25" customHeight="1">
      <c r="A854" s="282"/>
      <c r="B854" s="282"/>
      <c r="C854" s="282"/>
      <c r="D854" s="314"/>
      <c r="E854" s="171"/>
      <c r="F854" s="171"/>
      <c r="G854" s="173"/>
      <c r="H854" s="170"/>
      <c r="I854" s="171"/>
    </row>
    <row r="855" ht="14.25" customHeight="1">
      <c r="A855" s="282"/>
      <c r="B855" s="282"/>
      <c r="C855" s="282"/>
      <c r="D855" s="314"/>
      <c r="E855" s="171"/>
      <c r="F855" s="171"/>
      <c r="G855" s="173"/>
      <c r="H855" s="170"/>
      <c r="I855" s="171"/>
    </row>
    <row r="856" ht="14.25" customHeight="1">
      <c r="A856" s="282"/>
      <c r="B856" s="282"/>
      <c r="C856" s="282"/>
      <c r="D856" s="314"/>
      <c r="E856" s="171"/>
      <c r="F856" s="171"/>
      <c r="G856" s="173"/>
      <c r="H856" s="170"/>
      <c r="I856" s="171"/>
    </row>
    <row r="857" ht="14.25" customHeight="1">
      <c r="A857" s="282"/>
      <c r="B857" s="282"/>
      <c r="C857" s="282"/>
      <c r="D857" s="314"/>
      <c r="E857" s="171"/>
      <c r="F857" s="171"/>
      <c r="G857" s="173"/>
      <c r="H857" s="170"/>
      <c r="I857" s="171"/>
    </row>
    <row r="858" ht="14.25" customHeight="1">
      <c r="A858" s="282"/>
      <c r="B858" s="282"/>
      <c r="C858" s="282"/>
      <c r="D858" s="314"/>
      <c r="E858" s="171"/>
      <c r="F858" s="171"/>
      <c r="G858" s="173"/>
      <c r="H858" s="170"/>
      <c r="I858" s="171"/>
    </row>
    <row r="859" ht="14.25" customHeight="1">
      <c r="A859" s="282"/>
      <c r="B859" s="282"/>
      <c r="C859" s="282"/>
      <c r="D859" s="314"/>
      <c r="E859" s="171"/>
      <c r="F859" s="171"/>
      <c r="G859" s="173"/>
      <c r="H859" s="170"/>
      <c r="I859" s="171"/>
    </row>
    <row r="860" ht="14.25" customHeight="1">
      <c r="A860" s="282"/>
      <c r="B860" s="282"/>
      <c r="C860" s="282"/>
      <c r="D860" s="314"/>
      <c r="E860" s="171"/>
      <c r="F860" s="171"/>
      <c r="G860" s="173"/>
      <c r="H860" s="170"/>
      <c r="I860" s="171"/>
    </row>
    <row r="861" ht="14.25" customHeight="1">
      <c r="A861" s="282"/>
      <c r="B861" s="282"/>
      <c r="C861" s="282"/>
      <c r="D861" s="314"/>
      <c r="E861" s="171"/>
      <c r="F861" s="171"/>
      <c r="G861" s="173"/>
      <c r="H861" s="170"/>
      <c r="I861" s="171"/>
    </row>
    <row r="862" ht="14.25" customHeight="1">
      <c r="A862" s="282"/>
      <c r="B862" s="282"/>
      <c r="C862" s="282"/>
      <c r="D862" s="314"/>
      <c r="E862" s="171"/>
      <c r="F862" s="171"/>
      <c r="G862" s="173"/>
      <c r="H862" s="170"/>
      <c r="I862" s="171"/>
    </row>
    <row r="863" ht="14.25" customHeight="1">
      <c r="A863" s="282"/>
      <c r="B863" s="282"/>
      <c r="C863" s="282"/>
      <c r="D863" s="314"/>
      <c r="E863" s="171"/>
      <c r="F863" s="171"/>
      <c r="G863" s="173"/>
      <c r="H863" s="170"/>
      <c r="I863" s="171"/>
    </row>
    <row r="864" ht="14.25" customHeight="1">
      <c r="A864" s="282"/>
      <c r="B864" s="282"/>
      <c r="C864" s="282"/>
      <c r="D864" s="314"/>
      <c r="E864" s="171"/>
      <c r="F864" s="171"/>
      <c r="G864" s="173"/>
      <c r="H864" s="170"/>
      <c r="I864" s="171"/>
    </row>
    <row r="865" ht="14.25" customHeight="1">
      <c r="A865" s="282"/>
      <c r="B865" s="282"/>
      <c r="C865" s="282"/>
      <c r="D865" s="314"/>
      <c r="E865" s="171"/>
      <c r="F865" s="171"/>
      <c r="G865" s="173"/>
      <c r="H865" s="170"/>
      <c r="I865" s="171"/>
    </row>
    <row r="866" ht="14.25" customHeight="1">
      <c r="A866" s="282"/>
      <c r="B866" s="282"/>
      <c r="C866" s="282"/>
      <c r="D866" s="314"/>
      <c r="E866" s="171"/>
      <c r="F866" s="171"/>
      <c r="G866" s="173"/>
      <c r="H866" s="170"/>
      <c r="I866" s="171"/>
    </row>
    <row r="867" ht="14.25" customHeight="1">
      <c r="A867" s="282"/>
      <c r="B867" s="282"/>
      <c r="C867" s="282"/>
      <c r="D867" s="314"/>
      <c r="E867" s="171"/>
      <c r="F867" s="171"/>
      <c r="G867" s="173"/>
      <c r="H867" s="170"/>
      <c r="I867" s="171"/>
    </row>
    <row r="868" ht="14.25" customHeight="1">
      <c r="A868" s="282"/>
      <c r="B868" s="282"/>
      <c r="C868" s="282"/>
      <c r="D868" s="314"/>
      <c r="E868" s="171"/>
      <c r="F868" s="171"/>
      <c r="G868" s="173"/>
      <c r="H868" s="170"/>
      <c r="I868" s="171"/>
    </row>
    <row r="869" ht="14.25" customHeight="1">
      <c r="A869" s="282"/>
      <c r="B869" s="282"/>
      <c r="C869" s="282"/>
      <c r="D869" s="314"/>
      <c r="E869" s="171"/>
      <c r="F869" s="171"/>
      <c r="G869" s="173"/>
      <c r="H869" s="170"/>
      <c r="I869" s="171"/>
    </row>
    <row r="870" ht="14.25" customHeight="1">
      <c r="A870" s="282"/>
      <c r="B870" s="282"/>
      <c r="C870" s="282"/>
      <c r="D870" s="314"/>
      <c r="E870" s="171"/>
      <c r="F870" s="171"/>
      <c r="G870" s="173"/>
      <c r="H870" s="170"/>
      <c r="I870" s="171"/>
    </row>
    <row r="871" ht="14.25" customHeight="1">
      <c r="A871" s="282"/>
      <c r="B871" s="282"/>
      <c r="C871" s="282"/>
      <c r="D871" s="314"/>
      <c r="E871" s="171"/>
      <c r="F871" s="171"/>
      <c r="G871" s="173"/>
      <c r="H871" s="170"/>
      <c r="I871" s="171"/>
    </row>
    <row r="872" ht="14.25" customHeight="1">
      <c r="A872" s="282"/>
      <c r="B872" s="282"/>
      <c r="C872" s="282"/>
      <c r="D872" s="314"/>
      <c r="E872" s="171"/>
      <c r="F872" s="171"/>
      <c r="G872" s="173"/>
      <c r="H872" s="170"/>
      <c r="I872" s="171"/>
    </row>
    <row r="873" ht="14.25" customHeight="1">
      <c r="A873" s="282"/>
      <c r="B873" s="282"/>
      <c r="C873" s="282"/>
      <c r="D873" s="314"/>
      <c r="E873" s="171"/>
      <c r="F873" s="171"/>
      <c r="G873" s="173"/>
      <c r="H873" s="170"/>
      <c r="I873" s="171"/>
    </row>
    <row r="874" ht="14.25" customHeight="1">
      <c r="A874" s="282"/>
      <c r="B874" s="282"/>
      <c r="C874" s="282"/>
      <c r="D874" s="314"/>
      <c r="E874" s="171"/>
      <c r="F874" s="171"/>
      <c r="G874" s="173"/>
      <c r="H874" s="170"/>
      <c r="I874" s="171"/>
    </row>
    <row r="875" ht="14.25" customHeight="1">
      <c r="A875" s="282"/>
      <c r="B875" s="282"/>
      <c r="C875" s="282"/>
      <c r="D875" s="314"/>
      <c r="E875" s="171"/>
      <c r="F875" s="171"/>
      <c r="G875" s="173"/>
      <c r="H875" s="170"/>
      <c r="I875" s="171"/>
    </row>
    <row r="876" ht="14.25" customHeight="1">
      <c r="A876" s="282"/>
      <c r="B876" s="282"/>
      <c r="C876" s="282"/>
      <c r="D876" s="314"/>
      <c r="E876" s="171"/>
      <c r="F876" s="171"/>
      <c r="G876" s="173"/>
      <c r="H876" s="170"/>
      <c r="I876" s="171"/>
    </row>
    <row r="877" ht="14.25" customHeight="1">
      <c r="A877" s="282"/>
      <c r="B877" s="282"/>
      <c r="C877" s="282"/>
      <c r="D877" s="314"/>
      <c r="E877" s="171"/>
      <c r="F877" s="171"/>
      <c r="G877" s="173"/>
      <c r="H877" s="170"/>
      <c r="I877" s="171"/>
    </row>
    <row r="878" ht="14.25" customHeight="1">
      <c r="A878" s="282"/>
      <c r="B878" s="282"/>
      <c r="C878" s="282"/>
      <c r="D878" s="314"/>
      <c r="E878" s="171"/>
      <c r="F878" s="171"/>
      <c r="G878" s="173"/>
      <c r="H878" s="170"/>
      <c r="I878" s="171"/>
    </row>
    <row r="879" ht="14.25" customHeight="1">
      <c r="A879" s="282"/>
      <c r="B879" s="282"/>
      <c r="C879" s="282"/>
      <c r="D879" s="314"/>
      <c r="E879" s="171"/>
      <c r="F879" s="171"/>
      <c r="G879" s="173"/>
      <c r="H879" s="170"/>
      <c r="I879" s="171"/>
    </row>
    <row r="880" ht="14.25" customHeight="1">
      <c r="A880" s="282"/>
      <c r="B880" s="282"/>
      <c r="C880" s="282"/>
      <c r="D880" s="314"/>
      <c r="E880" s="171"/>
      <c r="F880" s="171"/>
      <c r="G880" s="173"/>
      <c r="H880" s="170"/>
      <c r="I880" s="171"/>
    </row>
    <row r="881" ht="14.25" customHeight="1">
      <c r="A881" s="282"/>
      <c r="B881" s="282"/>
      <c r="C881" s="282"/>
      <c r="D881" s="314"/>
      <c r="E881" s="171"/>
      <c r="F881" s="171"/>
      <c r="G881" s="173"/>
      <c r="H881" s="170"/>
      <c r="I881" s="171"/>
    </row>
    <row r="882" ht="14.25" customHeight="1">
      <c r="A882" s="282"/>
      <c r="B882" s="282"/>
      <c r="C882" s="282"/>
      <c r="D882" s="314"/>
      <c r="E882" s="171"/>
      <c r="F882" s="171"/>
      <c r="G882" s="173"/>
      <c r="H882" s="170"/>
      <c r="I882" s="171"/>
    </row>
    <row r="883" ht="14.25" customHeight="1">
      <c r="A883" s="282"/>
      <c r="B883" s="282"/>
      <c r="C883" s="282"/>
      <c r="D883" s="314"/>
      <c r="E883" s="171"/>
      <c r="F883" s="171"/>
      <c r="G883" s="173"/>
      <c r="H883" s="170"/>
      <c r="I883" s="171"/>
    </row>
    <row r="884" ht="14.25" customHeight="1">
      <c r="A884" s="282"/>
      <c r="B884" s="282"/>
      <c r="C884" s="282"/>
      <c r="D884" s="314"/>
      <c r="E884" s="171"/>
      <c r="F884" s="171"/>
      <c r="G884" s="173"/>
      <c r="H884" s="170"/>
      <c r="I884" s="171"/>
    </row>
    <row r="885" ht="14.25" customHeight="1">
      <c r="A885" s="282"/>
      <c r="B885" s="282"/>
      <c r="C885" s="282"/>
      <c r="D885" s="314"/>
      <c r="E885" s="171"/>
      <c r="F885" s="171"/>
      <c r="G885" s="173"/>
      <c r="H885" s="170"/>
      <c r="I885" s="171"/>
    </row>
    <row r="886" ht="14.25" customHeight="1">
      <c r="A886" s="282"/>
      <c r="B886" s="282"/>
      <c r="C886" s="282"/>
      <c r="D886" s="314"/>
      <c r="E886" s="171"/>
      <c r="F886" s="171"/>
      <c r="G886" s="173"/>
      <c r="H886" s="170"/>
      <c r="I886" s="171"/>
    </row>
    <row r="887" ht="14.25" customHeight="1">
      <c r="A887" s="282"/>
      <c r="B887" s="282"/>
      <c r="C887" s="282"/>
      <c r="D887" s="314"/>
      <c r="E887" s="171"/>
      <c r="F887" s="171"/>
      <c r="G887" s="173"/>
      <c r="H887" s="170"/>
      <c r="I887" s="171"/>
    </row>
    <row r="888" ht="14.25" customHeight="1">
      <c r="A888" s="282"/>
      <c r="B888" s="282"/>
      <c r="C888" s="282"/>
      <c r="D888" s="314"/>
      <c r="E888" s="171"/>
      <c r="F888" s="171"/>
      <c r="G888" s="173"/>
      <c r="H888" s="170"/>
      <c r="I888" s="171"/>
    </row>
    <row r="889" ht="14.25" customHeight="1">
      <c r="A889" s="282"/>
      <c r="B889" s="282"/>
      <c r="C889" s="282"/>
      <c r="D889" s="314"/>
      <c r="E889" s="171"/>
      <c r="F889" s="171"/>
      <c r="G889" s="173"/>
      <c r="H889" s="170"/>
      <c r="I889" s="171"/>
    </row>
    <row r="890" ht="14.25" customHeight="1">
      <c r="A890" s="282"/>
      <c r="B890" s="282"/>
      <c r="C890" s="282"/>
      <c r="D890" s="314"/>
      <c r="E890" s="171"/>
      <c r="F890" s="171"/>
      <c r="G890" s="173"/>
      <c r="H890" s="170"/>
      <c r="I890" s="171"/>
    </row>
    <row r="891" ht="14.25" customHeight="1">
      <c r="A891" s="282"/>
      <c r="B891" s="282"/>
      <c r="C891" s="282"/>
      <c r="D891" s="314"/>
      <c r="E891" s="171"/>
      <c r="F891" s="171"/>
      <c r="G891" s="173"/>
      <c r="H891" s="170"/>
      <c r="I891" s="171"/>
    </row>
    <row r="892" ht="14.25" customHeight="1">
      <c r="A892" s="282"/>
      <c r="B892" s="282"/>
      <c r="C892" s="282"/>
      <c r="D892" s="314"/>
      <c r="E892" s="171"/>
      <c r="F892" s="171"/>
      <c r="G892" s="173"/>
      <c r="H892" s="170"/>
      <c r="I892" s="171"/>
    </row>
    <row r="893" ht="14.25" customHeight="1">
      <c r="A893" s="282"/>
      <c r="B893" s="282"/>
      <c r="C893" s="282"/>
      <c r="D893" s="314"/>
      <c r="E893" s="171"/>
      <c r="F893" s="171"/>
      <c r="G893" s="173"/>
      <c r="H893" s="170"/>
      <c r="I893" s="171"/>
    </row>
    <row r="894" ht="14.25" customHeight="1">
      <c r="A894" s="282"/>
      <c r="B894" s="282"/>
      <c r="C894" s="282"/>
      <c r="D894" s="314"/>
      <c r="E894" s="171"/>
      <c r="F894" s="171"/>
      <c r="G894" s="173"/>
      <c r="H894" s="170"/>
      <c r="I894" s="171"/>
    </row>
    <row r="895" ht="14.25" customHeight="1">
      <c r="A895" s="282"/>
      <c r="B895" s="282"/>
      <c r="C895" s="282"/>
      <c r="D895" s="314"/>
      <c r="E895" s="171"/>
      <c r="F895" s="171"/>
      <c r="G895" s="173"/>
      <c r="H895" s="170"/>
      <c r="I895" s="171"/>
    </row>
    <row r="896" ht="14.25" customHeight="1">
      <c r="A896" s="282"/>
      <c r="B896" s="282"/>
      <c r="C896" s="282"/>
      <c r="D896" s="314"/>
      <c r="E896" s="171"/>
      <c r="F896" s="171"/>
      <c r="G896" s="173"/>
      <c r="H896" s="170"/>
      <c r="I896" s="171"/>
    </row>
    <row r="897" ht="14.25" customHeight="1">
      <c r="A897" s="282"/>
      <c r="B897" s="282"/>
      <c r="C897" s="282"/>
      <c r="D897" s="314"/>
      <c r="E897" s="171"/>
      <c r="F897" s="171"/>
      <c r="G897" s="173"/>
      <c r="H897" s="170"/>
      <c r="I897" s="171"/>
    </row>
    <row r="898" ht="14.25" customHeight="1">
      <c r="A898" s="282"/>
      <c r="B898" s="282"/>
      <c r="C898" s="282"/>
      <c r="D898" s="314"/>
      <c r="E898" s="171"/>
      <c r="F898" s="171"/>
      <c r="G898" s="173"/>
      <c r="H898" s="170"/>
      <c r="I898" s="171"/>
    </row>
    <row r="899" ht="14.25" customHeight="1">
      <c r="A899" s="282"/>
      <c r="B899" s="282"/>
      <c r="C899" s="282"/>
      <c r="D899" s="314"/>
      <c r="E899" s="171"/>
      <c r="F899" s="171"/>
      <c r="G899" s="173"/>
      <c r="H899" s="170"/>
      <c r="I899" s="171"/>
    </row>
    <row r="900" ht="14.25" customHeight="1">
      <c r="A900" s="282"/>
      <c r="B900" s="282"/>
      <c r="C900" s="282"/>
      <c r="D900" s="314"/>
      <c r="E900" s="171"/>
      <c r="F900" s="171"/>
      <c r="G900" s="173"/>
      <c r="H900" s="170"/>
      <c r="I900" s="171"/>
    </row>
    <row r="901" ht="14.25" customHeight="1">
      <c r="A901" s="282"/>
      <c r="B901" s="282"/>
      <c r="C901" s="282"/>
      <c r="D901" s="314"/>
      <c r="E901" s="171"/>
      <c r="F901" s="171"/>
      <c r="G901" s="173"/>
      <c r="H901" s="170"/>
      <c r="I901" s="171"/>
    </row>
    <row r="902" ht="14.25" customHeight="1">
      <c r="A902" s="282"/>
      <c r="B902" s="282"/>
      <c r="C902" s="282"/>
      <c r="D902" s="314"/>
      <c r="E902" s="171"/>
      <c r="F902" s="171"/>
      <c r="G902" s="173"/>
      <c r="H902" s="170"/>
      <c r="I902" s="171"/>
    </row>
    <row r="903" ht="14.25" customHeight="1">
      <c r="A903" s="282"/>
      <c r="B903" s="282"/>
      <c r="C903" s="282"/>
      <c r="D903" s="314"/>
      <c r="E903" s="171"/>
      <c r="F903" s="171"/>
      <c r="G903" s="173"/>
      <c r="H903" s="170"/>
      <c r="I903" s="171"/>
    </row>
    <row r="904" ht="14.25" customHeight="1">
      <c r="A904" s="282"/>
      <c r="B904" s="282"/>
      <c r="C904" s="282"/>
      <c r="D904" s="314"/>
      <c r="E904" s="171"/>
      <c r="F904" s="171"/>
      <c r="G904" s="173"/>
      <c r="H904" s="170"/>
      <c r="I904" s="171"/>
    </row>
    <row r="905" ht="14.25" customHeight="1">
      <c r="A905" s="282"/>
      <c r="B905" s="282"/>
      <c r="C905" s="282"/>
      <c r="D905" s="314"/>
      <c r="E905" s="171"/>
      <c r="F905" s="171"/>
      <c r="G905" s="173"/>
      <c r="H905" s="170"/>
      <c r="I905" s="171"/>
    </row>
    <row r="906" ht="14.25" customHeight="1">
      <c r="A906" s="282"/>
      <c r="B906" s="282"/>
      <c r="C906" s="282"/>
      <c r="D906" s="314"/>
      <c r="E906" s="171"/>
      <c r="F906" s="171"/>
      <c r="G906" s="173"/>
      <c r="H906" s="170"/>
      <c r="I906" s="171"/>
    </row>
    <row r="907" ht="14.25" customHeight="1">
      <c r="A907" s="282"/>
      <c r="B907" s="282"/>
      <c r="C907" s="282"/>
      <c r="D907" s="314"/>
      <c r="E907" s="171"/>
      <c r="F907" s="171"/>
      <c r="G907" s="173"/>
      <c r="H907" s="170"/>
      <c r="I907" s="171"/>
    </row>
    <row r="908" ht="14.25" customHeight="1">
      <c r="A908" s="282"/>
      <c r="B908" s="282"/>
      <c r="C908" s="282"/>
      <c r="D908" s="314"/>
      <c r="E908" s="171"/>
      <c r="F908" s="171"/>
      <c r="G908" s="173"/>
      <c r="H908" s="170"/>
      <c r="I908" s="171"/>
    </row>
    <row r="909" ht="14.25" customHeight="1">
      <c r="A909" s="282"/>
      <c r="B909" s="282"/>
      <c r="C909" s="282"/>
      <c r="D909" s="314"/>
      <c r="E909" s="171"/>
      <c r="F909" s="171"/>
      <c r="G909" s="173"/>
      <c r="H909" s="170"/>
      <c r="I909" s="171"/>
    </row>
    <row r="910" ht="14.25" customHeight="1">
      <c r="A910" s="282"/>
      <c r="B910" s="282"/>
      <c r="C910" s="282"/>
      <c r="D910" s="314"/>
      <c r="E910" s="171"/>
      <c r="F910" s="171"/>
      <c r="G910" s="173"/>
      <c r="H910" s="170"/>
      <c r="I910" s="171"/>
    </row>
    <row r="911" ht="14.25" customHeight="1">
      <c r="A911" s="282"/>
      <c r="B911" s="282"/>
      <c r="C911" s="282"/>
      <c r="D911" s="314"/>
      <c r="E911" s="171"/>
      <c r="F911" s="171"/>
      <c r="G911" s="173"/>
      <c r="H911" s="170"/>
      <c r="I911" s="171"/>
    </row>
    <row r="912" ht="14.25" customHeight="1">
      <c r="A912" s="282"/>
      <c r="B912" s="282"/>
      <c r="C912" s="282"/>
      <c r="D912" s="314"/>
      <c r="E912" s="171"/>
      <c r="F912" s="171"/>
      <c r="G912" s="173"/>
      <c r="H912" s="170"/>
      <c r="I912" s="171"/>
    </row>
    <row r="913" ht="14.25" customHeight="1">
      <c r="A913" s="282"/>
      <c r="B913" s="282"/>
      <c r="C913" s="282"/>
      <c r="D913" s="314"/>
      <c r="E913" s="171"/>
      <c r="F913" s="171"/>
      <c r="G913" s="173"/>
      <c r="H913" s="170"/>
      <c r="I913" s="171"/>
    </row>
    <row r="914" ht="14.25" customHeight="1">
      <c r="A914" s="282"/>
      <c r="B914" s="282"/>
      <c r="C914" s="282"/>
      <c r="D914" s="314"/>
      <c r="E914" s="171"/>
      <c r="F914" s="171"/>
      <c r="G914" s="173"/>
      <c r="H914" s="170"/>
      <c r="I914" s="171"/>
    </row>
    <row r="915" ht="14.25" customHeight="1">
      <c r="A915" s="282"/>
      <c r="B915" s="282"/>
      <c r="C915" s="282"/>
      <c r="D915" s="314"/>
      <c r="E915" s="171"/>
      <c r="F915" s="171"/>
      <c r="G915" s="173"/>
      <c r="H915" s="170"/>
      <c r="I915" s="171"/>
    </row>
    <row r="916" ht="14.25" customHeight="1">
      <c r="A916" s="282"/>
      <c r="B916" s="282"/>
      <c r="C916" s="282"/>
      <c r="D916" s="314"/>
      <c r="E916" s="171"/>
      <c r="F916" s="171"/>
      <c r="G916" s="173"/>
      <c r="H916" s="170"/>
      <c r="I916" s="171"/>
    </row>
    <row r="917" ht="14.25" customHeight="1">
      <c r="A917" s="282"/>
      <c r="B917" s="282"/>
      <c r="C917" s="282"/>
      <c r="D917" s="314"/>
      <c r="E917" s="171"/>
      <c r="F917" s="171"/>
      <c r="G917" s="173"/>
      <c r="H917" s="170"/>
      <c r="I917" s="171"/>
    </row>
    <row r="918" ht="14.25" customHeight="1">
      <c r="A918" s="282"/>
      <c r="B918" s="282"/>
      <c r="C918" s="282"/>
      <c r="D918" s="314"/>
      <c r="E918" s="171"/>
      <c r="F918" s="171"/>
      <c r="G918" s="173"/>
      <c r="H918" s="170"/>
      <c r="I918" s="171"/>
    </row>
    <row r="919" ht="14.25" customHeight="1">
      <c r="A919" s="282"/>
      <c r="B919" s="282"/>
      <c r="C919" s="282"/>
      <c r="D919" s="314"/>
      <c r="E919" s="171"/>
      <c r="F919" s="171"/>
      <c r="G919" s="173"/>
      <c r="H919" s="170"/>
      <c r="I919" s="171"/>
    </row>
    <row r="920" ht="14.25" customHeight="1">
      <c r="A920" s="282"/>
      <c r="B920" s="282"/>
      <c r="C920" s="282"/>
      <c r="D920" s="314"/>
      <c r="E920" s="171"/>
      <c r="F920" s="171"/>
      <c r="G920" s="173"/>
      <c r="H920" s="170"/>
      <c r="I920" s="171"/>
    </row>
    <row r="921" ht="14.25" customHeight="1">
      <c r="A921" s="282"/>
      <c r="B921" s="282"/>
      <c r="C921" s="282"/>
      <c r="D921" s="314"/>
      <c r="E921" s="171"/>
      <c r="F921" s="171"/>
      <c r="G921" s="173"/>
      <c r="H921" s="170"/>
      <c r="I921" s="171"/>
    </row>
    <row r="922" ht="14.25" customHeight="1">
      <c r="A922" s="282"/>
      <c r="B922" s="282"/>
      <c r="C922" s="282"/>
      <c r="D922" s="314"/>
      <c r="E922" s="171"/>
      <c r="F922" s="171"/>
      <c r="G922" s="173"/>
      <c r="H922" s="170"/>
      <c r="I922" s="171"/>
    </row>
    <row r="923" ht="14.25" customHeight="1">
      <c r="A923" s="282"/>
      <c r="B923" s="282"/>
      <c r="C923" s="282"/>
      <c r="D923" s="314"/>
      <c r="E923" s="171"/>
      <c r="F923" s="171"/>
      <c r="G923" s="173"/>
      <c r="H923" s="170"/>
      <c r="I923" s="171"/>
    </row>
    <row r="924" ht="14.25" customHeight="1">
      <c r="A924" s="282"/>
      <c r="B924" s="282"/>
      <c r="C924" s="282"/>
      <c r="D924" s="314"/>
      <c r="E924" s="171"/>
      <c r="F924" s="171"/>
      <c r="G924" s="173"/>
      <c r="H924" s="170"/>
      <c r="I924" s="171"/>
    </row>
    <row r="925" ht="14.25" customHeight="1">
      <c r="A925" s="282"/>
      <c r="B925" s="282"/>
      <c r="C925" s="282"/>
      <c r="D925" s="314"/>
      <c r="E925" s="171"/>
      <c r="F925" s="171"/>
      <c r="G925" s="173"/>
      <c r="H925" s="170"/>
      <c r="I925" s="171"/>
    </row>
    <row r="926" ht="14.25" customHeight="1">
      <c r="A926" s="282"/>
      <c r="B926" s="282"/>
      <c r="C926" s="282"/>
      <c r="D926" s="314"/>
      <c r="E926" s="171"/>
      <c r="F926" s="171"/>
      <c r="G926" s="173"/>
      <c r="H926" s="170"/>
      <c r="I926" s="171"/>
    </row>
    <row r="927" ht="14.25" customHeight="1">
      <c r="A927" s="282"/>
      <c r="B927" s="282"/>
      <c r="C927" s="282"/>
      <c r="D927" s="314"/>
      <c r="E927" s="171"/>
      <c r="F927" s="171"/>
      <c r="G927" s="173"/>
      <c r="H927" s="170"/>
      <c r="I927" s="171"/>
    </row>
    <row r="928" ht="14.25" customHeight="1">
      <c r="A928" s="282"/>
      <c r="B928" s="282"/>
      <c r="C928" s="282"/>
      <c r="D928" s="314"/>
      <c r="E928" s="171"/>
      <c r="F928" s="171"/>
      <c r="G928" s="173"/>
      <c r="H928" s="170"/>
      <c r="I928" s="171"/>
    </row>
    <row r="929" ht="14.25" customHeight="1">
      <c r="A929" s="282"/>
      <c r="B929" s="282"/>
      <c r="C929" s="282"/>
      <c r="D929" s="314"/>
      <c r="E929" s="171"/>
      <c r="F929" s="171"/>
      <c r="G929" s="173"/>
      <c r="H929" s="170"/>
      <c r="I929" s="171"/>
    </row>
    <row r="930" ht="14.25" customHeight="1">
      <c r="A930" s="282"/>
      <c r="B930" s="282"/>
      <c r="C930" s="282"/>
      <c r="D930" s="314"/>
      <c r="E930" s="171"/>
      <c r="F930" s="171"/>
      <c r="G930" s="173"/>
      <c r="H930" s="170"/>
      <c r="I930" s="171"/>
    </row>
    <row r="931" ht="14.25" customHeight="1">
      <c r="A931" s="282"/>
      <c r="B931" s="282"/>
      <c r="C931" s="282"/>
      <c r="D931" s="314"/>
      <c r="E931" s="171"/>
      <c r="F931" s="171"/>
      <c r="G931" s="173"/>
      <c r="H931" s="170"/>
      <c r="I931" s="171"/>
    </row>
    <row r="932" ht="14.25" customHeight="1">
      <c r="A932" s="282"/>
      <c r="B932" s="282"/>
      <c r="C932" s="282"/>
      <c r="D932" s="314"/>
      <c r="E932" s="171"/>
      <c r="F932" s="171"/>
      <c r="G932" s="173"/>
      <c r="H932" s="170"/>
      <c r="I932" s="171"/>
    </row>
    <row r="933" ht="14.25" customHeight="1">
      <c r="A933" s="282"/>
      <c r="B933" s="282"/>
      <c r="C933" s="282"/>
      <c r="D933" s="314"/>
      <c r="E933" s="171"/>
      <c r="F933" s="171"/>
      <c r="G933" s="173"/>
      <c r="H933" s="170"/>
      <c r="I933" s="171"/>
    </row>
    <row r="934" ht="14.25" customHeight="1">
      <c r="A934" s="282"/>
      <c r="B934" s="282"/>
      <c r="C934" s="282"/>
      <c r="D934" s="314"/>
      <c r="E934" s="171"/>
      <c r="F934" s="171"/>
      <c r="G934" s="173"/>
      <c r="H934" s="170"/>
      <c r="I934" s="171"/>
    </row>
    <row r="935" ht="14.25" customHeight="1">
      <c r="A935" s="282"/>
      <c r="B935" s="282"/>
      <c r="C935" s="282"/>
      <c r="D935" s="314"/>
      <c r="E935" s="171"/>
      <c r="F935" s="171"/>
      <c r="G935" s="173"/>
      <c r="H935" s="170"/>
      <c r="I935" s="171"/>
    </row>
    <row r="936" ht="14.25" customHeight="1">
      <c r="A936" s="282"/>
      <c r="B936" s="282"/>
      <c r="C936" s="282"/>
      <c r="D936" s="314"/>
      <c r="E936" s="171"/>
      <c r="F936" s="171"/>
      <c r="G936" s="173"/>
      <c r="H936" s="170"/>
      <c r="I936" s="171"/>
    </row>
    <row r="937" ht="14.25" customHeight="1">
      <c r="A937" s="282"/>
      <c r="B937" s="282"/>
      <c r="C937" s="282"/>
      <c r="D937" s="314"/>
      <c r="E937" s="171"/>
      <c r="F937" s="171"/>
      <c r="G937" s="173"/>
      <c r="H937" s="170"/>
      <c r="I937" s="171"/>
    </row>
    <row r="938" ht="14.25" customHeight="1">
      <c r="A938" s="282"/>
      <c r="B938" s="282"/>
      <c r="C938" s="282"/>
      <c r="D938" s="314"/>
      <c r="E938" s="171"/>
      <c r="F938" s="171"/>
      <c r="G938" s="173"/>
      <c r="H938" s="170"/>
      <c r="I938" s="171"/>
    </row>
    <row r="939" ht="14.25" customHeight="1">
      <c r="A939" s="282"/>
      <c r="B939" s="282"/>
      <c r="C939" s="282"/>
      <c r="D939" s="314"/>
      <c r="E939" s="171"/>
      <c r="F939" s="171"/>
      <c r="G939" s="173"/>
      <c r="H939" s="170"/>
      <c r="I939" s="171"/>
    </row>
    <row r="940" ht="14.25" customHeight="1">
      <c r="A940" s="282"/>
      <c r="B940" s="282"/>
      <c r="C940" s="282"/>
      <c r="D940" s="314"/>
      <c r="E940" s="171"/>
      <c r="F940" s="171"/>
      <c r="G940" s="173"/>
      <c r="H940" s="170"/>
      <c r="I940" s="171"/>
    </row>
    <row r="941" ht="14.25" customHeight="1">
      <c r="A941" s="282"/>
      <c r="B941" s="282"/>
      <c r="C941" s="282"/>
      <c r="D941" s="314"/>
      <c r="E941" s="171"/>
      <c r="F941" s="171"/>
      <c r="G941" s="173"/>
      <c r="H941" s="170"/>
      <c r="I941" s="171"/>
    </row>
    <row r="942" ht="14.25" customHeight="1">
      <c r="A942" s="282"/>
      <c r="B942" s="282"/>
      <c r="C942" s="282"/>
      <c r="D942" s="314"/>
      <c r="E942" s="171"/>
      <c r="F942" s="171"/>
      <c r="G942" s="173"/>
      <c r="H942" s="170"/>
      <c r="I942" s="171"/>
    </row>
    <row r="943" ht="14.25" customHeight="1">
      <c r="A943" s="282"/>
      <c r="B943" s="282"/>
      <c r="C943" s="282"/>
      <c r="D943" s="314"/>
      <c r="E943" s="171"/>
      <c r="F943" s="171"/>
      <c r="G943" s="173"/>
      <c r="H943" s="170"/>
      <c r="I943" s="171"/>
    </row>
    <row r="944" ht="14.25" customHeight="1">
      <c r="A944" s="282"/>
      <c r="B944" s="282"/>
      <c r="C944" s="282"/>
      <c r="D944" s="314"/>
      <c r="E944" s="171"/>
      <c r="F944" s="171"/>
      <c r="G944" s="173"/>
      <c r="H944" s="170"/>
      <c r="I944" s="171"/>
    </row>
    <row r="945" ht="14.25" customHeight="1">
      <c r="A945" s="282"/>
      <c r="B945" s="282"/>
      <c r="C945" s="282"/>
      <c r="D945" s="314"/>
      <c r="E945" s="171"/>
      <c r="F945" s="171"/>
      <c r="G945" s="173"/>
      <c r="H945" s="170"/>
      <c r="I945" s="171"/>
    </row>
    <row r="946" ht="14.25" customHeight="1">
      <c r="A946" s="282"/>
      <c r="B946" s="282"/>
      <c r="C946" s="282"/>
      <c r="D946" s="314"/>
      <c r="E946" s="171"/>
      <c r="F946" s="171"/>
      <c r="G946" s="173"/>
      <c r="H946" s="170"/>
      <c r="I946" s="171"/>
    </row>
    <row r="947" ht="14.25" customHeight="1">
      <c r="A947" s="282"/>
      <c r="B947" s="282"/>
      <c r="C947" s="282"/>
      <c r="D947" s="314"/>
      <c r="E947" s="171"/>
      <c r="F947" s="171"/>
      <c r="G947" s="173"/>
      <c r="H947" s="170"/>
      <c r="I947" s="171"/>
    </row>
    <row r="948" ht="14.25" customHeight="1">
      <c r="A948" s="282"/>
      <c r="B948" s="282"/>
      <c r="C948" s="282"/>
      <c r="D948" s="314"/>
      <c r="E948" s="171"/>
      <c r="F948" s="171"/>
      <c r="G948" s="173"/>
      <c r="H948" s="170"/>
      <c r="I948" s="171"/>
    </row>
    <row r="949" ht="14.25" customHeight="1">
      <c r="A949" s="282"/>
      <c r="B949" s="282"/>
      <c r="C949" s="282"/>
      <c r="D949" s="314"/>
      <c r="E949" s="171"/>
      <c r="F949" s="171"/>
      <c r="G949" s="173"/>
      <c r="H949" s="170"/>
      <c r="I949" s="171"/>
    </row>
    <row r="950" ht="14.25" customHeight="1">
      <c r="A950" s="282"/>
      <c r="B950" s="282"/>
      <c r="C950" s="282"/>
      <c r="D950" s="314"/>
      <c r="E950" s="171"/>
      <c r="F950" s="171"/>
      <c r="G950" s="173"/>
      <c r="H950" s="170"/>
      <c r="I950" s="171"/>
    </row>
    <row r="951" ht="14.25" customHeight="1">
      <c r="A951" s="282"/>
      <c r="B951" s="282"/>
      <c r="C951" s="282"/>
      <c r="D951" s="314"/>
      <c r="E951" s="171"/>
      <c r="F951" s="171"/>
      <c r="G951" s="173"/>
      <c r="H951" s="170"/>
      <c r="I951" s="171"/>
    </row>
    <row r="952" ht="14.25" customHeight="1">
      <c r="A952" s="282"/>
      <c r="B952" s="282"/>
      <c r="C952" s="282"/>
      <c r="D952" s="314"/>
      <c r="E952" s="171"/>
      <c r="F952" s="171"/>
      <c r="G952" s="173"/>
      <c r="H952" s="170"/>
      <c r="I952" s="171"/>
    </row>
    <row r="953" ht="14.25" customHeight="1">
      <c r="A953" s="282"/>
      <c r="B953" s="282"/>
      <c r="C953" s="282"/>
      <c r="D953" s="314"/>
      <c r="E953" s="171"/>
      <c r="F953" s="171"/>
      <c r="G953" s="173"/>
      <c r="H953" s="170"/>
      <c r="I953" s="171"/>
    </row>
    <row r="954" ht="14.25" customHeight="1">
      <c r="A954" s="282"/>
      <c r="B954" s="282"/>
      <c r="C954" s="282"/>
      <c r="D954" s="314"/>
      <c r="E954" s="171"/>
      <c r="F954" s="171"/>
      <c r="G954" s="173"/>
      <c r="H954" s="170"/>
      <c r="I954" s="171"/>
    </row>
    <row r="955" ht="14.25" customHeight="1">
      <c r="A955" s="282"/>
      <c r="B955" s="282"/>
      <c r="C955" s="282"/>
      <c r="D955" s="314"/>
      <c r="E955" s="171"/>
      <c r="F955" s="171"/>
      <c r="G955" s="173"/>
      <c r="H955" s="170"/>
      <c r="I955" s="171"/>
    </row>
    <row r="956" ht="14.25" customHeight="1">
      <c r="A956" s="282"/>
      <c r="B956" s="282"/>
      <c r="C956" s="282"/>
      <c r="D956" s="314"/>
      <c r="E956" s="171"/>
      <c r="F956" s="171"/>
      <c r="G956" s="173"/>
      <c r="H956" s="170"/>
      <c r="I956" s="171"/>
    </row>
    <row r="957" ht="14.25" customHeight="1">
      <c r="A957" s="282"/>
      <c r="B957" s="282"/>
      <c r="C957" s="282"/>
      <c r="D957" s="314"/>
      <c r="E957" s="171"/>
      <c r="F957" s="171"/>
      <c r="G957" s="173"/>
      <c r="H957" s="170"/>
      <c r="I957" s="171"/>
    </row>
    <row r="958" ht="14.25" customHeight="1">
      <c r="A958" s="282"/>
      <c r="B958" s="282"/>
      <c r="C958" s="282"/>
      <c r="D958" s="314"/>
      <c r="E958" s="171"/>
      <c r="F958" s="171"/>
      <c r="G958" s="173"/>
      <c r="H958" s="170"/>
      <c r="I958" s="171"/>
    </row>
    <row r="959" ht="14.25" customHeight="1">
      <c r="A959" s="282"/>
      <c r="B959" s="282"/>
      <c r="C959" s="282"/>
      <c r="D959" s="314"/>
      <c r="E959" s="171"/>
      <c r="F959" s="171"/>
      <c r="G959" s="173"/>
      <c r="H959" s="170"/>
      <c r="I959" s="171"/>
    </row>
    <row r="960" ht="14.25" customHeight="1">
      <c r="A960" s="282"/>
      <c r="B960" s="282"/>
      <c r="C960" s="282"/>
      <c r="D960" s="314"/>
      <c r="E960" s="171"/>
      <c r="F960" s="171"/>
      <c r="G960" s="173"/>
      <c r="H960" s="170"/>
      <c r="I960" s="171"/>
    </row>
    <row r="961" ht="14.25" customHeight="1">
      <c r="A961" s="282"/>
      <c r="B961" s="282"/>
      <c r="C961" s="282"/>
      <c r="D961" s="314"/>
      <c r="E961" s="171"/>
      <c r="F961" s="171"/>
      <c r="G961" s="173"/>
      <c r="H961" s="170"/>
      <c r="I961" s="171"/>
    </row>
    <row r="962" ht="14.25" customHeight="1">
      <c r="A962" s="282"/>
      <c r="B962" s="282"/>
      <c r="C962" s="282"/>
      <c r="D962" s="314"/>
      <c r="E962" s="171"/>
      <c r="F962" s="171"/>
      <c r="G962" s="173"/>
      <c r="H962" s="170"/>
      <c r="I962" s="171"/>
    </row>
    <row r="963" ht="14.25" customHeight="1">
      <c r="A963" s="282"/>
      <c r="B963" s="282"/>
      <c r="C963" s="282"/>
      <c r="D963" s="314"/>
      <c r="E963" s="171"/>
      <c r="F963" s="171"/>
      <c r="G963" s="173"/>
      <c r="H963" s="170"/>
      <c r="I963" s="171"/>
    </row>
    <row r="964" ht="14.25" customHeight="1">
      <c r="A964" s="282"/>
      <c r="B964" s="282"/>
      <c r="C964" s="282"/>
      <c r="D964" s="314"/>
      <c r="E964" s="171"/>
      <c r="F964" s="171"/>
      <c r="G964" s="173"/>
      <c r="H964" s="170"/>
      <c r="I964" s="171"/>
    </row>
    <row r="965" ht="14.25" customHeight="1">
      <c r="A965" s="282"/>
      <c r="B965" s="282"/>
      <c r="C965" s="282"/>
      <c r="D965" s="314"/>
      <c r="E965" s="171"/>
      <c r="F965" s="171"/>
      <c r="G965" s="173"/>
      <c r="H965" s="170"/>
      <c r="I965" s="171"/>
    </row>
    <row r="966" ht="14.25" customHeight="1">
      <c r="A966" s="282"/>
      <c r="B966" s="282"/>
      <c r="C966" s="282"/>
      <c r="D966" s="314"/>
      <c r="E966" s="171"/>
      <c r="F966" s="171"/>
      <c r="G966" s="173"/>
      <c r="H966" s="170"/>
      <c r="I966" s="171"/>
    </row>
    <row r="967" ht="14.25" customHeight="1">
      <c r="A967" s="282"/>
      <c r="B967" s="282"/>
      <c r="C967" s="282"/>
      <c r="D967" s="314"/>
      <c r="E967" s="171"/>
      <c r="F967" s="171"/>
      <c r="G967" s="173"/>
      <c r="H967" s="170"/>
      <c r="I967" s="171"/>
    </row>
    <row r="968" ht="14.25" customHeight="1">
      <c r="A968" s="282"/>
      <c r="B968" s="282"/>
      <c r="C968" s="282"/>
      <c r="D968" s="314"/>
      <c r="E968" s="171"/>
      <c r="F968" s="171"/>
      <c r="G968" s="173"/>
      <c r="H968" s="170"/>
      <c r="I968" s="171"/>
    </row>
    <row r="969" ht="14.25" customHeight="1">
      <c r="A969" s="282"/>
      <c r="B969" s="282"/>
      <c r="C969" s="282"/>
      <c r="D969" s="314"/>
      <c r="E969" s="171"/>
      <c r="F969" s="171"/>
      <c r="G969" s="173"/>
      <c r="H969" s="170"/>
      <c r="I969" s="171"/>
    </row>
    <row r="970" ht="14.25" customHeight="1">
      <c r="A970" s="282"/>
      <c r="B970" s="282"/>
      <c r="C970" s="282"/>
      <c r="D970" s="314"/>
      <c r="E970" s="171"/>
      <c r="F970" s="171"/>
      <c r="G970" s="173"/>
      <c r="H970" s="170"/>
      <c r="I970" s="171"/>
    </row>
    <row r="971" ht="14.25" customHeight="1">
      <c r="A971" s="282"/>
      <c r="B971" s="282"/>
      <c r="C971" s="282"/>
      <c r="D971" s="314"/>
      <c r="E971" s="171"/>
      <c r="F971" s="171"/>
      <c r="G971" s="173"/>
      <c r="H971" s="170"/>
      <c r="I971" s="171"/>
    </row>
    <row r="972" ht="14.25" customHeight="1">
      <c r="A972" s="282"/>
      <c r="B972" s="282"/>
      <c r="C972" s="282"/>
      <c r="D972" s="314"/>
      <c r="E972" s="171"/>
      <c r="F972" s="171"/>
      <c r="G972" s="173"/>
      <c r="H972" s="170"/>
      <c r="I972" s="171"/>
    </row>
    <row r="973" ht="14.25" customHeight="1">
      <c r="A973" s="282"/>
      <c r="B973" s="282"/>
      <c r="C973" s="282"/>
      <c r="D973" s="314"/>
      <c r="E973" s="171"/>
      <c r="F973" s="171"/>
      <c r="G973" s="173"/>
      <c r="H973" s="170"/>
      <c r="I973" s="171"/>
    </row>
    <row r="974" ht="14.25" customHeight="1">
      <c r="A974" s="282"/>
      <c r="B974" s="282"/>
      <c r="C974" s="282"/>
      <c r="D974" s="314"/>
      <c r="E974" s="171"/>
      <c r="F974" s="171"/>
      <c r="G974" s="173"/>
      <c r="H974" s="170"/>
      <c r="I974" s="171"/>
    </row>
    <row r="975" ht="14.25" customHeight="1">
      <c r="A975" s="282"/>
      <c r="B975" s="282"/>
      <c r="C975" s="282"/>
      <c r="D975" s="314"/>
      <c r="E975" s="171"/>
      <c r="F975" s="171"/>
      <c r="G975" s="173"/>
      <c r="H975" s="170"/>
      <c r="I975" s="171"/>
    </row>
    <row r="976" ht="14.25" customHeight="1">
      <c r="A976" s="282"/>
      <c r="B976" s="282"/>
      <c r="C976" s="282"/>
      <c r="D976" s="314"/>
      <c r="E976" s="171"/>
      <c r="F976" s="171"/>
      <c r="G976" s="173"/>
      <c r="H976" s="170"/>
      <c r="I976" s="171"/>
    </row>
    <row r="977" ht="14.25" customHeight="1">
      <c r="A977" s="282"/>
      <c r="B977" s="282"/>
      <c r="C977" s="282"/>
      <c r="D977" s="314"/>
      <c r="E977" s="171"/>
      <c r="F977" s="171"/>
      <c r="G977" s="173"/>
      <c r="H977" s="170"/>
      <c r="I977" s="171"/>
    </row>
    <row r="978" ht="14.25" customHeight="1">
      <c r="A978" s="282"/>
      <c r="B978" s="282"/>
      <c r="C978" s="282"/>
      <c r="D978" s="314"/>
      <c r="E978" s="171"/>
      <c r="F978" s="171"/>
      <c r="G978" s="173"/>
      <c r="H978" s="170"/>
      <c r="I978" s="171"/>
    </row>
    <row r="979" ht="14.25" customHeight="1">
      <c r="A979" s="282"/>
      <c r="B979" s="282"/>
      <c r="C979" s="282"/>
      <c r="D979" s="314"/>
      <c r="E979" s="171"/>
      <c r="F979" s="171"/>
      <c r="G979" s="173"/>
      <c r="H979" s="170"/>
      <c r="I979" s="171"/>
    </row>
    <row r="980" ht="14.25" customHeight="1">
      <c r="A980" s="282"/>
      <c r="B980" s="282"/>
      <c r="C980" s="282"/>
      <c r="D980" s="314"/>
      <c r="E980" s="171"/>
      <c r="F980" s="171"/>
      <c r="G980" s="173"/>
      <c r="H980" s="170"/>
      <c r="I980" s="171"/>
    </row>
    <row r="981" ht="14.25" customHeight="1">
      <c r="A981" s="282"/>
      <c r="B981" s="282"/>
      <c r="C981" s="282"/>
      <c r="D981" s="314"/>
      <c r="E981" s="171"/>
      <c r="F981" s="171"/>
      <c r="G981" s="173"/>
      <c r="H981" s="170"/>
      <c r="I981" s="171"/>
    </row>
    <row r="982" ht="14.25" customHeight="1">
      <c r="A982" s="282"/>
      <c r="B982" s="282"/>
      <c r="C982" s="282"/>
      <c r="D982" s="314"/>
      <c r="E982" s="171"/>
      <c r="F982" s="171"/>
      <c r="G982" s="173"/>
      <c r="H982" s="170"/>
      <c r="I982" s="171"/>
    </row>
    <row r="983" ht="14.25" customHeight="1">
      <c r="A983" s="282"/>
      <c r="B983" s="282"/>
      <c r="C983" s="282"/>
      <c r="D983" s="314"/>
      <c r="E983" s="171"/>
      <c r="F983" s="171"/>
      <c r="G983" s="173"/>
      <c r="H983" s="170"/>
      <c r="I983" s="171"/>
    </row>
    <row r="984" ht="14.25" customHeight="1">
      <c r="A984" s="282"/>
      <c r="B984" s="282"/>
      <c r="C984" s="282"/>
      <c r="D984" s="314"/>
      <c r="E984" s="171"/>
      <c r="F984" s="171"/>
      <c r="G984" s="173"/>
      <c r="H984" s="170"/>
      <c r="I984" s="171"/>
    </row>
    <row r="985" ht="14.25" customHeight="1">
      <c r="A985" s="282"/>
      <c r="B985" s="282"/>
      <c r="C985" s="282"/>
      <c r="D985" s="314"/>
      <c r="E985" s="171"/>
      <c r="F985" s="171"/>
      <c r="G985" s="173"/>
      <c r="H985" s="170"/>
      <c r="I985" s="171"/>
    </row>
    <row r="986" ht="14.25" customHeight="1">
      <c r="A986" s="282"/>
      <c r="B986" s="282"/>
      <c r="C986" s="282"/>
      <c r="D986" s="314"/>
      <c r="E986" s="171"/>
      <c r="F986" s="171"/>
      <c r="G986" s="173"/>
      <c r="H986" s="170"/>
      <c r="I986" s="171"/>
    </row>
    <row r="987" ht="14.25" customHeight="1">
      <c r="A987" s="282"/>
      <c r="B987" s="282"/>
      <c r="C987" s="282"/>
      <c r="D987" s="314"/>
      <c r="E987" s="171"/>
      <c r="F987" s="171"/>
      <c r="G987" s="173"/>
      <c r="H987" s="170"/>
      <c r="I987" s="171"/>
    </row>
    <row r="988" ht="14.25" customHeight="1">
      <c r="A988" s="282"/>
      <c r="B988" s="282"/>
      <c r="C988" s="282"/>
      <c r="D988" s="314"/>
      <c r="E988" s="171"/>
      <c r="F988" s="171"/>
      <c r="G988" s="173"/>
      <c r="H988" s="170"/>
      <c r="I988" s="171"/>
    </row>
    <row r="989" ht="14.25" customHeight="1">
      <c r="A989" s="282"/>
      <c r="B989" s="282"/>
      <c r="C989" s="282"/>
      <c r="D989" s="314"/>
      <c r="E989" s="171"/>
      <c r="F989" s="171"/>
      <c r="G989" s="173"/>
      <c r="H989" s="170"/>
      <c r="I989" s="171"/>
    </row>
    <row r="990" ht="14.25" customHeight="1">
      <c r="A990" s="282"/>
      <c r="B990" s="282"/>
      <c r="C990" s="282"/>
      <c r="D990" s="314"/>
      <c r="E990" s="171"/>
      <c r="F990" s="171"/>
      <c r="G990" s="173"/>
      <c r="H990" s="170"/>
      <c r="I990" s="171"/>
    </row>
    <row r="991" ht="14.25" customHeight="1">
      <c r="A991" s="282"/>
      <c r="B991" s="282"/>
      <c r="C991" s="282"/>
      <c r="D991" s="314"/>
      <c r="E991" s="171"/>
      <c r="F991" s="171"/>
      <c r="G991" s="173"/>
      <c r="H991" s="170"/>
      <c r="I991" s="171"/>
    </row>
    <row r="992" ht="14.25" customHeight="1">
      <c r="A992" s="282"/>
      <c r="B992" s="282"/>
      <c r="C992" s="282"/>
      <c r="D992" s="314"/>
      <c r="E992" s="171"/>
      <c r="F992" s="171"/>
      <c r="G992" s="173"/>
      <c r="H992" s="170"/>
      <c r="I992" s="171"/>
    </row>
    <row r="993" ht="14.25" customHeight="1">
      <c r="A993" s="282"/>
      <c r="B993" s="282"/>
      <c r="C993" s="282"/>
      <c r="D993" s="314"/>
      <c r="E993" s="171"/>
      <c r="F993" s="171"/>
      <c r="G993" s="173"/>
      <c r="H993" s="170"/>
      <c r="I993" s="171"/>
    </row>
    <row r="994" ht="14.25" customHeight="1">
      <c r="A994" s="282"/>
      <c r="B994" s="282"/>
      <c r="C994" s="282"/>
      <c r="D994" s="314"/>
      <c r="E994" s="171"/>
      <c r="F994" s="171"/>
      <c r="G994" s="173"/>
      <c r="H994" s="170"/>
      <c r="I994" s="171"/>
    </row>
    <row r="995" ht="14.25" customHeight="1">
      <c r="A995" s="282"/>
      <c r="B995" s="282"/>
      <c r="C995" s="282"/>
      <c r="D995" s="314"/>
      <c r="E995" s="171"/>
      <c r="F995" s="171"/>
      <c r="G995" s="173"/>
      <c r="H995" s="170"/>
      <c r="I995" s="171"/>
    </row>
    <row r="996" ht="14.25" customHeight="1">
      <c r="A996" s="282"/>
      <c r="B996" s="282"/>
      <c r="C996" s="282"/>
      <c r="D996" s="314"/>
      <c r="E996" s="171"/>
      <c r="F996" s="171"/>
      <c r="G996" s="173"/>
      <c r="H996" s="170"/>
      <c r="I996" s="171"/>
    </row>
    <row r="997" ht="14.25" customHeight="1">
      <c r="A997" s="282"/>
      <c r="B997" s="282"/>
      <c r="C997" s="282"/>
      <c r="D997" s="314"/>
      <c r="E997" s="171"/>
      <c r="F997" s="171"/>
      <c r="G997" s="173"/>
      <c r="H997" s="170"/>
      <c r="I997" s="171"/>
    </row>
    <row r="998" ht="14.25" customHeight="1">
      <c r="A998" s="282"/>
      <c r="B998" s="282"/>
      <c r="C998" s="282"/>
      <c r="D998" s="314"/>
      <c r="E998" s="171"/>
      <c r="F998" s="171"/>
      <c r="G998" s="173"/>
      <c r="H998" s="170"/>
      <c r="I998" s="171"/>
    </row>
    <row r="999" ht="14.25" customHeight="1">
      <c r="A999" s="282"/>
      <c r="B999" s="282"/>
      <c r="C999" s="282"/>
      <c r="D999" s="314"/>
      <c r="E999" s="171"/>
      <c r="F999" s="171"/>
      <c r="G999" s="173"/>
      <c r="H999" s="170"/>
      <c r="I999" s="171"/>
    </row>
    <row r="1000" ht="14.25" customHeight="1">
      <c r="A1000" s="282"/>
      <c r="B1000" s="282"/>
      <c r="C1000" s="282"/>
      <c r="D1000" s="314"/>
      <c r="E1000" s="171"/>
      <c r="F1000" s="171"/>
      <c r="G1000" s="173"/>
      <c r="H1000" s="170"/>
      <c r="I1000" s="171"/>
    </row>
    <row r="1001" ht="14.25" customHeight="1">
      <c r="A1001" s="282"/>
      <c r="B1001" s="282"/>
      <c r="C1001" s="282"/>
      <c r="D1001" s="314"/>
      <c r="E1001" s="171"/>
      <c r="F1001" s="171"/>
      <c r="G1001" s="173"/>
      <c r="H1001" s="170"/>
      <c r="I1001" s="171"/>
    </row>
    <row r="1002" ht="14.25" customHeight="1">
      <c r="A1002" s="282"/>
      <c r="B1002" s="282"/>
      <c r="C1002" s="282"/>
      <c r="D1002" s="314"/>
      <c r="E1002" s="171"/>
      <c r="F1002" s="171"/>
      <c r="G1002" s="173"/>
      <c r="H1002" s="170"/>
      <c r="I1002" s="171"/>
    </row>
    <row r="1003" ht="14.25" customHeight="1">
      <c r="A1003" s="282"/>
      <c r="B1003" s="282"/>
      <c r="C1003" s="282"/>
      <c r="D1003" s="314"/>
      <c r="E1003" s="171"/>
      <c r="F1003" s="171"/>
      <c r="G1003" s="173"/>
      <c r="H1003" s="170"/>
      <c r="I1003" s="171"/>
    </row>
    <row r="1004" ht="14.25" customHeight="1">
      <c r="A1004" s="282"/>
      <c r="B1004" s="282"/>
      <c r="C1004" s="282"/>
      <c r="D1004" s="314"/>
      <c r="E1004" s="171"/>
      <c r="F1004" s="171"/>
      <c r="G1004" s="173"/>
      <c r="H1004" s="170"/>
      <c r="I1004" s="171"/>
    </row>
    <row r="1005" ht="14.25" customHeight="1">
      <c r="A1005" s="282"/>
      <c r="B1005" s="282"/>
      <c r="C1005" s="282"/>
      <c r="D1005" s="314"/>
      <c r="E1005" s="171"/>
      <c r="F1005" s="171"/>
      <c r="G1005" s="173"/>
      <c r="H1005" s="170"/>
      <c r="I1005" s="171"/>
    </row>
    <row r="1006" ht="14.25" customHeight="1">
      <c r="A1006" s="282"/>
      <c r="B1006" s="282"/>
      <c r="C1006" s="282"/>
      <c r="D1006" s="314"/>
      <c r="E1006" s="171"/>
      <c r="F1006" s="171"/>
      <c r="G1006" s="173"/>
      <c r="H1006" s="170"/>
      <c r="I1006" s="171"/>
    </row>
    <row r="1007" ht="14.25" customHeight="1">
      <c r="A1007" s="282"/>
      <c r="B1007" s="282"/>
      <c r="C1007" s="282"/>
      <c r="D1007" s="314"/>
      <c r="E1007" s="171"/>
      <c r="F1007" s="171"/>
      <c r="G1007" s="173"/>
      <c r="H1007" s="170"/>
      <c r="I1007" s="171"/>
    </row>
    <row r="1008" ht="14.25" customHeight="1">
      <c r="A1008" s="282"/>
      <c r="B1008" s="282"/>
      <c r="C1008" s="282"/>
      <c r="D1008" s="314"/>
      <c r="E1008" s="171"/>
      <c r="F1008" s="171"/>
      <c r="G1008" s="173"/>
      <c r="H1008" s="170"/>
      <c r="I1008" s="171"/>
    </row>
    <row r="1009" ht="14.25" customHeight="1">
      <c r="A1009" s="282"/>
      <c r="B1009" s="282"/>
      <c r="C1009" s="282"/>
      <c r="D1009" s="314"/>
      <c r="E1009" s="171"/>
      <c r="F1009" s="171"/>
      <c r="G1009" s="173"/>
      <c r="H1009" s="170"/>
      <c r="I1009" s="171"/>
    </row>
    <row r="1010" ht="14.25" customHeight="1">
      <c r="A1010" s="282"/>
      <c r="B1010" s="282"/>
      <c r="C1010" s="282"/>
      <c r="D1010" s="314"/>
      <c r="E1010" s="171"/>
      <c r="F1010" s="171"/>
      <c r="G1010" s="173"/>
      <c r="H1010" s="170"/>
      <c r="I1010" s="171"/>
    </row>
    <row r="1011" ht="14.25" customHeight="1">
      <c r="A1011" s="282"/>
      <c r="B1011" s="282"/>
      <c r="C1011" s="282"/>
      <c r="D1011" s="314"/>
      <c r="E1011" s="171"/>
      <c r="F1011" s="171"/>
      <c r="G1011" s="173"/>
      <c r="H1011" s="170"/>
      <c r="I1011" s="171"/>
    </row>
    <row r="1012" ht="14.25" customHeight="1">
      <c r="A1012" s="282"/>
      <c r="B1012" s="282"/>
      <c r="C1012" s="282"/>
      <c r="D1012" s="314"/>
      <c r="E1012" s="171"/>
      <c r="F1012" s="171"/>
      <c r="G1012" s="173"/>
      <c r="H1012" s="170"/>
      <c r="I1012" s="171"/>
    </row>
  </sheetData>
  <mergeCells count="11">
    <mergeCell ref="B5:D5"/>
    <mergeCell ref="B6:D6"/>
    <mergeCell ref="F6:G6"/>
    <mergeCell ref="F52:I52"/>
    <mergeCell ref="A1:G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1.14"/>
    <col customWidth="1" min="6" max="6" width="17.0"/>
    <col customWidth="1" min="7" max="7" width="22.29"/>
    <col customWidth="1" min="8" max="8" width="13.0"/>
    <col customWidth="1" min="9" max="28" width="8.71"/>
  </cols>
  <sheetData>
    <row r="1" ht="30.0" customHeight="1">
      <c r="A1" s="105" t="s">
        <v>42</v>
      </c>
    </row>
    <row r="2" ht="19.5" customHeight="1">
      <c r="A2" s="171"/>
      <c r="B2" s="282"/>
      <c r="C2" s="312" t="s">
        <v>43</v>
      </c>
      <c r="F2" s="171"/>
      <c r="G2" s="173"/>
      <c r="H2" s="170"/>
      <c r="I2" s="171"/>
    </row>
    <row r="3" ht="14.25" customHeight="1">
      <c r="A3" s="174" t="s">
        <v>44</v>
      </c>
      <c r="B3" s="283" t="s">
        <v>1172</v>
      </c>
      <c r="E3" s="325" t="s">
        <v>46</v>
      </c>
      <c r="F3" s="175" t="s">
        <v>1173</v>
      </c>
      <c r="H3" s="170"/>
      <c r="I3" s="171"/>
    </row>
    <row r="4" ht="14.25" customHeight="1">
      <c r="A4" s="174" t="s">
        <v>48</v>
      </c>
      <c r="B4" s="283" t="s">
        <v>1174</v>
      </c>
      <c r="E4" s="325" t="s">
        <v>105</v>
      </c>
      <c r="F4" s="283">
        <v>6.506136100153E12</v>
      </c>
      <c r="H4" s="170"/>
      <c r="I4" s="171"/>
    </row>
    <row r="5" ht="14.25" customHeight="1">
      <c r="A5" s="174" t="s">
        <v>51</v>
      </c>
      <c r="B5" s="283" t="s">
        <v>52</v>
      </c>
      <c r="E5" s="325" t="s">
        <v>53</v>
      </c>
      <c r="F5" s="283" t="s">
        <v>1174</v>
      </c>
      <c r="H5" s="170"/>
      <c r="I5" s="171"/>
    </row>
    <row r="6" ht="14.25" customHeight="1">
      <c r="A6" s="174" t="s">
        <v>54</v>
      </c>
      <c r="B6" s="283"/>
      <c r="E6" s="325" t="s">
        <v>55</v>
      </c>
      <c r="F6" s="283">
        <v>9.110005942864E12</v>
      </c>
      <c r="H6" s="170"/>
      <c r="I6" s="171"/>
    </row>
    <row r="7" ht="14.25" customHeight="1">
      <c r="A7" s="171"/>
      <c r="B7" s="282"/>
      <c r="C7" s="305"/>
      <c r="D7" s="326"/>
      <c r="E7" s="326"/>
      <c r="F7" s="171"/>
      <c r="G7" s="173"/>
      <c r="H7" s="170"/>
      <c r="I7" s="171"/>
    </row>
    <row r="8" ht="14.25" customHeight="1">
      <c r="A8" s="171"/>
      <c r="B8" s="282"/>
      <c r="C8" s="305"/>
      <c r="D8" s="326"/>
      <c r="E8" s="326"/>
      <c r="F8" s="171"/>
      <c r="G8" s="173"/>
      <c r="H8" s="170"/>
      <c r="I8" s="171"/>
    </row>
    <row r="9" ht="14.25" customHeight="1">
      <c r="A9" s="107" t="s">
        <v>56</v>
      </c>
      <c r="B9" s="108" t="s">
        <v>107</v>
      </c>
      <c r="C9" s="327" t="s">
        <v>58</v>
      </c>
      <c r="D9" s="328" t="s">
        <v>59</v>
      </c>
      <c r="E9" s="328" t="s">
        <v>60</v>
      </c>
      <c r="F9" s="107" t="s">
        <v>61</v>
      </c>
      <c r="G9" s="110" t="s">
        <v>62</v>
      </c>
      <c r="H9" s="111" t="s">
        <v>63</v>
      </c>
      <c r="I9" s="107" t="s">
        <v>64</v>
      </c>
    </row>
    <row r="10" ht="14.25" customHeight="1">
      <c r="A10" s="284" t="s">
        <v>1175</v>
      </c>
      <c r="B10" s="284">
        <v>7.8259927E7</v>
      </c>
      <c r="C10" s="329" t="s">
        <v>1176</v>
      </c>
      <c r="D10" s="330">
        <v>0.4354166666666667</v>
      </c>
      <c r="E10" s="330">
        <v>0.47708333333333336</v>
      </c>
      <c r="F10" s="285">
        <v>1.0</v>
      </c>
      <c r="G10" s="331">
        <v>1.0</v>
      </c>
      <c r="H10" s="181">
        <f t="shared" ref="H10:H48" si="1">200*G10</f>
        <v>200</v>
      </c>
      <c r="I10" s="119"/>
    </row>
    <row r="11" ht="14.25" customHeight="1">
      <c r="A11" s="185" t="s">
        <v>1177</v>
      </c>
      <c r="B11" s="185">
        <v>7.6740606E7</v>
      </c>
      <c r="C11" s="329" t="s">
        <v>1176</v>
      </c>
      <c r="D11" s="330">
        <v>0.5215277777777778</v>
      </c>
      <c r="E11" s="330">
        <v>0.5631944444444444</v>
      </c>
      <c r="F11" s="291">
        <v>1.0</v>
      </c>
      <c r="G11" s="331">
        <v>1.0</v>
      </c>
      <c r="H11" s="181">
        <f t="shared" si="1"/>
        <v>200</v>
      </c>
      <c r="I11" s="119"/>
    </row>
    <row r="12" ht="14.25" customHeight="1">
      <c r="A12" s="185" t="s">
        <v>1178</v>
      </c>
      <c r="B12" s="185">
        <v>7.8575654E7</v>
      </c>
      <c r="C12" s="329" t="s">
        <v>1176</v>
      </c>
      <c r="D12" s="330">
        <v>0.6326388888888889</v>
      </c>
      <c r="E12" s="330">
        <v>0.6743055555555556</v>
      </c>
      <c r="F12" s="291">
        <v>1.0</v>
      </c>
      <c r="G12" s="331">
        <v>1.0</v>
      </c>
      <c r="H12" s="181">
        <f t="shared" si="1"/>
        <v>200</v>
      </c>
      <c r="I12" s="119"/>
    </row>
    <row r="13" ht="14.25" customHeight="1">
      <c r="A13" s="290" t="s">
        <v>1179</v>
      </c>
      <c r="B13" s="290">
        <v>7.8328052E7</v>
      </c>
      <c r="C13" s="329" t="s">
        <v>1176</v>
      </c>
      <c r="D13" s="330"/>
      <c r="E13" s="330"/>
      <c r="F13" s="291">
        <v>2.0</v>
      </c>
      <c r="G13" s="331">
        <v>2.0</v>
      </c>
      <c r="H13" s="181">
        <f t="shared" si="1"/>
        <v>400</v>
      </c>
      <c r="I13" s="119"/>
    </row>
    <row r="14" ht="14.25" customHeight="1">
      <c r="A14" s="290" t="s">
        <v>1180</v>
      </c>
      <c r="B14" s="290">
        <v>7.6313158E7</v>
      </c>
      <c r="C14" s="329" t="s">
        <v>1176</v>
      </c>
      <c r="D14" s="330"/>
      <c r="E14" s="330"/>
      <c r="F14" s="291">
        <v>1.0</v>
      </c>
      <c r="G14" s="331">
        <v>1.0</v>
      </c>
      <c r="H14" s="181">
        <f t="shared" si="1"/>
        <v>200</v>
      </c>
      <c r="I14" s="119"/>
    </row>
    <row r="15" ht="14.25" customHeight="1">
      <c r="A15" s="290" t="s">
        <v>1181</v>
      </c>
      <c r="B15" s="290">
        <v>7.630963E7</v>
      </c>
      <c r="C15" s="329" t="s">
        <v>66</v>
      </c>
      <c r="D15" s="330"/>
      <c r="E15" s="330"/>
      <c r="F15" s="291">
        <v>1.0</v>
      </c>
      <c r="G15" s="331">
        <v>1.0</v>
      </c>
      <c r="H15" s="181">
        <f t="shared" si="1"/>
        <v>200</v>
      </c>
      <c r="I15" s="119"/>
    </row>
    <row r="16" ht="14.25" customHeight="1">
      <c r="A16" s="185" t="s">
        <v>1182</v>
      </c>
      <c r="B16" s="185">
        <v>7.6541491E7</v>
      </c>
      <c r="C16" s="332" t="s">
        <v>66</v>
      </c>
      <c r="D16" s="330"/>
      <c r="E16" s="330"/>
      <c r="F16" s="291">
        <v>1.0</v>
      </c>
      <c r="G16" s="331">
        <v>1.0</v>
      </c>
      <c r="H16" s="181">
        <f t="shared" si="1"/>
        <v>200</v>
      </c>
      <c r="I16" s="119"/>
    </row>
    <row r="17" ht="14.25" customHeight="1">
      <c r="A17" s="185" t="s">
        <v>1183</v>
      </c>
      <c r="B17" s="185">
        <v>7.630555E7</v>
      </c>
      <c r="C17" s="329" t="s">
        <v>66</v>
      </c>
      <c r="D17" s="330"/>
      <c r="E17" s="330"/>
      <c r="F17" s="291">
        <v>2.0</v>
      </c>
      <c r="G17" s="331">
        <v>2.0</v>
      </c>
      <c r="H17" s="181">
        <f t="shared" si="1"/>
        <v>400</v>
      </c>
      <c r="I17" s="119"/>
    </row>
    <row r="18" ht="14.25" customHeight="1">
      <c r="A18" s="290" t="s">
        <v>1184</v>
      </c>
      <c r="B18" s="290">
        <v>7.650461E7</v>
      </c>
      <c r="C18" s="332" t="s">
        <v>66</v>
      </c>
      <c r="D18" s="330"/>
      <c r="E18" s="330"/>
      <c r="F18" s="292">
        <v>3.0</v>
      </c>
      <c r="G18" s="331">
        <v>3.0</v>
      </c>
      <c r="H18" s="181">
        <f t="shared" si="1"/>
        <v>600</v>
      </c>
      <c r="I18" s="119"/>
    </row>
    <row r="19" ht="14.25" customHeight="1">
      <c r="A19" s="135" t="s">
        <v>1185</v>
      </c>
      <c r="B19" s="135">
        <v>7.6338947E7</v>
      </c>
      <c r="C19" s="333" t="s">
        <v>156</v>
      </c>
      <c r="D19" s="330"/>
      <c r="E19" s="330"/>
      <c r="F19" s="121">
        <v>1.0</v>
      </c>
      <c r="G19" s="117">
        <v>1.0</v>
      </c>
      <c r="H19" s="181">
        <f t="shared" si="1"/>
        <v>200</v>
      </c>
      <c r="I19" s="119"/>
    </row>
    <row r="20" ht="14.25" customHeight="1">
      <c r="A20" s="137" t="s">
        <v>1186</v>
      </c>
      <c r="B20" s="137">
        <v>7.6774509E7</v>
      </c>
      <c r="C20" s="275" t="s">
        <v>156</v>
      </c>
      <c r="D20" s="330"/>
      <c r="E20" s="330"/>
      <c r="F20" s="121">
        <v>1.0</v>
      </c>
      <c r="G20" s="117">
        <v>1.0</v>
      </c>
      <c r="H20" s="181">
        <f t="shared" si="1"/>
        <v>200</v>
      </c>
      <c r="I20" s="119"/>
    </row>
    <row r="21" ht="14.25" customHeight="1">
      <c r="A21" s="135" t="s">
        <v>1187</v>
      </c>
      <c r="B21" s="137">
        <v>7.6478949E7</v>
      </c>
      <c r="C21" s="231" t="s">
        <v>156</v>
      </c>
      <c r="D21" s="330"/>
      <c r="E21" s="330"/>
      <c r="F21" s="121">
        <v>3.0</v>
      </c>
      <c r="G21" s="117">
        <v>3.0</v>
      </c>
      <c r="H21" s="181">
        <f t="shared" si="1"/>
        <v>600</v>
      </c>
      <c r="I21" s="119"/>
    </row>
    <row r="22" ht="14.25" customHeight="1">
      <c r="A22" s="137" t="s">
        <v>1188</v>
      </c>
      <c r="B22" s="137">
        <v>7.6966696E7</v>
      </c>
      <c r="C22" s="231" t="s">
        <v>156</v>
      </c>
      <c r="D22" s="330"/>
      <c r="E22" s="330"/>
      <c r="F22" s="126">
        <v>1.0</v>
      </c>
      <c r="G22" s="117">
        <v>1.0</v>
      </c>
      <c r="H22" s="181">
        <f t="shared" si="1"/>
        <v>200</v>
      </c>
      <c r="I22" s="119"/>
    </row>
    <row r="23" ht="14.25" customHeight="1">
      <c r="A23" s="135" t="s">
        <v>1189</v>
      </c>
      <c r="B23" s="135">
        <v>7.6393965E7</v>
      </c>
      <c r="C23" s="231" t="s">
        <v>909</v>
      </c>
      <c r="D23" s="330"/>
      <c r="E23" s="330"/>
      <c r="F23" s="121">
        <v>2.0</v>
      </c>
      <c r="G23" s="117">
        <v>2.0</v>
      </c>
      <c r="H23" s="181">
        <f t="shared" si="1"/>
        <v>400</v>
      </c>
      <c r="I23" s="119"/>
    </row>
    <row r="24" ht="14.25" customHeight="1">
      <c r="A24" s="135" t="s">
        <v>1190</v>
      </c>
      <c r="B24" s="137">
        <v>7.6628951E7</v>
      </c>
      <c r="C24" s="231" t="s">
        <v>909</v>
      </c>
      <c r="D24" s="330"/>
      <c r="E24" s="330"/>
      <c r="F24" s="121">
        <v>1.0</v>
      </c>
      <c r="G24" s="117">
        <v>1.0</v>
      </c>
      <c r="H24" s="181">
        <f t="shared" si="1"/>
        <v>200</v>
      </c>
      <c r="I24" s="119"/>
    </row>
    <row r="25" ht="14.25" customHeight="1">
      <c r="A25" s="135" t="s">
        <v>1191</v>
      </c>
      <c r="B25" s="135">
        <v>7.6535629E7</v>
      </c>
      <c r="C25" s="231" t="s">
        <v>909</v>
      </c>
      <c r="D25" s="330"/>
      <c r="E25" s="330"/>
      <c r="F25" s="121">
        <v>1.0</v>
      </c>
      <c r="G25" s="117">
        <v>1.0</v>
      </c>
      <c r="H25" s="181">
        <f t="shared" si="1"/>
        <v>200</v>
      </c>
      <c r="I25" s="119"/>
    </row>
    <row r="26" ht="14.25" customHeight="1">
      <c r="A26" s="137" t="s">
        <v>1192</v>
      </c>
      <c r="B26" s="137">
        <v>7.6571149E7</v>
      </c>
      <c r="C26" s="231" t="s">
        <v>909</v>
      </c>
      <c r="D26" s="330"/>
      <c r="E26" s="330"/>
      <c r="F26" s="121">
        <v>1.0</v>
      </c>
      <c r="G26" s="117">
        <v>1.0</v>
      </c>
      <c r="H26" s="181">
        <f t="shared" si="1"/>
        <v>200</v>
      </c>
      <c r="I26" s="119"/>
    </row>
    <row r="27" ht="14.25" customHeight="1">
      <c r="A27" s="135" t="s">
        <v>1193</v>
      </c>
      <c r="B27" s="135">
        <v>7.6260732E7</v>
      </c>
      <c r="C27" s="231" t="s">
        <v>909</v>
      </c>
      <c r="D27" s="330"/>
      <c r="E27" s="330"/>
      <c r="F27" s="121">
        <v>1.0</v>
      </c>
      <c r="G27" s="117">
        <v>1.0</v>
      </c>
      <c r="H27" s="181">
        <f t="shared" si="1"/>
        <v>200</v>
      </c>
      <c r="I27" s="119"/>
    </row>
    <row r="28" ht="14.25" customHeight="1">
      <c r="A28" s="135" t="s">
        <v>1194</v>
      </c>
      <c r="B28" s="135">
        <v>7.8652105E7</v>
      </c>
      <c r="C28" s="231" t="s">
        <v>909</v>
      </c>
      <c r="D28" s="330"/>
      <c r="E28" s="330"/>
      <c r="F28" s="121">
        <v>1.0</v>
      </c>
      <c r="G28" s="117">
        <v>1.0</v>
      </c>
      <c r="H28" s="181">
        <f t="shared" si="1"/>
        <v>200</v>
      </c>
      <c r="I28" s="119"/>
    </row>
    <row r="29" ht="14.25" customHeight="1">
      <c r="A29" s="135" t="s">
        <v>1195</v>
      </c>
      <c r="B29" s="135">
        <v>7.8357319E7</v>
      </c>
      <c r="C29" s="231" t="s">
        <v>909</v>
      </c>
      <c r="D29" s="330"/>
      <c r="E29" s="330"/>
      <c r="F29" s="121">
        <v>2.0</v>
      </c>
      <c r="G29" s="117">
        <v>2.0</v>
      </c>
      <c r="H29" s="181">
        <f t="shared" si="1"/>
        <v>400</v>
      </c>
      <c r="I29" s="119"/>
    </row>
    <row r="30" ht="14.25" customHeight="1">
      <c r="A30" s="135" t="s">
        <v>1196</v>
      </c>
      <c r="B30" s="135">
        <v>7.6173627E7</v>
      </c>
      <c r="C30" s="231">
        <v>44996.0</v>
      </c>
      <c r="D30" s="330"/>
      <c r="E30" s="330"/>
      <c r="F30" s="121">
        <v>2.0</v>
      </c>
      <c r="G30" s="117">
        <v>2.0</v>
      </c>
      <c r="H30" s="181">
        <f t="shared" si="1"/>
        <v>400</v>
      </c>
      <c r="I30" s="119"/>
    </row>
    <row r="31" ht="14.25" customHeight="1">
      <c r="A31" s="135" t="s">
        <v>1197</v>
      </c>
      <c r="B31" s="135">
        <v>7.6128251E7</v>
      </c>
      <c r="C31" s="231">
        <v>44996.0</v>
      </c>
      <c r="D31" s="330"/>
      <c r="E31" s="330"/>
      <c r="F31" s="121">
        <v>1.0</v>
      </c>
      <c r="G31" s="117">
        <v>1.0</v>
      </c>
      <c r="H31" s="181">
        <f t="shared" si="1"/>
        <v>200</v>
      </c>
      <c r="I31" s="119"/>
    </row>
    <row r="32" ht="14.25" customHeight="1">
      <c r="A32" s="135" t="s">
        <v>1198</v>
      </c>
      <c r="B32" s="136">
        <v>7.8272264E7</v>
      </c>
      <c r="C32" s="231">
        <v>44996.0</v>
      </c>
      <c r="D32" s="330"/>
      <c r="E32" s="330"/>
      <c r="F32" s="121">
        <v>1.0</v>
      </c>
      <c r="G32" s="117">
        <v>1.0</v>
      </c>
      <c r="H32" s="181">
        <f t="shared" si="1"/>
        <v>200</v>
      </c>
      <c r="I32" s="119"/>
    </row>
    <row r="33" ht="14.25" customHeight="1">
      <c r="A33" s="135" t="s">
        <v>1199</v>
      </c>
      <c r="B33" s="135">
        <v>7.6147566E7</v>
      </c>
      <c r="C33" s="231">
        <v>44996.0</v>
      </c>
      <c r="D33" s="330"/>
      <c r="E33" s="330"/>
      <c r="F33" s="121">
        <v>1.0</v>
      </c>
      <c r="G33" s="117">
        <v>1.0</v>
      </c>
      <c r="H33" s="181">
        <f t="shared" si="1"/>
        <v>200</v>
      </c>
      <c r="I33" s="119"/>
    </row>
    <row r="34" ht="14.25" customHeight="1">
      <c r="A34" s="137" t="s">
        <v>1200</v>
      </c>
      <c r="B34" s="137">
        <v>7.6720578E7</v>
      </c>
      <c r="C34" s="231">
        <v>44996.0</v>
      </c>
      <c r="D34" s="330"/>
      <c r="E34" s="330"/>
      <c r="F34" s="121">
        <v>1.0</v>
      </c>
      <c r="G34" s="117">
        <v>1.0</v>
      </c>
      <c r="H34" s="181">
        <f t="shared" si="1"/>
        <v>200</v>
      </c>
      <c r="I34" s="119"/>
    </row>
    <row r="35" ht="14.25" customHeight="1">
      <c r="A35" s="137" t="s">
        <v>1201</v>
      </c>
      <c r="B35" s="123">
        <v>7.6322074E7</v>
      </c>
      <c r="C35" s="231">
        <v>45027.0</v>
      </c>
      <c r="D35" s="330"/>
      <c r="E35" s="330"/>
      <c r="F35" s="116">
        <v>3.0</v>
      </c>
      <c r="G35" s="117">
        <v>3.0</v>
      </c>
      <c r="H35" s="181">
        <f t="shared" si="1"/>
        <v>600</v>
      </c>
      <c r="I35" s="119"/>
    </row>
    <row r="36" ht="14.25" customHeight="1">
      <c r="A36" s="137" t="s">
        <v>1202</v>
      </c>
      <c r="B36" s="123">
        <v>7.832212E7</v>
      </c>
      <c r="C36" s="231">
        <v>45027.0</v>
      </c>
      <c r="D36" s="330"/>
      <c r="E36" s="330"/>
      <c r="F36" s="116">
        <v>1.0</v>
      </c>
      <c r="G36" s="117">
        <v>1.0</v>
      </c>
      <c r="H36" s="181">
        <f t="shared" si="1"/>
        <v>200</v>
      </c>
      <c r="I36" s="119"/>
    </row>
    <row r="37" ht="14.25" customHeight="1">
      <c r="A37" s="135" t="s">
        <v>1203</v>
      </c>
      <c r="B37" s="123">
        <v>7.6333483E7</v>
      </c>
      <c r="C37" s="231">
        <v>45027.0</v>
      </c>
      <c r="D37" s="330"/>
      <c r="E37" s="330"/>
      <c r="F37" s="116">
        <v>1.0</v>
      </c>
      <c r="G37" s="117">
        <v>1.0</v>
      </c>
      <c r="H37" s="181">
        <f t="shared" si="1"/>
        <v>200</v>
      </c>
      <c r="I37" s="119"/>
    </row>
    <row r="38" ht="14.25" customHeight="1">
      <c r="A38" s="137" t="s">
        <v>1204</v>
      </c>
      <c r="B38" s="123">
        <v>7.6945305E7</v>
      </c>
      <c r="C38" s="231">
        <v>45057.0</v>
      </c>
      <c r="D38" s="330"/>
      <c r="E38" s="330"/>
      <c r="F38" s="116">
        <v>1.0</v>
      </c>
      <c r="G38" s="117">
        <v>1.0</v>
      </c>
      <c r="H38" s="181">
        <f t="shared" si="1"/>
        <v>200</v>
      </c>
      <c r="I38" s="119"/>
    </row>
    <row r="39" ht="14.25" customHeight="1">
      <c r="A39" s="135" t="s">
        <v>1205</v>
      </c>
      <c r="B39" s="123">
        <v>7.843221E7</v>
      </c>
      <c r="C39" s="231">
        <v>45057.0</v>
      </c>
      <c r="D39" s="330"/>
      <c r="E39" s="330"/>
      <c r="F39" s="116">
        <v>1.0</v>
      </c>
      <c r="G39" s="117">
        <v>1.0</v>
      </c>
      <c r="H39" s="181">
        <f t="shared" si="1"/>
        <v>200</v>
      </c>
      <c r="I39" s="119"/>
    </row>
    <row r="40" ht="14.25" customHeight="1">
      <c r="A40" s="135" t="s">
        <v>1206</v>
      </c>
      <c r="B40" s="123">
        <v>7.6907112E7</v>
      </c>
      <c r="C40" s="231">
        <v>45057.0</v>
      </c>
      <c r="D40" s="330"/>
      <c r="E40" s="330"/>
      <c r="F40" s="116">
        <v>1.0</v>
      </c>
      <c r="G40" s="117">
        <v>1.0</v>
      </c>
      <c r="H40" s="181">
        <f t="shared" si="1"/>
        <v>200</v>
      </c>
      <c r="I40" s="119"/>
    </row>
    <row r="41" ht="14.25" customHeight="1">
      <c r="A41" s="135" t="s">
        <v>1207</v>
      </c>
      <c r="B41" s="123">
        <v>7.8442041E7</v>
      </c>
      <c r="C41" s="231">
        <v>45057.0</v>
      </c>
      <c r="D41" s="330"/>
      <c r="E41" s="330"/>
      <c r="F41" s="116">
        <v>1.0</v>
      </c>
      <c r="G41" s="117">
        <v>1.0</v>
      </c>
      <c r="H41" s="181">
        <f t="shared" si="1"/>
        <v>200</v>
      </c>
      <c r="I41" s="119"/>
    </row>
    <row r="42" ht="14.25" customHeight="1">
      <c r="A42" s="135" t="s">
        <v>1208</v>
      </c>
      <c r="B42" s="123">
        <v>7.6994539E7</v>
      </c>
      <c r="C42" s="231">
        <v>45057.0</v>
      </c>
      <c r="D42" s="330"/>
      <c r="E42" s="330"/>
      <c r="F42" s="116">
        <v>1.0</v>
      </c>
      <c r="G42" s="117">
        <v>1.0</v>
      </c>
      <c r="H42" s="181">
        <f t="shared" si="1"/>
        <v>200</v>
      </c>
      <c r="I42" s="119"/>
    </row>
    <row r="43" ht="14.25" customHeight="1">
      <c r="A43" s="135" t="s">
        <v>1209</v>
      </c>
      <c r="B43" s="123">
        <v>7.8199305E7</v>
      </c>
      <c r="C43" s="231">
        <v>45057.0</v>
      </c>
      <c r="D43" s="330"/>
      <c r="E43" s="330"/>
      <c r="F43" s="116">
        <v>1.0</v>
      </c>
      <c r="G43" s="117">
        <v>1.0</v>
      </c>
      <c r="H43" s="181">
        <f t="shared" si="1"/>
        <v>200</v>
      </c>
      <c r="I43" s="119"/>
    </row>
    <row r="44" ht="14.25" customHeight="1">
      <c r="A44" s="135" t="s">
        <v>1210</v>
      </c>
      <c r="B44" s="123">
        <v>7.6378514E7</v>
      </c>
      <c r="C44" s="231">
        <v>45057.0</v>
      </c>
      <c r="D44" s="330"/>
      <c r="E44" s="330"/>
      <c r="F44" s="116">
        <v>1.0</v>
      </c>
      <c r="G44" s="117">
        <v>1.0</v>
      </c>
      <c r="H44" s="181">
        <f t="shared" si="1"/>
        <v>200</v>
      </c>
      <c r="I44" s="119"/>
    </row>
    <row r="45" ht="14.25" customHeight="1">
      <c r="A45" s="135" t="s">
        <v>1211</v>
      </c>
      <c r="B45" s="123">
        <v>7.6291847E7</v>
      </c>
      <c r="C45" s="231">
        <v>45057.0</v>
      </c>
      <c r="D45" s="330"/>
      <c r="E45" s="330"/>
      <c r="F45" s="116">
        <v>1.0</v>
      </c>
      <c r="G45" s="117">
        <v>1.0</v>
      </c>
      <c r="H45" s="181">
        <f t="shared" si="1"/>
        <v>200</v>
      </c>
      <c r="I45" s="119"/>
    </row>
    <row r="46" ht="14.25" customHeight="1">
      <c r="A46" s="135" t="s">
        <v>1212</v>
      </c>
      <c r="B46" s="123">
        <v>7.6893571E7</v>
      </c>
      <c r="C46" s="231">
        <v>45057.0</v>
      </c>
      <c r="D46" s="330"/>
      <c r="E46" s="330"/>
      <c r="F46" s="116">
        <v>1.0</v>
      </c>
      <c r="G46" s="117">
        <v>1.0</v>
      </c>
      <c r="H46" s="181">
        <f t="shared" si="1"/>
        <v>200</v>
      </c>
      <c r="I46" s="119"/>
    </row>
    <row r="47" ht="14.25" customHeight="1">
      <c r="A47" s="135" t="s">
        <v>1213</v>
      </c>
      <c r="B47" s="123">
        <v>7.6505968E7</v>
      </c>
      <c r="C47" s="231">
        <v>45057.0</v>
      </c>
      <c r="D47" s="330"/>
      <c r="E47" s="330"/>
      <c r="F47" s="116">
        <v>1.0</v>
      </c>
      <c r="G47" s="117">
        <v>1.0</v>
      </c>
      <c r="H47" s="181">
        <f t="shared" si="1"/>
        <v>200</v>
      </c>
      <c r="I47" s="119"/>
    </row>
    <row r="48" ht="14.25" customHeight="1">
      <c r="A48" s="135" t="s">
        <v>1214</v>
      </c>
      <c r="B48" s="123">
        <v>7.6982541E7</v>
      </c>
      <c r="C48" s="231">
        <v>45057.0</v>
      </c>
      <c r="D48" s="330"/>
      <c r="E48" s="330"/>
      <c r="F48" s="116">
        <v>1.0</v>
      </c>
      <c r="G48" s="117">
        <v>1.0</v>
      </c>
      <c r="H48" s="181">
        <f t="shared" si="1"/>
        <v>200</v>
      </c>
      <c r="I48" s="119"/>
    </row>
    <row r="49" ht="19.5" customHeight="1">
      <c r="A49" s="141"/>
      <c r="B49" s="141"/>
      <c r="C49" s="280"/>
      <c r="D49" s="141"/>
      <c r="E49" s="141" t="s">
        <v>41</v>
      </c>
      <c r="F49" s="142">
        <f t="shared" ref="F49:H49" si="2">SUM(F10:F48)</f>
        <v>50</v>
      </c>
      <c r="G49" s="142">
        <f t="shared" si="2"/>
        <v>50</v>
      </c>
      <c r="H49" s="190">
        <f t="shared" si="2"/>
        <v>10000</v>
      </c>
      <c r="I49" s="191"/>
    </row>
    <row r="50" ht="19.5" customHeight="1">
      <c r="A50" s="139"/>
      <c r="B50" s="145"/>
      <c r="C50" s="334"/>
      <c r="D50" s="330"/>
      <c r="E50" s="146" t="s">
        <v>100</v>
      </c>
      <c r="F50" s="147">
        <f>COUNT(F13:F48)</f>
        <v>36</v>
      </c>
      <c r="G50" s="47"/>
      <c r="H50" s="47"/>
      <c r="I50" s="48"/>
    </row>
    <row r="51" ht="14.25" customHeight="1">
      <c r="A51" s="171"/>
      <c r="B51" s="282"/>
      <c r="C51" s="305"/>
      <c r="D51" s="326"/>
      <c r="E51" s="326"/>
      <c r="F51" s="171"/>
      <c r="G51" s="173"/>
      <c r="H51" s="170"/>
      <c r="I51" s="171"/>
    </row>
    <row r="52" ht="20.25" customHeight="1">
      <c r="A52" s="171"/>
      <c r="B52" s="282"/>
      <c r="C52" s="305"/>
      <c r="D52" s="49" t="s">
        <v>101</v>
      </c>
      <c r="E52" s="50"/>
      <c r="F52" s="171"/>
      <c r="G52" s="173"/>
      <c r="H52" s="170"/>
      <c r="I52" s="171"/>
    </row>
    <row r="53" ht="18.0" customHeight="1">
      <c r="A53" s="171"/>
      <c r="B53" s="282"/>
      <c r="C53" s="305"/>
      <c r="D53" s="51" t="s">
        <v>102</v>
      </c>
      <c r="E53" s="50"/>
      <c r="F53" s="171"/>
      <c r="G53" s="173"/>
      <c r="H53" s="170"/>
      <c r="I53" s="171"/>
    </row>
    <row r="54" ht="14.25" customHeight="1">
      <c r="A54" s="171"/>
      <c r="B54" s="282"/>
      <c r="C54" s="305"/>
      <c r="D54" s="52" t="s">
        <v>58</v>
      </c>
      <c r="E54" s="53"/>
      <c r="F54" s="171"/>
      <c r="G54" s="173"/>
      <c r="H54" s="170"/>
      <c r="I54" s="171"/>
    </row>
    <row r="55" ht="14.25" customHeight="1">
      <c r="A55" s="171"/>
      <c r="B55" s="282"/>
      <c r="C55" s="305"/>
      <c r="D55" s="326"/>
      <c r="E55" s="326"/>
      <c r="F55" s="171"/>
      <c r="G55" s="173"/>
      <c r="H55" s="170"/>
      <c r="I55" s="171"/>
    </row>
    <row r="56" ht="14.25" customHeight="1">
      <c r="A56" s="171"/>
      <c r="B56" s="282"/>
      <c r="C56" s="305"/>
      <c r="D56" s="326"/>
      <c r="E56" s="326"/>
      <c r="F56" s="171"/>
      <c r="G56" s="173"/>
      <c r="H56" s="170"/>
      <c r="I56" s="171"/>
    </row>
    <row r="57" ht="14.25" customHeight="1">
      <c r="A57" s="171"/>
      <c r="B57" s="282"/>
      <c r="C57" s="305"/>
      <c r="D57" s="326"/>
      <c r="E57" s="326"/>
      <c r="F57" s="171"/>
      <c r="G57" s="173"/>
      <c r="H57" s="170"/>
      <c r="I57" s="171"/>
    </row>
    <row r="58" ht="14.25" customHeight="1">
      <c r="A58" s="171"/>
      <c r="B58" s="282"/>
      <c r="C58" s="305"/>
      <c r="D58" s="326"/>
      <c r="E58" s="326"/>
      <c r="F58" s="171"/>
      <c r="G58" s="173"/>
      <c r="H58" s="170"/>
      <c r="I58" s="171"/>
    </row>
    <row r="59" ht="14.25" customHeight="1">
      <c r="A59" s="171"/>
      <c r="B59" s="282"/>
      <c r="C59" s="305"/>
      <c r="D59" s="326"/>
      <c r="E59" s="326"/>
      <c r="F59" s="171"/>
      <c r="G59" s="173"/>
      <c r="H59" s="170"/>
      <c r="I59" s="171"/>
    </row>
    <row r="60" ht="14.25" customHeight="1">
      <c r="A60" s="171"/>
      <c r="B60" s="282"/>
      <c r="C60" s="305"/>
      <c r="D60" s="326"/>
      <c r="E60" s="326"/>
      <c r="F60" s="171"/>
      <c r="G60" s="173"/>
      <c r="H60" s="170"/>
      <c r="I60" s="171"/>
    </row>
    <row r="61" ht="14.25" customHeight="1">
      <c r="A61" s="171"/>
      <c r="B61" s="282"/>
      <c r="C61" s="305"/>
      <c r="D61" s="326"/>
      <c r="E61" s="326"/>
      <c r="F61" s="171"/>
      <c r="G61" s="173"/>
      <c r="H61" s="170"/>
      <c r="I61" s="171"/>
    </row>
    <row r="62" ht="14.25" customHeight="1">
      <c r="A62" s="171"/>
      <c r="B62" s="282"/>
      <c r="C62" s="305"/>
      <c r="D62" s="326"/>
      <c r="E62" s="326"/>
      <c r="F62" s="171"/>
      <c r="G62" s="173"/>
      <c r="H62" s="170"/>
      <c r="I62" s="171"/>
    </row>
    <row r="63" ht="14.25" customHeight="1">
      <c r="A63" s="171"/>
      <c r="B63" s="282"/>
      <c r="C63" s="305"/>
      <c r="D63" s="326"/>
      <c r="E63" s="326"/>
      <c r="F63" s="171"/>
      <c r="G63" s="173"/>
      <c r="H63" s="170"/>
      <c r="I63" s="171"/>
    </row>
    <row r="64" ht="14.25" customHeight="1">
      <c r="A64" s="171"/>
      <c r="B64" s="282"/>
      <c r="C64" s="305"/>
      <c r="D64" s="326"/>
      <c r="E64" s="326"/>
      <c r="F64" s="171"/>
      <c r="G64" s="173"/>
      <c r="H64" s="170"/>
      <c r="I64" s="171"/>
    </row>
    <row r="65" ht="14.25" customHeight="1">
      <c r="A65" s="171"/>
      <c r="B65" s="282"/>
      <c r="C65" s="305"/>
      <c r="D65" s="326"/>
      <c r="E65" s="326"/>
      <c r="F65" s="171"/>
      <c r="G65" s="173"/>
      <c r="H65" s="170"/>
      <c r="I65" s="171"/>
    </row>
    <row r="66" ht="14.25" customHeight="1">
      <c r="A66" s="171"/>
      <c r="B66" s="282"/>
      <c r="C66" s="305"/>
      <c r="D66" s="326"/>
      <c r="E66" s="326"/>
      <c r="F66" s="171"/>
      <c r="G66" s="173"/>
      <c r="H66" s="170"/>
      <c r="I66" s="171"/>
    </row>
    <row r="67" ht="14.25" customHeight="1">
      <c r="A67" s="171"/>
      <c r="B67" s="282"/>
      <c r="C67" s="305"/>
      <c r="D67" s="326"/>
      <c r="E67" s="326"/>
      <c r="F67" s="171"/>
      <c r="G67" s="173"/>
      <c r="H67" s="170"/>
      <c r="I67" s="171"/>
    </row>
    <row r="68" ht="14.25" customHeight="1">
      <c r="A68" s="171"/>
      <c r="B68" s="282"/>
      <c r="C68" s="305"/>
      <c r="D68" s="326"/>
      <c r="E68" s="326"/>
      <c r="F68" s="171"/>
      <c r="G68" s="173"/>
      <c r="H68" s="170"/>
      <c r="I68" s="171"/>
    </row>
    <row r="69" ht="14.25" customHeight="1">
      <c r="A69" s="171"/>
      <c r="B69" s="282"/>
      <c r="C69" s="305"/>
      <c r="D69" s="326"/>
      <c r="E69" s="326"/>
      <c r="F69" s="171"/>
      <c r="G69" s="173"/>
      <c r="H69" s="170"/>
      <c r="I69" s="171"/>
    </row>
    <row r="70" ht="14.25" customHeight="1">
      <c r="A70" s="171"/>
      <c r="B70" s="282"/>
      <c r="C70" s="305"/>
      <c r="D70" s="326"/>
      <c r="E70" s="326"/>
      <c r="F70" s="171"/>
      <c r="G70" s="173"/>
      <c r="H70" s="170"/>
      <c r="I70" s="171"/>
    </row>
    <row r="71" ht="14.25" customHeight="1">
      <c r="A71" s="171"/>
      <c r="B71" s="282"/>
      <c r="C71" s="305"/>
      <c r="D71" s="326"/>
      <c r="E71" s="326"/>
      <c r="F71" s="171"/>
      <c r="G71" s="173"/>
      <c r="H71" s="170"/>
      <c r="I71" s="171"/>
    </row>
    <row r="72" ht="14.25" customHeight="1">
      <c r="A72" s="171"/>
      <c r="B72" s="282"/>
      <c r="C72" s="305"/>
      <c r="D72" s="326"/>
      <c r="E72" s="326"/>
      <c r="F72" s="171"/>
      <c r="G72" s="173"/>
      <c r="H72" s="170"/>
      <c r="I72" s="171"/>
    </row>
    <row r="73" ht="14.25" customHeight="1">
      <c r="A73" s="171"/>
      <c r="B73" s="282"/>
      <c r="C73" s="305"/>
      <c r="D73" s="326"/>
      <c r="E73" s="326"/>
      <c r="F73" s="171"/>
      <c r="G73" s="173"/>
      <c r="H73" s="170"/>
      <c r="I73" s="171"/>
    </row>
    <row r="74" ht="14.25" customHeight="1">
      <c r="A74" s="171"/>
      <c r="B74" s="282"/>
      <c r="C74" s="305"/>
      <c r="D74" s="326"/>
      <c r="E74" s="326"/>
      <c r="F74" s="171"/>
      <c r="G74" s="173"/>
      <c r="H74" s="170"/>
      <c r="I74" s="171"/>
    </row>
    <row r="75" ht="14.25" customHeight="1">
      <c r="A75" s="171"/>
      <c r="B75" s="282"/>
      <c r="C75" s="305"/>
      <c r="D75" s="326"/>
      <c r="E75" s="326"/>
      <c r="F75" s="171"/>
      <c r="G75" s="173"/>
      <c r="H75" s="170"/>
      <c r="I75" s="171"/>
    </row>
    <row r="76" ht="14.25" customHeight="1">
      <c r="A76" s="171"/>
      <c r="B76" s="282"/>
      <c r="C76" s="305"/>
      <c r="D76" s="326"/>
      <c r="E76" s="326"/>
      <c r="F76" s="171"/>
      <c r="G76" s="173"/>
      <c r="H76" s="170"/>
      <c r="I76" s="171"/>
    </row>
    <row r="77" ht="14.25" customHeight="1">
      <c r="A77" s="171"/>
      <c r="B77" s="282"/>
      <c r="C77" s="305"/>
      <c r="D77" s="326"/>
      <c r="E77" s="326"/>
      <c r="F77" s="171"/>
      <c r="G77" s="173"/>
      <c r="H77" s="170"/>
      <c r="I77" s="171"/>
    </row>
    <row r="78" ht="14.25" customHeight="1">
      <c r="A78" s="171"/>
      <c r="B78" s="282"/>
      <c r="C78" s="305"/>
      <c r="D78" s="326"/>
      <c r="E78" s="326"/>
      <c r="F78" s="171"/>
      <c r="G78" s="173"/>
      <c r="H78" s="170"/>
      <c r="I78" s="171"/>
    </row>
    <row r="79" ht="14.25" customHeight="1">
      <c r="A79" s="171"/>
      <c r="B79" s="282"/>
      <c r="C79" s="305"/>
      <c r="D79" s="326"/>
      <c r="E79" s="326"/>
      <c r="F79" s="171"/>
      <c r="G79" s="173"/>
      <c r="H79" s="170"/>
      <c r="I79" s="171"/>
    </row>
    <row r="80" ht="14.25" customHeight="1">
      <c r="A80" s="171"/>
      <c r="B80" s="282"/>
      <c r="C80" s="305"/>
      <c r="D80" s="326"/>
      <c r="E80" s="326"/>
      <c r="F80" s="171"/>
      <c r="G80" s="173"/>
      <c r="H80" s="170"/>
      <c r="I80" s="171"/>
    </row>
    <row r="81" ht="14.25" customHeight="1">
      <c r="A81" s="171"/>
      <c r="B81" s="282"/>
      <c r="C81" s="305"/>
      <c r="D81" s="326"/>
      <c r="E81" s="326"/>
      <c r="F81" s="171"/>
      <c r="G81" s="173"/>
      <c r="H81" s="170"/>
      <c r="I81" s="171"/>
    </row>
    <row r="82" ht="14.25" customHeight="1">
      <c r="A82" s="171"/>
      <c r="B82" s="282"/>
      <c r="C82" s="305"/>
      <c r="D82" s="326"/>
      <c r="E82" s="326"/>
      <c r="F82" s="171"/>
      <c r="G82" s="173"/>
      <c r="H82" s="170"/>
      <c r="I82" s="171"/>
    </row>
    <row r="83" ht="14.25" customHeight="1">
      <c r="A83" s="171"/>
      <c r="B83" s="282"/>
      <c r="C83" s="305"/>
      <c r="D83" s="326"/>
      <c r="E83" s="326"/>
      <c r="F83" s="171"/>
      <c r="G83" s="173"/>
      <c r="H83" s="170"/>
      <c r="I83" s="171"/>
    </row>
    <row r="84" ht="14.25" customHeight="1">
      <c r="A84" s="171"/>
      <c r="B84" s="282"/>
      <c r="C84" s="305"/>
      <c r="D84" s="326"/>
      <c r="E84" s="326"/>
      <c r="F84" s="171"/>
      <c r="G84" s="173"/>
      <c r="H84" s="170"/>
      <c r="I84" s="171"/>
    </row>
    <row r="85" ht="14.25" customHeight="1">
      <c r="A85" s="171"/>
      <c r="B85" s="282"/>
      <c r="C85" s="305"/>
      <c r="D85" s="326"/>
      <c r="E85" s="326"/>
      <c r="F85" s="171"/>
      <c r="G85" s="173"/>
      <c r="H85" s="170"/>
      <c r="I85" s="171"/>
    </row>
    <row r="86" ht="14.25" customHeight="1">
      <c r="A86" s="171"/>
      <c r="B86" s="282"/>
      <c r="C86" s="305"/>
      <c r="D86" s="326"/>
      <c r="E86" s="326"/>
      <c r="F86" s="171"/>
      <c r="G86" s="173"/>
      <c r="H86" s="170"/>
      <c r="I86" s="171"/>
    </row>
    <row r="87" ht="14.25" customHeight="1">
      <c r="A87" s="171"/>
      <c r="B87" s="282"/>
      <c r="C87" s="305"/>
      <c r="D87" s="326"/>
      <c r="E87" s="326"/>
      <c r="F87" s="171"/>
      <c r="G87" s="173"/>
      <c r="H87" s="170"/>
      <c r="I87" s="171"/>
    </row>
    <row r="88" ht="14.25" customHeight="1">
      <c r="A88" s="171"/>
      <c r="B88" s="282"/>
      <c r="C88" s="305"/>
      <c r="D88" s="326"/>
      <c r="E88" s="326"/>
      <c r="F88" s="171"/>
      <c r="G88" s="173"/>
      <c r="H88" s="170"/>
      <c r="I88" s="171"/>
    </row>
    <row r="89" ht="14.25" customHeight="1">
      <c r="A89" s="171"/>
      <c r="B89" s="282"/>
      <c r="C89" s="305"/>
      <c r="D89" s="326"/>
      <c r="E89" s="326"/>
      <c r="F89" s="171"/>
      <c r="G89" s="173"/>
      <c r="H89" s="170"/>
      <c r="I89" s="171"/>
    </row>
    <row r="90" ht="14.25" customHeight="1">
      <c r="A90" s="171"/>
      <c r="B90" s="282"/>
      <c r="C90" s="305"/>
      <c r="D90" s="326"/>
      <c r="E90" s="326"/>
      <c r="F90" s="171"/>
      <c r="G90" s="173"/>
      <c r="H90" s="170"/>
      <c r="I90" s="171"/>
    </row>
    <row r="91" ht="14.25" customHeight="1">
      <c r="A91" s="171"/>
      <c r="B91" s="282"/>
      <c r="C91" s="305"/>
      <c r="D91" s="326"/>
      <c r="E91" s="326"/>
      <c r="F91" s="171"/>
      <c r="G91" s="173"/>
      <c r="H91" s="170"/>
      <c r="I91" s="171"/>
    </row>
    <row r="92" ht="14.25" customHeight="1">
      <c r="A92" s="171"/>
      <c r="B92" s="282"/>
      <c r="C92" s="305"/>
      <c r="D92" s="326"/>
      <c r="E92" s="326"/>
      <c r="F92" s="171"/>
      <c r="G92" s="173"/>
      <c r="H92" s="170"/>
      <c r="I92" s="171"/>
    </row>
    <row r="93" ht="14.25" customHeight="1">
      <c r="A93" s="171"/>
      <c r="B93" s="282"/>
      <c r="C93" s="305"/>
      <c r="D93" s="326"/>
      <c r="E93" s="326"/>
      <c r="F93" s="171"/>
      <c r="G93" s="173"/>
      <c r="H93" s="170"/>
      <c r="I93" s="171"/>
    </row>
    <row r="94" ht="14.25" customHeight="1">
      <c r="A94" s="171"/>
      <c r="B94" s="282"/>
      <c r="C94" s="305"/>
      <c r="D94" s="326"/>
      <c r="E94" s="326"/>
      <c r="F94" s="171"/>
      <c r="G94" s="173"/>
      <c r="H94" s="170"/>
      <c r="I94" s="171"/>
    </row>
    <row r="95" ht="14.25" customHeight="1">
      <c r="A95" s="171"/>
      <c r="B95" s="282"/>
      <c r="C95" s="305"/>
      <c r="D95" s="326"/>
      <c r="E95" s="326"/>
      <c r="F95" s="171"/>
      <c r="G95" s="173"/>
      <c r="H95" s="170"/>
      <c r="I95" s="171"/>
    </row>
    <row r="96" ht="14.25" customHeight="1">
      <c r="A96" s="171"/>
      <c r="B96" s="282"/>
      <c r="C96" s="305"/>
      <c r="D96" s="326"/>
      <c r="E96" s="326"/>
      <c r="F96" s="171"/>
      <c r="G96" s="173"/>
      <c r="H96" s="170"/>
      <c r="I96" s="171"/>
    </row>
    <row r="97" ht="14.25" customHeight="1">
      <c r="A97" s="171"/>
      <c r="B97" s="282"/>
      <c r="C97" s="305"/>
      <c r="D97" s="326"/>
      <c r="E97" s="326"/>
      <c r="F97" s="171"/>
      <c r="G97" s="173"/>
      <c r="H97" s="170"/>
      <c r="I97" s="171"/>
    </row>
    <row r="98" ht="14.25" customHeight="1">
      <c r="A98" s="171"/>
      <c r="B98" s="282"/>
      <c r="C98" s="305"/>
      <c r="D98" s="326"/>
      <c r="E98" s="326"/>
      <c r="F98" s="171"/>
      <c r="G98" s="173"/>
      <c r="H98" s="170"/>
      <c r="I98" s="171"/>
    </row>
    <row r="99" ht="14.25" customHeight="1">
      <c r="A99" s="171"/>
      <c r="B99" s="282"/>
      <c r="C99" s="305"/>
      <c r="D99" s="326"/>
      <c r="E99" s="326"/>
      <c r="F99" s="171"/>
      <c r="G99" s="173"/>
      <c r="H99" s="170"/>
      <c r="I99" s="171"/>
    </row>
    <row r="100" ht="14.25" customHeight="1">
      <c r="A100" s="171"/>
      <c r="B100" s="282"/>
      <c r="C100" s="305"/>
      <c r="D100" s="326"/>
      <c r="E100" s="326"/>
      <c r="F100" s="171"/>
      <c r="G100" s="173"/>
      <c r="H100" s="170"/>
      <c r="I100" s="171"/>
    </row>
    <row r="101" ht="14.25" customHeight="1">
      <c r="A101" s="171"/>
      <c r="B101" s="282"/>
      <c r="C101" s="305"/>
      <c r="D101" s="326"/>
      <c r="E101" s="326"/>
      <c r="F101" s="171"/>
      <c r="G101" s="173"/>
      <c r="H101" s="170"/>
      <c r="I101" s="171"/>
    </row>
    <row r="102" ht="14.25" customHeight="1">
      <c r="A102" s="171"/>
      <c r="B102" s="282"/>
      <c r="C102" s="305"/>
      <c r="D102" s="326"/>
      <c r="E102" s="326"/>
      <c r="F102" s="171"/>
      <c r="G102" s="173"/>
      <c r="H102" s="170"/>
      <c r="I102" s="171"/>
    </row>
    <row r="103" ht="14.25" customHeight="1">
      <c r="A103" s="171"/>
      <c r="B103" s="282"/>
      <c r="C103" s="305"/>
      <c r="D103" s="326"/>
      <c r="E103" s="326"/>
      <c r="F103" s="171"/>
      <c r="G103" s="173"/>
      <c r="H103" s="170"/>
      <c r="I103" s="171"/>
    </row>
    <row r="104" ht="14.25" customHeight="1">
      <c r="A104" s="171"/>
      <c r="B104" s="282"/>
      <c r="C104" s="305"/>
      <c r="D104" s="326"/>
      <c r="E104" s="326"/>
      <c r="F104" s="171"/>
      <c r="G104" s="173"/>
      <c r="H104" s="170"/>
      <c r="I104" s="171"/>
    </row>
    <row r="105" ht="14.25" customHeight="1">
      <c r="A105" s="171"/>
      <c r="B105" s="282"/>
      <c r="C105" s="305"/>
      <c r="D105" s="326"/>
      <c r="E105" s="326"/>
      <c r="F105" s="171"/>
      <c r="G105" s="173"/>
      <c r="H105" s="170"/>
      <c r="I105" s="171"/>
    </row>
    <row r="106" ht="14.25" customHeight="1">
      <c r="A106" s="171"/>
      <c r="B106" s="282"/>
      <c r="C106" s="305"/>
      <c r="D106" s="326"/>
      <c r="E106" s="326"/>
      <c r="F106" s="171"/>
      <c r="G106" s="173"/>
      <c r="H106" s="170"/>
      <c r="I106" s="171"/>
    </row>
    <row r="107" ht="14.25" customHeight="1">
      <c r="A107" s="171"/>
      <c r="B107" s="282"/>
      <c r="C107" s="305"/>
      <c r="D107" s="326"/>
      <c r="E107" s="326"/>
      <c r="F107" s="171"/>
      <c r="G107" s="173"/>
      <c r="H107" s="170"/>
      <c r="I107" s="171"/>
    </row>
    <row r="108" ht="14.25" customHeight="1">
      <c r="A108" s="171"/>
      <c r="B108" s="282"/>
      <c r="C108" s="305"/>
      <c r="D108" s="326"/>
      <c r="E108" s="326"/>
      <c r="F108" s="171"/>
      <c r="G108" s="173"/>
      <c r="H108" s="170"/>
      <c r="I108" s="171"/>
    </row>
    <row r="109" ht="14.25" customHeight="1">
      <c r="A109" s="171"/>
      <c r="B109" s="282"/>
      <c r="C109" s="305"/>
      <c r="D109" s="326"/>
      <c r="E109" s="326"/>
      <c r="F109" s="171"/>
      <c r="G109" s="173"/>
      <c r="H109" s="170"/>
      <c r="I109" s="171"/>
    </row>
    <row r="110" ht="14.25" customHeight="1">
      <c r="A110" s="171"/>
      <c r="B110" s="282"/>
      <c r="C110" s="305"/>
      <c r="D110" s="326"/>
      <c r="E110" s="326"/>
      <c r="F110" s="171"/>
      <c r="G110" s="173"/>
      <c r="H110" s="170"/>
      <c r="I110" s="171"/>
    </row>
    <row r="111" ht="14.25" customHeight="1">
      <c r="A111" s="171"/>
      <c r="B111" s="282"/>
      <c r="C111" s="305"/>
      <c r="D111" s="326"/>
      <c r="E111" s="326"/>
      <c r="F111" s="171"/>
      <c r="G111" s="173"/>
      <c r="H111" s="170"/>
      <c r="I111" s="171"/>
    </row>
    <row r="112" ht="14.25" customHeight="1">
      <c r="A112" s="171"/>
      <c r="B112" s="282"/>
      <c r="C112" s="305"/>
      <c r="D112" s="326"/>
      <c r="E112" s="326"/>
      <c r="F112" s="171"/>
      <c r="G112" s="173"/>
      <c r="H112" s="170"/>
      <c r="I112" s="171"/>
    </row>
    <row r="113" ht="14.25" customHeight="1">
      <c r="A113" s="171"/>
      <c r="B113" s="282"/>
      <c r="C113" s="305"/>
      <c r="D113" s="326"/>
      <c r="E113" s="326"/>
      <c r="F113" s="171"/>
      <c r="G113" s="173"/>
      <c r="H113" s="170"/>
      <c r="I113" s="171"/>
    </row>
    <row r="114" ht="14.25" customHeight="1">
      <c r="A114" s="171"/>
      <c r="B114" s="282"/>
      <c r="C114" s="305"/>
      <c r="D114" s="326"/>
      <c r="E114" s="326"/>
      <c r="F114" s="171"/>
      <c r="G114" s="173"/>
      <c r="H114" s="170"/>
      <c r="I114" s="171"/>
    </row>
    <row r="115" ht="14.25" customHeight="1">
      <c r="A115" s="171"/>
      <c r="B115" s="282"/>
      <c r="C115" s="305"/>
      <c r="D115" s="326"/>
      <c r="E115" s="326"/>
      <c r="F115" s="171"/>
      <c r="G115" s="173"/>
      <c r="H115" s="170"/>
      <c r="I115" s="171"/>
    </row>
    <row r="116" ht="14.25" customHeight="1">
      <c r="A116" s="171"/>
      <c r="B116" s="282"/>
      <c r="C116" s="305"/>
      <c r="D116" s="326"/>
      <c r="E116" s="326"/>
      <c r="F116" s="171"/>
      <c r="G116" s="173"/>
      <c r="H116" s="170"/>
      <c r="I116" s="171"/>
    </row>
    <row r="117" ht="14.25" customHeight="1">
      <c r="A117" s="171"/>
      <c r="B117" s="282"/>
      <c r="C117" s="305"/>
      <c r="D117" s="326"/>
      <c r="E117" s="326"/>
      <c r="F117" s="171"/>
      <c r="G117" s="173"/>
      <c r="H117" s="170"/>
      <c r="I117" s="171"/>
    </row>
    <row r="118" ht="14.25" customHeight="1">
      <c r="A118" s="171"/>
      <c r="B118" s="282"/>
      <c r="C118" s="305"/>
      <c r="D118" s="326"/>
      <c r="E118" s="326"/>
      <c r="F118" s="171"/>
      <c r="G118" s="173"/>
      <c r="H118" s="170"/>
      <c r="I118" s="171"/>
    </row>
    <row r="119" ht="14.25" customHeight="1">
      <c r="A119" s="171"/>
      <c r="B119" s="282"/>
      <c r="C119" s="305"/>
      <c r="D119" s="326"/>
      <c r="E119" s="326"/>
      <c r="F119" s="171"/>
      <c r="G119" s="173"/>
      <c r="H119" s="170"/>
      <c r="I119" s="171"/>
    </row>
    <row r="120" ht="14.25" customHeight="1">
      <c r="A120" s="171"/>
      <c r="B120" s="282"/>
      <c r="C120" s="305"/>
      <c r="D120" s="326"/>
      <c r="E120" s="326"/>
      <c r="F120" s="171"/>
      <c r="G120" s="173"/>
      <c r="H120" s="170"/>
      <c r="I120" s="171"/>
    </row>
    <row r="121" ht="14.25" customHeight="1">
      <c r="A121" s="171"/>
      <c r="B121" s="282"/>
      <c r="C121" s="305"/>
      <c r="D121" s="326"/>
      <c r="E121" s="326"/>
      <c r="F121" s="171"/>
      <c r="G121" s="173"/>
      <c r="H121" s="170"/>
      <c r="I121" s="171"/>
    </row>
    <row r="122" ht="14.25" customHeight="1">
      <c r="A122" s="171"/>
      <c r="B122" s="282"/>
      <c r="C122" s="305"/>
      <c r="D122" s="326"/>
      <c r="E122" s="326"/>
      <c r="F122" s="171"/>
      <c r="G122" s="173"/>
      <c r="H122" s="170"/>
      <c r="I122" s="171"/>
    </row>
    <row r="123" ht="14.25" customHeight="1">
      <c r="A123" s="171"/>
      <c r="B123" s="282"/>
      <c r="C123" s="305"/>
      <c r="D123" s="326"/>
      <c r="E123" s="326"/>
      <c r="F123" s="171"/>
      <c r="G123" s="173"/>
      <c r="H123" s="170"/>
      <c r="I123" s="171"/>
    </row>
    <row r="124" ht="14.25" customHeight="1">
      <c r="A124" s="171"/>
      <c r="B124" s="282"/>
      <c r="C124" s="305"/>
      <c r="D124" s="326"/>
      <c r="E124" s="326"/>
      <c r="F124" s="171"/>
      <c r="G124" s="173"/>
      <c r="H124" s="170"/>
      <c r="I124" s="171"/>
    </row>
    <row r="125" ht="14.25" customHeight="1">
      <c r="A125" s="171"/>
      <c r="B125" s="282"/>
      <c r="C125" s="305"/>
      <c r="D125" s="326"/>
      <c r="E125" s="326"/>
      <c r="F125" s="171"/>
      <c r="G125" s="173"/>
      <c r="H125" s="170"/>
      <c r="I125" s="171"/>
    </row>
    <row r="126" ht="14.25" customHeight="1">
      <c r="A126" s="171"/>
      <c r="B126" s="282"/>
      <c r="C126" s="305"/>
      <c r="D126" s="326"/>
      <c r="E126" s="326"/>
      <c r="F126" s="171"/>
      <c r="G126" s="173"/>
      <c r="H126" s="170"/>
      <c r="I126" s="171"/>
    </row>
    <row r="127" ht="14.25" customHeight="1">
      <c r="A127" s="171"/>
      <c r="B127" s="282"/>
      <c r="C127" s="305"/>
      <c r="D127" s="326"/>
      <c r="E127" s="326"/>
      <c r="F127" s="171"/>
      <c r="G127" s="173"/>
      <c r="H127" s="170"/>
      <c r="I127" s="171"/>
    </row>
    <row r="128" ht="14.25" customHeight="1">
      <c r="A128" s="171"/>
      <c r="B128" s="282"/>
      <c r="C128" s="305"/>
      <c r="D128" s="326"/>
      <c r="E128" s="326"/>
      <c r="F128" s="171"/>
      <c r="G128" s="173"/>
      <c r="H128" s="170"/>
      <c r="I128" s="171"/>
    </row>
    <row r="129" ht="14.25" customHeight="1">
      <c r="A129" s="171"/>
      <c r="B129" s="282"/>
      <c r="C129" s="305"/>
      <c r="D129" s="326"/>
      <c r="E129" s="326"/>
      <c r="F129" s="171"/>
      <c r="G129" s="173"/>
      <c r="H129" s="170"/>
      <c r="I129" s="171"/>
    </row>
    <row r="130" ht="14.25" customHeight="1">
      <c r="A130" s="171"/>
      <c r="B130" s="282"/>
      <c r="C130" s="305"/>
      <c r="D130" s="326"/>
      <c r="E130" s="326"/>
      <c r="F130" s="171"/>
      <c r="G130" s="173"/>
      <c r="H130" s="170"/>
      <c r="I130" s="171"/>
    </row>
    <row r="131" ht="14.25" customHeight="1">
      <c r="A131" s="171"/>
      <c r="B131" s="282"/>
      <c r="C131" s="305"/>
      <c r="D131" s="326"/>
      <c r="E131" s="326"/>
      <c r="F131" s="171"/>
      <c r="G131" s="173"/>
      <c r="H131" s="170"/>
      <c r="I131" s="171"/>
    </row>
    <row r="132" ht="14.25" customHeight="1">
      <c r="A132" s="171"/>
      <c r="B132" s="282"/>
      <c r="C132" s="305"/>
      <c r="D132" s="326"/>
      <c r="E132" s="326"/>
      <c r="F132" s="171"/>
      <c r="G132" s="173"/>
      <c r="H132" s="170"/>
      <c r="I132" s="171"/>
    </row>
    <row r="133" ht="14.25" customHeight="1">
      <c r="A133" s="171"/>
      <c r="B133" s="282"/>
      <c r="C133" s="305"/>
      <c r="D133" s="326"/>
      <c r="E133" s="326"/>
      <c r="F133" s="171"/>
      <c r="G133" s="173"/>
      <c r="H133" s="170"/>
      <c r="I133" s="171"/>
    </row>
    <row r="134" ht="14.25" customHeight="1">
      <c r="A134" s="171"/>
      <c r="B134" s="282"/>
      <c r="C134" s="305"/>
      <c r="D134" s="326"/>
      <c r="E134" s="326"/>
      <c r="F134" s="171"/>
      <c r="G134" s="173"/>
      <c r="H134" s="170"/>
      <c r="I134" s="171"/>
    </row>
    <row r="135" ht="14.25" customHeight="1">
      <c r="A135" s="171"/>
      <c r="B135" s="282"/>
      <c r="C135" s="305"/>
      <c r="D135" s="326"/>
      <c r="E135" s="326"/>
      <c r="F135" s="171"/>
      <c r="G135" s="173"/>
      <c r="H135" s="170"/>
      <c r="I135" s="171"/>
    </row>
    <row r="136" ht="14.25" customHeight="1">
      <c r="A136" s="171"/>
      <c r="B136" s="282"/>
      <c r="C136" s="305"/>
      <c r="D136" s="326"/>
      <c r="E136" s="326"/>
      <c r="F136" s="171"/>
      <c r="G136" s="173"/>
      <c r="H136" s="170"/>
      <c r="I136" s="171"/>
    </row>
    <row r="137" ht="14.25" customHeight="1">
      <c r="A137" s="171"/>
      <c r="B137" s="282"/>
      <c r="C137" s="305"/>
      <c r="D137" s="326"/>
      <c r="E137" s="326"/>
      <c r="F137" s="171"/>
      <c r="G137" s="173"/>
      <c r="H137" s="170"/>
      <c r="I137" s="171"/>
    </row>
    <row r="138" ht="14.25" customHeight="1">
      <c r="A138" s="171"/>
      <c r="B138" s="282"/>
      <c r="C138" s="305"/>
      <c r="D138" s="326"/>
      <c r="E138" s="326"/>
      <c r="F138" s="171"/>
      <c r="G138" s="173"/>
      <c r="H138" s="170"/>
      <c r="I138" s="171"/>
    </row>
    <row r="139" ht="14.25" customHeight="1">
      <c r="A139" s="171"/>
      <c r="B139" s="282"/>
      <c r="C139" s="305"/>
      <c r="D139" s="326"/>
      <c r="E139" s="326"/>
      <c r="F139" s="171"/>
      <c r="G139" s="173"/>
      <c r="H139" s="170"/>
      <c r="I139" s="171"/>
    </row>
    <row r="140" ht="14.25" customHeight="1">
      <c r="A140" s="171"/>
      <c r="B140" s="282"/>
      <c r="C140" s="305"/>
      <c r="D140" s="326"/>
      <c r="E140" s="326"/>
      <c r="F140" s="171"/>
      <c r="G140" s="173"/>
      <c r="H140" s="170"/>
      <c r="I140" s="171"/>
    </row>
    <row r="141" ht="14.25" customHeight="1">
      <c r="A141" s="171"/>
      <c r="B141" s="282"/>
      <c r="C141" s="305"/>
      <c r="D141" s="326"/>
      <c r="E141" s="326"/>
      <c r="F141" s="171"/>
      <c r="G141" s="173"/>
      <c r="H141" s="170"/>
      <c r="I141" s="171"/>
    </row>
    <row r="142" ht="14.25" customHeight="1">
      <c r="A142" s="171"/>
      <c r="B142" s="282"/>
      <c r="C142" s="305"/>
      <c r="D142" s="326"/>
      <c r="E142" s="326"/>
      <c r="F142" s="171"/>
      <c r="G142" s="173"/>
      <c r="H142" s="170"/>
      <c r="I142" s="171"/>
    </row>
    <row r="143" ht="14.25" customHeight="1">
      <c r="A143" s="171"/>
      <c r="B143" s="282"/>
      <c r="C143" s="305"/>
      <c r="D143" s="326"/>
      <c r="E143" s="326"/>
      <c r="F143" s="171"/>
      <c r="G143" s="173"/>
      <c r="H143" s="170"/>
      <c r="I143" s="171"/>
    </row>
    <row r="144" ht="14.25" customHeight="1">
      <c r="A144" s="171"/>
      <c r="B144" s="282"/>
      <c r="C144" s="305"/>
      <c r="D144" s="326"/>
      <c r="E144" s="326"/>
      <c r="F144" s="171"/>
      <c r="G144" s="173"/>
      <c r="H144" s="170"/>
      <c r="I144" s="171"/>
    </row>
    <row r="145" ht="14.25" customHeight="1">
      <c r="A145" s="171"/>
      <c r="B145" s="282"/>
      <c r="C145" s="305"/>
      <c r="D145" s="326"/>
      <c r="E145" s="326"/>
      <c r="F145" s="171"/>
      <c r="G145" s="173"/>
      <c r="H145" s="170"/>
      <c r="I145" s="171"/>
    </row>
    <row r="146" ht="14.25" customHeight="1">
      <c r="A146" s="171"/>
      <c r="B146" s="282"/>
      <c r="C146" s="305"/>
      <c r="D146" s="326"/>
      <c r="E146" s="326"/>
      <c r="F146" s="171"/>
      <c r="G146" s="173"/>
      <c r="H146" s="170"/>
      <c r="I146" s="171"/>
    </row>
    <row r="147" ht="14.25" customHeight="1">
      <c r="A147" s="171"/>
      <c r="B147" s="282"/>
      <c r="C147" s="305"/>
      <c r="D147" s="326"/>
      <c r="E147" s="326"/>
      <c r="F147" s="171"/>
      <c r="G147" s="173"/>
      <c r="H147" s="170"/>
      <c r="I147" s="171"/>
    </row>
    <row r="148" ht="14.25" customHeight="1">
      <c r="A148" s="171"/>
      <c r="B148" s="282"/>
      <c r="C148" s="305"/>
      <c r="D148" s="326"/>
      <c r="E148" s="326"/>
      <c r="F148" s="171"/>
      <c r="G148" s="173"/>
      <c r="H148" s="170"/>
      <c r="I148" s="171"/>
    </row>
    <row r="149" ht="14.25" customHeight="1">
      <c r="A149" s="171"/>
      <c r="B149" s="282"/>
      <c r="C149" s="305"/>
      <c r="D149" s="326"/>
      <c r="E149" s="326"/>
      <c r="F149" s="171"/>
      <c r="G149" s="173"/>
      <c r="H149" s="170"/>
      <c r="I149" s="171"/>
    </row>
    <row r="150" ht="14.25" customHeight="1">
      <c r="A150" s="171"/>
      <c r="B150" s="282"/>
      <c r="C150" s="305"/>
      <c r="D150" s="326"/>
      <c r="E150" s="326"/>
      <c r="F150" s="171"/>
      <c r="G150" s="173"/>
      <c r="H150" s="170"/>
      <c r="I150" s="171"/>
    </row>
    <row r="151" ht="14.25" customHeight="1">
      <c r="A151" s="171"/>
      <c r="B151" s="282"/>
      <c r="C151" s="305"/>
      <c r="D151" s="326"/>
      <c r="E151" s="326"/>
      <c r="F151" s="171"/>
      <c r="G151" s="173"/>
      <c r="H151" s="170"/>
      <c r="I151" s="171"/>
    </row>
    <row r="152" ht="14.25" customHeight="1">
      <c r="A152" s="171"/>
      <c r="B152" s="282"/>
      <c r="C152" s="305"/>
      <c r="D152" s="326"/>
      <c r="E152" s="326"/>
      <c r="F152" s="171"/>
      <c r="G152" s="173"/>
      <c r="H152" s="170"/>
      <c r="I152" s="171"/>
    </row>
    <row r="153" ht="14.25" customHeight="1">
      <c r="A153" s="171"/>
      <c r="B153" s="282"/>
      <c r="C153" s="305"/>
      <c r="D153" s="326"/>
      <c r="E153" s="326"/>
      <c r="F153" s="171"/>
      <c r="G153" s="173"/>
      <c r="H153" s="170"/>
      <c r="I153" s="171"/>
    </row>
    <row r="154" ht="14.25" customHeight="1">
      <c r="A154" s="171"/>
      <c r="B154" s="282"/>
      <c r="C154" s="305"/>
      <c r="D154" s="326"/>
      <c r="E154" s="326"/>
      <c r="F154" s="171"/>
      <c r="G154" s="173"/>
      <c r="H154" s="170"/>
      <c r="I154" s="171"/>
    </row>
    <row r="155" ht="14.25" customHeight="1">
      <c r="A155" s="171"/>
      <c r="B155" s="282"/>
      <c r="C155" s="305"/>
      <c r="D155" s="326"/>
      <c r="E155" s="326"/>
      <c r="F155" s="171"/>
      <c r="G155" s="173"/>
      <c r="H155" s="170"/>
      <c r="I155" s="171"/>
    </row>
    <row r="156" ht="14.25" customHeight="1">
      <c r="A156" s="171"/>
      <c r="B156" s="282"/>
      <c r="C156" s="305"/>
      <c r="D156" s="326"/>
      <c r="E156" s="326"/>
      <c r="F156" s="171"/>
      <c r="G156" s="173"/>
      <c r="H156" s="170"/>
      <c r="I156" s="171"/>
    </row>
    <row r="157" ht="14.25" customHeight="1">
      <c r="A157" s="171"/>
      <c r="B157" s="282"/>
      <c r="C157" s="305"/>
      <c r="D157" s="326"/>
      <c r="E157" s="326"/>
      <c r="F157" s="171"/>
      <c r="G157" s="173"/>
      <c r="H157" s="170"/>
      <c r="I157" s="171"/>
    </row>
    <row r="158" ht="14.25" customHeight="1">
      <c r="A158" s="171"/>
      <c r="B158" s="282"/>
      <c r="C158" s="305"/>
      <c r="D158" s="326"/>
      <c r="E158" s="326"/>
      <c r="F158" s="171"/>
      <c r="G158" s="173"/>
      <c r="H158" s="170"/>
      <c r="I158" s="171"/>
    </row>
    <row r="159" ht="14.25" customHeight="1">
      <c r="A159" s="171"/>
      <c r="B159" s="282"/>
      <c r="C159" s="305"/>
      <c r="D159" s="326"/>
      <c r="E159" s="326"/>
      <c r="F159" s="171"/>
      <c r="G159" s="173"/>
      <c r="H159" s="170"/>
      <c r="I159" s="171"/>
    </row>
    <row r="160" ht="14.25" customHeight="1">
      <c r="A160" s="171"/>
      <c r="B160" s="282"/>
      <c r="C160" s="305"/>
      <c r="D160" s="326"/>
      <c r="E160" s="326"/>
      <c r="F160" s="171"/>
      <c r="G160" s="173"/>
      <c r="H160" s="170"/>
      <c r="I160" s="171"/>
    </row>
    <row r="161" ht="14.25" customHeight="1">
      <c r="A161" s="171"/>
      <c r="B161" s="282"/>
      <c r="C161" s="305"/>
      <c r="D161" s="326"/>
      <c r="E161" s="326"/>
      <c r="F161" s="171"/>
      <c r="G161" s="173"/>
      <c r="H161" s="170"/>
      <c r="I161" s="171"/>
    </row>
    <row r="162" ht="14.25" customHeight="1">
      <c r="A162" s="171"/>
      <c r="B162" s="282"/>
      <c r="C162" s="305"/>
      <c r="D162" s="326"/>
      <c r="E162" s="326"/>
      <c r="F162" s="171"/>
      <c r="G162" s="173"/>
      <c r="H162" s="170"/>
      <c r="I162" s="171"/>
    </row>
    <row r="163" ht="14.25" customHeight="1">
      <c r="A163" s="171"/>
      <c r="B163" s="282"/>
      <c r="C163" s="305"/>
      <c r="D163" s="326"/>
      <c r="E163" s="326"/>
      <c r="F163" s="171"/>
      <c r="G163" s="173"/>
      <c r="H163" s="170"/>
      <c r="I163" s="171"/>
    </row>
    <row r="164" ht="14.25" customHeight="1">
      <c r="A164" s="171"/>
      <c r="B164" s="282"/>
      <c r="C164" s="305"/>
      <c r="D164" s="326"/>
      <c r="E164" s="326"/>
      <c r="F164" s="171"/>
      <c r="G164" s="173"/>
      <c r="H164" s="170"/>
      <c r="I164" s="171"/>
    </row>
    <row r="165" ht="14.25" customHeight="1">
      <c r="A165" s="171"/>
      <c r="B165" s="282"/>
      <c r="C165" s="305"/>
      <c r="D165" s="326"/>
      <c r="E165" s="326"/>
      <c r="F165" s="171"/>
      <c r="G165" s="173"/>
      <c r="H165" s="170"/>
      <c r="I165" s="171"/>
    </row>
    <row r="166" ht="14.25" customHeight="1">
      <c r="A166" s="171"/>
      <c r="B166" s="282"/>
      <c r="C166" s="305"/>
      <c r="D166" s="326"/>
      <c r="E166" s="326"/>
      <c r="F166" s="171"/>
      <c r="G166" s="173"/>
      <c r="H166" s="170"/>
      <c r="I166" s="171"/>
    </row>
    <row r="167" ht="14.25" customHeight="1">
      <c r="A167" s="171"/>
      <c r="B167" s="282"/>
      <c r="C167" s="305"/>
      <c r="D167" s="326"/>
      <c r="E167" s="326"/>
      <c r="F167" s="171"/>
      <c r="G167" s="173"/>
      <c r="H167" s="170"/>
      <c r="I167" s="171"/>
    </row>
    <row r="168" ht="14.25" customHeight="1">
      <c r="A168" s="171"/>
      <c r="B168" s="282"/>
      <c r="C168" s="305"/>
      <c r="D168" s="326"/>
      <c r="E168" s="326"/>
      <c r="F168" s="171"/>
      <c r="G168" s="173"/>
      <c r="H168" s="170"/>
      <c r="I168" s="171"/>
    </row>
    <row r="169" ht="14.25" customHeight="1">
      <c r="A169" s="171"/>
      <c r="B169" s="282"/>
      <c r="C169" s="305"/>
      <c r="D169" s="326"/>
      <c r="E169" s="326"/>
      <c r="F169" s="171"/>
      <c r="G169" s="173"/>
      <c r="H169" s="170"/>
      <c r="I169" s="171"/>
    </row>
    <row r="170" ht="14.25" customHeight="1">
      <c r="A170" s="171"/>
      <c r="B170" s="282"/>
      <c r="C170" s="305"/>
      <c r="D170" s="326"/>
      <c r="E170" s="326"/>
      <c r="F170" s="171"/>
      <c r="G170" s="173"/>
      <c r="H170" s="170"/>
      <c r="I170" s="171"/>
    </row>
    <row r="171" ht="14.25" customHeight="1">
      <c r="A171" s="171"/>
      <c r="B171" s="282"/>
      <c r="C171" s="305"/>
      <c r="D171" s="326"/>
      <c r="E171" s="326"/>
      <c r="F171" s="171"/>
      <c r="G171" s="173"/>
      <c r="H171" s="170"/>
      <c r="I171" s="171"/>
    </row>
    <row r="172" ht="14.25" customHeight="1">
      <c r="A172" s="171"/>
      <c r="B172" s="282"/>
      <c r="C172" s="305"/>
      <c r="D172" s="326"/>
      <c r="E172" s="326"/>
      <c r="F172" s="171"/>
      <c r="G172" s="173"/>
      <c r="H172" s="170"/>
      <c r="I172" s="171"/>
    </row>
    <row r="173" ht="14.25" customHeight="1">
      <c r="A173" s="171"/>
      <c r="B173" s="282"/>
      <c r="C173" s="305"/>
      <c r="D173" s="326"/>
      <c r="E173" s="326"/>
      <c r="F173" s="171"/>
      <c r="G173" s="173"/>
      <c r="H173" s="170"/>
      <c r="I173" s="171"/>
    </row>
    <row r="174" ht="14.25" customHeight="1">
      <c r="A174" s="171"/>
      <c r="B174" s="282"/>
      <c r="C174" s="305"/>
      <c r="D174" s="326"/>
      <c r="E174" s="326"/>
      <c r="F174" s="171"/>
      <c r="G174" s="173"/>
      <c r="H174" s="170"/>
      <c r="I174" s="171"/>
    </row>
    <row r="175" ht="14.25" customHeight="1">
      <c r="A175" s="171"/>
      <c r="B175" s="282"/>
      <c r="C175" s="305"/>
      <c r="D175" s="326"/>
      <c r="E175" s="326"/>
      <c r="F175" s="171"/>
      <c r="G175" s="173"/>
      <c r="H175" s="170"/>
      <c r="I175" s="171"/>
    </row>
    <row r="176" ht="14.25" customHeight="1">
      <c r="A176" s="171"/>
      <c r="B176" s="282"/>
      <c r="C176" s="305"/>
      <c r="D176" s="326"/>
      <c r="E176" s="326"/>
      <c r="F176" s="171"/>
      <c r="G176" s="173"/>
      <c r="H176" s="170"/>
      <c r="I176" s="171"/>
    </row>
    <row r="177" ht="14.25" customHeight="1">
      <c r="A177" s="171"/>
      <c r="B177" s="282"/>
      <c r="C177" s="305"/>
      <c r="D177" s="326"/>
      <c r="E177" s="326"/>
      <c r="F177" s="171"/>
      <c r="G177" s="173"/>
      <c r="H177" s="170"/>
      <c r="I177" s="171"/>
    </row>
    <row r="178" ht="14.25" customHeight="1">
      <c r="A178" s="171"/>
      <c r="B178" s="282"/>
      <c r="C178" s="305"/>
      <c r="D178" s="326"/>
      <c r="E178" s="326"/>
      <c r="F178" s="171"/>
      <c r="G178" s="173"/>
      <c r="H178" s="170"/>
      <c r="I178" s="171"/>
    </row>
    <row r="179" ht="14.25" customHeight="1">
      <c r="A179" s="171"/>
      <c r="B179" s="282"/>
      <c r="C179" s="305"/>
      <c r="D179" s="326"/>
      <c r="E179" s="326"/>
      <c r="F179" s="171"/>
      <c r="G179" s="173"/>
      <c r="H179" s="170"/>
      <c r="I179" s="171"/>
    </row>
    <row r="180" ht="14.25" customHeight="1">
      <c r="A180" s="171"/>
      <c r="B180" s="282"/>
      <c r="C180" s="305"/>
      <c r="D180" s="326"/>
      <c r="E180" s="326"/>
      <c r="F180" s="171"/>
      <c r="G180" s="173"/>
      <c r="H180" s="170"/>
      <c r="I180" s="171"/>
    </row>
    <row r="181" ht="14.25" customHeight="1">
      <c r="A181" s="171"/>
      <c r="B181" s="282"/>
      <c r="C181" s="305"/>
      <c r="D181" s="326"/>
      <c r="E181" s="326"/>
      <c r="F181" s="171"/>
      <c r="G181" s="173"/>
      <c r="H181" s="170"/>
      <c r="I181" s="171"/>
    </row>
    <row r="182" ht="14.25" customHeight="1">
      <c r="A182" s="171"/>
      <c r="B182" s="282"/>
      <c r="C182" s="305"/>
      <c r="D182" s="326"/>
      <c r="E182" s="326"/>
      <c r="F182" s="171"/>
      <c r="G182" s="173"/>
      <c r="H182" s="170"/>
      <c r="I182" s="171"/>
    </row>
    <row r="183" ht="14.25" customHeight="1">
      <c r="A183" s="171"/>
      <c r="B183" s="282"/>
      <c r="C183" s="305"/>
      <c r="D183" s="326"/>
      <c r="E183" s="326"/>
      <c r="F183" s="171"/>
      <c r="G183" s="173"/>
      <c r="H183" s="170"/>
      <c r="I183" s="171"/>
    </row>
    <row r="184" ht="14.25" customHeight="1">
      <c r="A184" s="171"/>
      <c r="B184" s="282"/>
      <c r="C184" s="305"/>
      <c r="D184" s="326"/>
      <c r="E184" s="326"/>
      <c r="F184" s="171"/>
      <c r="G184" s="173"/>
      <c r="H184" s="170"/>
      <c r="I184" s="171"/>
    </row>
    <row r="185" ht="14.25" customHeight="1">
      <c r="A185" s="171"/>
      <c r="B185" s="282"/>
      <c r="C185" s="305"/>
      <c r="D185" s="326"/>
      <c r="E185" s="326"/>
      <c r="F185" s="171"/>
      <c r="G185" s="173"/>
      <c r="H185" s="170"/>
      <c r="I185" s="171"/>
    </row>
    <row r="186" ht="14.25" customHeight="1">
      <c r="A186" s="171"/>
      <c r="B186" s="282"/>
      <c r="C186" s="305"/>
      <c r="D186" s="326"/>
      <c r="E186" s="326"/>
      <c r="F186" s="171"/>
      <c r="G186" s="173"/>
      <c r="H186" s="170"/>
      <c r="I186" s="171"/>
    </row>
    <row r="187" ht="14.25" customHeight="1">
      <c r="A187" s="171"/>
      <c r="B187" s="282"/>
      <c r="C187" s="305"/>
      <c r="D187" s="326"/>
      <c r="E187" s="326"/>
      <c r="F187" s="171"/>
      <c r="G187" s="173"/>
      <c r="H187" s="170"/>
      <c r="I187" s="171"/>
    </row>
    <row r="188" ht="14.25" customHeight="1">
      <c r="A188" s="171"/>
      <c r="B188" s="282"/>
      <c r="C188" s="305"/>
      <c r="D188" s="326"/>
      <c r="E188" s="326"/>
      <c r="F188" s="171"/>
      <c r="G188" s="173"/>
      <c r="H188" s="170"/>
      <c r="I188" s="171"/>
    </row>
    <row r="189" ht="14.25" customHeight="1">
      <c r="A189" s="171"/>
      <c r="B189" s="282"/>
      <c r="C189" s="305"/>
      <c r="D189" s="326"/>
      <c r="E189" s="326"/>
      <c r="F189" s="171"/>
      <c r="G189" s="173"/>
      <c r="H189" s="170"/>
      <c r="I189" s="171"/>
    </row>
    <row r="190" ht="14.25" customHeight="1">
      <c r="A190" s="171"/>
      <c r="B190" s="282"/>
      <c r="C190" s="305"/>
      <c r="D190" s="326"/>
      <c r="E190" s="326"/>
      <c r="F190" s="171"/>
      <c r="G190" s="173"/>
      <c r="H190" s="170"/>
      <c r="I190" s="171"/>
    </row>
    <row r="191" ht="14.25" customHeight="1">
      <c r="A191" s="171"/>
      <c r="B191" s="282"/>
      <c r="C191" s="305"/>
      <c r="D191" s="326"/>
      <c r="E191" s="326"/>
      <c r="F191" s="171"/>
      <c r="G191" s="173"/>
      <c r="H191" s="170"/>
      <c r="I191" s="171"/>
    </row>
    <row r="192" ht="14.25" customHeight="1">
      <c r="A192" s="171"/>
      <c r="B192" s="282"/>
      <c r="C192" s="305"/>
      <c r="D192" s="326"/>
      <c r="E192" s="326"/>
      <c r="F192" s="171"/>
      <c r="G192" s="173"/>
      <c r="H192" s="170"/>
      <c r="I192" s="171"/>
    </row>
    <row r="193" ht="14.25" customHeight="1">
      <c r="A193" s="171"/>
      <c r="B193" s="282"/>
      <c r="C193" s="305"/>
      <c r="D193" s="326"/>
      <c r="E193" s="326"/>
      <c r="F193" s="171"/>
      <c r="G193" s="173"/>
      <c r="H193" s="170"/>
      <c r="I193" s="171"/>
    </row>
    <row r="194" ht="14.25" customHeight="1">
      <c r="A194" s="171"/>
      <c r="B194" s="282"/>
      <c r="C194" s="305"/>
      <c r="D194" s="326"/>
      <c r="E194" s="326"/>
      <c r="F194" s="171"/>
      <c r="G194" s="173"/>
      <c r="H194" s="170"/>
      <c r="I194" s="171"/>
    </row>
    <row r="195" ht="14.25" customHeight="1">
      <c r="A195" s="171"/>
      <c r="B195" s="282"/>
      <c r="C195" s="305"/>
      <c r="D195" s="326"/>
      <c r="E195" s="326"/>
      <c r="F195" s="171"/>
      <c r="G195" s="173"/>
      <c r="H195" s="170"/>
      <c r="I195" s="171"/>
    </row>
    <row r="196" ht="14.25" customHeight="1">
      <c r="A196" s="171"/>
      <c r="B196" s="282"/>
      <c r="C196" s="305"/>
      <c r="D196" s="326"/>
      <c r="E196" s="326"/>
      <c r="F196" s="171"/>
      <c r="G196" s="173"/>
      <c r="H196" s="170"/>
      <c r="I196" s="171"/>
    </row>
    <row r="197" ht="14.25" customHeight="1">
      <c r="A197" s="171"/>
      <c r="B197" s="282"/>
      <c r="C197" s="305"/>
      <c r="D197" s="326"/>
      <c r="E197" s="326"/>
      <c r="F197" s="171"/>
      <c r="G197" s="173"/>
      <c r="H197" s="170"/>
      <c r="I197" s="171"/>
    </row>
    <row r="198" ht="14.25" customHeight="1">
      <c r="A198" s="171"/>
      <c r="B198" s="282"/>
      <c r="C198" s="305"/>
      <c r="D198" s="326"/>
      <c r="E198" s="326"/>
      <c r="F198" s="171"/>
      <c r="G198" s="173"/>
      <c r="H198" s="170"/>
      <c r="I198" s="171"/>
    </row>
    <row r="199" ht="14.25" customHeight="1">
      <c r="A199" s="171"/>
      <c r="B199" s="282"/>
      <c r="C199" s="305"/>
      <c r="D199" s="326"/>
      <c r="E199" s="326"/>
      <c r="F199" s="171"/>
      <c r="G199" s="173"/>
      <c r="H199" s="170"/>
      <c r="I199" s="171"/>
    </row>
    <row r="200" ht="14.25" customHeight="1">
      <c r="A200" s="171"/>
      <c r="B200" s="282"/>
      <c r="C200" s="305"/>
      <c r="D200" s="326"/>
      <c r="E200" s="326"/>
      <c r="F200" s="171"/>
      <c r="G200" s="173"/>
      <c r="H200" s="170"/>
      <c r="I200" s="171"/>
    </row>
    <row r="201" ht="14.25" customHeight="1">
      <c r="A201" s="171"/>
      <c r="B201" s="282"/>
      <c r="C201" s="305"/>
      <c r="D201" s="326"/>
      <c r="E201" s="326"/>
      <c r="F201" s="171"/>
      <c r="G201" s="173"/>
      <c r="H201" s="170"/>
      <c r="I201" s="171"/>
    </row>
    <row r="202" ht="14.25" customHeight="1">
      <c r="A202" s="171"/>
      <c r="B202" s="282"/>
      <c r="C202" s="305"/>
      <c r="D202" s="326"/>
      <c r="E202" s="326"/>
      <c r="F202" s="171"/>
      <c r="G202" s="173"/>
      <c r="H202" s="170"/>
      <c r="I202" s="171"/>
    </row>
    <row r="203" ht="14.25" customHeight="1">
      <c r="A203" s="171"/>
      <c r="B203" s="282"/>
      <c r="C203" s="305"/>
      <c r="D203" s="326"/>
      <c r="E203" s="326"/>
      <c r="F203" s="171"/>
      <c r="G203" s="173"/>
      <c r="H203" s="170"/>
      <c r="I203" s="171"/>
    </row>
    <row r="204" ht="14.25" customHeight="1">
      <c r="A204" s="171"/>
      <c r="B204" s="282"/>
      <c r="C204" s="305"/>
      <c r="D204" s="326"/>
      <c r="E204" s="326"/>
      <c r="F204" s="171"/>
      <c r="G204" s="173"/>
      <c r="H204" s="170"/>
      <c r="I204" s="171"/>
    </row>
    <row r="205" ht="14.25" customHeight="1">
      <c r="A205" s="171"/>
      <c r="B205" s="282"/>
      <c r="C205" s="305"/>
      <c r="D205" s="326"/>
      <c r="E205" s="326"/>
      <c r="F205" s="171"/>
      <c r="G205" s="173"/>
      <c r="H205" s="170"/>
      <c r="I205" s="171"/>
    </row>
    <row r="206" ht="14.25" customHeight="1">
      <c r="A206" s="171"/>
      <c r="B206" s="282"/>
      <c r="C206" s="305"/>
      <c r="D206" s="326"/>
      <c r="E206" s="326"/>
      <c r="F206" s="171"/>
      <c r="G206" s="173"/>
      <c r="H206" s="170"/>
      <c r="I206" s="171"/>
    </row>
    <row r="207" ht="14.25" customHeight="1">
      <c r="A207" s="171"/>
      <c r="B207" s="282"/>
      <c r="C207" s="305"/>
      <c r="D207" s="326"/>
      <c r="E207" s="326"/>
      <c r="F207" s="171"/>
      <c r="G207" s="173"/>
      <c r="H207" s="170"/>
      <c r="I207" s="171"/>
    </row>
    <row r="208" ht="14.25" customHeight="1">
      <c r="A208" s="171"/>
      <c r="B208" s="282"/>
      <c r="C208" s="305"/>
      <c r="D208" s="326"/>
      <c r="E208" s="326"/>
      <c r="F208" s="171"/>
      <c r="G208" s="173"/>
      <c r="H208" s="170"/>
      <c r="I208" s="171"/>
    </row>
    <row r="209" ht="14.25" customHeight="1">
      <c r="A209" s="171"/>
      <c r="B209" s="282"/>
      <c r="C209" s="305"/>
      <c r="D209" s="326"/>
      <c r="E209" s="326"/>
      <c r="F209" s="171"/>
      <c r="G209" s="173"/>
      <c r="H209" s="170"/>
      <c r="I209" s="171"/>
    </row>
    <row r="210" ht="14.25" customHeight="1">
      <c r="A210" s="171"/>
      <c r="B210" s="282"/>
      <c r="C210" s="305"/>
      <c r="D210" s="326"/>
      <c r="E210" s="326"/>
      <c r="F210" s="171"/>
      <c r="G210" s="173"/>
      <c r="H210" s="170"/>
      <c r="I210" s="171"/>
    </row>
    <row r="211" ht="14.25" customHeight="1">
      <c r="A211" s="171"/>
      <c r="B211" s="282"/>
      <c r="C211" s="305"/>
      <c r="D211" s="326"/>
      <c r="E211" s="326"/>
      <c r="F211" s="171"/>
      <c r="G211" s="173"/>
      <c r="H211" s="170"/>
      <c r="I211" s="171"/>
    </row>
    <row r="212" ht="14.25" customHeight="1">
      <c r="A212" s="171"/>
      <c r="B212" s="282"/>
      <c r="C212" s="305"/>
      <c r="D212" s="326"/>
      <c r="E212" s="326"/>
      <c r="F212" s="171"/>
      <c r="G212" s="173"/>
      <c r="H212" s="170"/>
      <c r="I212" s="171"/>
    </row>
    <row r="213" ht="14.25" customHeight="1">
      <c r="A213" s="171"/>
      <c r="B213" s="282"/>
      <c r="C213" s="305"/>
      <c r="D213" s="326"/>
      <c r="E213" s="326"/>
      <c r="F213" s="171"/>
      <c r="G213" s="173"/>
      <c r="H213" s="170"/>
      <c r="I213" s="171"/>
    </row>
    <row r="214" ht="14.25" customHeight="1">
      <c r="A214" s="171"/>
      <c r="B214" s="282"/>
      <c r="C214" s="305"/>
      <c r="D214" s="326"/>
      <c r="E214" s="326"/>
      <c r="F214" s="171"/>
      <c r="G214" s="173"/>
      <c r="H214" s="170"/>
      <c r="I214" s="171"/>
    </row>
    <row r="215" ht="14.25" customHeight="1">
      <c r="A215" s="171"/>
      <c r="B215" s="282"/>
      <c r="C215" s="305"/>
      <c r="D215" s="326"/>
      <c r="E215" s="326"/>
      <c r="F215" s="171"/>
      <c r="G215" s="173"/>
      <c r="H215" s="170"/>
      <c r="I215" s="171"/>
    </row>
    <row r="216" ht="14.25" customHeight="1">
      <c r="A216" s="171"/>
      <c r="B216" s="282"/>
      <c r="C216" s="305"/>
      <c r="D216" s="326"/>
      <c r="E216" s="326"/>
      <c r="F216" s="171"/>
      <c r="G216" s="173"/>
      <c r="H216" s="170"/>
      <c r="I216" s="171"/>
    </row>
    <row r="217" ht="14.25" customHeight="1">
      <c r="A217" s="171"/>
      <c r="B217" s="282"/>
      <c r="C217" s="305"/>
      <c r="D217" s="326"/>
      <c r="E217" s="326"/>
      <c r="F217" s="171"/>
      <c r="G217" s="173"/>
      <c r="H217" s="170"/>
      <c r="I217" s="171"/>
    </row>
    <row r="218" ht="14.25" customHeight="1">
      <c r="A218" s="171"/>
      <c r="B218" s="282"/>
      <c r="C218" s="305"/>
      <c r="D218" s="326"/>
      <c r="E218" s="326"/>
      <c r="F218" s="171"/>
      <c r="G218" s="173"/>
      <c r="H218" s="170"/>
      <c r="I218" s="171"/>
    </row>
    <row r="219" ht="14.25" customHeight="1">
      <c r="A219" s="171"/>
      <c r="B219" s="282"/>
      <c r="C219" s="305"/>
      <c r="D219" s="326"/>
      <c r="E219" s="326"/>
      <c r="F219" s="171"/>
      <c r="G219" s="173"/>
      <c r="H219" s="170"/>
      <c r="I219" s="171"/>
    </row>
    <row r="220" ht="14.25" customHeight="1">
      <c r="A220" s="171"/>
      <c r="B220" s="282"/>
      <c r="C220" s="305"/>
      <c r="D220" s="326"/>
      <c r="E220" s="326"/>
      <c r="F220" s="171"/>
      <c r="G220" s="173"/>
      <c r="H220" s="170"/>
      <c r="I220" s="171"/>
    </row>
    <row r="221" ht="14.25" customHeight="1">
      <c r="A221" s="171"/>
      <c r="B221" s="282"/>
      <c r="C221" s="305"/>
      <c r="D221" s="326"/>
      <c r="E221" s="326"/>
      <c r="F221" s="171"/>
      <c r="G221" s="173"/>
      <c r="H221" s="170"/>
      <c r="I221" s="171"/>
    </row>
    <row r="222" ht="14.25" customHeight="1">
      <c r="A222" s="171"/>
      <c r="B222" s="282"/>
      <c r="C222" s="305"/>
      <c r="D222" s="326"/>
      <c r="E222" s="326"/>
      <c r="F222" s="171"/>
      <c r="G222" s="173"/>
      <c r="H222" s="170"/>
      <c r="I222" s="171"/>
    </row>
    <row r="223" ht="14.25" customHeight="1">
      <c r="A223" s="171"/>
      <c r="B223" s="282"/>
      <c r="C223" s="305"/>
      <c r="D223" s="326"/>
      <c r="E223" s="326"/>
      <c r="F223" s="171"/>
      <c r="G223" s="173"/>
      <c r="H223" s="170"/>
      <c r="I223" s="171"/>
    </row>
    <row r="224" ht="14.25" customHeight="1">
      <c r="A224" s="171"/>
      <c r="B224" s="282"/>
      <c r="C224" s="305"/>
      <c r="D224" s="326"/>
      <c r="E224" s="326"/>
      <c r="F224" s="171"/>
      <c r="G224" s="173"/>
      <c r="H224" s="170"/>
      <c r="I224" s="171"/>
    </row>
    <row r="225" ht="14.25" customHeight="1">
      <c r="A225" s="171"/>
      <c r="B225" s="282"/>
      <c r="C225" s="305"/>
      <c r="D225" s="326"/>
      <c r="E225" s="326"/>
      <c r="F225" s="171"/>
      <c r="G225" s="173"/>
      <c r="H225" s="170"/>
      <c r="I225" s="171"/>
    </row>
    <row r="226" ht="14.25" customHeight="1">
      <c r="A226" s="171"/>
      <c r="B226" s="282"/>
      <c r="C226" s="305"/>
      <c r="D226" s="326"/>
      <c r="E226" s="326"/>
      <c r="F226" s="171"/>
      <c r="G226" s="173"/>
      <c r="H226" s="170"/>
      <c r="I226" s="171"/>
    </row>
    <row r="227" ht="14.25" customHeight="1">
      <c r="A227" s="171"/>
      <c r="B227" s="282"/>
      <c r="C227" s="305"/>
      <c r="D227" s="326"/>
      <c r="E227" s="326"/>
      <c r="F227" s="171"/>
      <c r="G227" s="173"/>
      <c r="H227" s="170"/>
      <c r="I227" s="171"/>
    </row>
    <row r="228" ht="14.25" customHeight="1">
      <c r="A228" s="171"/>
      <c r="B228" s="282"/>
      <c r="C228" s="305"/>
      <c r="D228" s="326"/>
      <c r="E228" s="326"/>
      <c r="F228" s="171"/>
      <c r="G228" s="173"/>
      <c r="H228" s="170"/>
      <c r="I228" s="171"/>
    </row>
    <row r="229" ht="14.25" customHeight="1">
      <c r="A229" s="171"/>
      <c r="B229" s="282"/>
      <c r="C229" s="305"/>
      <c r="D229" s="326"/>
      <c r="E229" s="326"/>
      <c r="F229" s="171"/>
      <c r="G229" s="173"/>
      <c r="H229" s="170"/>
      <c r="I229" s="171"/>
    </row>
    <row r="230" ht="14.25" customHeight="1">
      <c r="A230" s="171"/>
      <c r="B230" s="282"/>
      <c r="C230" s="305"/>
      <c r="D230" s="326"/>
      <c r="E230" s="326"/>
      <c r="F230" s="171"/>
      <c r="G230" s="173"/>
      <c r="H230" s="170"/>
      <c r="I230" s="171"/>
    </row>
    <row r="231" ht="14.25" customHeight="1">
      <c r="A231" s="171"/>
      <c r="B231" s="282"/>
      <c r="C231" s="305"/>
      <c r="D231" s="326"/>
      <c r="E231" s="326"/>
      <c r="F231" s="171"/>
      <c r="G231" s="173"/>
      <c r="H231" s="170"/>
      <c r="I231" s="171"/>
    </row>
    <row r="232" ht="14.25" customHeight="1">
      <c r="A232" s="171"/>
      <c r="B232" s="282"/>
      <c r="C232" s="305"/>
      <c r="D232" s="326"/>
      <c r="E232" s="326"/>
      <c r="F232" s="171"/>
      <c r="G232" s="173"/>
      <c r="H232" s="170"/>
      <c r="I232" s="171"/>
    </row>
    <row r="233" ht="14.25" customHeight="1">
      <c r="A233" s="171"/>
      <c r="B233" s="282"/>
      <c r="C233" s="305"/>
      <c r="D233" s="326"/>
      <c r="E233" s="326"/>
      <c r="F233" s="171"/>
      <c r="G233" s="173"/>
      <c r="H233" s="170"/>
      <c r="I233" s="171"/>
    </row>
    <row r="234" ht="14.25" customHeight="1">
      <c r="A234" s="171"/>
      <c r="B234" s="282"/>
      <c r="C234" s="305"/>
      <c r="D234" s="326"/>
      <c r="E234" s="326"/>
      <c r="F234" s="171"/>
      <c r="G234" s="173"/>
      <c r="H234" s="170"/>
      <c r="I234" s="171"/>
    </row>
    <row r="235" ht="14.25" customHeight="1">
      <c r="A235" s="171"/>
      <c r="B235" s="282"/>
      <c r="C235" s="305"/>
      <c r="D235" s="326"/>
      <c r="E235" s="326"/>
      <c r="F235" s="171"/>
      <c r="G235" s="173"/>
      <c r="H235" s="170"/>
      <c r="I235" s="171"/>
    </row>
    <row r="236" ht="14.25" customHeight="1">
      <c r="A236" s="171"/>
      <c r="B236" s="282"/>
      <c r="C236" s="305"/>
      <c r="D236" s="326"/>
      <c r="E236" s="326"/>
      <c r="F236" s="171"/>
      <c r="G236" s="173"/>
      <c r="H236" s="170"/>
      <c r="I236" s="171"/>
    </row>
    <row r="237" ht="14.25" customHeight="1">
      <c r="A237" s="171"/>
      <c r="B237" s="282"/>
      <c r="C237" s="305"/>
      <c r="D237" s="326"/>
      <c r="E237" s="326"/>
      <c r="F237" s="171"/>
      <c r="G237" s="173"/>
      <c r="H237" s="170"/>
      <c r="I237" s="171"/>
    </row>
    <row r="238" ht="14.25" customHeight="1">
      <c r="A238" s="171"/>
      <c r="B238" s="282"/>
      <c r="C238" s="305"/>
      <c r="D238" s="326"/>
      <c r="E238" s="326"/>
      <c r="F238" s="171"/>
      <c r="G238" s="173"/>
      <c r="H238" s="170"/>
      <c r="I238" s="171"/>
    </row>
    <row r="239" ht="14.25" customHeight="1">
      <c r="A239" s="171"/>
      <c r="B239" s="282"/>
      <c r="C239" s="305"/>
      <c r="D239" s="326"/>
      <c r="E239" s="326"/>
      <c r="F239" s="171"/>
      <c r="G239" s="173"/>
      <c r="H239" s="170"/>
      <c r="I239" s="171"/>
    </row>
    <row r="240" ht="14.25" customHeight="1">
      <c r="A240" s="171"/>
      <c r="B240" s="282"/>
      <c r="C240" s="305"/>
      <c r="D240" s="326"/>
      <c r="E240" s="326"/>
      <c r="F240" s="171"/>
      <c r="G240" s="173"/>
      <c r="H240" s="170"/>
      <c r="I240" s="171"/>
    </row>
    <row r="241" ht="14.25" customHeight="1">
      <c r="A241" s="171"/>
      <c r="B241" s="282"/>
      <c r="C241" s="305"/>
      <c r="D241" s="326"/>
      <c r="E241" s="326"/>
      <c r="F241" s="171"/>
      <c r="G241" s="173"/>
      <c r="H241" s="170"/>
      <c r="I241" s="171"/>
    </row>
    <row r="242" ht="14.25" customHeight="1">
      <c r="A242" s="171"/>
      <c r="B242" s="282"/>
      <c r="C242" s="305"/>
      <c r="D242" s="326"/>
      <c r="E242" s="326"/>
      <c r="F242" s="171"/>
      <c r="G242" s="173"/>
      <c r="H242" s="170"/>
      <c r="I242" s="171"/>
    </row>
    <row r="243" ht="14.25" customHeight="1">
      <c r="A243" s="171"/>
      <c r="B243" s="282"/>
      <c r="C243" s="305"/>
      <c r="D243" s="326"/>
      <c r="E243" s="326"/>
      <c r="F243" s="171"/>
      <c r="G243" s="173"/>
      <c r="H243" s="170"/>
      <c r="I243" s="171"/>
    </row>
    <row r="244" ht="14.25" customHeight="1">
      <c r="A244" s="171"/>
      <c r="B244" s="282"/>
      <c r="C244" s="305"/>
      <c r="D244" s="326"/>
      <c r="E244" s="326"/>
      <c r="F244" s="171"/>
      <c r="G244" s="173"/>
      <c r="H244" s="170"/>
      <c r="I244" s="171"/>
    </row>
    <row r="245" ht="14.25" customHeight="1">
      <c r="A245" s="171"/>
      <c r="B245" s="282"/>
      <c r="C245" s="305"/>
      <c r="D245" s="326"/>
      <c r="E245" s="326"/>
      <c r="F245" s="171"/>
      <c r="G245" s="173"/>
      <c r="H245" s="170"/>
      <c r="I245" s="171"/>
    </row>
    <row r="246" ht="14.25" customHeight="1">
      <c r="A246" s="171"/>
      <c r="B246" s="282"/>
      <c r="C246" s="305"/>
      <c r="D246" s="326"/>
      <c r="E246" s="326"/>
      <c r="F246" s="171"/>
      <c r="G246" s="173"/>
      <c r="H246" s="170"/>
      <c r="I246" s="171"/>
    </row>
    <row r="247" ht="14.25" customHeight="1">
      <c r="A247" s="171"/>
      <c r="B247" s="282"/>
      <c r="C247" s="305"/>
      <c r="D247" s="326"/>
      <c r="E247" s="326"/>
      <c r="F247" s="171"/>
      <c r="G247" s="173"/>
      <c r="H247" s="170"/>
      <c r="I247" s="171"/>
    </row>
    <row r="248" ht="14.25" customHeight="1">
      <c r="A248" s="171"/>
      <c r="B248" s="282"/>
      <c r="C248" s="305"/>
      <c r="D248" s="326"/>
      <c r="E248" s="326"/>
      <c r="F248" s="171"/>
      <c r="G248" s="173"/>
      <c r="H248" s="170"/>
      <c r="I248" s="171"/>
    </row>
    <row r="249" ht="14.25" customHeight="1">
      <c r="A249" s="171"/>
      <c r="B249" s="282"/>
      <c r="C249" s="305"/>
      <c r="D249" s="326"/>
      <c r="E249" s="326"/>
      <c r="F249" s="171"/>
      <c r="G249" s="173"/>
      <c r="H249" s="170"/>
      <c r="I249" s="171"/>
    </row>
    <row r="250" ht="14.25" customHeight="1">
      <c r="A250" s="171"/>
      <c r="B250" s="282"/>
      <c r="C250" s="305"/>
      <c r="D250" s="326"/>
      <c r="E250" s="326"/>
      <c r="F250" s="171"/>
      <c r="G250" s="173"/>
      <c r="H250" s="170"/>
      <c r="I250" s="171"/>
    </row>
    <row r="251" ht="14.25" customHeight="1">
      <c r="A251" s="171"/>
      <c r="B251" s="282"/>
      <c r="C251" s="305"/>
      <c r="D251" s="326"/>
      <c r="E251" s="326"/>
      <c r="F251" s="171"/>
      <c r="G251" s="173"/>
      <c r="H251" s="170"/>
      <c r="I251" s="171"/>
    </row>
    <row r="252" ht="14.25" customHeight="1">
      <c r="A252" s="171"/>
      <c r="B252" s="282"/>
      <c r="C252" s="305"/>
      <c r="D252" s="326"/>
      <c r="E252" s="326"/>
      <c r="F252" s="171"/>
      <c r="G252" s="173"/>
      <c r="H252" s="170"/>
      <c r="I252" s="171"/>
    </row>
    <row r="253" ht="14.25" customHeight="1">
      <c r="A253" s="171"/>
      <c r="B253" s="282"/>
      <c r="C253" s="305"/>
      <c r="D253" s="326"/>
      <c r="E253" s="326"/>
      <c r="F253" s="171"/>
      <c r="G253" s="173"/>
      <c r="H253" s="170"/>
      <c r="I253" s="171"/>
    </row>
    <row r="254" ht="14.25" customHeight="1">
      <c r="A254" s="171"/>
      <c r="B254" s="282"/>
      <c r="C254" s="305"/>
      <c r="D254" s="326"/>
      <c r="E254" s="326"/>
      <c r="F254" s="171"/>
      <c r="G254" s="173"/>
      <c r="H254" s="170"/>
      <c r="I254" s="171"/>
    </row>
    <row r="255" ht="14.25" customHeight="1">
      <c r="A255" s="171"/>
      <c r="B255" s="282"/>
      <c r="C255" s="305"/>
      <c r="D255" s="326"/>
      <c r="E255" s="326"/>
      <c r="F255" s="171"/>
      <c r="G255" s="173"/>
      <c r="H255" s="170"/>
      <c r="I255" s="171"/>
    </row>
    <row r="256" ht="14.25" customHeight="1">
      <c r="A256" s="171"/>
      <c r="B256" s="282"/>
      <c r="C256" s="305"/>
      <c r="D256" s="326"/>
      <c r="E256" s="326"/>
      <c r="F256" s="171"/>
      <c r="G256" s="173"/>
      <c r="H256" s="170"/>
      <c r="I256" s="171"/>
    </row>
    <row r="257" ht="14.25" customHeight="1">
      <c r="A257" s="171"/>
      <c r="B257" s="282"/>
      <c r="C257" s="305"/>
      <c r="D257" s="326"/>
      <c r="E257" s="326"/>
      <c r="F257" s="171"/>
      <c r="G257" s="173"/>
      <c r="H257" s="170"/>
      <c r="I257" s="171"/>
    </row>
    <row r="258" ht="14.25" customHeight="1">
      <c r="A258" s="171"/>
      <c r="B258" s="282"/>
      <c r="C258" s="305"/>
      <c r="D258" s="326"/>
      <c r="E258" s="326"/>
      <c r="F258" s="171"/>
      <c r="G258" s="173"/>
      <c r="H258" s="170"/>
      <c r="I258" s="171"/>
    </row>
    <row r="259" ht="14.25" customHeight="1">
      <c r="A259" s="171"/>
      <c r="B259" s="282"/>
      <c r="C259" s="305"/>
      <c r="D259" s="326"/>
      <c r="E259" s="326"/>
      <c r="F259" s="171"/>
      <c r="G259" s="173"/>
      <c r="H259" s="170"/>
      <c r="I259" s="171"/>
    </row>
    <row r="260" ht="14.25" customHeight="1">
      <c r="A260" s="171"/>
      <c r="B260" s="282"/>
      <c r="C260" s="305"/>
      <c r="D260" s="326"/>
      <c r="E260" s="326"/>
      <c r="F260" s="171"/>
      <c r="G260" s="173"/>
      <c r="H260" s="170"/>
      <c r="I260" s="171"/>
    </row>
    <row r="261" ht="14.25" customHeight="1">
      <c r="A261" s="171"/>
      <c r="B261" s="282"/>
      <c r="C261" s="305"/>
      <c r="D261" s="326"/>
      <c r="E261" s="326"/>
      <c r="F261" s="171"/>
      <c r="G261" s="173"/>
      <c r="H261" s="170"/>
      <c r="I261" s="171"/>
    </row>
    <row r="262" ht="14.25" customHeight="1">
      <c r="A262" s="171"/>
      <c r="B262" s="282"/>
      <c r="C262" s="305"/>
      <c r="D262" s="326"/>
      <c r="E262" s="326"/>
      <c r="F262" s="171"/>
      <c r="G262" s="173"/>
      <c r="H262" s="170"/>
      <c r="I262" s="171"/>
    </row>
    <row r="263" ht="14.25" customHeight="1">
      <c r="A263" s="171"/>
      <c r="B263" s="282"/>
      <c r="C263" s="305"/>
      <c r="D263" s="326"/>
      <c r="E263" s="326"/>
      <c r="F263" s="171"/>
      <c r="G263" s="173"/>
      <c r="H263" s="170"/>
      <c r="I263" s="171"/>
    </row>
    <row r="264" ht="14.25" customHeight="1">
      <c r="A264" s="171"/>
      <c r="B264" s="282"/>
      <c r="C264" s="305"/>
      <c r="D264" s="326"/>
      <c r="E264" s="326"/>
      <c r="F264" s="171"/>
      <c r="G264" s="173"/>
      <c r="H264" s="170"/>
      <c r="I264" s="171"/>
    </row>
    <row r="265" ht="14.25" customHeight="1">
      <c r="A265" s="171"/>
      <c r="B265" s="282"/>
      <c r="C265" s="305"/>
      <c r="D265" s="326"/>
      <c r="E265" s="326"/>
      <c r="F265" s="171"/>
      <c r="G265" s="173"/>
      <c r="H265" s="170"/>
      <c r="I265" s="171"/>
    </row>
    <row r="266" ht="14.25" customHeight="1">
      <c r="A266" s="171"/>
      <c r="B266" s="282"/>
      <c r="C266" s="305"/>
      <c r="D266" s="326"/>
      <c r="E266" s="326"/>
      <c r="F266" s="171"/>
      <c r="G266" s="173"/>
      <c r="H266" s="170"/>
      <c r="I266" s="171"/>
    </row>
    <row r="267" ht="14.25" customHeight="1">
      <c r="A267" s="171"/>
      <c r="B267" s="282"/>
      <c r="C267" s="305"/>
      <c r="D267" s="326"/>
      <c r="E267" s="326"/>
      <c r="F267" s="171"/>
      <c r="G267" s="173"/>
      <c r="H267" s="170"/>
      <c r="I267" s="171"/>
    </row>
    <row r="268" ht="14.25" customHeight="1">
      <c r="A268" s="171"/>
      <c r="B268" s="282"/>
      <c r="C268" s="305"/>
      <c r="D268" s="326"/>
      <c r="E268" s="326"/>
      <c r="F268" s="171"/>
      <c r="G268" s="173"/>
      <c r="H268" s="170"/>
      <c r="I268" s="171"/>
    </row>
    <row r="269" ht="14.25" customHeight="1">
      <c r="A269" s="171"/>
      <c r="B269" s="282"/>
      <c r="C269" s="305"/>
      <c r="D269" s="326"/>
      <c r="E269" s="326"/>
      <c r="F269" s="171"/>
      <c r="G269" s="173"/>
      <c r="H269" s="170"/>
      <c r="I269" s="171"/>
    </row>
    <row r="270" ht="14.25" customHeight="1">
      <c r="A270" s="171"/>
      <c r="B270" s="282"/>
      <c r="C270" s="305"/>
      <c r="D270" s="326"/>
      <c r="E270" s="326"/>
      <c r="F270" s="171"/>
      <c r="G270" s="173"/>
      <c r="H270" s="170"/>
      <c r="I270" s="171"/>
    </row>
    <row r="271" ht="14.25" customHeight="1">
      <c r="A271" s="171"/>
      <c r="B271" s="282"/>
      <c r="C271" s="305"/>
      <c r="D271" s="326"/>
      <c r="E271" s="326"/>
      <c r="F271" s="171"/>
      <c r="G271" s="173"/>
      <c r="H271" s="170"/>
      <c r="I271" s="171"/>
    </row>
    <row r="272" ht="14.25" customHeight="1">
      <c r="A272" s="171"/>
      <c r="B272" s="282"/>
      <c r="C272" s="305"/>
      <c r="D272" s="326"/>
      <c r="E272" s="326"/>
      <c r="F272" s="171"/>
      <c r="G272" s="173"/>
      <c r="H272" s="170"/>
      <c r="I272" s="171"/>
    </row>
    <row r="273" ht="14.25" customHeight="1">
      <c r="A273" s="171"/>
      <c r="B273" s="282"/>
      <c r="C273" s="305"/>
      <c r="D273" s="326"/>
      <c r="E273" s="326"/>
      <c r="F273" s="171"/>
      <c r="G273" s="173"/>
      <c r="H273" s="170"/>
      <c r="I273" s="171"/>
    </row>
    <row r="274" ht="14.25" customHeight="1">
      <c r="A274" s="171"/>
      <c r="B274" s="282"/>
      <c r="C274" s="305"/>
      <c r="D274" s="326"/>
      <c r="E274" s="326"/>
      <c r="F274" s="171"/>
      <c r="G274" s="173"/>
      <c r="H274" s="170"/>
      <c r="I274" s="171"/>
    </row>
    <row r="275" ht="14.25" customHeight="1">
      <c r="A275" s="171"/>
      <c r="B275" s="282"/>
      <c r="C275" s="305"/>
      <c r="D275" s="326"/>
      <c r="E275" s="326"/>
      <c r="F275" s="171"/>
      <c r="G275" s="173"/>
      <c r="H275" s="170"/>
      <c r="I275" s="171"/>
    </row>
    <row r="276" ht="14.25" customHeight="1">
      <c r="A276" s="171"/>
      <c r="B276" s="282"/>
      <c r="C276" s="305"/>
      <c r="D276" s="326"/>
      <c r="E276" s="326"/>
      <c r="F276" s="171"/>
      <c r="G276" s="173"/>
      <c r="H276" s="170"/>
      <c r="I276" s="171"/>
    </row>
    <row r="277" ht="14.25" customHeight="1">
      <c r="A277" s="171"/>
      <c r="B277" s="282"/>
      <c r="C277" s="305"/>
      <c r="D277" s="326"/>
      <c r="E277" s="326"/>
      <c r="F277" s="171"/>
      <c r="G277" s="173"/>
      <c r="H277" s="170"/>
      <c r="I277" s="171"/>
    </row>
    <row r="278" ht="14.25" customHeight="1">
      <c r="A278" s="171"/>
      <c r="B278" s="282"/>
      <c r="C278" s="305"/>
      <c r="D278" s="326"/>
      <c r="E278" s="326"/>
      <c r="F278" s="171"/>
      <c r="G278" s="173"/>
      <c r="H278" s="170"/>
      <c r="I278" s="171"/>
    </row>
    <row r="279" ht="14.25" customHeight="1">
      <c r="A279" s="171"/>
      <c r="B279" s="282"/>
      <c r="C279" s="305"/>
      <c r="D279" s="326"/>
      <c r="E279" s="326"/>
      <c r="F279" s="171"/>
      <c r="G279" s="173"/>
      <c r="H279" s="170"/>
      <c r="I279" s="171"/>
    </row>
    <row r="280" ht="14.25" customHeight="1">
      <c r="A280" s="171"/>
      <c r="B280" s="282"/>
      <c r="C280" s="305"/>
      <c r="D280" s="326"/>
      <c r="E280" s="326"/>
      <c r="F280" s="171"/>
      <c r="G280" s="173"/>
      <c r="H280" s="170"/>
      <c r="I280" s="171"/>
    </row>
    <row r="281" ht="14.25" customHeight="1">
      <c r="A281" s="171"/>
      <c r="B281" s="282"/>
      <c r="C281" s="305"/>
      <c r="D281" s="326"/>
      <c r="E281" s="326"/>
      <c r="F281" s="171"/>
      <c r="G281" s="173"/>
      <c r="H281" s="170"/>
      <c r="I281" s="171"/>
    </row>
    <row r="282" ht="14.25" customHeight="1">
      <c r="A282" s="171"/>
      <c r="B282" s="282"/>
      <c r="C282" s="305"/>
      <c r="D282" s="326"/>
      <c r="E282" s="326"/>
      <c r="F282" s="171"/>
      <c r="G282" s="173"/>
      <c r="H282" s="170"/>
      <c r="I282" s="171"/>
    </row>
    <row r="283" ht="14.25" customHeight="1">
      <c r="A283" s="171"/>
      <c r="B283" s="282"/>
      <c r="C283" s="305"/>
      <c r="D283" s="326"/>
      <c r="E283" s="326"/>
      <c r="F283" s="171"/>
      <c r="G283" s="173"/>
      <c r="H283" s="170"/>
      <c r="I283" s="171"/>
    </row>
    <row r="284" ht="14.25" customHeight="1">
      <c r="A284" s="171"/>
      <c r="B284" s="282"/>
      <c r="C284" s="305"/>
      <c r="D284" s="326"/>
      <c r="E284" s="326"/>
      <c r="F284" s="171"/>
      <c r="G284" s="173"/>
      <c r="H284" s="170"/>
      <c r="I284" s="171"/>
    </row>
    <row r="285" ht="14.25" customHeight="1">
      <c r="A285" s="171"/>
      <c r="B285" s="282"/>
      <c r="C285" s="305"/>
      <c r="D285" s="326"/>
      <c r="E285" s="326"/>
      <c r="F285" s="171"/>
      <c r="G285" s="173"/>
      <c r="H285" s="170"/>
      <c r="I285" s="171"/>
    </row>
    <row r="286" ht="14.25" customHeight="1">
      <c r="A286" s="171"/>
      <c r="B286" s="282"/>
      <c r="C286" s="305"/>
      <c r="D286" s="326"/>
      <c r="E286" s="326"/>
      <c r="F286" s="171"/>
      <c r="G286" s="173"/>
      <c r="H286" s="170"/>
      <c r="I286" s="171"/>
    </row>
    <row r="287" ht="14.25" customHeight="1">
      <c r="A287" s="171"/>
      <c r="B287" s="282"/>
      <c r="C287" s="305"/>
      <c r="D287" s="326"/>
      <c r="E287" s="326"/>
      <c r="F287" s="171"/>
      <c r="G287" s="173"/>
      <c r="H287" s="170"/>
      <c r="I287" s="171"/>
    </row>
    <row r="288" ht="14.25" customHeight="1">
      <c r="A288" s="171"/>
      <c r="B288" s="282"/>
      <c r="C288" s="305"/>
      <c r="D288" s="326"/>
      <c r="E288" s="326"/>
      <c r="F288" s="171"/>
      <c r="G288" s="173"/>
      <c r="H288" s="170"/>
      <c r="I288" s="171"/>
    </row>
    <row r="289" ht="14.25" customHeight="1">
      <c r="A289" s="171"/>
      <c r="B289" s="282"/>
      <c r="C289" s="305"/>
      <c r="D289" s="326"/>
      <c r="E289" s="326"/>
      <c r="F289" s="171"/>
      <c r="G289" s="173"/>
      <c r="H289" s="170"/>
      <c r="I289" s="171"/>
    </row>
    <row r="290" ht="14.25" customHeight="1">
      <c r="A290" s="171"/>
      <c r="B290" s="282"/>
      <c r="C290" s="305"/>
      <c r="D290" s="326"/>
      <c r="E290" s="326"/>
      <c r="F290" s="171"/>
      <c r="G290" s="173"/>
      <c r="H290" s="170"/>
      <c r="I290" s="171"/>
    </row>
    <row r="291" ht="14.25" customHeight="1">
      <c r="A291" s="171"/>
      <c r="B291" s="282"/>
      <c r="C291" s="305"/>
      <c r="D291" s="326"/>
      <c r="E291" s="326"/>
      <c r="F291" s="171"/>
      <c r="G291" s="173"/>
      <c r="H291" s="170"/>
      <c r="I291" s="171"/>
    </row>
    <row r="292" ht="14.25" customHeight="1">
      <c r="A292" s="171"/>
      <c r="B292" s="282"/>
      <c r="C292" s="305"/>
      <c r="D292" s="326"/>
      <c r="E292" s="326"/>
      <c r="F292" s="171"/>
      <c r="G292" s="173"/>
      <c r="H292" s="170"/>
      <c r="I292" s="171"/>
    </row>
    <row r="293" ht="14.25" customHeight="1">
      <c r="A293" s="171"/>
      <c r="B293" s="282"/>
      <c r="C293" s="305"/>
      <c r="D293" s="326"/>
      <c r="E293" s="326"/>
      <c r="F293" s="171"/>
      <c r="G293" s="173"/>
      <c r="H293" s="170"/>
      <c r="I293" s="171"/>
    </row>
    <row r="294" ht="14.25" customHeight="1">
      <c r="A294" s="171"/>
      <c r="B294" s="282"/>
      <c r="C294" s="305"/>
      <c r="D294" s="326"/>
      <c r="E294" s="326"/>
      <c r="F294" s="171"/>
      <c r="G294" s="173"/>
      <c r="H294" s="170"/>
      <c r="I294" s="171"/>
    </row>
    <row r="295" ht="14.25" customHeight="1">
      <c r="A295" s="171"/>
      <c r="B295" s="282"/>
      <c r="C295" s="305"/>
      <c r="D295" s="326"/>
      <c r="E295" s="326"/>
      <c r="F295" s="171"/>
      <c r="G295" s="173"/>
      <c r="H295" s="170"/>
      <c r="I295" s="171"/>
    </row>
    <row r="296" ht="14.25" customHeight="1">
      <c r="A296" s="171"/>
      <c r="B296" s="282"/>
      <c r="C296" s="305"/>
      <c r="D296" s="326"/>
      <c r="E296" s="326"/>
      <c r="F296" s="171"/>
      <c r="G296" s="173"/>
      <c r="H296" s="170"/>
      <c r="I296" s="171"/>
    </row>
    <row r="297" ht="14.25" customHeight="1">
      <c r="A297" s="171"/>
      <c r="B297" s="282"/>
      <c r="C297" s="305"/>
      <c r="D297" s="326"/>
      <c r="E297" s="326"/>
      <c r="F297" s="171"/>
      <c r="G297" s="173"/>
      <c r="H297" s="170"/>
      <c r="I297" s="171"/>
    </row>
    <row r="298" ht="14.25" customHeight="1">
      <c r="A298" s="171"/>
      <c r="B298" s="282"/>
      <c r="C298" s="305"/>
      <c r="D298" s="326"/>
      <c r="E298" s="326"/>
      <c r="F298" s="171"/>
      <c r="G298" s="173"/>
      <c r="H298" s="170"/>
      <c r="I298" s="171"/>
    </row>
    <row r="299" ht="14.25" customHeight="1">
      <c r="A299" s="171"/>
      <c r="B299" s="282"/>
      <c r="C299" s="305"/>
      <c r="D299" s="326"/>
      <c r="E299" s="326"/>
      <c r="F299" s="171"/>
      <c r="G299" s="173"/>
      <c r="H299" s="170"/>
      <c r="I299" s="171"/>
    </row>
    <row r="300" ht="14.25" customHeight="1">
      <c r="A300" s="171"/>
      <c r="B300" s="282"/>
      <c r="C300" s="305"/>
      <c r="D300" s="326"/>
      <c r="E300" s="326"/>
      <c r="F300" s="171"/>
      <c r="G300" s="173"/>
      <c r="H300" s="170"/>
      <c r="I300" s="171"/>
    </row>
    <row r="301" ht="14.25" customHeight="1">
      <c r="A301" s="171"/>
      <c r="B301" s="282"/>
      <c r="C301" s="305"/>
      <c r="D301" s="326"/>
      <c r="E301" s="326"/>
      <c r="F301" s="171"/>
      <c r="G301" s="173"/>
      <c r="H301" s="170"/>
      <c r="I301" s="171"/>
    </row>
    <row r="302" ht="14.25" customHeight="1">
      <c r="A302" s="171"/>
      <c r="B302" s="282"/>
      <c r="C302" s="305"/>
      <c r="D302" s="326"/>
      <c r="E302" s="326"/>
      <c r="F302" s="171"/>
      <c r="G302" s="173"/>
      <c r="H302" s="170"/>
      <c r="I302" s="171"/>
    </row>
    <row r="303" ht="14.25" customHeight="1">
      <c r="A303" s="171"/>
      <c r="B303" s="282"/>
      <c r="C303" s="305"/>
      <c r="D303" s="326"/>
      <c r="E303" s="326"/>
      <c r="F303" s="171"/>
      <c r="G303" s="173"/>
      <c r="H303" s="170"/>
      <c r="I303" s="171"/>
    </row>
    <row r="304" ht="14.25" customHeight="1">
      <c r="A304" s="171"/>
      <c r="B304" s="282"/>
      <c r="C304" s="305"/>
      <c r="D304" s="326"/>
      <c r="E304" s="326"/>
      <c r="F304" s="171"/>
      <c r="G304" s="173"/>
      <c r="H304" s="170"/>
      <c r="I304" s="171"/>
    </row>
    <row r="305" ht="14.25" customHeight="1">
      <c r="A305" s="171"/>
      <c r="B305" s="282"/>
      <c r="C305" s="305"/>
      <c r="D305" s="326"/>
      <c r="E305" s="326"/>
      <c r="F305" s="171"/>
      <c r="G305" s="173"/>
      <c r="H305" s="170"/>
      <c r="I305" s="171"/>
    </row>
    <row r="306" ht="14.25" customHeight="1">
      <c r="A306" s="171"/>
      <c r="B306" s="282"/>
      <c r="C306" s="305"/>
      <c r="D306" s="326"/>
      <c r="E306" s="326"/>
      <c r="F306" s="171"/>
      <c r="G306" s="173"/>
      <c r="H306" s="170"/>
      <c r="I306" s="171"/>
    </row>
    <row r="307" ht="14.25" customHeight="1">
      <c r="A307" s="171"/>
      <c r="B307" s="282"/>
      <c r="C307" s="305"/>
      <c r="D307" s="326"/>
      <c r="E307" s="326"/>
      <c r="F307" s="171"/>
      <c r="G307" s="173"/>
      <c r="H307" s="170"/>
      <c r="I307" s="171"/>
    </row>
    <row r="308" ht="14.25" customHeight="1">
      <c r="A308" s="171"/>
      <c r="B308" s="282"/>
      <c r="C308" s="305"/>
      <c r="D308" s="326"/>
      <c r="E308" s="326"/>
      <c r="F308" s="171"/>
      <c r="G308" s="173"/>
      <c r="H308" s="170"/>
      <c r="I308" s="171"/>
    </row>
    <row r="309" ht="14.25" customHeight="1">
      <c r="A309" s="171"/>
      <c r="B309" s="282"/>
      <c r="C309" s="305"/>
      <c r="D309" s="326"/>
      <c r="E309" s="326"/>
      <c r="F309" s="171"/>
      <c r="G309" s="173"/>
      <c r="H309" s="170"/>
      <c r="I309" s="171"/>
    </row>
    <row r="310" ht="14.25" customHeight="1">
      <c r="A310" s="171"/>
      <c r="B310" s="282"/>
      <c r="C310" s="305"/>
      <c r="D310" s="326"/>
      <c r="E310" s="326"/>
      <c r="F310" s="171"/>
      <c r="G310" s="173"/>
      <c r="H310" s="170"/>
      <c r="I310" s="171"/>
    </row>
    <row r="311" ht="14.25" customHeight="1">
      <c r="A311" s="171"/>
      <c r="B311" s="282"/>
      <c r="C311" s="305"/>
      <c r="D311" s="326"/>
      <c r="E311" s="326"/>
      <c r="F311" s="171"/>
      <c r="G311" s="173"/>
      <c r="H311" s="170"/>
      <c r="I311" s="171"/>
    </row>
    <row r="312" ht="14.25" customHeight="1">
      <c r="A312" s="171"/>
      <c r="B312" s="282"/>
      <c r="C312" s="305"/>
      <c r="D312" s="326"/>
      <c r="E312" s="326"/>
      <c r="F312" s="171"/>
      <c r="G312" s="173"/>
      <c r="H312" s="170"/>
      <c r="I312" s="171"/>
    </row>
    <row r="313" ht="14.25" customHeight="1">
      <c r="A313" s="171"/>
      <c r="B313" s="282"/>
      <c r="C313" s="305"/>
      <c r="D313" s="326"/>
      <c r="E313" s="326"/>
      <c r="F313" s="171"/>
      <c r="G313" s="173"/>
      <c r="H313" s="170"/>
      <c r="I313" s="171"/>
    </row>
    <row r="314" ht="14.25" customHeight="1">
      <c r="A314" s="171"/>
      <c r="B314" s="282"/>
      <c r="C314" s="305"/>
      <c r="D314" s="326"/>
      <c r="E314" s="326"/>
      <c r="F314" s="171"/>
      <c r="G314" s="173"/>
      <c r="H314" s="170"/>
      <c r="I314" s="171"/>
    </row>
    <row r="315" ht="14.25" customHeight="1">
      <c r="A315" s="171"/>
      <c r="B315" s="282"/>
      <c r="C315" s="305"/>
      <c r="D315" s="326"/>
      <c r="E315" s="326"/>
      <c r="F315" s="171"/>
      <c r="G315" s="173"/>
      <c r="H315" s="170"/>
      <c r="I315" s="171"/>
    </row>
    <row r="316" ht="14.25" customHeight="1">
      <c r="A316" s="171"/>
      <c r="B316" s="282"/>
      <c r="C316" s="305"/>
      <c r="D316" s="326"/>
      <c r="E316" s="326"/>
      <c r="F316" s="171"/>
      <c r="G316" s="173"/>
      <c r="H316" s="170"/>
      <c r="I316" s="171"/>
    </row>
    <row r="317" ht="14.25" customHeight="1">
      <c r="A317" s="171"/>
      <c r="B317" s="282"/>
      <c r="C317" s="305"/>
      <c r="D317" s="326"/>
      <c r="E317" s="326"/>
      <c r="F317" s="171"/>
      <c r="G317" s="173"/>
      <c r="H317" s="170"/>
      <c r="I317" s="171"/>
    </row>
    <row r="318" ht="14.25" customHeight="1">
      <c r="A318" s="171"/>
      <c r="B318" s="282"/>
      <c r="C318" s="305"/>
      <c r="D318" s="326"/>
      <c r="E318" s="326"/>
      <c r="F318" s="171"/>
      <c r="G318" s="173"/>
      <c r="H318" s="170"/>
      <c r="I318" s="171"/>
    </row>
    <row r="319" ht="14.25" customHeight="1">
      <c r="A319" s="171"/>
      <c r="B319" s="282"/>
      <c r="C319" s="305"/>
      <c r="D319" s="326"/>
      <c r="E319" s="326"/>
      <c r="F319" s="171"/>
      <c r="G319" s="173"/>
      <c r="H319" s="170"/>
      <c r="I319" s="171"/>
    </row>
    <row r="320" ht="14.25" customHeight="1">
      <c r="A320" s="171"/>
      <c r="B320" s="282"/>
      <c r="C320" s="305"/>
      <c r="D320" s="326"/>
      <c r="E320" s="326"/>
      <c r="F320" s="171"/>
      <c r="G320" s="173"/>
      <c r="H320" s="170"/>
      <c r="I320" s="171"/>
    </row>
    <row r="321" ht="14.25" customHeight="1">
      <c r="A321" s="171"/>
      <c r="B321" s="282"/>
      <c r="C321" s="305"/>
      <c r="D321" s="326"/>
      <c r="E321" s="326"/>
      <c r="F321" s="171"/>
      <c r="G321" s="173"/>
      <c r="H321" s="170"/>
      <c r="I321" s="171"/>
    </row>
    <row r="322" ht="14.25" customHeight="1">
      <c r="A322" s="171"/>
      <c r="B322" s="282"/>
      <c r="C322" s="305"/>
      <c r="D322" s="326"/>
      <c r="E322" s="326"/>
      <c r="F322" s="171"/>
      <c r="G322" s="173"/>
      <c r="H322" s="170"/>
      <c r="I322" s="171"/>
    </row>
    <row r="323" ht="14.25" customHeight="1">
      <c r="A323" s="171"/>
      <c r="B323" s="282"/>
      <c r="C323" s="305"/>
      <c r="D323" s="326"/>
      <c r="E323" s="326"/>
      <c r="F323" s="171"/>
      <c r="G323" s="173"/>
      <c r="H323" s="170"/>
      <c r="I323" s="171"/>
    </row>
    <row r="324" ht="14.25" customHeight="1">
      <c r="A324" s="171"/>
      <c r="B324" s="282"/>
      <c r="C324" s="305"/>
      <c r="D324" s="326"/>
      <c r="E324" s="326"/>
      <c r="F324" s="171"/>
      <c r="G324" s="173"/>
      <c r="H324" s="170"/>
      <c r="I324" s="171"/>
    </row>
    <row r="325" ht="14.25" customHeight="1">
      <c r="A325" s="171"/>
      <c r="B325" s="282"/>
      <c r="C325" s="305"/>
      <c r="D325" s="326"/>
      <c r="E325" s="326"/>
      <c r="F325" s="171"/>
      <c r="G325" s="173"/>
      <c r="H325" s="170"/>
      <c r="I325" s="171"/>
    </row>
    <row r="326" ht="14.25" customHeight="1">
      <c r="A326" s="171"/>
      <c r="B326" s="282"/>
      <c r="C326" s="305"/>
      <c r="D326" s="326"/>
      <c r="E326" s="326"/>
      <c r="F326" s="171"/>
      <c r="G326" s="173"/>
      <c r="H326" s="170"/>
      <c r="I326" s="171"/>
    </row>
    <row r="327" ht="14.25" customHeight="1">
      <c r="A327" s="171"/>
      <c r="B327" s="282"/>
      <c r="C327" s="305"/>
      <c r="D327" s="326"/>
      <c r="E327" s="326"/>
      <c r="F327" s="171"/>
      <c r="G327" s="173"/>
      <c r="H327" s="170"/>
      <c r="I327" s="171"/>
    </row>
    <row r="328" ht="14.25" customHeight="1">
      <c r="A328" s="171"/>
      <c r="B328" s="282"/>
      <c r="C328" s="305"/>
      <c r="D328" s="326"/>
      <c r="E328" s="326"/>
      <c r="F328" s="171"/>
      <c r="G328" s="173"/>
      <c r="H328" s="170"/>
      <c r="I328" s="171"/>
    </row>
    <row r="329" ht="14.25" customHeight="1">
      <c r="A329" s="171"/>
      <c r="B329" s="282"/>
      <c r="C329" s="305"/>
      <c r="D329" s="326"/>
      <c r="E329" s="326"/>
      <c r="F329" s="171"/>
      <c r="G329" s="173"/>
      <c r="H329" s="170"/>
      <c r="I329" s="171"/>
    </row>
    <row r="330" ht="14.25" customHeight="1">
      <c r="A330" s="171"/>
      <c r="B330" s="282"/>
      <c r="C330" s="305"/>
      <c r="D330" s="326"/>
      <c r="E330" s="326"/>
      <c r="F330" s="171"/>
      <c r="G330" s="173"/>
      <c r="H330" s="170"/>
      <c r="I330" s="171"/>
    </row>
    <row r="331" ht="14.25" customHeight="1">
      <c r="A331" s="171"/>
      <c r="B331" s="282"/>
      <c r="C331" s="305"/>
      <c r="D331" s="326"/>
      <c r="E331" s="326"/>
      <c r="F331" s="171"/>
      <c r="G331" s="173"/>
      <c r="H331" s="170"/>
      <c r="I331" s="171"/>
    </row>
    <row r="332" ht="14.25" customHeight="1">
      <c r="A332" s="171"/>
      <c r="B332" s="282"/>
      <c r="C332" s="305"/>
      <c r="D332" s="326"/>
      <c r="E332" s="326"/>
      <c r="F332" s="171"/>
      <c r="G332" s="173"/>
      <c r="H332" s="170"/>
      <c r="I332" s="171"/>
    </row>
    <row r="333" ht="14.25" customHeight="1">
      <c r="A333" s="171"/>
      <c r="B333" s="282"/>
      <c r="C333" s="305"/>
      <c r="D333" s="326"/>
      <c r="E333" s="326"/>
      <c r="F333" s="171"/>
      <c r="G333" s="173"/>
      <c r="H333" s="170"/>
      <c r="I333" s="171"/>
    </row>
    <row r="334" ht="14.25" customHeight="1">
      <c r="A334" s="171"/>
      <c r="B334" s="282"/>
      <c r="C334" s="305"/>
      <c r="D334" s="326"/>
      <c r="E334" s="326"/>
      <c r="F334" s="171"/>
      <c r="G334" s="173"/>
      <c r="H334" s="170"/>
      <c r="I334" s="171"/>
    </row>
    <row r="335" ht="14.25" customHeight="1">
      <c r="A335" s="171"/>
      <c r="B335" s="282"/>
      <c r="C335" s="305"/>
      <c r="D335" s="326"/>
      <c r="E335" s="326"/>
      <c r="F335" s="171"/>
      <c r="G335" s="173"/>
      <c r="H335" s="170"/>
      <c r="I335" s="171"/>
    </row>
    <row r="336" ht="14.25" customHeight="1">
      <c r="A336" s="171"/>
      <c r="B336" s="282"/>
      <c r="C336" s="305"/>
      <c r="D336" s="326"/>
      <c r="E336" s="326"/>
      <c r="F336" s="171"/>
      <c r="G336" s="173"/>
      <c r="H336" s="170"/>
      <c r="I336" s="171"/>
    </row>
    <row r="337" ht="14.25" customHeight="1">
      <c r="A337" s="171"/>
      <c r="B337" s="282"/>
      <c r="C337" s="305"/>
      <c r="D337" s="326"/>
      <c r="E337" s="326"/>
      <c r="F337" s="171"/>
      <c r="G337" s="173"/>
      <c r="H337" s="170"/>
      <c r="I337" s="171"/>
    </row>
    <row r="338" ht="14.25" customHeight="1">
      <c r="A338" s="171"/>
      <c r="B338" s="282"/>
      <c r="C338" s="305"/>
      <c r="D338" s="326"/>
      <c r="E338" s="326"/>
      <c r="F338" s="171"/>
      <c r="G338" s="173"/>
      <c r="H338" s="170"/>
      <c r="I338" s="171"/>
    </row>
    <row r="339" ht="14.25" customHeight="1">
      <c r="A339" s="171"/>
      <c r="B339" s="282"/>
      <c r="C339" s="305"/>
      <c r="D339" s="326"/>
      <c r="E339" s="326"/>
      <c r="F339" s="171"/>
      <c r="G339" s="173"/>
      <c r="H339" s="170"/>
      <c r="I339" s="171"/>
    </row>
    <row r="340" ht="14.25" customHeight="1">
      <c r="A340" s="171"/>
      <c r="B340" s="282"/>
      <c r="C340" s="305"/>
      <c r="D340" s="326"/>
      <c r="E340" s="326"/>
      <c r="F340" s="171"/>
      <c r="G340" s="173"/>
      <c r="H340" s="170"/>
      <c r="I340" s="171"/>
    </row>
    <row r="341" ht="14.25" customHeight="1">
      <c r="A341" s="171"/>
      <c r="B341" s="282"/>
      <c r="C341" s="305"/>
      <c r="D341" s="326"/>
      <c r="E341" s="326"/>
      <c r="F341" s="171"/>
      <c r="G341" s="173"/>
      <c r="H341" s="170"/>
      <c r="I341" s="171"/>
    </row>
    <row r="342" ht="14.25" customHeight="1">
      <c r="A342" s="171"/>
      <c r="B342" s="282"/>
      <c r="C342" s="305"/>
      <c r="D342" s="326"/>
      <c r="E342" s="326"/>
      <c r="F342" s="171"/>
      <c r="G342" s="173"/>
      <c r="H342" s="170"/>
      <c r="I342" s="171"/>
    </row>
    <row r="343" ht="14.25" customHeight="1">
      <c r="A343" s="171"/>
      <c r="B343" s="282"/>
      <c r="C343" s="305"/>
      <c r="D343" s="326"/>
      <c r="E343" s="326"/>
      <c r="F343" s="171"/>
      <c r="G343" s="173"/>
      <c r="H343" s="170"/>
      <c r="I343" s="171"/>
    </row>
    <row r="344" ht="14.25" customHeight="1">
      <c r="A344" s="171"/>
      <c r="B344" s="282"/>
      <c r="C344" s="305"/>
      <c r="D344" s="326"/>
      <c r="E344" s="326"/>
      <c r="F344" s="171"/>
      <c r="G344" s="173"/>
      <c r="H344" s="170"/>
      <c r="I344" s="171"/>
    </row>
    <row r="345" ht="14.25" customHeight="1">
      <c r="A345" s="171"/>
      <c r="B345" s="282"/>
      <c r="C345" s="305"/>
      <c r="D345" s="326"/>
      <c r="E345" s="326"/>
      <c r="F345" s="171"/>
      <c r="G345" s="173"/>
      <c r="H345" s="170"/>
      <c r="I345" s="171"/>
    </row>
    <row r="346" ht="14.25" customHeight="1">
      <c r="A346" s="171"/>
      <c r="B346" s="282"/>
      <c r="C346" s="305"/>
      <c r="D346" s="326"/>
      <c r="E346" s="326"/>
      <c r="F346" s="171"/>
      <c r="G346" s="173"/>
      <c r="H346" s="170"/>
      <c r="I346" s="171"/>
    </row>
    <row r="347" ht="14.25" customHeight="1">
      <c r="A347" s="171"/>
      <c r="B347" s="282"/>
      <c r="C347" s="305"/>
      <c r="D347" s="326"/>
      <c r="E347" s="326"/>
      <c r="F347" s="171"/>
      <c r="G347" s="173"/>
      <c r="H347" s="170"/>
      <c r="I347" s="171"/>
    </row>
    <row r="348" ht="14.25" customHeight="1">
      <c r="A348" s="171"/>
      <c r="B348" s="282"/>
      <c r="C348" s="305"/>
      <c r="D348" s="326"/>
      <c r="E348" s="326"/>
      <c r="F348" s="171"/>
      <c r="G348" s="173"/>
      <c r="H348" s="170"/>
      <c r="I348" s="171"/>
    </row>
    <row r="349" ht="14.25" customHeight="1">
      <c r="A349" s="171"/>
      <c r="B349" s="282"/>
      <c r="C349" s="305"/>
      <c r="D349" s="326"/>
      <c r="E349" s="326"/>
      <c r="F349" s="171"/>
      <c r="G349" s="173"/>
      <c r="H349" s="170"/>
      <c r="I349" s="171"/>
    </row>
    <row r="350" ht="14.25" customHeight="1">
      <c r="A350" s="171"/>
      <c r="B350" s="282"/>
      <c r="C350" s="305"/>
      <c r="D350" s="326"/>
      <c r="E350" s="326"/>
      <c r="F350" s="171"/>
      <c r="G350" s="173"/>
      <c r="H350" s="170"/>
      <c r="I350" s="171"/>
    </row>
    <row r="351" ht="14.25" customHeight="1">
      <c r="A351" s="171"/>
      <c r="B351" s="282"/>
      <c r="C351" s="305"/>
      <c r="D351" s="326"/>
      <c r="E351" s="326"/>
      <c r="F351" s="171"/>
      <c r="G351" s="173"/>
      <c r="H351" s="170"/>
      <c r="I351" s="171"/>
    </row>
    <row r="352" ht="14.25" customHeight="1">
      <c r="A352" s="171"/>
      <c r="B352" s="282"/>
      <c r="C352" s="305"/>
      <c r="D352" s="326"/>
      <c r="E352" s="326"/>
      <c r="F352" s="171"/>
      <c r="G352" s="173"/>
      <c r="H352" s="170"/>
      <c r="I352" s="171"/>
    </row>
    <row r="353" ht="14.25" customHeight="1">
      <c r="A353" s="171"/>
      <c r="B353" s="282"/>
      <c r="C353" s="305"/>
      <c r="D353" s="326"/>
      <c r="E353" s="326"/>
      <c r="F353" s="171"/>
      <c r="G353" s="173"/>
      <c r="H353" s="170"/>
      <c r="I353" s="171"/>
    </row>
    <row r="354" ht="14.25" customHeight="1">
      <c r="A354" s="171"/>
      <c r="B354" s="282"/>
      <c r="C354" s="305"/>
      <c r="D354" s="326"/>
      <c r="E354" s="326"/>
      <c r="F354" s="171"/>
      <c r="G354" s="173"/>
      <c r="H354" s="170"/>
      <c r="I354" s="171"/>
    </row>
    <row r="355" ht="14.25" customHeight="1">
      <c r="A355" s="171"/>
      <c r="B355" s="282"/>
      <c r="C355" s="305"/>
      <c r="D355" s="326"/>
      <c r="E355" s="326"/>
      <c r="F355" s="171"/>
      <c r="G355" s="173"/>
      <c r="H355" s="170"/>
      <c r="I355" s="171"/>
    </row>
    <row r="356" ht="14.25" customHeight="1">
      <c r="A356" s="171"/>
      <c r="B356" s="282"/>
      <c r="C356" s="305"/>
      <c r="D356" s="326"/>
      <c r="E356" s="326"/>
      <c r="F356" s="171"/>
      <c r="G356" s="173"/>
      <c r="H356" s="170"/>
      <c r="I356" s="171"/>
    </row>
    <row r="357" ht="14.25" customHeight="1">
      <c r="A357" s="171"/>
      <c r="B357" s="282"/>
      <c r="C357" s="305"/>
      <c r="D357" s="326"/>
      <c r="E357" s="326"/>
      <c r="F357" s="171"/>
      <c r="G357" s="173"/>
      <c r="H357" s="170"/>
      <c r="I357" s="171"/>
    </row>
    <row r="358" ht="14.25" customHeight="1">
      <c r="A358" s="171"/>
      <c r="B358" s="282"/>
      <c r="C358" s="305"/>
      <c r="D358" s="326"/>
      <c r="E358" s="326"/>
      <c r="F358" s="171"/>
      <c r="G358" s="173"/>
      <c r="H358" s="170"/>
      <c r="I358" s="171"/>
    </row>
    <row r="359" ht="14.25" customHeight="1">
      <c r="A359" s="171"/>
      <c r="B359" s="282"/>
      <c r="C359" s="305"/>
      <c r="D359" s="326"/>
      <c r="E359" s="326"/>
      <c r="F359" s="171"/>
      <c r="G359" s="173"/>
      <c r="H359" s="170"/>
      <c r="I359" s="171"/>
    </row>
    <row r="360" ht="14.25" customHeight="1">
      <c r="A360" s="171"/>
      <c r="B360" s="282"/>
      <c r="C360" s="305"/>
      <c r="D360" s="326"/>
      <c r="E360" s="326"/>
      <c r="F360" s="171"/>
      <c r="G360" s="173"/>
      <c r="H360" s="170"/>
      <c r="I360" s="171"/>
    </row>
    <row r="361" ht="14.25" customHeight="1">
      <c r="A361" s="171"/>
      <c r="B361" s="282"/>
      <c r="C361" s="305"/>
      <c r="D361" s="326"/>
      <c r="E361" s="326"/>
      <c r="F361" s="171"/>
      <c r="G361" s="173"/>
      <c r="H361" s="170"/>
      <c r="I361" s="171"/>
    </row>
    <row r="362" ht="14.25" customHeight="1">
      <c r="A362" s="171"/>
      <c r="B362" s="282"/>
      <c r="C362" s="305"/>
      <c r="D362" s="326"/>
      <c r="E362" s="326"/>
      <c r="F362" s="171"/>
      <c r="G362" s="173"/>
      <c r="H362" s="170"/>
      <c r="I362" s="171"/>
    </row>
    <row r="363" ht="14.25" customHeight="1">
      <c r="A363" s="171"/>
      <c r="B363" s="282"/>
      <c r="C363" s="305"/>
      <c r="D363" s="326"/>
      <c r="E363" s="326"/>
      <c r="F363" s="171"/>
      <c r="G363" s="173"/>
      <c r="H363" s="170"/>
      <c r="I363" s="171"/>
    </row>
    <row r="364" ht="14.25" customHeight="1">
      <c r="A364" s="171"/>
      <c r="B364" s="282"/>
      <c r="C364" s="305"/>
      <c r="D364" s="326"/>
      <c r="E364" s="326"/>
      <c r="F364" s="171"/>
      <c r="G364" s="173"/>
      <c r="H364" s="170"/>
      <c r="I364" s="171"/>
    </row>
    <row r="365" ht="14.25" customHeight="1">
      <c r="A365" s="171"/>
      <c r="B365" s="282"/>
      <c r="C365" s="305"/>
      <c r="D365" s="326"/>
      <c r="E365" s="326"/>
      <c r="F365" s="171"/>
      <c r="G365" s="173"/>
      <c r="H365" s="170"/>
      <c r="I365" s="171"/>
    </row>
    <row r="366" ht="14.25" customHeight="1">
      <c r="A366" s="171"/>
      <c r="B366" s="282"/>
      <c r="C366" s="305"/>
      <c r="D366" s="326"/>
      <c r="E366" s="326"/>
      <c r="F366" s="171"/>
      <c r="G366" s="173"/>
      <c r="H366" s="170"/>
      <c r="I366" s="171"/>
    </row>
    <row r="367" ht="14.25" customHeight="1">
      <c r="A367" s="171"/>
      <c r="B367" s="282"/>
      <c r="C367" s="305"/>
      <c r="D367" s="326"/>
      <c r="E367" s="326"/>
      <c r="F367" s="171"/>
      <c r="G367" s="173"/>
      <c r="H367" s="170"/>
      <c r="I367" s="171"/>
    </row>
    <row r="368" ht="14.25" customHeight="1">
      <c r="A368" s="171"/>
      <c r="B368" s="282"/>
      <c r="C368" s="305"/>
      <c r="D368" s="326"/>
      <c r="E368" s="326"/>
      <c r="F368" s="171"/>
      <c r="G368" s="173"/>
      <c r="H368" s="170"/>
      <c r="I368" s="171"/>
    </row>
    <row r="369" ht="14.25" customHeight="1">
      <c r="A369" s="171"/>
      <c r="B369" s="282"/>
      <c r="C369" s="305"/>
      <c r="D369" s="326"/>
      <c r="E369" s="326"/>
      <c r="F369" s="171"/>
      <c r="G369" s="173"/>
      <c r="H369" s="170"/>
      <c r="I369" s="171"/>
    </row>
    <row r="370" ht="14.25" customHeight="1">
      <c r="A370" s="171"/>
      <c r="B370" s="282"/>
      <c r="C370" s="305"/>
      <c r="D370" s="326"/>
      <c r="E370" s="326"/>
      <c r="F370" s="171"/>
      <c r="G370" s="173"/>
      <c r="H370" s="170"/>
      <c r="I370" s="171"/>
    </row>
    <row r="371" ht="14.25" customHeight="1">
      <c r="A371" s="171"/>
      <c r="B371" s="282"/>
      <c r="C371" s="305"/>
      <c r="D371" s="326"/>
      <c r="E371" s="326"/>
      <c r="F371" s="171"/>
      <c r="G371" s="173"/>
      <c r="H371" s="170"/>
      <c r="I371" s="171"/>
    </row>
    <row r="372" ht="14.25" customHeight="1">
      <c r="A372" s="171"/>
      <c r="B372" s="282"/>
      <c r="C372" s="305"/>
      <c r="D372" s="326"/>
      <c r="E372" s="326"/>
      <c r="F372" s="171"/>
      <c r="G372" s="173"/>
      <c r="H372" s="170"/>
      <c r="I372" s="171"/>
    </row>
    <row r="373" ht="14.25" customHeight="1">
      <c r="A373" s="171"/>
      <c r="B373" s="282"/>
      <c r="C373" s="305"/>
      <c r="D373" s="326"/>
      <c r="E373" s="326"/>
      <c r="F373" s="171"/>
      <c r="G373" s="173"/>
      <c r="H373" s="170"/>
      <c r="I373" s="171"/>
    </row>
    <row r="374" ht="14.25" customHeight="1">
      <c r="A374" s="171"/>
      <c r="B374" s="282"/>
      <c r="C374" s="305"/>
      <c r="D374" s="326"/>
      <c r="E374" s="326"/>
      <c r="F374" s="171"/>
      <c r="G374" s="173"/>
      <c r="H374" s="170"/>
      <c r="I374" s="171"/>
    </row>
    <row r="375" ht="14.25" customHeight="1">
      <c r="A375" s="171"/>
      <c r="B375" s="282"/>
      <c r="C375" s="305"/>
      <c r="D375" s="326"/>
      <c r="E375" s="326"/>
      <c r="F375" s="171"/>
      <c r="G375" s="173"/>
      <c r="H375" s="170"/>
      <c r="I375" s="171"/>
    </row>
    <row r="376" ht="14.25" customHeight="1">
      <c r="A376" s="171"/>
      <c r="B376" s="282"/>
      <c r="C376" s="305"/>
      <c r="D376" s="326"/>
      <c r="E376" s="326"/>
      <c r="F376" s="171"/>
      <c r="G376" s="173"/>
      <c r="H376" s="170"/>
      <c r="I376" s="171"/>
    </row>
    <row r="377" ht="14.25" customHeight="1">
      <c r="A377" s="171"/>
      <c r="B377" s="282"/>
      <c r="C377" s="305"/>
      <c r="D377" s="326"/>
      <c r="E377" s="326"/>
      <c r="F377" s="171"/>
      <c r="G377" s="173"/>
      <c r="H377" s="170"/>
      <c r="I377" s="171"/>
    </row>
    <row r="378" ht="14.25" customHeight="1">
      <c r="A378" s="171"/>
      <c r="B378" s="282"/>
      <c r="C378" s="305"/>
      <c r="D378" s="326"/>
      <c r="E378" s="326"/>
      <c r="F378" s="171"/>
      <c r="G378" s="173"/>
      <c r="H378" s="170"/>
      <c r="I378" s="171"/>
    </row>
    <row r="379" ht="14.25" customHeight="1">
      <c r="A379" s="171"/>
      <c r="B379" s="282"/>
      <c r="C379" s="305"/>
      <c r="D379" s="326"/>
      <c r="E379" s="326"/>
      <c r="F379" s="171"/>
      <c r="G379" s="173"/>
      <c r="H379" s="170"/>
      <c r="I379" s="171"/>
    </row>
    <row r="380" ht="14.25" customHeight="1">
      <c r="A380" s="171"/>
      <c r="B380" s="282"/>
      <c r="C380" s="305"/>
      <c r="D380" s="326"/>
      <c r="E380" s="326"/>
      <c r="F380" s="171"/>
      <c r="G380" s="173"/>
      <c r="H380" s="170"/>
      <c r="I380" s="171"/>
    </row>
    <row r="381" ht="14.25" customHeight="1">
      <c r="A381" s="171"/>
      <c r="B381" s="282"/>
      <c r="C381" s="305"/>
      <c r="D381" s="326"/>
      <c r="E381" s="326"/>
      <c r="F381" s="171"/>
      <c r="G381" s="173"/>
      <c r="H381" s="170"/>
      <c r="I381" s="171"/>
    </row>
    <row r="382" ht="14.25" customHeight="1">
      <c r="A382" s="171"/>
      <c r="B382" s="282"/>
      <c r="C382" s="305"/>
      <c r="D382" s="326"/>
      <c r="E382" s="326"/>
      <c r="F382" s="171"/>
      <c r="G382" s="173"/>
      <c r="H382" s="170"/>
      <c r="I382" s="171"/>
    </row>
    <row r="383" ht="14.25" customHeight="1">
      <c r="A383" s="171"/>
      <c r="B383" s="282"/>
      <c r="C383" s="305"/>
      <c r="D383" s="326"/>
      <c r="E383" s="326"/>
      <c r="F383" s="171"/>
      <c r="G383" s="173"/>
      <c r="H383" s="170"/>
      <c r="I383" s="171"/>
    </row>
    <row r="384" ht="14.25" customHeight="1">
      <c r="A384" s="171"/>
      <c r="B384" s="282"/>
      <c r="C384" s="305"/>
      <c r="D384" s="326"/>
      <c r="E384" s="326"/>
      <c r="F384" s="171"/>
      <c r="G384" s="173"/>
      <c r="H384" s="170"/>
      <c r="I384" s="171"/>
    </row>
    <row r="385" ht="14.25" customHeight="1">
      <c r="A385" s="171"/>
      <c r="B385" s="282"/>
      <c r="C385" s="305"/>
      <c r="D385" s="326"/>
      <c r="E385" s="326"/>
      <c r="F385" s="171"/>
      <c r="G385" s="173"/>
      <c r="H385" s="170"/>
      <c r="I385" s="171"/>
    </row>
    <row r="386" ht="14.25" customHeight="1">
      <c r="A386" s="171"/>
      <c r="B386" s="282"/>
      <c r="C386" s="305"/>
      <c r="D386" s="326"/>
      <c r="E386" s="326"/>
      <c r="F386" s="171"/>
      <c r="G386" s="173"/>
      <c r="H386" s="170"/>
      <c r="I386" s="171"/>
    </row>
    <row r="387" ht="14.25" customHeight="1">
      <c r="A387" s="171"/>
      <c r="B387" s="282"/>
      <c r="C387" s="305"/>
      <c r="D387" s="326"/>
      <c r="E387" s="326"/>
      <c r="F387" s="171"/>
      <c r="G387" s="173"/>
      <c r="H387" s="170"/>
      <c r="I387" s="171"/>
    </row>
    <row r="388" ht="14.25" customHeight="1">
      <c r="A388" s="171"/>
      <c r="B388" s="282"/>
      <c r="C388" s="305"/>
      <c r="D388" s="326"/>
      <c r="E388" s="326"/>
      <c r="F388" s="171"/>
      <c r="G388" s="173"/>
      <c r="H388" s="170"/>
      <c r="I388" s="171"/>
    </row>
    <row r="389" ht="14.25" customHeight="1">
      <c r="A389" s="171"/>
      <c r="B389" s="282"/>
      <c r="C389" s="305"/>
      <c r="D389" s="326"/>
      <c r="E389" s="326"/>
      <c r="F389" s="171"/>
      <c r="G389" s="173"/>
      <c r="H389" s="170"/>
      <c r="I389" s="171"/>
    </row>
    <row r="390" ht="14.25" customHeight="1">
      <c r="A390" s="171"/>
      <c r="B390" s="282"/>
      <c r="C390" s="305"/>
      <c r="D390" s="326"/>
      <c r="E390" s="326"/>
      <c r="F390" s="171"/>
      <c r="G390" s="173"/>
      <c r="H390" s="170"/>
      <c r="I390" s="171"/>
    </row>
    <row r="391" ht="14.25" customHeight="1">
      <c r="A391" s="171"/>
      <c r="B391" s="282"/>
      <c r="C391" s="305"/>
      <c r="D391" s="326"/>
      <c r="E391" s="326"/>
      <c r="F391" s="171"/>
      <c r="G391" s="173"/>
      <c r="H391" s="170"/>
      <c r="I391" s="171"/>
    </row>
    <row r="392" ht="14.25" customHeight="1">
      <c r="A392" s="171"/>
      <c r="B392" s="282"/>
      <c r="C392" s="305"/>
      <c r="D392" s="326"/>
      <c r="E392" s="326"/>
      <c r="F392" s="171"/>
      <c r="G392" s="173"/>
      <c r="H392" s="170"/>
      <c r="I392" s="171"/>
    </row>
    <row r="393" ht="14.25" customHeight="1">
      <c r="A393" s="171"/>
      <c r="B393" s="282"/>
      <c r="C393" s="305"/>
      <c r="D393" s="326"/>
      <c r="E393" s="326"/>
      <c r="F393" s="171"/>
      <c r="G393" s="173"/>
      <c r="H393" s="170"/>
      <c r="I393" s="171"/>
    </row>
    <row r="394" ht="14.25" customHeight="1">
      <c r="A394" s="171"/>
      <c r="B394" s="282"/>
      <c r="C394" s="305"/>
      <c r="D394" s="326"/>
      <c r="E394" s="326"/>
      <c r="F394" s="171"/>
      <c r="G394" s="173"/>
      <c r="H394" s="170"/>
      <c r="I394" s="171"/>
    </row>
    <row r="395" ht="14.25" customHeight="1">
      <c r="A395" s="171"/>
      <c r="B395" s="282"/>
      <c r="C395" s="305"/>
      <c r="D395" s="326"/>
      <c r="E395" s="326"/>
      <c r="F395" s="171"/>
      <c r="G395" s="173"/>
      <c r="H395" s="170"/>
      <c r="I395" s="171"/>
    </row>
    <row r="396" ht="14.25" customHeight="1">
      <c r="A396" s="171"/>
      <c r="B396" s="282"/>
      <c r="C396" s="305"/>
      <c r="D396" s="326"/>
      <c r="E396" s="326"/>
      <c r="F396" s="171"/>
      <c r="G396" s="173"/>
      <c r="H396" s="170"/>
      <c r="I396" s="171"/>
    </row>
    <row r="397" ht="14.25" customHeight="1">
      <c r="A397" s="171"/>
      <c r="B397" s="282"/>
      <c r="C397" s="305"/>
      <c r="D397" s="326"/>
      <c r="E397" s="326"/>
      <c r="F397" s="171"/>
      <c r="G397" s="173"/>
      <c r="H397" s="170"/>
      <c r="I397" s="171"/>
    </row>
    <row r="398" ht="14.25" customHeight="1">
      <c r="A398" s="171"/>
      <c r="B398" s="282"/>
      <c r="C398" s="305"/>
      <c r="D398" s="326"/>
      <c r="E398" s="326"/>
      <c r="F398" s="171"/>
      <c r="G398" s="173"/>
      <c r="H398" s="170"/>
      <c r="I398" s="171"/>
    </row>
    <row r="399" ht="14.25" customHeight="1">
      <c r="A399" s="171"/>
      <c r="B399" s="282"/>
      <c r="C399" s="305"/>
      <c r="D399" s="326"/>
      <c r="E399" s="326"/>
      <c r="F399" s="171"/>
      <c r="G399" s="173"/>
      <c r="H399" s="170"/>
      <c r="I399" s="171"/>
    </row>
    <row r="400" ht="14.25" customHeight="1">
      <c r="A400" s="171"/>
      <c r="B400" s="282"/>
      <c r="C400" s="305"/>
      <c r="D400" s="326"/>
      <c r="E400" s="326"/>
      <c r="F400" s="171"/>
      <c r="G400" s="173"/>
      <c r="H400" s="170"/>
      <c r="I400" s="171"/>
    </row>
    <row r="401" ht="14.25" customHeight="1">
      <c r="A401" s="171"/>
      <c r="B401" s="282"/>
      <c r="C401" s="305"/>
      <c r="D401" s="326"/>
      <c r="E401" s="326"/>
      <c r="F401" s="171"/>
      <c r="G401" s="173"/>
      <c r="H401" s="170"/>
      <c r="I401" s="171"/>
    </row>
    <row r="402" ht="14.25" customHeight="1">
      <c r="A402" s="171"/>
      <c r="B402" s="282"/>
      <c r="C402" s="305"/>
      <c r="D402" s="326"/>
      <c r="E402" s="326"/>
      <c r="F402" s="171"/>
      <c r="G402" s="173"/>
      <c r="H402" s="170"/>
      <c r="I402" s="171"/>
    </row>
    <row r="403" ht="14.25" customHeight="1">
      <c r="A403" s="171"/>
      <c r="B403" s="282"/>
      <c r="C403" s="305"/>
      <c r="D403" s="326"/>
      <c r="E403" s="326"/>
      <c r="F403" s="171"/>
      <c r="G403" s="173"/>
      <c r="H403" s="170"/>
      <c r="I403" s="171"/>
    </row>
    <row r="404" ht="14.25" customHeight="1">
      <c r="A404" s="171"/>
      <c r="B404" s="282"/>
      <c r="C404" s="305"/>
      <c r="D404" s="326"/>
      <c r="E404" s="326"/>
      <c r="F404" s="171"/>
      <c r="G404" s="173"/>
      <c r="H404" s="170"/>
      <c r="I404" s="171"/>
    </row>
    <row r="405" ht="14.25" customHeight="1">
      <c r="A405" s="171"/>
      <c r="B405" s="282"/>
      <c r="C405" s="305"/>
      <c r="D405" s="326"/>
      <c r="E405" s="326"/>
      <c r="F405" s="171"/>
      <c r="G405" s="173"/>
      <c r="H405" s="170"/>
      <c r="I405" s="171"/>
    </row>
    <row r="406" ht="14.25" customHeight="1">
      <c r="A406" s="171"/>
      <c r="B406" s="282"/>
      <c r="C406" s="305"/>
      <c r="D406" s="326"/>
      <c r="E406" s="326"/>
      <c r="F406" s="171"/>
      <c r="G406" s="173"/>
      <c r="H406" s="170"/>
      <c r="I406" s="171"/>
    </row>
    <row r="407" ht="14.25" customHeight="1">
      <c r="A407" s="171"/>
      <c r="B407" s="282"/>
      <c r="C407" s="305"/>
      <c r="D407" s="326"/>
      <c r="E407" s="326"/>
      <c r="F407" s="171"/>
      <c r="G407" s="173"/>
      <c r="H407" s="170"/>
      <c r="I407" s="171"/>
    </row>
    <row r="408" ht="14.25" customHeight="1">
      <c r="A408" s="171"/>
      <c r="B408" s="282"/>
      <c r="C408" s="305"/>
      <c r="D408" s="326"/>
      <c r="E408" s="326"/>
      <c r="F408" s="171"/>
      <c r="G408" s="173"/>
      <c r="H408" s="170"/>
      <c r="I408" s="171"/>
    </row>
    <row r="409" ht="14.25" customHeight="1">
      <c r="A409" s="171"/>
      <c r="B409" s="282"/>
      <c r="C409" s="305"/>
      <c r="D409" s="326"/>
      <c r="E409" s="326"/>
      <c r="F409" s="171"/>
      <c r="G409" s="173"/>
      <c r="H409" s="170"/>
      <c r="I409" s="171"/>
    </row>
    <row r="410" ht="14.25" customHeight="1">
      <c r="A410" s="171"/>
      <c r="B410" s="282"/>
      <c r="C410" s="305"/>
      <c r="D410" s="326"/>
      <c r="E410" s="326"/>
      <c r="F410" s="171"/>
      <c r="G410" s="173"/>
      <c r="H410" s="170"/>
      <c r="I410" s="171"/>
    </row>
    <row r="411" ht="14.25" customHeight="1">
      <c r="A411" s="171"/>
      <c r="B411" s="282"/>
      <c r="C411" s="305"/>
      <c r="D411" s="326"/>
      <c r="E411" s="326"/>
      <c r="F411" s="171"/>
      <c r="G411" s="173"/>
      <c r="H411" s="170"/>
      <c r="I411" s="171"/>
    </row>
    <row r="412" ht="14.25" customHeight="1">
      <c r="A412" s="171"/>
      <c r="B412" s="282"/>
      <c r="C412" s="305"/>
      <c r="D412" s="326"/>
      <c r="E412" s="326"/>
      <c r="F412" s="171"/>
      <c r="G412" s="173"/>
      <c r="H412" s="170"/>
      <c r="I412" s="171"/>
    </row>
    <row r="413" ht="14.25" customHeight="1">
      <c r="A413" s="171"/>
      <c r="B413" s="282"/>
      <c r="C413" s="305"/>
      <c r="D413" s="326"/>
      <c r="E413" s="326"/>
      <c r="F413" s="171"/>
      <c r="G413" s="173"/>
      <c r="H413" s="170"/>
      <c r="I413" s="171"/>
    </row>
    <row r="414" ht="14.25" customHeight="1">
      <c r="A414" s="171"/>
      <c r="B414" s="282"/>
      <c r="C414" s="305"/>
      <c r="D414" s="326"/>
      <c r="E414" s="326"/>
      <c r="F414" s="171"/>
      <c r="G414" s="173"/>
      <c r="H414" s="170"/>
      <c r="I414" s="171"/>
    </row>
    <row r="415" ht="14.25" customHeight="1">
      <c r="A415" s="171"/>
      <c r="B415" s="282"/>
      <c r="C415" s="305"/>
      <c r="D415" s="326"/>
      <c r="E415" s="326"/>
      <c r="F415" s="171"/>
      <c r="G415" s="173"/>
      <c r="H415" s="170"/>
      <c r="I415" s="171"/>
    </row>
    <row r="416" ht="14.25" customHeight="1">
      <c r="A416" s="171"/>
      <c r="B416" s="282"/>
      <c r="C416" s="305"/>
      <c r="D416" s="326"/>
      <c r="E416" s="326"/>
      <c r="F416" s="171"/>
      <c r="G416" s="173"/>
      <c r="H416" s="170"/>
      <c r="I416" s="171"/>
    </row>
    <row r="417" ht="14.25" customHeight="1">
      <c r="A417" s="171"/>
      <c r="B417" s="282"/>
      <c r="C417" s="305"/>
      <c r="D417" s="326"/>
      <c r="E417" s="326"/>
      <c r="F417" s="171"/>
      <c r="G417" s="173"/>
      <c r="H417" s="170"/>
      <c r="I417" s="171"/>
    </row>
    <row r="418" ht="14.25" customHeight="1">
      <c r="A418" s="171"/>
      <c r="B418" s="282"/>
      <c r="C418" s="305"/>
      <c r="D418" s="326"/>
      <c r="E418" s="326"/>
      <c r="F418" s="171"/>
      <c r="G418" s="173"/>
      <c r="H418" s="170"/>
      <c r="I418" s="171"/>
    </row>
    <row r="419" ht="14.25" customHeight="1">
      <c r="A419" s="171"/>
      <c r="B419" s="282"/>
      <c r="C419" s="305"/>
      <c r="D419" s="326"/>
      <c r="E419" s="326"/>
      <c r="F419" s="171"/>
      <c r="G419" s="173"/>
      <c r="H419" s="170"/>
      <c r="I419" s="171"/>
    </row>
    <row r="420" ht="14.25" customHeight="1">
      <c r="A420" s="171"/>
      <c r="B420" s="282"/>
      <c r="C420" s="305"/>
      <c r="D420" s="326"/>
      <c r="E420" s="326"/>
      <c r="F420" s="171"/>
      <c r="G420" s="173"/>
      <c r="H420" s="170"/>
      <c r="I420" s="171"/>
    </row>
    <row r="421" ht="14.25" customHeight="1">
      <c r="A421" s="171"/>
      <c r="B421" s="282"/>
      <c r="C421" s="305"/>
      <c r="D421" s="326"/>
      <c r="E421" s="326"/>
      <c r="F421" s="171"/>
      <c r="G421" s="173"/>
      <c r="H421" s="170"/>
      <c r="I421" s="171"/>
    </row>
    <row r="422" ht="14.25" customHeight="1">
      <c r="A422" s="171"/>
      <c r="B422" s="282"/>
      <c r="C422" s="305"/>
      <c r="D422" s="326"/>
      <c r="E422" s="326"/>
      <c r="F422" s="171"/>
      <c r="G422" s="173"/>
      <c r="H422" s="170"/>
      <c r="I422" s="171"/>
    </row>
    <row r="423" ht="14.25" customHeight="1">
      <c r="A423" s="171"/>
      <c r="B423" s="282"/>
      <c r="C423" s="305"/>
      <c r="D423" s="326"/>
      <c r="E423" s="326"/>
      <c r="F423" s="171"/>
      <c r="G423" s="173"/>
      <c r="H423" s="170"/>
      <c r="I423" s="171"/>
    </row>
    <row r="424" ht="14.25" customHeight="1">
      <c r="A424" s="171"/>
      <c r="B424" s="282"/>
      <c r="C424" s="305"/>
      <c r="D424" s="326"/>
      <c r="E424" s="326"/>
      <c r="F424" s="171"/>
      <c r="G424" s="173"/>
      <c r="H424" s="170"/>
      <c r="I424" s="171"/>
    </row>
    <row r="425" ht="14.25" customHeight="1">
      <c r="A425" s="171"/>
      <c r="B425" s="282"/>
      <c r="C425" s="305"/>
      <c r="D425" s="326"/>
      <c r="E425" s="326"/>
      <c r="F425" s="171"/>
      <c r="G425" s="173"/>
      <c r="H425" s="170"/>
      <c r="I425" s="171"/>
    </row>
    <row r="426" ht="14.25" customHeight="1">
      <c r="A426" s="171"/>
      <c r="B426" s="282"/>
      <c r="C426" s="305"/>
      <c r="D426" s="326"/>
      <c r="E426" s="326"/>
      <c r="F426" s="171"/>
      <c r="G426" s="173"/>
      <c r="H426" s="170"/>
      <c r="I426" s="171"/>
    </row>
    <row r="427" ht="14.25" customHeight="1">
      <c r="A427" s="171"/>
      <c r="B427" s="282"/>
      <c r="C427" s="305"/>
      <c r="D427" s="326"/>
      <c r="E427" s="326"/>
      <c r="F427" s="171"/>
      <c r="G427" s="173"/>
      <c r="H427" s="170"/>
      <c r="I427" s="171"/>
    </row>
    <row r="428" ht="14.25" customHeight="1">
      <c r="A428" s="171"/>
      <c r="B428" s="282"/>
      <c r="C428" s="305"/>
      <c r="D428" s="326"/>
      <c r="E428" s="326"/>
      <c r="F428" s="171"/>
      <c r="G428" s="173"/>
      <c r="H428" s="170"/>
      <c r="I428" s="171"/>
    </row>
    <row r="429" ht="14.25" customHeight="1">
      <c r="A429" s="171"/>
      <c r="B429" s="282"/>
      <c r="C429" s="305"/>
      <c r="D429" s="326"/>
      <c r="E429" s="326"/>
      <c r="F429" s="171"/>
      <c r="G429" s="173"/>
      <c r="H429" s="170"/>
      <c r="I429" s="171"/>
    </row>
    <row r="430" ht="14.25" customHeight="1">
      <c r="A430" s="171"/>
      <c r="B430" s="282"/>
      <c r="C430" s="305"/>
      <c r="D430" s="326"/>
      <c r="E430" s="326"/>
      <c r="F430" s="171"/>
      <c r="G430" s="173"/>
      <c r="H430" s="170"/>
      <c r="I430" s="171"/>
    </row>
    <row r="431" ht="14.25" customHeight="1">
      <c r="A431" s="171"/>
      <c r="B431" s="282"/>
      <c r="C431" s="305"/>
      <c r="D431" s="326"/>
      <c r="E431" s="326"/>
      <c r="F431" s="171"/>
      <c r="G431" s="173"/>
      <c r="H431" s="170"/>
      <c r="I431" s="171"/>
    </row>
    <row r="432" ht="14.25" customHeight="1">
      <c r="A432" s="171"/>
      <c r="B432" s="282"/>
      <c r="C432" s="305"/>
      <c r="D432" s="326"/>
      <c r="E432" s="326"/>
      <c r="F432" s="171"/>
      <c r="G432" s="173"/>
      <c r="H432" s="170"/>
      <c r="I432" s="171"/>
    </row>
    <row r="433" ht="14.25" customHeight="1">
      <c r="A433" s="171"/>
      <c r="B433" s="282"/>
      <c r="C433" s="305"/>
      <c r="D433" s="326"/>
      <c r="E433" s="326"/>
      <c r="F433" s="171"/>
      <c r="G433" s="173"/>
      <c r="H433" s="170"/>
      <c r="I433" s="171"/>
    </row>
    <row r="434" ht="14.25" customHeight="1">
      <c r="A434" s="171"/>
      <c r="B434" s="282"/>
      <c r="C434" s="305"/>
      <c r="D434" s="326"/>
      <c r="E434" s="326"/>
      <c r="F434" s="171"/>
      <c r="G434" s="173"/>
      <c r="H434" s="170"/>
      <c r="I434" s="171"/>
    </row>
    <row r="435" ht="14.25" customHeight="1">
      <c r="A435" s="171"/>
      <c r="B435" s="282"/>
      <c r="C435" s="305"/>
      <c r="D435" s="326"/>
      <c r="E435" s="326"/>
      <c r="F435" s="171"/>
      <c r="G435" s="173"/>
      <c r="H435" s="170"/>
      <c r="I435" s="171"/>
    </row>
    <row r="436" ht="14.25" customHeight="1">
      <c r="A436" s="171"/>
      <c r="B436" s="282"/>
      <c r="C436" s="305"/>
      <c r="D436" s="326"/>
      <c r="E436" s="326"/>
      <c r="F436" s="171"/>
      <c r="G436" s="173"/>
      <c r="H436" s="170"/>
      <c r="I436" s="171"/>
    </row>
    <row r="437" ht="14.25" customHeight="1">
      <c r="A437" s="171"/>
      <c r="B437" s="282"/>
      <c r="C437" s="305"/>
      <c r="D437" s="326"/>
      <c r="E437" s="326"/>
      <c r="F437" s="171"/>
      <c r="G437" s="173"/>
      <c r="H437" s="170"/>
      <c r="I437" s="171"/>
    </row>
    <row r="438" ht="14.25" customHeight="1">
      <c r="A438" s="171"/>
      <c r="B438" s="282"/>
      <c r="C438" s="305"/>
      <c r="D438" s="326"/>
      <c r="E438" s="326"/>
      <c r="F438" s="171"/>
      <c r="G438" s="173"/>
      <c r="H438" s="170"/>
      <c r="I438" s="171"/>
    </row>
    <row r="439" ht="14.25" customHeight="1">
      <c r="A439" s="171"/>
      <c r="B439" s="282"/>
      <c r="C439" s="305"/>
      <c r="D439" s="326"/>
      <c r="E439" s="326"/>
      <c r="F439" s="171"/>
      <c r="G439" s="173"/>
      <c r="H439" s="170"/>
      <c r="I439" s="171"/>
    </row>
    <row r="440" ht="14.25" customHeight="1">
      <c r="A440" s="171"/>
      <c r="B440" s="282"/>
      <c r="C440" s="305"/>
      <c r="D440" s="326"/>
      <c r="E440" s="326"/>
      <c r="F440" s="171"/>
      <c r="G440" s="173"/>
      <c r="H440" s="170"/>
      <c r="I440" s="171"/>
    </row>
    <row r="441" ht="14.25" customHeight="1">
      <c r="A441" s="171"/>
      <c r="B441" s="282"/>
      <c r="C441" s="305"/>
      <c r="D441" s="326"/>
      <c r="E441" s="326"/>
      <c r="F441" s="171"/>
      <c r="G441" s="173"/>
      <c r="H441" s="170"/>
      <c r="I441" s="171"/>
    </row>
    <row r="442" ht="14.25" customHeight="1">
      <c r="A442" s="171"/>
      <c r="B442" s="282"/>
      <c r="C442" s="305"/>
      <c r="D442" s="326"/>
      <c r="E442" s="326"/>
      <c r="F442" s="171"/>
      <c r="G442" s="173"/>
      <c r="H442" s="170"/>
      <c r="I442" s="171"/>
    </row>
    <row r="443" ht="14.25" customHeight="1">
      <c r="A443" s="171"/>
      <c r="B443" s="282"/>
      <c r="C443" s="305"/>
      <c r="D443" s="326"/>
      <c r="E443" s="326"/>
      <c r="F443" s="171"/>
      <c r="G443" s="173"/>
      <c r="H443" s="170"/>
      <c r="I443" s="171"/>
    </row>
    <row r="444" ht="14.25" customHeight="1">
      <c r="A444" s="171"/>
      <c r="B444" s="282"/>
      <c r="C444" s="305"/>
      <c r="D444" s="326"/>
      <c r="E444" s="326"/>
      <c r="F444" s="171"/>
      <c r="G444" s="173"/>
      <c r="H444" s="170"/>
      <c r="I444" s="171"/>
    </row>
    <row r="445" ht="14.25" customHeight="1">
      <c r="A445" s="171"/>
      <c r="B445" s="282"/>
      <c r="C445" s="305"/>
      <c r="D445" s="326"/>
      <c r="E445" s="326"/>
      <c r="F445" s="171"/>
      <c r="G445" s="173"/>
      <c r="H445" s="170"/>
      <c r="I445" s="171"/>
    </row>
    <row r="446" ht="14.25" customHeight="1">
      <c r="A446" s="171"/>
      <c r="B446" s="282"/>
      <c r="C446" s="305"/>
      <c r="D446" s="326"/>
      <c r="E446" s="326"/>
      <c r="F446" s="171"/>
      <c r="G446" s="173"/>
      <c r="H446" s="170"/>
      <c r="I446" s="171"/>
    </row>
    <row r="447" ht="14.25" customHeight="1">
      <c r="A447" s="171"/>
      <c r="B447" s="282"/>
      <c r="C447" s="305"/>
      <c r="D447" s="326"/>
      <c r="E447" s="326"/>
      <c r="F447" s="171"/>
      <c r="G447" s="173"/>
      <c r="H447" s="170"/>
      <c r="I447" s="171"/>
    </row>
    <row r="448" ht="14.25" customHeight="1">
      <c r="A448" s="171"/>
      <c r="B448" s="282"/>
      <c r="C448" s="305"/>
      <c r="D448" s="326"/>
      <c r="E448" s="326"/>
      <c r="F448" s="171"/>
      <c r="G448" s="173"/>
      <c r="H448" s="170"/>
      <c r="I448" s="171"/>
    </row>
    <row r="449" ht="14.25" customHeight="1">
      <c r="A449" s="171"/>
      <c r="B449" s="282"/>
      <c r="C449" s="305"/>
      <c r="D449" s="326"/>
      <c r="E449" s="326"/>
      <c r="F449" s="171"/>
      <c r="G449" s="173"/>
      <c r="H449" s="170"/>
      <c r="I449" s="171"/>
    </row>
    <row r="450" ht="14.25" customHeight="1">
      <c r="A450" s="171"/>
      <c r="B450" s="282"/>
      <c r="C450" s="305"/>
      <c r="D450" s="326"/>
      <c r="E450" s="326"/>
      <c r="F450" s="171"/>
      <c r="G450" s="173"/>
      <c r="H450" s="170"/>
      <c r="I450" s="171"/>
    </row>
    <row r="451" ht="14.25" customHeight="1">
      <c r="A451" s="171"/>
      <c r="B451" s="282"/>
      <c r="C451" s="305"/>
      <c r="D451" s="326"/>
      <c r="E451" s="326"/>
      <c r="F451" s="171"/>
      <c r="G451" s="173"/>
      <c r="H451" s="170"/>
      <c r="I451" s="171"/>
    </row>
    <row r="452" ht="14.25" customHeight="1">
      <c r="A452" s="171"/>
      <c r="B452" s="282"/>
      <c r="C452" s="305"/>
      <c r="D452" s="326"/>
      <c r="E452" s="326"/>
      <c r="F452" s="171"/>
      <c r="G452" s="173"/>
      <c r="H452" s="170"/>
      <c r="I452" s="171"/>
    </row>
    <row r="453" ht="14.25" customHeight="1">
      <c r="A453" s="171"/>
      <c r="B453" s="282"/>
      <c r="C453" s="305"/>
      <c r="D453" s="326"/>
      <c r="E453" s="326"/>
      <c r="F453" s="171"/>
      <c r="G453" s="173"/>
      <c r="H453" s="170"/>
      <c r="I453" s="171"/>
    </row>
    <row r="454" ht="14.25" customHeight="1">
      <c r="A454" s="171"/>
      <c r="B454" s="282"/>
      <c r="C454" s="305"/>
      <c r="D454" s="326"/>
      <c r="E454" s="326"/>
      <c r="F454" s="171"/>
      <c r="G454" s="173"/>
      <c r="H454" s="170"/>
      <c r="I454" s="171"/>
    </row>
    <row r="455" ht="14.25" customHeight="1">
      <c r="A455" s="171"/>
      <c r="B455" s="282"/>
      <c r="C455" s="305"/>
      <c r="D455" s="326"/>
      <c r="E455" s="326"/>
      <c r="F455" s="171"/>
      <c r="G455" s="173"/>
      <c r="H455" s="170"/>
      <c r="I455" s="171"/>
    </row>
    <row r="456" ht="14.25" customHeight="1">
      <c r="A456" s="171"/>
      <c r="B456" s="282"/>
      <c r="C456" s="305"/>
      <c r="D456" s="326"/>
      <c r="E456" s="326"/>
      <c r="F456" s="171"/>
      <c r="G456" s="173"/>
      <c r="H456" s="170"/>
      <c r="I456" s="171"/>
    </row>
    <row r="457" ht="14.25" customHeight="1">
      <c r="A457" s="171"/>
      <c r="B457" s="282"/>
      <c r="C457" s="305"/>
      <c r="D457" s="326"/>
      <c r="E457" s="326"/>
      <c r="F457" s="171"/>
      <c r="G457" s="173"/>
      <c r="H457" s="170"/>
      <c r="I457" s="171"/>
    </row>
    <row r="458" ht="14.25" customHeight="1">
      <c r="A458" s="171"/>
      <c r="B458" s="282"/>
      <c r="C458" s="305"/>
      <c r="D458" s="326"/>
      <c r="E458" s="326"/>
      <c r="F458" s="171"/>
      <c r="G458" s="173"/>
      <c r="H458" s="170"/>
      <c r="I458" s="171"/>
    </row>
    <row r="459" ht="14.25" customHeight="1">
      <c r="A459" s="171"/>
      <c r="B459" s="282"/>
      <c r="C459" s="305"/>
      <c r="D459" s="326"/>
      <c r="E459" s="326"/>
      <c r="F459" s="171"/>
      <c r="G459" s="173"/>
      <c r="H459" s="170"/>
      <c r="I459" s="171"/>
    </row>
    <row r="460" ht="14.25" customHeight="1">
      <c r="A460" s="171"/>
      <c r="B460" s="282"/>
      <c r="C460" s="305"/>
      <c r="D460" s="326"/>
      <c r="E460" s="326"/>
      <c r="F460" s="171"/>
      <c r="G460" s="173"/>
      <c r="H460" s="170"/>
      <c r="I460" s="171"/>
    </row>
    <row r="461" ht="14.25" customHeight="1">
      <c r="A461" s="171"/>
      <c r="B461" s="282"/>
      <c r="C461" s="305"/>
      <c r="D461" s="326"/>
      <c r="E461" s="326"/>
      <c r="F461" s="171"/>
      <c r="G461" s="173"/>
      <c r="H461" s="170"/>
      <c r="I461" s="171"/>
    </row>
    <row r="462" ht="14.25" customHeight="1">
      <c r="A462" s="171"/>
      <c r="B462" s="282"/>
      <c r="C462" s="305"/>
      <c r="D462" s="326"/>
      <c r="E462" s="326"/>
      <c r="F462" s="171"/>
      <c r="G462" s="173"/>
      <c r="H462" s="170"/>
      <c r="I462" s="171"/>
    </row>
    <row r="463" ht="14.25" customHeight="1">
      <c r="A463" s="171"/>
      <c r="B463" s="282"/>
      <c r="C463" s="305"/>
      <c r="D463" s="326"/>
      <c r="E463" s="326"/>
      <c r="F463" s="171"/>
      <c r="G463" s="173"/>
      <c r="H463" s="170"/>
      <c r="I463" s="171"/>
    </row>
    <row r="464" ht="14.25" customHeight="1">
      <c r="A464" s="171"/>
      <c r="B464" s="282"/>
      <c r="C464" s="305"/>
      <c r="D464" s="326"/>
      <c r="E464" s="326"/>
      <c r="F464" s="171"/>
      <c r="G464" s="173"/>
      <c r="H464" s="170"/>
      <c r="I464" s="171"/>
    </row>
    <row r="465" ht="14.25" customHeight="1">
      <c r="A465" s="171"/>
      <c r="B465" s="282"/>
      <c r="C465" s="305"/>
      <c r="D465" s="326"/>
      <c r="E465" s="326"/>
      <c r="F465" s="171"/>
      <c r="G465" s="173"/>
      <c r="H465" s="170"/>
      <c r="I465" s="171"/>
    </row>
    <row r="466" ht="14.25" customHeight="1">
      <c r="A466" s="171"/>
      <c r="B466" s="282"/>
      <c r="C466" s="305"/>
      <c r="D466" s="326"/>
      <c r="E466" s="326"/>
      <c r="F466" s="171"/>
      <c r="G466" s="173"/>
      <c r="H466" s="170"/>
      <c r="I466" s="171"/>
    </row>
    <row r="467" ht="14.25" customHeight="1">
      <c r="A467" s="171"/>
      <c r="B467" s="282"/>
      <c r="C467" s="305"/>
      <c r="D467" s="326"/>
      <c r="E467" s="326"/>
      <c r="F467" s="171"/>
      <c r="G467" s="173"/>
      <c r="H467" s="170"/>
      <c r="I467" s="171"/>
    </row>
    <row r="468" ht="14.25" customHeight="1">
      <c r="A468" s="171"/>
      <c r="B468" s="282"/>
      <c r="C468" s="305"/>
      <c r="D468" s="326"/>
      <c r="E468" s="326"/>
      <c r="F468" s="171"/>
      <c r="G468" s="173"/>
      <c r="H468" s="170"/>
      <c r="I468" s="171"/>
    </row>
    <row r="469" ht="14.25" customHeight="1">
      <c r="A469" s="171"/>
      <c r="B469" s="282"/>
      <c r="C469" s="305"/>
      <c r="D469" s="326"/>
      <c r="E469" s="326"/>
      <c r="F469" s="171"/>
      <c r="G469" s="173"/>
      <c r="H469" s="170"/>
      <c r="I469" s="171"/>
    </row>
    <row r="470" ht="14.25" customHeight="1">
      <c r="A470" s="171"/>
      <c r="B470" s="282"/>
      <c r="C470" s="305"/>
      <c r="D470" s="326"/>
      <c r="E470" s="326"/>
      <c r="F470" s="171"/>
      <c r="G470" s="173"/>
      <c r="H470" s="170"/>
      <c r="I470" s="171"/>
    </row>
    <row r="471" ht="14.25" customHeight="1">
      <c r="A471" s="171"/>
      <c r="B471" s="282"/>
      <c r="C471" s="305"/>
      <c r="D471" s="326"/>
      <c r="E471" s="326"/>
      <c r="F471" s="171"/>
      <c r="G471" s="173"/>
      <c r="H471" s="170"/>
      <c r="I471" s="171"/>
    </row>
    <row r="472" ht="14.25" customHeight="1">
      <c r="A472" s="171"/>
      <c r="B472" s="282"/>
      <c r="C472" s="305"/>
      <c r="D472" s="326"/>
      <c r="E472" s="326"/>
      <c r="F472" s="171"/>
      <c r="G472" s="173"/>
      <c r="H472" s="170"/>
      <c r="I472" s="171"/>
    </row>
    <row r="473" ht="14.25" customHeight="1">
      <c r="A473" s="171"/>
      <c r="B473" s="282"/>
      <c r="C473" s="305"/>
      <c r="D473" s="326"/>
      <c r="E473" s="326"/>
      <c r="F473" s="171"/>
      <c r="G473" s="173"/>
      <c r="H473" s="170"/>
      <c r="I473" s="171"/>
    </row>
    <row r="474" ht="14.25" customHeight="1">
      <c r="A474" s="171"/>
      <c r="B474" s="282"/>
      <c r="C474" s="305"/>
      <c r="D474" s="326"/>
      <c r="E474" s="326"/>
      <c r="F474" s="171"/>
      <c r="G474" s="173"/>
      <c r="H474" s="170"/>
      <c r="I474" s="171"/>
    </row>
    <row r="475" ht="14.25" customHeight="1">
      <c r="A475" s="171"/>
      <c r="B475" s="282"/>
      <c r="C475" s="305"/>
      <c r="D475" s="326"/>
      <c r="E475" s="326"/>
      <c r="F475" s="171"/>
      <c r="G475" s="173"/>
      <c r="H475" s="170"/>
      <c r="I475" s="171"/>
    </row>
    <row r="476" ht="14.25" customHeight="1">
      <c r="A476" s="171"/>
      <c r="B476" s="282"/>
      <c r="C476" s="305"/>
      <c r="D476" s="326"/>
      <c r="E476" s="326"/>
      <c r="F476" s="171"/>
      <c r="G476" s="173"/>
      <c r="H476" s="170"/>
      <c r="I476" s="171"/>
    </row>
    <row r="477" ht="14.25" customHeight="1">
      <c r="A477" s="171"/>
      <c r="B477" s="282"/>
      <c r="C477" s="305"/>
      <c r="D477" s="326"/>
      <c r="E477" s="326"/>
      <c r="F477" s="171"/>
      <c r="G477" s="173"/>
      <c r="H477" s="170"/>
      <c r="I477" s="171"/>
    </row>
    <row r="478" ht="14.25" customHeight="1">
      <c r="A478" s="171"/>
      <c r="B478" s="282"/>
      <c r="C478" s="305"/>
      <c r="D478" s="326"/>
      <c r="E478" s="326"/>
      <c r="F478" s="171"/>
      <c r="G478" s="173"/>
      <c r="H478" s="170"/>
      <c r="I478" s="171"/>
    </row>
    <row r="479" ht="14.25" customHeight="1">
      <c r="A479" s="171"/>
      <c r="B479" s="282"/>
      <c r="C479" s="305"/>
      <c r="D479" s="326"/>
      <c r="E479" s="326"/>
      <c r="F479" s="171"/>
      <c r="G479" s="173"/>
      <c r="H479" s="170"/>
      <c r="I479" s="171"/>
    </row>
    <row r="480" ht="14.25" customHeight="1">
      <c r="A480" s="171"/>
      <c r="B480" s="282"/>
      <c r="C480" s="305"/>
      <c r="D480" s="326"/>
      <c r="E480" s="326"/>
      <c r="F480" s="171"/>
      <c r="G480" s="173"/>
      <c r="H480" s="170"/>
      <c r="I480" s="171"/>
    </row>
    <row r="481" ht="14.25" customHeight="1">
      <c r="A481" s="171"/>
      <c r="B481" s="282"/>
      <c r="C481" s="305"/>
      <c r="D481" s="326"/>
      <c r="E481" s="326"/>
      <c r="F481" s="171"/>
      <c r="G481" s="173"/>
      <c r="H481" s="170"/>
      <c r="I481" s="171"/>
    </row>
    <row r="482" ht="14.25" customHeight="1">
      <c r="A482" s="171"/>
      <c r="B482" s="282"/>
      <c r="C482" s="305"/>
      <c r="D482" s="326"/>
      <c r="E482" s="326"/>
      <c r="F482" s="171"/>
      <c r="G482" s="173"/>
      <c r="H482" s="170"/>
      <c r="I482" s="171"/>
    </row>
    <row r="483" ht="14.25" customHeight="1">
      <c r="A483" s="171"/>
      <c r="B483" s="282"/>
      <c r="C483" s="305"/>
      <c r="D483" s="326"/>
      <c r="E483" s="326"/>
      <c r="F483" s="171"/>
      <c r="G483" s="173"/>
      <c r="H483" s="170"/>
      <c r="I483" s="171"/>
    </row>
    <row r="484" ht="14.25" customHeight="1">
      <c r="A484" s="171"/>
      <c r="B484" s="282"/>
      <c r="C484" s="305"/>
      <c r="D484" s="326"/>
      <c r="E484" s="326"/>
      <c r="F484" s="171"/>
      <c r="G484" s="173"/>
      <c r="H484" s="170"/>
      <c r="I484" s="171"/>
    </row>
    <row r="485" ht="14.25" customHeight="1">
      <c r="A485" s="171"/>
      <c r="B485" s="282"/>
      <c r="C485" s="305"/>
      <c r="D485" s="326"/>
      <c r="E485" s="326"/>
      <c r="F485" s="171"/>
      <c r="G485" s="173"/>
      <c r="H485" s="170"/>
      <c r="I485" s="171"/>
    </row>
    <row r="486" ht="14.25" customHeight="1">
      <c r="A486" s="171"/>
      <c r="B486" s="282"/>
      <c r="C486" s="305"/>
      <c r="D486" s="326"/>
      <c r="E486" s="326"/>
      <c r="F486" s="171"/>
      <c r="G486" s="173"/>
      <c r="H486" s="170"/>
      <c r="I486" s="171"/>
    </row>
    <row r="487" ht="14.25" customHeight="1">
      <c r="A487" s="171"/>
      <c r="B487" s="282"/>
      <c r="C487" s="305"/>
      <c r="D487" s="326"/>
      <c r="E487" s="326"/>
      <c r="F487" s="171"/>
      <c r="G487" s="173"/>
      <c r="H487" s="170"/>
      <c r="I487" s="171"/>
    </row>
    <row r="488" ht="14.25" customHeight="1">
      <c r="A488" s="171"/>
      <c r="B488" s="282"/>
      <c r="C488" s="305"/>
      <c r="D488" s="326"/>
      <c r="E488" s="326"/>
      <c r="F488" s="171"/>
      <c r="G488" s="173"/>
      <c r="H488" s="170"/>
      <c r="I488" s="171"/>
    </row>
    <row r="489" ht="14.25" customHeight="1">
      <c r="A489" s="171"/>
      <c r="B489" s="282"/>
      <c r="C489" s="305"/>
      <c r="D489" s="326"/>
      <c r="E489" s="326"/>
      <c r="F489" s="171"/>
      <c r="G489" s="173"/>
      <c r="H489" s="170"/>
      <c r="I489" s="171"/>
    </row>
    <row r="490" ht="14.25" customHeight="1">
      <c r="A490" s="171"/>
      <c r="B490" s="282"/>
      <c r="C490" s="305"/>
      <c r="D490" s="326"/>
      <c r="E490" s="326"/>
      <c r="F490" s="171"/>
      <c r="G490" s="173"/>
      <c r="H490" s="170"/>
      <c r="I490" s="171"/>
    </row>
    <row r="491" ht="14.25" customHeight="1">
      <c r="A491" s="171"/>
      <c r="B491" s="282"/>
      <c r="C491" s="305"/>
      <c r="D491" s="326"/>
      <c r="E491" s="326"/>
      <c r="F491" s="171"/>
      <c r="G491" s="173"/>
      <c r="H491" s="170"/>
      <c r="I491" s="171"/>
    </row>
    <row r="492" ht="14.25" customHeight="1">
      <c r="A492" s="171"/>
      <c r="B492" s="282"/>
      <c r="C492" s="305"/>
      <c r="D492" s="326"/>
      <c r="E492" s="326"/>
      <c r="F492" s="171"/>
      <c r="G492" s="173"/>
      <c r="H492" s="170"/>
      <c r="I492" s="171"/>
    </row>
    <row r="493" ht="14.25" customHeight="1">
      <c r="A493" s="171"/>
      <c r="B493" s="282"/>
      <c r="C493" s="305"/>
      <c r="D493" s="326"/>
      <c r="E493" s="326"/>
      <c r="F493" s="171"/>
      <c r="G493" s="173"/>
      <c r="H493" s="170"/>
      <c r="I493" s="171"/>
    </row>
    <row r="494" ht="14.25" customHeight="1">
      <c r="A494" s="171"/>
      <c r="B494" s="282"/>
      <c r="C494" s="305"/>
      <c r="D494" s="326"/>
      <c r="E494" s="326"/>
      <c r="F494" s="171"/>
      <c r="G494" s="173"/>
      <c r="H494" s="170"/>
      <c r="I494" s="171"/>
    </row>
    <row r="495" ht="14.25" customHeight="1">
      <c r="A495" s="171"/>
      <c r="B495" s="282"/>
      <c r="C495" s="305"/>
      <c r="D495" s="326"/>
      <c r="E495" s="326"/>
      <c r="F495" s="171"/>
      <c r="G495" s="173"/>
      <c r="H495" s="170"/>
      <c r="I495" s="171"/>
    </row>
    <row r="496" ht="14.25" customHeight="1">
      <c r="A496" s="171"/>
      <c r="B496" s="282"/>
      <c r="C496" s="305"/>
      <c r="D496" s="326"/>
      <c r="E496" s="326"/>
      <c r="F496" s="171"/>
      <c r="G496" s="173"/>
      <c r="H496" s="170"/>
      <c r="I496" s="171"/>
    </row>
    <row r="497" ht="14.25" customHeight="1">
      <c r="A497" s="171"/>
      <c r="B497" s="282"/>
      <c r="C497" s="305"/>
      <c r="D497" s="326"/>
      <c r="E497" s="326"/>
      <c r="F497" s="171"/>
      <c r="G497" s="173"/>
      <c r="H497" s="170"/>
      <c r="I497" s="171"/>
    </row>
    <row r="498" ht="14.25" customHeight="1">
      <c r="A498" s="171"/>
      <c r="B498" s="282"/>
      <c r="C498" s="305"/>
      <c r="D498" s="326"/>
      <c r="E498" s="326"/>
      <c r="F498" s="171"/>
      <c r="G498" s="173"/>
      <c r="H498" s="170"/>
      <c r="I498" s="171"/>
    </row>
    <row r="499" ht="14.25" customHeight="1">
      <c r="A499" s="171"/>
      <c r="B499" s="282"/>
      <c r="C499" s="305"/>
      <c r="D499" s="326"/>
      <c r="E499" s="326"/>
      <c r="F499" s="171"/>
      <c r="G499" s="173"/>
      <c r="H499" s="170"/>
      <c r="I499" s="171"/>
    </row>
    <row r="500" ht="14.25" customHeight="1">
      <c r="A500" s="171"/>
      <c r="B500" s="282"/>
      <c r="C500" s="305"/>
      <c r="D500" s="326"/>
      <c r="E500" s="326"/>
      <c r="F500" s="171"/>
      <c r="G500" s="173"/>
      <c r="H500" s="170"/>
      <c r="I500" s="171"/>
    </row>
    <row r="501" ht="14.25" customHeight="1">
      <c r="A501" s="171"/>
      <c r="B501" s="282"/>
      <c r="C501" s="305"/>
      <c r="D501" s="326"/>
      <c r="E501" s="326"/>
      <c r="F501" s="171"/>
      <c r="G501" s="173"/>
      <c r="H501" s="170"/>
      <c r="I501" s="171"/>
    </row>
    <row r="502" ht="14.25" customHeight="1">
      <c r="A502" s="171"/>
      <c r="B502" s="282"/>
      <c r="C502" s="305"/>
      <c r="D502" s="326"/>
      <c r="E502" s="326"/>
      <c r="F502" s="171"/>
      <c r="G502" s="173"/>
      <c r="H502" s="170"/>
      <c r="I502" s="171"/>
    </row>
    <row r="503" ht="14.25" customHeight="1">
      <c r="A503" s="171"/>
      <c r="B503" s="282"/>
      <c r="C503" s="305"/>
      <c r="D503" s="326"/>
      <c r="E503" s="326"/>
      <c r="F503" s="171"/>
      <c r="G503" s="173"/>
      <c r="H503" s="170"/>
      <c r="I503" s="171"/>
    </row>
    <row r="504" ht="14.25" customHeight="1">
      <c r="A504" s="171"/>
      <c r="B504" s="282"/>
      <c r="C504" s="305"/>
      <c r="D504" s="326"/>
      <c r="E504" s="326"/>
      <c r="F504" s="171"/>
      <c r="G504" s="173"/>
      <c r="H504" s="170"/>
      <c r="I504" s="171"/>
    </row>
    <row r="505" ht="14.25" customHeight="1">
      <c r="A505" s="171"/>
      <c r="B505" s="282"/>
      <c r="C505" s="305"/>
      <c r="D505" s="326"/>
      <c r="E505" s="326"/>
      <c r="F505" s="171"/>
      <c r="G505" s="173"/>
      <c r="H505" s="170"/>
      <c r="I505" s="171"/>
    </row>
    <row r="506" ht="14.25" customHeight="1">
      <c r="A506" s="171"/>
      <c r="B506" s="282"/>
      <c r="C506" s="305"/>
      <c r="D506" s="326"/>
      <c r="E506" s="326"/>
      <c r="F506" s="171"/>
      <c r="G506" s="173"/>
      <c r="H506" s="170"/>
      <c r="I506" s="171"/>
    </row>
    <row r="507" ht="14.25" customHeight="1">
      <c r="A507" s="171"/>
      <c r="B507" s="282"/>
      <c r="C507" s="305"/>
      <c r="D507" s="326"/>
      <c r="E507" s="326"/>
      <c r="F507" s="171"/>
      <c r="G507" s="173"/>
      <c r="H507" s="170"/>
      <c r="I507" s="171"/>
    </row>
    <row r="508" ht="14.25" customHeight="1">
      <c r="A508" s="171"/>
      <c r="B508" s="282"/>
      <c r="C508" s="305"/>
      <c r="D508" s="326"/>
      <c r="E508" s="326"/>
      <c r="F508" s="171"/>
      <c r="G508" s="173"/>
      <c r="H508" s="170"/>
      <c r="I508" s="171"/>
    </row>
    <row r="509" ht="14.25" customHeight="1">
      <c r="A509" s="171"/>
      <c r="B509" s="282"/>
      <c r="C509" s="305"/>
      <c r="D509" s="326"/>
      <c r="E509" s="326"/>
      <c r="F509" s="171"/>
      <c r="G509" s="173"/>
      <c r="H509" s="170"/>
      <c r="I509" s="171"/>
    </row>
    <row r="510" ht="14.25" customHeight="1">
      <c r="A510" s="171"/>
      <c r="B510" s="282"/>
      <c r="C510" s="305"/>
      <c r="D510" s="326"/>
      <c r="E510" s="326"/>
      <c r="F510" s="171"/>
      <c r="G510" s="173"/>
      <c r="H510" s="170"/>
      <c r="I510" s="171"/>
    </row>
    <row r="511" ht="14.25" customHeight="1">
      <c r="A511" s="171"/>
      <c r="B511" s="282"/>
      <c r="C511" s="305"/>
      <c r="D511" s="326"/>
      <c r="E511" s="326"/>
      <c r="F511" s="171"/>
      <c r="G511" s="173"/>
      <c r="H511" s="170"/>
      <c r="I511" s="171"/>
    </row>
    <row r="512" ht="14.25" customHeight="1">
      <c r="A512" s="171"/>
      <c r="B512" s="282"/>
      <c r="C512" s="305"/>
      <c r="D512" s="326"/>
      <c r="E512" s="326"/>
      <c r="F512" s="171"/>
      <c r="G512" s="173"/>
      <c r="H512" s="170"/>
      <c r="I512" s="171"/>
    </row>
    <row r="513" ht="14.25" customHeight="1">
      <c r="A513" s="171"/>
      <c r="B513" s="282"/>
      <c r="C513" s="305"/>
      <c r="D513" s="326"/>
      <c r="E513" s="326"/>
      <c r="F513" s="171"/>
      <c r="G513" s="173"/>
      <c r="H513" s="170"/>
      <c r="I513" s="171"/>
    </row>
    <row r="514" ht="14.25" customHeight="1">
      <c r="A514" s="171"/>
      <c r="B514" s="282"/>
      <c r="C514" s="305"/>
      <c r="D514" s="326"/>
      <c r="E514" s="326"/>
      <c r="F514" s="171"/>
      <c r="G514" s="173"/>
      <c r="H514" s="170"/>
      <c r="I514" s="171"/>
    </row>
    <row r="515" ht="14.25" customHeight="1">
      <c r="A515" s="171"/>
      <c r="B515" s="282"/>
      <c r="C515" s="305"/>
      <c r="D515" s="326"/>
      <c r="E515" s="326"/>
      <c r="F515" s="171"/>
      <c r="G515" s="173"/>
      <c r="H515" s="170"/>
      <c r="I515" s="171"/>
    </row>
    <row r="516" ht="14.25" customHeight="1">
      <c r="A516" s="171"/>
      <c r="B516" s="282"/>
      <c r="C516" s="305"/>
      <c r="D516" s="326"/>
      <c r="E516" s="326"/>
      <c r="F516" s="171"/>
      <c r="G516" s="173"/>
      <c r="H516" s="170"/>
      <c r="I516" s="171"/>
    </row>
    <row r="517" ht="14.25" customHeight="1">
      <c r="A517" s="171"/>
      <c r="B517" s="282"/>
      <c r="C517" s="305"/>
      <c r="D517" s="326"/>
      <c r="E517" s="326"/>
      <c r="F517" s="171"/>
      <c r="G517" s="173"/>
      <c r="H517" s="170"/>
      <c r="I517" s="171"/>
    </row>
    <row r="518" ht="14.25" customHeight="1">
      <c r="A518" s="171"/>
      <c r="B518" s="282"/>
      <c r="C518" s="305"/>
      <c r="D518" s="326"/>
      <c r="E518" s="326"/>
      <c r="F518" s="171"/>
      <c r="G518" s="173"/>
      <c r="H518" s="170"/>
      <c r="I518" s="171"/>
    </row>
    <row r="519" ht="14.25" customHeight="1">
      <c r="A519" s="171"/>
      <c r="B519" s="282"/>
      <c r="C519" s="305"/>
      <c r="D519" s="326"/>
      <c r="E519" s="326"/>
      <c r="F519" s="171"/>
      <c r="G519" s="173"/>
      <c r="H519" s="170"/>
      <c r="I519" s="171"/>
    </row>
    <row r="520" ht="14.25" customHeight="1">
      <c r="A520" s="171"/>
      <c r="B520" s="282"/>
      <c r="C520" s="305"/>
      <c r="D520" s="326"/>
      <c r="E520" s="326"/>
      <c r="F520" s="171"/>
      <c r="G520" s="173"/>
      <c r="H520" s="170"/>
      <c r="I520" s="171"/>
    </row>
    <row r="521" ht="14.25" customHeight="1">
      <c r="A521" s="171"/>
      <c r="B521" s="282"/>
      <c r="C521" s="305"/>
      <c r="D521" s="326"/>
      <c r="E521" s="326"/>
      <c r="F521" s="171"/>
      <c r="G521" s="173"/>
      <c r="H521" s="170"/>
      <c r="I521" s="171"/>
    </row>
    <row r="522" ht="14.25" customHeight="1">
      <c r="A522" s="171"/>
      <c r="B522" s="282"/>
      <c r="C522" s="305"/>
      <c r="D522" s="326"/>
      <c r="E522" s="326"/>
      <c r="F522" s="171"/>
      <c r="G522" s="173"/>
      <c r="H522" s="170"/>
      <c r="I522" s="171"/>
    </row>
    <row r="523" ht="14.25" customHeight="1">
      <c r="A523" s="171"/>
      <c r="B523" s="282"/>
      <c r="C523" s="305"/>
      <c r="D523" s="326"/>
      <c r="E523" s="326"/>
      <c r="F523" s="171"/>
      <c r="G523" s="173"/>
      <c r="H523" s="170"/>
      <c r="I523" s="171"/>
    </row>
    <row r="524" ht="14.25" customHeight="1">
      <c r="A524" s="171"/>
      <c r="B524" s="282"/>
      <c r="C524" s="305"/>
      <c r="D524" s="326"/>
      <c r="E524" s="326"/>
      <c r="F524" s="171"/>
      <c r="G524" s="173"/>
      <c r="H524" s="170"/>
      <c r="I524" s="171"/>
    </row>
    <row r="525" ht="14.25" customHeight="1">
      <c r="A525" s="171"/>
      <c r="B525" s="282"/>
      <c r="C525" s="305"/>
      <c r="D525" s="326"/>
      <c r="E525" s="326"/>
      <c r="F525" s="171"/>
      <c r="G525" s="173"/>
      <c r="H525" s="170"/>
      <c r="I525" s="171"/>
    </row>
    <row r="526" ht="14.25" customHeight="1">
      <c r="A526" s="171"/>
      <c r="B526" s="282"/>
      <c r="C526" s="305"/>
      <c r="D526" s="326"/>
      <c r="E526" s="326"/>
      <c r="F526" s="171"/>
      <c r="G526" s="173"/>
      <c r="H526" s="170"/>
      <c r="I526" s="171"/>
    </row>
    <row r="527" ht="14.25" customHeight="1">
      <c r="A527" s="171"/>
      <c r="B527" s="282"/>
      <c r="C527" s="305"/>
      <c r="D527" s="326"/>
      <c r="E527" s="326"/>
      <c r="F527" s="171"/>
      <c r="G527" s="173"/>
      <c r="H527" s="170"/>
      <c r="I527" s="171"/>
    </row>
    <row r="528" ht="14.25" customHeight="1">
      <c r="A528" s="171"/>
      <c r="B528" s="282"/>
      <c r="C528" s="305"/>
      <c r="D528" s="326"/>
      <c r="E528" s="326"/>
      <c r="F528" s="171"/>
      <c r="G528" s="173"/>
      <c r="H528" s="170"/>
      <c r="I528" s="171"/>
    </row>
    <row r="529" ht="14.25" customHeight="1">
      <c r="A529" s="171"/>
      <c r="B529" s="282"/>
      <c r="C529" s="305"/>
      <c r="D529" s="326"/>
      <c r="E529" s="326"/>
      <c r="F529" s="171"/>
      <c r="G529" s="173"/>
      <c r="H529" s="170"/>
      <c r="I529" s="171"/>
    </row>
    <row r="530" ht="14.25" customHeight="1">
      <c r="A530" s="171"/>
      <c r="B530" s="282"/>
      <c r="C530" s="305"/>
      <c r="D530" s="326"/>
      <c r="E530" s="326"/>
      <c r="F530" s="171"/>
      <c r="G530" s="173"/>
      <c r="H530" s="170"/>
      <c r="I530" s="171"/>
    </row>
    <row r="531" ht="14.25" customHeight="1">
      <c r="A531" s="171"/>
      <c r="B531" s="282"/>
      <c r="C531" s="305"/>
      <c r="D531" s="326"/>
      <c r="E531" s="326"/>
      <c r="F531" s="171"/>
      <c r="G531" s="173"/>
      <c r="H531" s="170"/>
      <c r="I531" s="171"/>
    </row>
    <row r="532" ht="14.25" customHeight="1">
      <c r="A532" s="171"/>
      <c r="B532" s="282"/>
      <c r="C532" s="305"/>
      <c r="D532" s="326"/>
      <c r="E532" s="326"/>
      <c r="F532" s="171"/>
      <c r="G532" s="173"/>
      <c r="H532" s="170"/>
      <c r="I532" s="171"/>
    </row>
    <row r="533" ht="14.25" customHeight="1">
      <c r="A533" s="171"/>
      <c r="B533" s="282"/>
      <c r="C533" s="305"/>
      <c r="D533" s="326"/>
      <c r="E533" s="326"/>
      <c r="F533" s="171"/>
      <c r="G533" s="173"/>
      <c r="H533" s="170"/>
      <c r="I533" s="171"/>
    </row>
    <row r="534" ht="14.25" customHeight="1">
      <c r="A534" s="171"/>
      <c r="B534" s="282"/>
      <c r="C534" s="305"/>
      <c r="D534" s="326"/>
      <c r="E534" s="326"/>
      <c r="F534" s="171"/>
      <c r="G534" s="173"/>
      <c r="H534" s="170"/>
      <c r="I534" s="171"/>
    </row>
    <row r="535" ht="14.25" customHeight="1">
      <c r="A535" s="171"/>
      <c r="B535" s="282"/>
      <c r="C535" s="305"/>
      <c r="D535" s="326"/>
      <c r="E535" s="326"/>
      <c r="F535" s="171"/>
      <c r="G535" s="173"/>
      <c r="H535" s="170"/>
      <c r="I535" s="171"/>
    </row>
    <row r="536" ht="14.25" customHeight="1">
      <c r="A536" s="171"/>
      <c r="B536" s="282"/>
      <c r="C536" s="305"/>
      <c r="D536" s="326"/>
      <c r="E536" s="326"/>
      <c r="F536" s="171"/>
      <c r="G536" s="173"/>
      <c r="H536" s="170"/>
      <c r="I536" s="171"/>
    </row>
    <row r="537" ht="14.25" customHeight="1">
      <c r="A537" s="171"/>
      <c r="B537" s="282"/>
      <c r="C537" s="305"/>
      <c r="D537" s="326"/>
      <c r="E537" s="326"/>
      <c r="F537" s="171"/>
      <c r="G537" s="173"/>
      <c r="H537" s="170"/>
      <c r="I537" s="171"/>
    </row>
    <row r="538" ht="14.25" customHeight="1">
      <c r="A538" s="171"/>
      <c r="B538" s="282"/>
      <c r="C538" s="305"/>
      <c r="D538" s="326"/>
      <c r="E538" s="326"/>
      <c r="F538" s="171"/>
      <c r="G538" s="173"/>
      <c r="H538" s="170"/>
      <c r="I538" s="171"/>
    </row>
    <row r="539" ht="14.25" customHeight="1">
      <c r="A539" s="171"/>
      <c r="B539" s="282"/>
      <c r="C539" s="305"/>
      <c r="D539" s="326"/>
      <c r="E539" s="326"/>
      <c r="F539" s="171"/>
      <c r="G539" s="173"/>
      <c r="H539" s="170"/>
      <c r="I539" s="171"/>
    </row>
    <row r="540" ht="14.25" customHeight="1">
      <c r="A540" s="171"/>
      <c r="B540" s="282"/>
      <c r="C540" s="305"/>
      <c r="D540" s="326"/>
      <c r="E540" s="326"/>
      <c r="F540" s="171"/>
      <c r="G540" s="173"/>
      <c r="H540" s="170"/>
      <c r="I540" s="171"/>
    </row>
    <row r="541" ht="14.25" customHeight="1">
      <c r="A541" s="171"/>
      <c r="B541" s="282"/>
      <c r="C541" s="305"/>
      <c r="D541" s="326"/>
      <c r="E541" s="326"/>
      <c r="F541" s="171"/>
      <c r="G541" s="173"/>
      <c r="H541" s="170"/>
      <c r="I541" s="171"/>
    </row>
    <row r="542" ht="14.25" customHeight="1">
      <c r="A542" s="171"/>
      <c r="B542" s="282"/>
      <c r="C542" s="305"/>
      <c r="D542" s="326"/>
      <c r="E542" s="326"/>
      <c r="F542" s="171"/>
      <c r="G542" s="173"/>
      <c r="H542" s="170"/>
      <c r="I542" s="171"/>
    </row>
    <row r="543" ht="14.25" customHeight="1">
      <c r="A543" s="171"/>
      <c r="B543" s="282"/>
      <c r="C543" s="305"/>
      <c r="D543" s="326"/>
      <c r="E543" s="326"/>
      <c r="F543" s="171"/>
      <c r="G543" s="173"/>
      <c r="H543" s="170"/>
      <c r="I543" s="171"/>
    </row>
    <row r="544" ht="14.25" customHeight="1">
      <c r="A544" s="171"/>
      <c r="B544" s="282"/>
      <c r="C544" s="305"/>
      <c r="D544" s="326"/>
      <c r="E544" s="326"/>
      <c r="F544" s="171"/>
      <c r="G544" s="173"/>
      <c r="H544" s="170"/>
      <c r="I544" s="171"/>
    </row>
    <row r="545" ht="14.25" customHeight="1">
      <c r="A545" s="171"/>
      <c r="B545" s="282"/>
      <c r="C545" s="305"/>
      <c r="D545" s="326"/>
      <c r="E545" s="326"/>
      <c r="F545" s="171"/>
      <c r="G545" s="173"/>
      <c r="H545" s="170"/>
      <c r="I545" s="171"/>
    </row>
    <row r="546" ht="14.25" customHeight="1">
      <c r="A546" s="171"/>
      <c r="B546" s="282"/>
      <c r="C546" s="305"/>
      <c r="D546" s="326"/>
      <c r="E546" s="326"/>
      <c r="F546" s="171"/>
      <c r="G546" s="173"/>
      <c r="H546" s="170"/>
      <c r="I546" s="171"/>
    </row>
    <row r="547" ht="14.25" customHeight="1">
      <c r="A547" s="171"/>
      <c r="B547" s="282"/>
      <c r="C547" s="305"/>
      <c r="D547" s="326"/>
      <c r="E547" s="326"/>
      <c r="F547" s="171"/>
      <c r="G547" s="173"/>
      <c r="H547" s="170"/>
      <c r="I547" s="171"/>
    </row>
    <row r="548" ht="14.25" customHeight="1">
      <c r="A548" s="171"/>
      <c r="B548" s="282"/>
      <c r="C548" s="305"/>
      <c r="D548" s="326"/>
      <c r="E548" s="326"/>
      <c r="F548" s="171"/>
      <c r="G548" s="173"/>
      <c r="H548" s="170"/>
      <c r="I548" s="171"/>
    </row>
    <row r="549" ht="14.25" customHeight="1">
      <c r="A549" s="171"/>
      <c r="B549" s="282"/>
      <c r="C549" s="305"/>
      <c r="D549" s="326"/>
      <c r="E549" s="326"/>
      <c r="F549" s="171"/>
      <c r="G549" s="173"/>
      <c r="H549" s="170"/>
      <c r="I549" s="171"/>
    </row>
    <row r="550" ht="14.25" customHeight="1">
      <c r="A550" s="171"/>
      <c r="B550" s="282"/>
      <c r="C550" s="305"/>
      <c r="D550" s="326"/>
      <c r="E550" s="326"/>
      <c r="F550" s="171"/>
      <c r="G550" s="173"/>
      <c r="H550" s="170"/>
      <c r="I550" s="171"/>
    </row>
    <row r="551" ht="14.25" customHeight="1">
      <c r="A551" s="171"/>
      <c r="B551" s="282"/>
      <c r="C551" s="305"/>
      <c r="D551" s="326"/>
      <c r="E551" s="326"/>
      <c r="F551" s="171"/>
      <c r="G551" s="173"/>
      <c r="H551" s="170"/>
      <c r="I551" s="171"/>
    </row>
    <row r="552" ht="14.25" customHeight="1">
      <c r="A552" s="171"/>
      <c r="B552" s="282"/>
      <c r="C552" s="305"/>
      <c r="D552" s="326"/>
      <c r="E552" s="326"/>
      <c r="F552" s="171"/>
      <c r="G552" s="173"/>
      <c r="H552" s="170"/>
      <c r="I552" s="171"/>
    </row>
    <row r="553" ht="14.25" customHeight="1">
      <c r="A553" s="171"/>
      <c r="B553" s="282"/>
      <c r="C553" s="305"/>
      <c r="D553" s="326"/>
      <c r="E553" s="326"/>
      <c r="F553" s="171"/>
      <c r="G553" s="173"/>
      <c r="H553" s="170"/>
      <c r="I553" s="171"/>
    </row>
    <row r="554" ht="14.25" customHeight="1">
      <c r="A554" s="171"/>
      <c r="B554" s="282"/>
      <c r="C554" s="305"/>
      <c r="D554" s="326"/>
      <c r="E554" s="326"/>
      <c r="F554" s="171"/>
      <c r="G554" s="173"/>
      <c r="H554" s="170"/>
      <c r="I554" s="171"/>
    </row>
    <row r="555" ht="14.25" customHeight="1">
      <c r="A555" s="171"/>
      <c r="B555" s="282"/>
      <c r="C555" s="305"/>
      <c r="D555" s="326"/>
      <c r="E555" s="326"/>
      <c r="F555" s="171"/>
      <c r="G555" s="173"/>
      <c r="H555" s="170"/>
      <c r="I555" s="171"/>
    </row>
    <row r="556" ht="14.25" customHeight="1">
      <c r="A556" s="171"/>
      <c r="B556" s="282"/>
      <c r="C556" s="305"/>
      <c r="D556" s="326"/>
      <c r="E556" s="326"/>
      <c r="F556" s="171"/>
      <c r="G556" s="173"/>
      <c r="H556" s="170"/>
      <c r="I556" s="171"/>
    </row>
    <row r="557" ht="14.25" customHeight="1">
      <c r="A557" s="171"/>
      <c r="B557" s="282"/>
      <c r="C557" s="305"/>
      <c r="D557" s="326"/>
      <c r="E557" s="326"/>
      <c r="F557" s="171"/>
      <c r="G557" s="173"/>
      <c r="H557" s="170"/>
      <c r="I557" s="171"/>
    </row>
    <row r="558" ht="14.25" customHeight="1">
      <c r="A558" s="171"/>
      <c r="B558" s="282"/>
      <c r="C558" s="305"/>
      <c r="D558" s="326"/>
      <c r="E558" s="326"/>
      <c r="F558" s="171"/>
      <c r="G558" s="173"/>
      <c r="H558" s="170"/>
      <c r="I558" s="171"/>
    </row>
    <row r="559" ht="14.25" customHeight="1">
      <c r="A559" s="171"/>
      <c r="B559" s="282"/>
      <c r="C559" s="305"/>
      <c r="D559" s="326"/>
      <c r="E559" s="326"/>
      <c r="F559" s="171"/>
      <c r="G559" s="173"/>
      <c r="H559" s="170"/>
      <c r="I559" s="171"/>
    </row>
    <row r="560" ht="14.25" customHeight="1">
      <c r="A560" s="171"/>
      <c r="B560" s="282"/>
      <c r="C560" s="305"/>
      <c r="D560" s="326"/>
      <c r="E560" s="326"/>
      <c r="F560" s="171"/>
      <c r="G560" s="173"/>
      <c r="H560" s="170"/>
      <c r="I560" s="171"/>
    </row>
    <row r="561" ht="14.25" customHeight="1">
      <c r="A561" s="171"/>
      <c r="B561" s="282"/>
      <c r="C561" s="305"/>
      <c r="D561" s="326"/>
      <c r="E561" s="326"/>
      <c r="F561" s="171"/>
      <c r="G561" s="173"/>
      <c r="H561" s="170"/>
      <c r="I561" s="171"/>
    </row>
    <row r="562" ht="14.25" customHeight="1">
      <c r="A562" s="171"/>
      <c r="B562" s="282"/>
      <c r="C562" s="305"/>
      <c r="D562" s="326"/>
      <c r="E562" s="326"/>
      <c r="F562" s="171"/>
      <c r="G562" s="173"/>
      <c r="H562" s="170"/>
      <c r="I562" s="171"/>
    </row>
    <row r="563" ht="14.25" customHeight="1">
      <c r="A563" s="171"/>
      <c r="B563" s="282"/>
      <c r="C563" s="305"/>
      <c r="D563" s="326"/>
      <c r="E563" s="326"/>
      <c r="F563" s="171"/>
      <c r="G563" s="173"/>
      <c r="H563" s="170"/>
      <c r="I563" s="171"/>
    </row>
    <row r="564" ht="14.25" customHeight="1">
      <c r="A564" s="171"/>
      <c r="B564" s="282"/>
      <c r="C564" s="305"/>
      <c r="D564" s="326"/>
      <c r="E564" s="326"/>
      <c r="F564" s="171"/>
      <c r="G564" s="173"/>
      <c r="H564" s="170"/>
      <c r="I564" s="171"/>
    </row>
    <row r="565" ht="14.25" customHeight="1">
      <c r="A565" s="171"/>
      <c r="B565" s="282"/>
      <c r="C565" s="305"/>
      <c r="D565" s="326"/>
      <c r="E565" s="326"/>
      <c r="F565" s="171"/>
      <c r="G565" s="173"/>
      <c r="H565" s="170"/>
      <c r="I565" s="171"/>
    </row>
    <row r="566" ht="14.25" customHeight="1">
      <c r="A566" s="171"/>
      <c r="B566" s="282"/>
      <c r="C566" s="305"/>
      <c r="D566" s="326"/>
      <c r="E566" s="326"/>
      <c r="F566" s="171"/>
      <c r="G566" s="173"/>
      <c r="H566" s="170"/>
      <c r="I566" s="171"/>
    </row>
    <row r="567" ht="14.25" customHeight="1">
      <c r="A567" s="171"/>
      <c r="B567" s="282"/>
      <c r="C567" s="305"/>
      <c r="D567" s="326"/>
      <c r="E567" s="326"/>
      <c r="F567" s="171"/>
      <c r="G567" s="173"/>
      <c r="H567" s="170"/>
      <c r="I567" s="171"/>
    </row>
    <row r="568" ht="14.25" customHeight="1">
      <c r="A568" s="171"/>
      <c r="B568" s="282"/>
      <c r="C568" s="305"/>
      <c r="D568" s="326"/>
      <c r="E568" s="326"/>
      <c r="F568" s="171"/>
      <c r="G568" s="173"/>
      <c r="H568" s="170"/>
      <c r="I568" s="171"/>
    </row>
    <row r="569" ht="14.25" customHeight="1">
      <c r="A569" s="171"/>
      <c r="B569" s="282"/>
      <c r="C569" s="305"/>
      <c r="D569" s="326"/>
      <c r="E569" s="326"/>
      <c r="F569" s="171"/>
      <c r="G569" s="173"/>
      <c r="H569" s="170"/>
      <c r="I569" s="171"/>
    </row>
    <row r="570" ht="14.25" customHeight="1">
      <c r="A570" s="171"/>
      <c r="B570" s="282"/>
      <c r="C570" s="305"/>
      <c r="D570" s="326"/>
      <c r="E570" s="326"/>
      <c r="F570" s="171"/>
      <c r="G570" s="173"/>
      <c r="H570" s="170"/>
      <c r="I570" s="171"/>
    </row>
    <row r="571" ht="14.25" customHeight="1">
      <c r="A571" s="171"/>
      <c r="B571" s="282"/>
      <c r="C571" s="305"/>
      <c r="D571" s="326"/>
      <c r="E571" s="326"/>
      <c r="F571" s="171"/>
      <c r="G571" s="173"/>
      <c r="H571" s="170"/>
      <c r="I571" s="171"/>
    </row>
    <row r="572" ht="14.25" customHeight="1">
      <c r="A572" s="171"/>
      <c r="B572" s="282"/>
      <c r="C572" s="305"/>
      <c r="D572" s="326"/>
      <c r="E572" s="326"/>
      <c r="F572" s="171"/>
      <c r="G572" s="173"/>
      <c r="H572" s="170"/>
      <c r="I572" s="171"/>
    </row>
    <row r="573" ht="14.25" customHeight="1">
      <c r="A573" s="171"/>
      <c r="B573" s="282"/>
      <c r="C573" s="305"/>
      <c r="D573" s="326"/>
      <c r="E573" s="326"/>
      <c r="F573" s="171"/>
      <c r="G573" s="173"/>
      <c r="H573" s="170"/>
      <c r="I573" s="171"/>
    </row>
    <row r="574" ht="14.25" customHeight="1">
      <c r="A574" s="171"/>
      <c r="B574" s="282"/>
      <c r="C574" s="305"/>
      <c r="D574" s="326"/>
      <c r="E574" s="326"/>
      <c r="F574" s="171"/>
      <c r="G574" s="173"/>
      <c r="H574" s="170"/>
      <c r="I574" s="171"/>
    </row>
    <row r="575" ht="14.25" customHeight="1">
      <c r="A575" s="171"/>
      <c r="B575" s="282"/>
      <c r="C575" s="305"/>
      <c r="D575" s="326"/>
      <c r="E575" s="326"/>
      <c r="F575" s="171"/>
      <c r="G575" s="173"/>
      <c r="H575" s="170"/>
      <c r="I575" s="171"/>
    </row>
    <row r="576" ht="14.25" customHeight="1">
      <c r="A576" s="171"/>
      <c r="B576" s="282"/>
      <c r="C576" s="305"/>
      <c r="D576" s="326"/>
      <c r="E576" s="326"/>
      <c r="F576" s="171"/>
      <c r="G576" s="173"/>
      <c r="H576" s="170"/>
      <c r="I576" s="171"/>
    </row>
    <row r="577" ht="14.25" customHeight="1">
      <c r="A577" s="171"/>
      <c r="B577" s="282"/>
      <c r="C577" s="305"/>
      <c r="D577" s="326"/>
      <c r="E577" s="326"/>
      <c r="F577" s="171"/>
      <c r="G577" s="173"/>
      <c r="H577" s="170"/>
      <c r="I577" s="171"/>
    </row>
    <row r="578" ht="14.25" customHeight="1">
      <c r="A578" s="171"/>
      <c r="B578" s="282"/>
      <c r="C578" s="305"/>
      <c r="D578" s="326"/>
      <c r="E578" s="326"/>
      <c r="F578" s="171"/>
      <c r="G578" s="173"/>
      <c r="H578" s="170"/>
      <c r="I578" s="171"/>
    </row>
    <row r="579" ht="14.25" customHeight="1">
      <c r="A579" s="171"/>
      <c r="B579" s="282"/>
      <c r="C579" s="305"/>
      <c r="D579" s="326"/>
      <c r="E579" s="326"/>
      <c r="F579" s="171"/>
      <c r="G579" s="173"/>
      <c r="H579" s="170"/>
      <c r="I579" s="171"/>
    </row>
    <row r="580" ht="14.25" customHeight="1">
      <c r="A580" s="171"/>
      <c r="B580" s="282"/>
      <c r="C580" s="305"/>
      <c r="D580" s="326"/>
      <c r="E580" s="326"/>
      <c r="F580" s="171"/>
      <c r="G580" s="173"/>
      <c r="H580" s="170"/>
      <c r="I580" s="171"/>
    </row>
    <row r="581" ht="14.25" customHeight="1">
      <c r="A581" s="171"/>
      <c r="B581" s="282"/>
      <c r="C581" s="305"/>
      <c r="D581" s="326"/>
      <c r="E581" s="326"/>
      <c r="F581" s="171"/>
      <c r="G581" s="173"/>
      <c r="H581" s="170"/>
      <c r="I581" s="171"/>
    </row>
    <row r="582" ht="14.25" customHeight="1">
      <c r="A582" s="171"/>
      <c r="B582" s="282"/>
      <c r="C582" s="305"/>
      <c r="D582" s="326"/>
      <c r="E582" s="326"/>
      <c r="F582" s="171"/>
      <c r="G582" s="173"/>
      <c r="H582" s="170"/>
      <c r="I582" s="171"/>
    </row>
    <row r="583" ht="14.25" customHeight="1">
      <c r="A583" s="171"/>
      <c r="B583" s="282"/>
      <c r="C583" s="305"/>
      <c r="D583" s="326"/>
      <c r="E583" s="326"/>
      <c r="F583" s="171"/>
      <c r="G583" s="173"/>
      <c r="H583" s="170"/>
      <c r="I583" s="171"/>
    </row>
    <row r="584" ht="14.25" customHeight="1">
      <c r="A584" s="171"/>
      <c r="B584" s="282"/>
      <c r="C584" s="305"/>
      <c r="D584" s="326"/>
      <c r="E584" s="326"/>
      <c r="F584" s="171"/>
      <c r="G584" s="173"/>
      <c r="H584" s="170"/>
      <c r="I584" s="171"/>
    </row>
    <row r="585" ht="14.25" customHeight="1">
      <c r="A585" s="171"/>
      <c r="B585" s="282"/>
      <c r="C585" s="305"/>
      <c r="D585" s="326"/>
      <c r="E585" s="326"/>
      <c r="F585" s="171"/>
      <c r="G585" s="173"/>
      <c r="H585" s="170"/>
      <c r="I585" s="171"/>
    </row>
    <row r="586" ht="14.25" customHeight="1">
      <c r="A586" s="171"/>
      <c r="B586" s="282"/>
      <c r="C586" s="305"/>
      <c r="D586" s="326"/>
      <c r="E586" s="326"/>
      <c r="F586" s="171"/>
      <c r="G586" s="173"/>
      <c r="H586" s="170"/>
      <c r="I586" s="171"/>
    </row>
    <row r="587" ht="14.25" customHeight="1">
      <c r="A587" s="171"/>
      <c r="B587" s="282"/>
      <c r="C587" s="305"/>
      <c r="D587" s="326"/>
      <c r="E587" s="326"/>
      <c r="F587" s="171"/>
      <c r="G587" s="173"/>
      <c r="H587" s="170"/>
      <c r="I587" s="171"/>
    </row>
    <row r="588" ht="14.25" customHeight="1">
      <c r="A588" s="171"/>
      <c r="B588" s="282"/>
      <c r="C588" s="305"/>
      <c r="D588" s="326"/>
      <c r="E588" s="326"/>
      <c r="F588" s="171"/>
      <c r="G588" s="173"/>
      <c r="H588" s="170"/>
      <c r="I588" s="171"/>
    </row>
    <row r="589" ht="14.25" customHeight="1">
      <c r="A589" s="171"/>
      <c r="B589" s="282"/>
      <c r="C589" s="305"/>
      <c r="D589" s="326"/>
      <c r="E589" s="326"/>
      <c r="F589" s="171"/>
      <c r="G589" s="173"/>
      <c r="H589" s="170"/>
      <c r="I589" s="171"/>
    </row>
    <row r="590" ht="14.25" customHeight="1">
      <c r="A590" s="171"/>
      <c r="B590" s="282"/>
      <c r="C590" s="305"/>
      <c r="D590" s="326"/>
      <c r="E590" s="326"/>
      <c r="F590" s="171"/>
      <c r="G590" s="173"/>
      <c r="H590" s="170"/>
      <c r="I590" s="171"/>
    </row>
    <row r="591" ht="14.25" customHeight="1">
      <c r="A591" s="171"/>
      <c r="B591" s="282"/>
      <c r="C591" s="305"/>
      <c r="D591" s="326"/>
      <c r="E591" s="326"/>
      <c r="F591" s="171"/>
      <c r="G591" s="173"/>
      <c r="H591" s="170"/>
      <c r="I591" s="171"/>
    </row>
    <row r="592" ht="14.25" customHeight="1">
      <c r="A592" s="171"/>
      <c r="B592" s="282"/>
      <c r="C592" s="305"/>
      <c r="D592" s="326"/>
      <c r="E592" s="326"/>
      <c r="F592" s="171"/>
      <c r="G592" s="173"/>
      <c r="H592" s="170"/>
      <c r="I592" s="171"/>
    </row>
    <row r="593" ht="14.25" customHeight="1">
      <c r="A593" s="171"/>
      <c r="B593" s="282"/>
      <c r="C593" s="305"/>
      <c r="D593" s="326"/>
      <c r="E593" s="326"/>
      <c r="F593" s="171"/>
      <c r="G593" s="173"/>
      <c r="H593" s="170"/>
      <c r="I593" s="171"/>
    </row>
    <row r="594" ht="14.25" customHeight="1">
      <c r="A594" s="171"/>
      <c r="B594" s="282"/>
      <c r="C594" s="305"/>
      <c r="D594" s="326"/>
      <c r="E594" s="326"/>
      <c r="F594" s="171"/>
      <c r="G594" s="173"/>
      <c r="H594" s="170"/>
      <c r="I594" s="171"/>
    </row>
    <row r="595" ht="14.25" customHeight="1">
      <c r="A595" s="171"/>
      <c r="B595" s="282"/>
      <c r="C595" s="305"/>
      <c r="D595" s="326"/>
      <c r="E595" s="326"/>
      <c r="F595" s="171"/>
      <c r="G595" s="173"/>
      <c r="H595" s="170"/>
      <c r="I595" s="171"/>
    </row>
    <row r="596" ht="14.25" customHeight="1">
      <c r="A596" s="171"/>
      <c r="B596" s="282"/>
      <c r="C596" s="305"/>
      <c r="D596" s="326"/>
      <c r="E596" s="326"/>
      <c r="F596" s="171"/>
      <c r="G596" s="173"/>
      <c r="H596" s="170"/>
      <c r="I596" s="171"/>
    </row>
    <row r="597" ht="14.25" customHeight="1">
      <c r="A597" s="171"/>
      <c r="B597" s="282"/>
      <c r="C597" s="305"/>
      <c r="D597" s="326"/>
      <c r="E597" s="326"/>
      <c r="F597" s="171"/>
      <c r="G597" s="173"/>
      <c r="H597" s="170"/>
      <c r="I597" s="171"/>
    </row>
    <row r="598" ht="14.25" customHeight="1">
      <c r="A598" s="171"/>
      <c r="B598" s="282"/>
      <c r="C598" s="305"/>
      <c r="D598" s="326"/>
      <c r="E598" s="326"/>
      <c r="F598" s="171"/>
      <c r="G598" s="173"/>
      <c r="H598" s="170"/>
      <c r="I598" s="171"/>
    </row>
    <row r="599" ht="14.25" customHeight="1">
      <c r="A599" s="171"/>
      <c r="B599" s="282"/>
      <c r="C599" s="305"/>
      <c r="D599" s="326"/>
      <c r="E599" s="326"/>
      <c r="F599" s="171"/>
      <c r="G599" s="173"/>
      <c r="H599" s="170"/>
      <c r="I599" s="171"/>
    </row>
    <row r="600" ht="14.25" customHeight="1">
      <c r="A600" s="171"/>
      <c r="B600" s="282"/>
      <c r="C600" s="305"/>
      <c r="D600" s="326"/>
      <c r="E600" s="326"/>
      <c r="F600" s="171"/>
      <c r="G600" s="173"/>
      <c r="H600" s="170"/>
      <c r="I600" s="171"/>
    </row>
    <row r="601" ht="14.25" customHeight="1">
      <c r="A601" s="171"/>
      <c r="B601" s="282"/>
      <c r="C601" s="305"/>
      <c r="D601" s="326"/>
      <c r="E601" s="326"/>
      <c r="F601" s="171"/>
      <c r="G601" s="173"/>
      <c r="H601" s="170"/>
      <c r="I601" s="171"/>
    </row>
    <row r="602" ht="14.25" customHeight="1">
      <c r="A602" s="171"/>
      <c r="B602" s="282"/>
      <c r="C602" s="305"/>
      <c r="D602" s="326"/>
      <c r="E602" s="326"/>
      <c r="F602" s="171"/>
      <c r="G602" s="173"/>
      <c r="H602" s="170"/>
      <c r="I602" s="171"/>
    </row>
    <row r="603" ht="14.25" customHeight="1">
      <c r="A603" s="171"/>
      <c r="B603" s="282"/>
      <c r="C603" s="305"/>
      <c r="D603" s="326"/>
      <c r="E603" s="326"/>
      <c r="F603" s="171"/>
      <c r="G603" s="173"/>
      <c r="H603" s="170"/>
      <c r="I603" s="171"/>
    </row>
    <row r="604" ht="14.25" customHeight="1">
      <c r="A604" s="171"/>
      <c r="B604" s="282"/>
      <c r="C604" s="305"/>
      <c r="D604" s="326"/>
      <c r="E604" s="326"/>
      <c r="F604" s="171"/>
      <c r="G604" s="173"/>
      <c r="H604" s="170"/>
      <c r="I604" s="171"/>
    </row>
    <row r="605" ht="14.25" customHeight="1">
      <c r="A605" s="171"/>
      <c r="B605" s="282"/>
      <c r="C605" s="305"/>
      <c r="D605" s="326"/>
      <c r="E605" s="326"/>
      <c r="F605" s="171"/>
      <c r="G605" s="173"/>
      <c r="H605" s="170"/>
      <c r="I605" s="171"/>
    </row>
    <row r="606" ht="14.25" customHeight="1">
      <c r="A606" s="171"/>
      <c r="B606" s="282"/>
      <c r="C606" s="305"/>
      <c r="D606" s="326"/>
      <c r="E606" s="326"/>
      <c r="F606" s="171"/>
      <c r="G606" s="173"/>
      <c r="H606" s="170"/>
      <c r="I606" s="171"/>
    </row>
    <row r="607" ht="14.25" customHeight="1">
      <c r="A607" s="171"/>
      <c r="B607" s="282"/>
      <c r="C607" s="305"/>
      <c r="D607" s="326"/>
      <c r="E607" s="326"/>
      <c r="F607" s="171"/>
      <c r="G607" s="173"/>
      <c r="H607" s="170"/>
      <c r="I607" s="171"/>
    </row>
    <row r="608" ht="14.25" customHeight="1">
      <c r="A608" s="171"/>
      <c r="B608" s="282"/>
      <c r="C608" s="305"/>
      <c r="D608" s="326"/>
      <c r="E608" s="326"/>
      <c r="F608" s="171"/>
      <c r="G608" s="173"/>
      <c r="H608" s="170"/>
      <c r="I608" s="171"/>
    </row>
    <row r="609" ht="14.25" customHeight="1">
      <c r="A609" s="171"/>
      <c r="B609" s="282"/>
      <c r="C609" s="305"/>
      <c r="D609" s="326"/>
      <c r="E609" s="326"/>
      <c r="F609" s="171"/>
      <c r="G609" s="173"/>
      <c r="H609" s="170"/>
      <c r="I609" s="171"/>
    </row>
    <row r="610" ht="14.25" customHeight="1">
      <c r="A610" s="171"/>
      <c r="B610" s="282"/>
      <c r="C610" s="305"/>
      <c r="D610" s="326"/>
      <c r="E610" s="326"/>
      <c r="F610" s="171"/>
      <c r="G610" s="173"/>
      <c r="H610" s="170"/>
      <c r="I610" s="171"/>
    </row>
    <row r="611" ht="14.25" customHeight="1">
      <c r="A611" s="171"/>
      <c r="B611" s="282"/>
      <c r="C611" s="305"/>
      <c r="D611" s="326"/>
      <c r="E611" s="326"/>
      <c r="F611" s="171"/>
      <c r="G611" s="173"/>
      <c r="H611" s="170"/>
      <c r="I611" s="171"/>
    </row>
    <row r="612" ht="14.25" customHeight="1">
      <c r="A612" s="171"/>
      <c r="B612" s="282"/>
      <c r="C612" s="305"/>
      <c r="D612" s="326"/>
      <c r="E612" s="326"/>
      <c r="F612" s="171"/>
      <c r="G612" s="173"/>
      <c r="H612" s="170"/>
      <c r="I612" s="171"/>
    </row>
    <row r="613" ht="14.25" customHeight="1">
      <c r="A613" s="171"/>
      <c r="B613" s="282"/>
      <c r="C613" s="305"/>
      <c r="D613" s="326"/>
      <c r="E613" s="326"/>
      <c r="F613" s="171"/>
      <c r="G613" s="173"/>
      <c r="H613" s="170"/>
      <c r="I613" s="171"/>
    </row>
    <row r="614" ht="14.25" customHeight="1">
      <c r="A614" s="171"/>
      <c r="B614" s="282"/>
      <c r="C614" s="305"/>
      <c r="D614" s="326"/>
      <c r="E614" s="326"/>
      <c r="F614" s="171"/>
      <c r="G614" s="173"/>
      <c r="H614" s="170"/>
      <c r="I614" s="171"/>
    </row>
    <row r="615" ht="14.25" customHeight="1">
      <c r="A615" s="171"/>
      <c r="B615" s="282"/>
      <c r="C615" s="305"/>
      <c r="D615" s="326"/>
      <c r="E615" s="326"/>
      <c r="F615" s="171"/>
      <c r="G615" s="173"/>
      <c r="H615" s="170"/>
      <c r="I615" s="171"/>
    </row>
    <row r="616" ht="14.25" customHeight="1">
      <c r="A616" s="171"/>
      <c r="B616" s="282"/>
      <c r="C616" s="305"/>
      <c r="D616" s="326"/>
      <c r="E616" s="326"/>
      <c r="F616" s="171"/>
      <c r="G616" s="173"/>
      <c r="H616" s="170"/>
      <c r="I616" s="171"/>
    </row>
    <row r="617" ht="14.25" customHeight="1">
      <c r="A617" s="171"/>
      <c r="B617" s="282"/>
      <c r="C617" s="305"/>
      <c r="D617" s="326"/>
      <c r="E617" s="326"/>
      <c r="F617" s="171"/>
      <c r="G617" s="173"/>
      <c r="H617" s="170"/>
      <c r="I617" s="171"/>
    </row>
    <row r="618" ht="14.25" customHeight="1">
      <c r="A618" s="171"/>
      <c r="B618" s="282"/>
      <c r="C618" s="305"/>
      <c r="D618" s="326"/>
      <c r="E618" s="326"/>
      <c r="F618" s="171"/>
      <c r="G618" s="173"/>
      <c r="H618" s="170"/>
      <c r="I618" s="171"/>
    </row>
    <row r="619" ht="14.25" customHeight="1">
      <c r="A619" s="171"/>
      <c r="B619" s="282"/>
      <c r="C619" s="305"/>
      <c r="D619" s="326"/>
      <c r="E619" s="326"/>
      <c r="F619" s="171"/>
      <c r="G619" s="173"/>
      <c r="H619" s="170"/>
      <c r="I619" s="171"/>
    </row>
    <row r="620" ht="14.25" customHeight="1">
      <c r="A620" s="171"/>
      <c r="B620" s="282"/>
      <c r="C620" s="305"/>
      <c r="D620" s="326"/>
      <c r="E620" s="326"/>
      <c r="F620" s="171"/>
      <c r="G620" s="173"/>
      <c r="H620" s="170"/>
      <c r="I620" s="171"/>
    </row>
    <row r="621" ht="14.25" customHeight="1">
      <c r="A621" s="171"/>
      <c r="B621" s="282"/>
      <c r="C621" s="305"/>
      <c r="D621" s="326"/>
      <c r="E621" s="326"/>
      <c r="F621" s="171"/>
      <c r="G621" s="173"/>
      <c r="H621" s="170"/>
      <c r="I621" s="171"/>
    </row>
    <row r="622" ht="14.25" customHeight="1">
      <c r="A622" s="171"/>
      <c r="B622" s="282"/>
      <c r="C622" s="305"/>
      <c r="D622" s="326"/>
      <c r="E622" s="326"/>
      <c r="F622" s="171"/>
      <c r="G622" s="173"/>
      <c r="H622" s="170"/>
      <c r="I622" s="171"/>
    </row>
    <row r="623" ht="14.25" customHeight="1">
      <c r="A623" s="171"/>
      <c r="B623" s="282"/>
      <c r="C623" s="305"/>
      <c r="D623" s="326"/>
      <c r="E623" s="326"/>
      <c r="F623" s="171"/>
      <c r="G623" s="173"/>
      <c r="H623" s="170"/>
      <c r="I623" s="171"/>
    </row>
    <row r="624" ht="14.25" customHeight="1">
      <c r="A624" s="171"/>
      <c r="B624" s="282"/>
      <c r="C624" s="305"/>
      <c r="D624" s="326"/>
      <c r="E624" s="326"/>
      <c r="F624" s="171"/>
      <c r="G624" s="173"/>
      <c r="H624" s="170"/>
      <c r="I624" s="171"/>
    </row>
    <row r="625" ht="14.25" customHeight="1">
      <c r="A625" s="171"/>
      <c r="B625" s="282"/>
      <c r="C625" s="305"/>
      <c r="D625" s="326"/>
      <c r="E625" s="326"/>
      <c r="F625" s="171"/>
      <c r="G625" s="173"/>
      <c r="H625" s="170"/>
      <c r="I625" s="171"/>
    </row>
    <row r="626" ht="14.25" customHeight="1">
      <c r="A626" s="171"/>
      <c r="B626" s="282"/>
      <c r="C626" s="305"/>
      <c r="D626" s="326"/>
      <c r="E626" s="326"/>
      <c r="F626" s="171"/>
      <c r="G626" s="173"/>
      <c r="H626" s="170"/>
      <c r="I626" s="171"/>
    </row>
    <row r="627" ht="14.25" customHeight="1">
      <c r="A627" s="171"/>
      <c r="B627" s="282"/>
      <c r="C627" s="305"/>
      <c r="D627" s="326"/>
      <c r="E627" s="326"/>
      <c r="F627" s="171"/>
      <c r="G627" s="173"/>
      <c r="H627" s="170"/>
      <c r="I627" s="171"/>
    </row>
    <row r="628" ht="14.25" customHeight="1">
      <c r="A628" s="171"/>
      <c r="B628" s="282"/>
      <c r="C628" s="305"/>
      <c r="D628" s="326"/>
      <c r="E628" s="326"/>
      <c r="F628" s="171"/>
      <c r="G628" s="173"/>
      <c r="H628" s="170"/>
      <c r="I628" s="171"/>
    </row>
    <row r="629" ht="14.25" customHeight="1">
      <c r="A629" s="171"/>
      <c r="B629" s="282"/>
      <c r="C629" s="305"/>
      <c r="D629" s="326"/>
      <c r="E629" s="326"/>
      <c r="F629" s="171"/>
      <c r="G629" s="173"/>
      <c r="H629" s="170"/>
      <c r="I629" s="171"/>
    </row>
    <row r="630" ht="14.25" customHeight="1">
      <c r="A630" s="171"/>
      <c r="B630" s="282"/>
      <c r="C630" s="305"/>
      <c r="D630" s="326"/>
      <c r="E630" s="326"/>
      <c r="F630" s="171"/>
      <c r="G630" s="173"/>
      <c r="H630" s="170"/>
      <c r="I630" s="171"/>
    </row>
    <row r="631" ht="14.25" customHeight="1">
      <c r="A631" s="171"/>
      <c r="B631" s="282"/>
      <c r="C631" s="305"/>
      <c r="D631" s="326"/>
      <c r="E631" s="326"/>
      <c r="F631" s="171"/>
      <c r="G631" s="173"/>
      <c r="H631" s="170"/>
      <c r="I631" s="171"/>
    </row>
    <row r="632" ht="14.25" customHeight="1">
      <c r="A632" s="171"/>
      <c r="B632" s="282"/>
      <c r="C632" s="305"/>
      <c r="D632" s="326"/>
      <c r="E632" s="326"/>
      <c r="F632" s="171"/>
      <c r="G632" s="173"/>
      <c r="H632" s="170"/>
      <c r="I632" s="171"/>
    </row>
    <row r="633" ht="14.25" customHeight="1">
      <c r="A633" s="171"/>
      <c r="B633" s="282"/>
      <c r="C633" s="305"/>
      <c r="D633" s="326"/>
      <c r="E633" s="326"/>
      <c r="F633" s="171"/>
      <c r="G633" s="173"/>
      <c r="H633" s="170"/>
      <c r="I633" s="171"/>
    </row>
    <row r="634" ht="14.25" customHeight="1">
      <c r="A634" s="171"/>
      <c r="B634" s="282"/>
      <c r="C634" s="305"/>
      <c r="D634" s="326"/>
      <c r="E634" s="326"/>
      <c r="F634" s="171"/>
      <c r="G634" s="173"/>
      <c r="H634" s="170"/>
      <c r="I634" s="171"/>
    </row>
    <row r="635" ht="14.25" customHeight="1">
      <c r="A635" s="171"/>
      <c r="B635" s="282"/>
      <c r="C635" s="305"/>
      <c r="D635" s="326"/>
      <c r="E635" s="326"/>
      <c r="F635" s="171"/>
      <c r="G635" s="173"/>
      <c r="H635" s="170"/>
      <c r="I635" s="171"/>
    </row>
    <row r="636" ht="14.25" customHeight="1">
      <c r="A636" s="171"/>
      <c r="B636" s="282"/>
      <c r="C636" s="305"/>
      <c r="D636" s="326"/>
      <c r="E636" s="326"/>
      <c r="F636" s="171"/>
      <c r="G636" s="173"/>
      <c r="H636" s="170"/>
      <c r="I636" s="171"/>
    </row>
    <row r="637" ht="14.25" customHeight="1">
      <c r="A637" s="171"/>
      <c r="B637" s="282"/>
      <c r="C637" s="305"/>
      <c r="D637" s="326"/>
      <c r="E637" s="326"/>
      <c r="F637" s="171"/>
      <c r="G637" s="173"/>
      <c r="H637" s="170"/>
      <c r="I637" s="171"/>
    </row>
    <row r="638" ht="14.25" customHeight="1">
      <c r="A638" s="171"/>
      <c r="B638" s="282"/>
      <c r="C638" s="305"/>
      <c r="D638" s="326"/>
      <c r="E638" s="326"/>
      <c r="F638" s="171"/>
      <c r="G638" s="173"/>
      <c r="H638" s="170"/>
      <c r="I638" s="171"/>
    </row>
    <row r="639" ht="14.25" customHeight="1">
      <c r="A639" s="171"/>
      <c r="B639" s="282"/>
      <c r="C639" s="305"/>
      <c r="D639" s="326"/>
      <c r="E639" s="326"/>
      <c r="F639" s="171"/>
      <c r="G639" s="173"/>
      <c r="H639" s="170"/>
      <c r="I639" s="171"/>
    </row>
    <row r="640" ht="14.25" customHeight="1">
      <c r="A640" s="171"/>
      <c r="B640" s="282"/>
      <c r="C640" s="305"/>
      <c r="D640" s="326"/>
      <c r="E640" s="326"/>
      <c r="F640" s="171"/>
      <c r="G640" s="173"/>
      <c r="H640" s="170"/>
      <c r="I640" s="171"/>
    </row>
    <row r="641" ht="14.25" customHeight="1">
      <c r="A641" s="171"/>
      <c r="B641" s="282"/>
      <c r="C641" s="305"/>
      <c r="D641" s="326"/>
      <c r="E641" s="326"/>
      <c r="F641" s="171"/>
      <c r="G641" s="173"/>
      <c r="H641" s="170"/>
      <c r="I641" s="171"/>
    </row>
    <row r="642" ht="14.25" customHeight="1">
      <c r="A642" s="171"/>
      <c r="B642" s="282"/>
      <c r="C642" s="305"/>
      <c r="D642" s="326"/>
      <c r="E642" s="326"/>
      <c r="F642" s="171"/>
      <c r="G642" s="173"/>
      <c r="H642" s="170"/>
      <c r="I642" s="171"/>
    </row>
    <row r="643" ht="14.25" customHeight="1">
      <c r="A643" s="171"/>
      <c r="B643" s="282"/>
      <c r="C643" s="305"/>
      <c r="D643" s="326"/>
      <c r="E643" s="326"/>
      <c r="F643" s="171"/>
      <c r="G643" s="173"/>
      <c r="H643" s="170"/>
      <c r="I643" s="171"/>
    </row>
    <row r="644" ht="14.25" customHeight="1">
      <c r="A644" s="171"/>
      <c r="B644" s="282"/>
      <c r="C644" s="305"/>
      <c r="D644" s="326"/>
      <c r="E644" s="326"/>
      <c r="F644" s="171"/>
      <c r="G644" s="173"/>
      <c r="H644" s="170"/>
      <c r="I644" s="171"/>
    </row>
    <row r="645" ht="14.25" customHeight="1">
      <c r="A645" s="171"/>
      <c r="B645" s="282"/>
      <c r="C645" s="305"/>
      <c r="D645" s="326"/>
      <c r="E645" s="326"/>
      <c r="F645" s="171"/>
      <c r="G645" s="173"/>
      <c r="H645" s="170"/>
      <c r="I645" s="171"/>
    </row>
    <row r="646" ht="14.25" customHeight="1">
      <c r="A646" s="171"/>
      <c r="B646" s="282"/>
      <c r="C646" s="305"/>
      <c r="D646" s="326"/>
      <c r="E646" s="326"/>
      <c r="F646" s="171"/>
      <c r="G646" s="173"/>
      <c r="H646" s="170"/>
      <c r="I646" s="171"/>
    </row>
    <row r="647" ht="14.25" customHeight="1">
      <c r="A647" s="171"/>
      <c r="B647" s="282"/>
      <c r="C647" s="305"/>
      <c r="D647" s="326"/>
      <c r="E647" s="326"/>
      <c r="F647" s="171"/>
      <c r="G647" s="173"/>
      <c r="H647" s="170"/>
      <c r="I647" s="171"/>
    </row>
    <row r="648" ht="14.25" customHeight="1">
      <c r="A648" s="171"/>
      <c r="B648" s="282"/>
      <c r="C648" s="305"/>
      <c r="D648" s="326"/>
      <c r="E648" s="326"/>
      <c r="F648" s="171"/>
      <c r="G648" s="173"/>
      <c r="H648" s="170"/>
      <c r="I648" s="171"/>
    </row>
    <row r="649" ht="14.25" customHeight="1">
      <c r="A649" s="171"/>
      <c r="B649" s="282"/>
      <c r="C649" s="305"/>
      <c r="D649" s="326"/>
      <c r="E649" s="326"/>
      <c r="F649" s="171"/>
      <c r="G649" s="173"/>
      <c r="H649" s="170"/>
      <c r="I649" s="171"/>
    </row>
    <row r="650" ht="14.25" customHeight="1">
      <c r="A650" s="171"/>
      <c r="B650" s="282"/>
      <c r="C650" s="305"/>
      <c r="D650" s="326"/>
      <c r="E650" s="326"/>
      <c r="F650" s="171"/>
      <c r="G650" s="173"/>
      <c r="H650" s="170"/>
      <c r="I650" s="171"/>
    </row>
    <row r="651" ht="14.25" customHeight="1">
      <c r="A651" s="171"/>
      <c r="B651" s="282"/>
      <c r="C651" s="305"/>
      <c r="D651" s="326"/>
      <c r="E651" s="326"/>
      <c r="F651" s="171"/>
      <c r="G651" s="173"/>
      <c r="H651" s="170"/>
      <c r="I651" s="171"/>
    </row>
    <row r="652" ht="14.25" customHeight="1">
      <c r="A652" s="171"/>
      <c r="B652" s="282"/>
      <c r="C652" s="305"/>
      <c r="D652" s="326"/>
      <c r="E652" s="326"/>
      <c r="F652" s="171"/>
      <c r="G652" s="173"/>
      <c r="H652" s="170"/>
      <c r="I652" s="171"/>
    </row>
    <row r="653" ht="14.25" customHeight="1">
      <c r="A653" s="171"/>
      <c r="B653" s="282"/>
      <c r="C653" s="305"/>
      <c r="D653" s="326"/>
      <c r="E653" s="326"/>
      <c r="F653" s="171"/>
      <c r="G653" s="173"/>
      <c r="H653" s="170"/>
      <c r="I653" s="171"/>
    </row>
    <row r="654" ht="14.25" customHeight="1">
      <c r="A654" s="171"/>
      <c r="B654" s="282"/>
      <c r="C654" s="305"/>
      <c r="D654" s="326"/>
      <c r="E654" s="326"/>
      <c r="F654" s="171"/>
      <c r="G654" s="173"/>
      <c r="H654" s="170"/>
      <c r="I654" s="171"/>
    </row>
    <row r="655" ht="14.25" customHeight="1">
      <c r="A655" s="171"/>
      <c r="B655" s="282"/>
      <c r="C655" s="305"/>
      <c r="D655" s="326"/>
      <c r="E655" s="326"/>
      <c r="F655" s="171"/>
      <c r="G655" s="173"/>
      <c r="H655" s="170"/>
      <c r="I655" s="171"/>
    </row>
    <row r="656" ht="14.25" customHeight="1">
      <c r="A656" s="171"/>
      <c r="B656" s="282"/>
      <c r="C656" s="305"/>
      <c r="D656" s="326"/>
      <c r="E656" s="326"/>
      <c r="F656" s="171"/>
      <c r="G656" s="173"/>
      <c r="H656" s="170"/>
      <c r="I656" s="171"/>
    </row>
    <row r="657" ht="14.25" customHeight="1">
      <c r="A657" s="171"/>
      <c r="B657" s="282"/>
      <c r="C657" s="305"/>
      <c r="D657" s="326"/>
      <c r="E657" s="326"/>
      <c r="F657" s="171"/>
      <c r="G657" s="173"/>
      <c r="H657" s="170"/>
      <c r="I657" s="171"/>
    </row>
    <row r="658" ht="14.25" customHeight="1">
      <c r="A658" s="171"/>
      <c r="B658" s="282"/>
      <c r="C658" s="305"/>
      <c r="D658" s="326"/>
      <c r="E658" s="326"/>
      <c r="F658" s="171"/>
      <c r="G658" s="173"/>
      <c r="H658" s="170"/>
      <c r="I658" s="171"/>
    </row>
    <row r="659" ht="14.25" customHeight="1">
      <c r="A659" s="171"/>
      <c r="B659" s="282"/>
      <c r="C659" s="305"/>
      <c r="D659" s="326"/>
      <c r="E659" s="326"/>
      <c r="F659" s="171"/>
      <c r="G659" s="173"/>
      <c r="H659" s="170"/>
      <c r="I659" s="171"/>
    </row>
    <row r="660" ht="14.25" customHeight="1">
      <c r="A660" s="171"/>
      <c r="B660" s="282"/>
      <c r="C660" s="305"/>
      <c r="D660" s="326"/>
      <c r="E660" s="326"/>
      <c r="F660" s="171"/>
      <c r="G660" s="173"/>
      <c r="H660" s="170"/>
      <c r="I660" s="171"/>
    </row>
    <row r="661" ht="14.25" customHeight="1">
      <c r="A661" s="171"/>
      <c r="B661" s="282"/>
      <c r="C661" s="305"/>
      <c r="D661" s="326"/>
      <c r="E661" s="326"/>
      <c r="F661" s="171"/>
      <c r="G661" s="173"/>
      <c r="H661" s="170"/>
      <c r="I661" s="171"/>
    </row>
    <row r="662" ht="14.25" customHeight="1">
      <c r="A662" s="171"/>
      <c r="B662" s="282"/>
      <c r="C662" s="305"/>
      <c r="D662" s="326"/>
      <c r="E662" s="326"/>
      <c r="F662" s="171"/>
      <c r="G662" s="173"/>
      <c r="H662" s="170"/>
      <c r="I662" s="171"/>
    </row>
    <row r="663" ht="14.25" customHeight="1">
      <c r="A663" s="171"/>
      <c r="B663" s="282"/>
      <c r="C663" s="305"/>
      <c r="D663" s="326"/>
      <c r="E663" s="326"/>
      <c r="F663" s="171"/>
      <c r="G663" s="173"/>
      <c r="H663" s="170"/>
      <c r="I663" s="171"/>
    </row>
    <row r="664" ht="14.25" customHeight="1">
      <c r="A664" s="171"/>
      <c r="B664" s="282"/>
      <c r="C664" s="305"/>
      <c r="D664" s="326"/>
      <c r="E664" s="326"/>
      <c r="F664" s="171"/>
      <c r="G664" s="173"/>
      <c r="H664" s="170"/>
      <c r="I664" s="171"/>
    </row>
    <row r="665" ht="14.25" customHeight="1">
      <c r="A665" s="171"/>
      <c r="B665" s="282"/>
      <c r="C665" s="305"/>
      <c r="D665" s="326"/>
      <c r="E665" s="326"/>
      <c r="F665" s="171"/>
      <c r="G665" s="173"/>
      <c r="H665" s="170"/>
      <c r="I665" s="171"/>
    </row>
    <row r="666" ht="14.25" customHeight="1">
      <c r="A666" s="171"/>
      <c r="B666" s="282"/>
      <c r="C666" s="305"/>
      <c r="D666" s="326"/>
      <c r="E666" s="326"/>
      <c r="F666" s="171"/>
      <c r="G666" s="173"/>
      <c r="H666" s="170"/>
      <c r="I666" s="171"/>
    </row>
    <row r="667" ht="14.25" customHeight="1">
      <c r="A667" s="171"/>
      <c r="B667" s="282"/>
      <c r="C667" s="305"/>
      <c r="D667" s="326"/>
      <c r="E667" s="326"/>
      <c r="F667" s="171"/>
      <c r="G667" s="173"/>
      <c r="H667" s="170"/>
      <c r="I667" s="171"/>
    </row>
    <row r="668" ht="14.25" customHeight="1">
      <c r="A668" s="171"/>
      <c r="B668" s="282"/>
      <c r="C668" s="305"/>
      <c r="D668" s="326"/>
      <c r="E668" s="326"/>
      <c r="F668" s="171"/>
      <c r="G668" s="173"/>
      <c r="H668" s="170"/>
      <c r="I668" s="171"/>
    </row>
    <row r="669" ht="14.25" customHeight="1">
      <c r="A669" s="171"/>
      <c r="B669" s="282"/>
      <c r="C669" s="305"/>
      <c r="D669" s="326"/>
      <c r="E669" s="326"/>
      <c r="F669" s="171"/>
      <c r="G669" s="173"/>
      <c r="H669" s="170"/>
      <c r="I669" s="171"/>
    </row>
    <row r="670" ht="14.25" customHeight="1">
      <c r="A670" s="171"/>
      <c r="B670" s="282"/>
      <c r="C670" s="305"/>
      <c r="D670" s="326"/>
      <c r="E670" s="326"/>
      <c r="F670" s="171"/>
      <c r="G670" s="173"/>
      <c r="H670" s="170"/>
      <c r="I670" s="171"/>
    </row>
    <row r="671" ht="14.25" customHeight="1">
      <c r="A671" s="171"/>
      <c r="B671" s="282"/>
      <c r="C671" s="305"/>
      <c r="D671" s="326"/>
      <c r="E671" s="326"/>
      <c r="F671" s="171"/>
      <c r="G671" s="173"/>
      <c r="H671" s="170"/>
      <c r="I671" s="171"/>
    </row>
    <row r="672" ht="14.25" customHeight="1">
      <c r="A672" s="171"/>
      <c r="B672" s="282"/>
      <c r="C672" s="305"/>
      <c r="D672" s="326"/>
      <c r="E672" s="326"/>
      <c r="F672" s="171"/>
      <c r="G672" s="173"/>
      <c r="H672" s="170"/>
      <c r="I672" s="171"/>
    </row>
    <row r="673" ht="14.25" customHeight="1">
      <c r="A673" s="171"/>
      <c r="B673" s="282"/>
      <c r="C673" s="305"/>
      <c r="D673" s="326"/>
      <c r="E673" s="326"/>
      <c r="F673" s="171"/>
      <c r="G673" s="173"/>
      <c r="H673" s="170"/>
      <c r="I673" s="171"/>
    </row>
    <row r="674" ht="14.25" customHeight="1">
      <c r="A674" s="171"/>
      <c r="B674" s="282"/>
      <c r="C674" s="305"/>
      <c r="D674" s="326"/>
      <c r="E674" s="326"/>
      <c r="F674" s="171"/>
      <c r="G674" s="173"/>
      <c r="H674" s="170"/>
      <c r="I674" s="171"/>
    </row>
    <row r="675" ht="14.25" customHeight="1">
      <c r="A675" s="171"/>
      <c r="B675" s="282"/>
      <c r="C675" s="305"/>
      <c r="D675" s="326"/>
      <c r="E675" s="326"/>
      <c r="F675" s="171"/>
      <c r="G675" s="173"/>
      <c r="H675" s="170"/>
      <c r="I675" s="171"/>
    </row>
    <row r="676" ht="14.25" customHeight="1">
      <c r="A676" s="171"/>
      <c r="B676" s="282"/>
      <c r="C676" s="305"/>
      <c r="D676" s="326"/>
      <c r="E676" s="326"/>
      <c r="F676" s="171"/>
      <c r="G676" s="173"/>
      <c r="H676" s="170"/>
      <c r="I676" s="171"/>
    </row>
    <row r="677" ht="14.25" customHeight="1">
      <c r="A677" s="171"/>
      <c r="B677" s="282"/>
      <c r="C677" s="305"/>
      <c r="D677" s="326"/>
      <c r="E677" s="326"/>
      <c r="F677" s="171"/>
      <c r="G677" s="173"/>
      <c r="H677" s="170"/>
      <c r="I677" s="171"/>
    </row>
    <row r="678" ht="14.25" customHeight="1">
      <c r="A678" s="171"/>
      <c r="B678" s="282"/>
      <c r="C678" s="305"/>
      <c r="D678" s="326"/>
      <c r="E678" s="326"/>
      <c r="F678" s="171"/>
      <c r="G678" s="173"/>
      <c r="H678" s="170"/>
      <c r="I678" s="171"/>
    </row>
    <row r="679" ht="14.25" customHeight="1">
      <c r="A679" s="171"/>
      <c r="B679" s="282"/>
      <c r="C679" s="305"/>
      <c r="D679" s="326"/>
      <c r="E679" s="326"/>
      <c r="F679" s="171"/>
      <c r="G679" s="173"/>
      <c r="H679" s="170"/>
      <c r="I679" s="171"/>
    </row>
    <row r="680" ht="14.25" customHeight="1">
      <c r="A680" s="171"/>
      <c r="B680" s="282"/>
      <c r="C680" s="305"/>
      <c r="D680" s="326"/>
      <c r="E680" s="326"/>
      <c r="F680" s="171"/>
      <c r="G680" s="173"/>
      <c r="H680" s="170"/>
      <c r="I680" s="171"/>
    </row>
    <row r="681" ht="14.25" customHeight="1">
      <c r="A681" s="171"/>
      <c r="B681" s="282"/>
      <c r="C681" s="305"/>
      <c r="D681" s="326"/>
      <c r="E681" s="326"/>
      <c r="F681" s="171"/>
      <c r="G681" s="173"/>
      <c r="H681" s="170"/>
      <c r="I681" s="171"/>
    </row>
    <row r="682" ht="14.25" customHeight="1">
      <c r="A682" s="171"/>
      <c r="B682" s="282"/>
      <c r="C682" s="305"/>
      <c r="D682" s="326"/>
      <c r="E682" s="326"/>
      <c r="F682" s="171"/>
      <c r="G682" s="173"/>
      <c r="H682" s="170"/>
      <c r="I682" s="171"/>
    </row>
    <row r="683" ht="14.25" customHeight="1">
      <c r="A683" s="171"/>
      <c r="B683" s="282"/>
      <c r="C683" s="305"/>
      <c r="D683" s="326"/>
      <c r="E683" s="326"/>
      <c r="F683" s="171"/>
      <c r="G683" s="173"/>
      <c r="H683" s="170"/>
      <c r="I683" s="171"/>
    </row>
    <row r="684" ht="14.25" customHeight="1">
      <c r="A684" s="171"/>
      <c r="B684" s="282"/>
      <c r="C684" s="305"/>
      <c r="D684" s="326"/>
      <c r="E684" s="326"/>
      <c r="F684" s="171"/>
      <c r="G684" s="173"/>
      <c r="H684" s="170"/>
      <c r="I684" s="171"/>
    </row>
    <row r="685" ht="14.25" customHeight="1">
      <c r="A685" s="171"/>
      <c r="B685" s="282"/>
      <c r="C685" s="305"/>
      <c r="D685" s="326"/>
      <c r="E685" s="326"/>
      <c r="F685" s="171"/>
      <c r="G685" s="173"/>
      <c r="H685" s="170"/>
      <c r="I685" s="171"/>
    </row>
    <row r="686" ht="14.25" customHeight="1">
      <c r="A686" s="171"/>
      <c r="B686" s="282"/>
      <c r="C686" s="305"/>
      <c r="D686" s="326"/>
      <c r="E686" s="326"/>
      <c r="F686" s="171"/>
      <c r="G686" s="173"/>
      <c r="H686" s="170"/>
      <c r="I686" s="171"/>
    </row>
    <row r="687" ht="14.25" customHeight="1">
      <c r="A687" s="171"/>
      <c r="B687" s="282"/>
      <c r="C687" s="305"/>
      <c r="D687" s="326"/>
      <c r="E687" s="326"/>
      <c r="F687" s="171"/>
      <c r="G687" s="173"/>
      <c r="H687" s="170"/>
      <c r="I687" s="171"/>
    </row>
    <row r="688" ht="14.25" customHeight="1">
      <c r="A688" s="171"/>
      <c r="B688" s="282"/>
      <c r="C688" s="305"/>
      <c r="D688" s="326"/>
      <c r="E688" s="326"/>
      <c r="F688" s="171"/>
      <c r="G688" s="173"/>
      <c r="H688" s="170"/>
      <c r="I688" s="171"/>
    </row>
    <row r="689" ht="14.25" customHeight="1">
      <c r="A689" s="171"/>
      <c r="B689" s="282"/>
      <c r="C689" s="305"/>
      <c r="D689" s="326"/>
      <c r="E689" s="326"/>
      <c r="F689" s="171"/>
      <c r="G689" s="173"/>
      <c r="H689" s="170"/>
      <c r="I689" s="171"/>
    </row>
    <row r="690" ht="14.25" customHeight="1">
      <c r="A690" s="171"/>
      <c r="B690" s="282"/>
      <c r="C690" s="305"/>
      <c r="D690" s="326"/>
      <c r="E690" s="326"/>
      <c r="F690" s="171"/>
      <c r="G690" s="173"/>
      <c r="H690" s="170"/>
      <c r="I690" s="171"/>
    </row>
    <row r="691" ht="14.25" customHeight="1">
      <c r="A691" s="171"/>
      <c r="B691" s="282"/>
      <c r="C691" s="305"/>
      <c r="D691" s="326"/>
      <c r="E691" s="326"/>
      <c r="F691" s="171"/>
      <c r="G691" s="173"/>
      <c r="H691" s="170"/>
      <c r="I691" s="171"/>
    </row>
    <row r="692" ht="14.25" customHeight="1">
      <c r="A692" s="171"/>
      <c r="B692" s="282"/>
      <c r="C692" s="305"/>
      <c r="D692" s="326"/>
      <c r="E692" s="326"/>
      <c r="F692" s="171"/>
      <c r="G692" s="173"/>
      <c r="H692" s="170"/>
      <c r="I692" s="171"/>
    </row>
    <row r="693" ht="14.25" customHeight="1">
      <c r="A693" s="171"/>
      <c r="B693" s="282"/>
      <c r="C693" s="305"/>
      <c r="D693" s="326"/>
      <c r="E693" s="326"/>
      <c r="F693" s="171"/>
      <c r="G693" s="173"/>
      <c r="H693" s="170"/>
      <c r="I693" s="171"/>
    </row>
    <row r="694" ht="14.25" customHeight="1">
      <c r="A694" s="171"/>
      <c r="B694" s="282"/>
      <c r="C694" s="305"/>
      <c r="D694" s="326"/>
      <c r="E694" s="326"/>
      <c r="F694" s="171"/>
      <c r="G694" s="173"/>
      <c r="H694" s="170"/>
      <c r="I694" s="171"/>
    </row>
    <row r="695" ht="14.25" customHeight="1">
      <c r="A695" s="171"/>
      <c r="B695" s="282"/>
      <c r="C695" s="305"/>
      <c r="D695" s="326"/>
      <c r="E695" s="326"/>
      <c r="F695" s="171"/>
      <c r="G695" s="173"/>
      <c r="H695" s="170"/>
      <c r="I695" s="171"/>
    </row>
    <row r="696" ht="14.25" customHeight="1">
      <c r="A696" s="171"/>
      <c r="B696" s="282"/>
      <c r="C696" s="305"/>
      <c r="D696" s="326"/>
      <c r="E696" s="326"/>
      <c r="F696" s="171"/>
      <c r="G696" s="173"/>
      <c r="H696" s="170"/>
      <c r="I696" s="171"/>
    </row>
    <row r="697" ht="14.25" customHeight="1">
      <c r="A697" s="171"/>
      <c r="B697" s="282"/>
      <c r="C697" s="305"/>
      <c r="D697" s="326"/>
      <c r="E697" s="326"/>
      <c r="F697" s="171"/>
      <c r="G697" s="173"/>
      <c r="H697" s="170"/>
      <c r="I697" s="171"/>
    </row>
    <row r="698" ht="14.25" customHeight="1">
      <c r="A698" s="171"/>
      <c r="B698" s="282"/>
      <c r="C698" s="305"/>
      <c r="D698" s="326"/>
      <c r="E698" s="326"/>
      <c r="F698" s="171"/>
      <c r="G698" s="173"/>
      <c r="H698" s="170"/>
      <c r="I698" s="171"/>
    </row>
    <row r="699" ht="14.25" customHeight="1">
      <c r="A699" s="171"/>
      <c r="B699" s="282"/>
      <c r="C699" s="305"/>
      <c r="D699" s="326"/>
      <c r="E699" s="326"/>
      <c r="F699" s="171"/>
      <c r="G699" s="173"/>
      <c r="H699" s="170"/>
      <c r="I699" s="171"/>
    </row>
    <row r="700" ht="14.25" customHeight="1">
      <c r="A700" s="171"/>
      <c r="B700" s="282"/>
      <c r="C700" s="305"/>
      <c r="D700" s="326"/>
      <c r="E700" s="326"/>
      <c r="F700" s="171"/>
      <c r="G700" s="173"/>
      <c r="H700" s="170"/>
      <c r="I700" s="171"/>
    </row>
    <row r="701" ht="14.25" customHeight="1">
      <c r="A701" s="171"/>
      <c r="B701" s="282"/>
      <c r="C701" s="305"/>
      <c r="D701" s="326"/>
      <c r="E701" s="326"/>
      <c r="F701" s="171"/>
      <c r="G701" s="173"/>
      <c r="H701" s="170"/>
      <c r="I701" s="171"/>
    </row>
    <row r="702" ht="14.25" customHeight="1">
      <c r="A702" s="171"/>
      <c r="B702" s="282"/>
      <c r="C702" s="305"/>
      <c r="D702" s="326"/>
      <c r="E702" s="326"/>
      <c r="F702" s="171"/>
      <c r="G702" s="173"/>
      <c r="H702" s="170"/>
      <c r="I702" s="171"/>
    </row>
    <row r="703" ht="14.25" customHeight="1">
      <c r="A703" s="171"/>
      <c r="B703" s="282"/>
      <c r="C703" s="305"/>
      <c r="D703" s="326"/>
      <c r="E703" s="326"/>
      <c r="F703" s="171"/>
      <c r="G703" s="173"/>
      <c r="H703" s="170"/>
      <c r="I703" s="171"/>
    </row>
    <row r="704" ht="14.25" customHeight="1">
      <c r="A704" s="171"/>
      <c r="B704" s="282"/>
      <c r="C704" s="305"/>
      <c r="D704" s="326"/>
      <c r="E704" s="326"/>
      <c r="F704" s="171"/>
      <c r="G704" s="173"/>
      <c r="H704" s="170"/>
      <c r="I704" s="171"/>
    </row>
    <row r="705" ht="14.25" customHeight="1">
      <c r="A705" s="171"/>
      <c r="B705" s="282"/>
      <c r="C705" s="305"/>
      <c r="D705" s="326"/>
      <c r="E705" s="326"/>
      <c r="F705" s="171"/>
      <c r="G705" s="173"/>
      <c r="H705" s="170"/>
      <c r="I705" s="171"/>
    </row>
    <row r="706" ht="14.25" customHeight="1">
      <c r="A706" s="171"/>
      <c r="B706" s="282"/>
      <c r="C706" s="305"/>
      <c r="D706" s="326"/>
      <c r="E706" s="326"/>
      <c r="F706" s="171"/>
      <c r="G706" s="173"/>
      <c r="H706" s="170"/>
      <c r="I706" s="171"/>
    </row>
    <row r="707" ht="14.25" customHeight="1">
      <c r="A707" s="171"/>
      <c r="B707" s="282"/>
      <c r="C707" s="305"/>
      <c r="D707" s="326"/>
      <c r="E707" s="326"/>
      <c r="F707" s="171"/>
      <c r="G707" s="173"/>
      <c r="H707" s="170"/>
      <c r="I707" s="171"/>
    </row>
    <row r="708" ht="14.25" customHeight="1">
      <c r="A708" s="171"/>
      <c r="B708" s="282"/>
      <c r="C708" s="305"/>
      <c r="D708" s="326"/>
      <c r="E708" s="326"/>
      <c r="F708" s="171"/>
      <c r="G708" s="173"/>
      <c r="H708" s="170"/>
      <c r="I708" s="171"/>
    </row>
    <row r="709" ht="14.25" customHeight="1">
      <c r="A709" s="171"/>
      <c r="B709" s="282"/>
      <c r="C709" s="305"/>
      <c r="D709" s="326"/>
      <c r="E709" s="326"/>
      <c r="F709" s="171"/>
      <c r="G709" s="173"/>
      <c r="H709" s="170"/>
      <c r="I709" s="171"/>
    </row>
    <row r="710" ht="14.25" customHeight="1">
      <c r="A710" s="171"/>
      <c r="B710" s="282"/>
      <c r="C710" s="305"/>
      <c r="D710" s="326"/>
      <c r="E710" s="326"/>
      <c r="F710" s="171"/>
      <c r="G710" s="173"/>
      <c r="H710" s="170"/>
      <c r="I710" s="171"/>
    </row>
    <row r="711" ht="14.25" customHeight="1">
      <c r="A711" s="171"/>
      <c r="B711" s="282"/>
      <c r="C711" s="305"/>
      <c r="D711" s="326"/>
      <c r="E711" s="326"/>
      <c r="F711" s="171"/>
      <c r="G711" s="173"/>
      <c r="H711" s="170"/>
      <c r="I711" s="171"/>
    </row>
    <row r="712" ht="14.25" customHeight="1">
      <c r="A712" s="171"/>
      <c r="B712" s="282"/>
      <c r="C712" s="305"/>
      <c r="D712" s="326"/>
      <c r="E712" s="326"/>
      <c r="F712" s="171"/>
      <c r="G712" s="173"/>
      <c r="H712" s="170"/>
      <c r="I712" s="171"/>
    </row>
    <row r="713" ht="14.25" customHeight="1">
      <c r="A713" s="171"/>
      <c r="B713" s="282"/>
      <c r="C713" s="305"/>
      <c r="D713" s="326"/>
      <c r="E713" s="326"/>
      <c r="F713" s="171"/>
      <c r="G713" s="173"/>
      <c r="H713" s="170"/>
      <c r="I713" s="171"/>
    </row>
    <row r="714" ht="14.25" customHeight="1">
      <c r="A714" s="171"/>
      <c r="B714" s="282"/>
      <c r="C714" s="305"/>
      <c r="D714" s="326"/>
      <c r="E714" s="326"/>
      <c r="F714" s="171"/>
      <c r="G714" s="173"/>
      <c r="H714" s="170"/>
      <c r="I714" s="171"/>
    </row>
    <row r="715" ht="14.25" customHeight="1">
      <c r="A715" s="171"/>
      <c r="B715" s="282"/>
      <c r="C715" s="305"/>
      <c r="D715" s="326"/>
      <c r="E715" s="326"/>
      <c r="F715" s="171"/>
      <c r="G715" s="173"/>
      <c r="H715" s="170"/>
      <c r="I715" s="171"/>
    </row>
    <row r="716" ht="14.25" customHeight="1">
      <c r="A716" s="171"/>
      <c r="B716" s="282"/>
      <c r="C716" s="305"/>
      <c r="D716" s="326"/>
      <c r="E716" s="326"/>
      <c r="F716" s="171"/>
      <c r="G716" s="173"/>
      <c r="H716" s="170"/>
      <c r="I716" s="171"/>
    </row>
    <row r="717" ht="14.25" customHeight="1">
      <c r="A717" s="171"/>
      <c r="B717" s="282"/>
      <c r="C717" s="305"/>
      <c r="D717" s="326"/>
      <c r="E717" s="326"/>
      <c r="F717" s="171"/>
      <c r="G717" s="173"/>
      <c r="H717" s="170"/>
      <c r="I717" s="171"/>
    </row>
    <row r="718" ht="14.25" customHeight="1">
      <c r="A718" s="171"/>
      <c r="B718" s="282"/>
      <c r="C718" s="305"/>
      <c r="D718" s="326"/>
      <c r="E718" s="326"/>
      <c r="F718" s="171"/>
      <c r="G718" s="173"/>
      <c r="H718" s="170"/>
      <c r="I718" s="171"/>
    </row>
    <row r="719" ht="14.25" customHeight="1">
      <c r="A719" s="171"/>
      <c r="B719" s="282"/>
      <c r="C719" s="305"/>
      <c r="D719" s="326"/>
      <c r="E719" s="326"/>
      <c r="F719" s="171"/>
      <c r="G719" s="173"/>
      <c r="H719" s="170"/>
      <c r="I719" s="171"/>
    </row>
    <row r="720" ht="14.25" customHeight="1">
      <c r="A720" s="171"/>
      <c r="B720" s="282"/>
      <c r="C720" s="305"/>
      <c r="D720" s="326"/>
      <c r="E720" s="326"/>
      <c r="F720" s="171"/>
      <c r="G720" s="173"/>
      <c r="H720" s="170"/>
      <c r="I720" s="171"/>
    </row>
    <row r="721" ht="14.25" customHeight="1">
      <c r="A721" s="171"/>
      <c r="B721" s="282"/>
      <c r="C721" s="305"/>
      <c r="D721" s="326"/>
      <c r="E721" s="326"/>
      <c r="F721" s="171"/>
      <c r="G721" s="173"/>
      <c r="H721" s="170"/>
      <c r="I721" s="171"/>
    </row>
    <row r="722" ht="14.25" customHeight="1">
      <c r="A722" s="171"/>
      <c r="B722" s="282"/>
      <c r="C722" s="305"/>
      <c r="D722" s="326"/>
      <c r="E722" s="326"/>
      <c r="F722" s="171"/>
      <c r="G722" s="173"/>
      <c r="H722" s="170"/>
      <c r="I722" s="171"/>
    </row>
    <row r="723" ht="14.25" customHeight="1">
      <c r="A723" s="171"/>
      <c r="B723" s="282"/>
      <c r="C723" s="305"/>
      <c r="D723" s="326"/>
      <c r="E723" s="326"/>
      <c r="F723" s="171"/>
      <c r="G723" s="173"/>
      <c r="H723" s="170"/>
      <c r="I723" s="171"/>
    </row>
    <row r="724" ht="14.25" customHeight="1">
      <c r="A724" s="171"/>
      <c r="B724" s="282"/>
      <c r="C724" s="305"/>
      <c r="D724" s="326"/>
      <c r="E724" s="326"/>
      <c r="F724" s="171"/>
      <c r="G724" s="173"/>
      <c r="H724" s="170"/>
      <c r="I724" s="171"/>
    </row>
    <row r="725" ht="14.25" customHeight="1">
      <c r="A725" s="171"/>
      <c r="B725" s="282"/>
      <c r="C725" s="305"/>
      <c r="D725" s="326"/>
      <c r="E725" s="326"/>
      <c r="F725" s="171"/>
      <c r="G725" s="173"/>
      <c r="H725" s="170"/>
      <c r="I725" s="171"/>
    </row>
    <row r="726" ht="14.25" customHeight="1">
      <c r="A726" s="171"/>
      <c r="B726" s="282"/>
      <c r="C726" s="305"/>
      <c r="D726" s="326"/>
      <c r="E726" s="326"/>
      <c r="F726" s="171"/>
      <c r="G726" s="173"/>
      <c r="H726" s="170"/>
      <c r="I726" s="171"/>
    </row>
    <row r="727" ht="14.25" customHeight="1">
      <c r="A727" s="171"/>
      <c r="B727" s="282"/>
      <c r="C727" s="305"/>
      <c r="D727" s="326"/>
      <c r="E727" s="326"/>
      <c r="F727" s="171"/>
      <c r="G727" s="173"/>
      <c r="H727" s="170"/>
      <c r="I727" s="171"/>
    </row>
    <row r="728" ht="14.25" customHeight="1">
      <c r="A728" s="171"/>
      <c r="B728" s="282"/>
      <c r="C728" s="305"/>
      <c r="D728" s="326"/>
      <c r="E728" s="326"/>
      <c r="F728" s="171"/>
      <c r="G728" s="173"/>
      <c r="H728" s="170"/>
      <c r="I728" s="171"/>
    </row>
    <row r="729" ht="14.25" customHeight="1">
      <c r="A729" s="171"/>
      <c r="B729" s="282"/>
      <c r="C729" s="305"/>
      <c r="D729" s="326"/>
      <c r="E729" s="326"/>
      <c r="F729" s="171"/>
      <c r="G729" s="173"/>
      <c r="H729" s="170"/>
      <c r="I729" s="171"/>
    </row>
    <row r="730" ht="14.25" customHeight="1">
      <c r="A730" s="171"/>
      <c r="B730" s="282"/>
      <c r="C730" s="305"/>
      <c r="D730" s="326"/>
      <c r="E730" s="326"/>
      <c r="F730" s="171"/>
      <c r="G730" s="173"/>
      <c r="H730" s="170"/>
      <c r="I730" s="171"/>
    </row>
    <row r="731" ht="14.25" customHeight="1">
      <c r="A731" s="171"/>
      <c r="B731" s="282"/>
      <c r="C731" s="305"/>
      <c r="D731" s="326"/>
      <c r="E731" s="326"/>
      <c r="F731" s="171"/>
      <c r="G731" s="173"/>
      <c r="H731" s="170"/>
      <c r="I731" s="171"/>
    </row>
    <row r="732" ht="14.25" customHeight="1">
      <c r="A732" s="171"/>
      <c r="B732" s="282"/>
      <c r="C732" s="305"/>
      <c r="D732" s="326"/>
      <c r="E732" s="326"/>
      <c r="F732" s="171"/>
      <c r="G732" s="173"/>
      <c r="H732" s="170"/>
      <c r="I732" s="171"/>
    </row>
    <row r="733" ht="14.25" customHeight="1">
      <c r="A733" s="171"/>
      <c r="B733" s="282"/>
      <c r="C733" s="305"/>
      <c r="D733" s="326"/>
      <c r="E733" s="326"/>
      <c r="F733" s="171"/>
      <c r="G733" s="173"/>
      <c r="H733" s="170"/>
      <c r="I733" s="171"/>
    </row>
    <row r="734" ht="14.25" customHeight="1">
      <c r="A734" s="171"/>
      <c r="B734" s="282"/>
      <c r="C734" s="305"/>
      <c r="D734" s="326"/>
      <c r="E734" s="326"/>
      <c r="F734" s="171"/>
      <c r="G734" s="173"/>
      <c r="H734" s="170"/>
      <c r="I734" s="171"/>
    </row>
    <row r="735" ht="14.25" customHeight="1">
      <c r="A735" s="171"/>
      <c r="B735" s="282"/>
      <c r="C735" s="305"/>
      <c r="D735" s="326"/>
      <c r="E735" s="326"/>
      <c r="F735" s="171"/>
      <c r="G735" s="173"/>
      <c r="H735" s="170"/>
      <c r="I735" s="171"/>
    </row>
    <row r="736" ht="14.25" customHeight="1">
      <c r="A736" s="171"/>
      <c r="B736" s="282"/>
      <c r="C736" s="305"/>
      <c r="D736" s="326"/>
      <c r="E736" s="326"/>
      <c r="F736" s="171"/>
      <c r="G736" s="173"/>
      <c r="H736" s="170"/>
      <c r="I736" s="171"/>
    </row>
    <row r="737" ht="14.25" customHeight="1">
      <c r="A737" s="171"/>
      <c r="B737" s="282"/>
      <c r="C737" s="305"/>
      <c r="D737" s="326"/>
      <c r="E737" s="326"/>
      <c r="F737" s="171"/>
      <c r="G737" s="173"/>
      <c r="H737" s="170"/>
      <c r="I737" s="171"/>
    </row>
    <row r="738" ht="14.25" customHeight="1">
      <c r="A738" s="171"/>
      <c r="B738" s="282"/>
      <c r="C738" s="305"/>
      <c r="D738" s="326"/>
      <c r="E738" s="326"/>
      <c r="F738" s="171"/>
      <c r="G738" s="173"/>
      <c r="H738" s="170"/>
      <c r="I738" s="171"/>
    </row>
    <row r="739" ht="14.25" customHeight="1">
      <c r="A739" s="171"/>
      <c r="B739" s="282"/>
      <c r="C739" s="305"/>
      <c r="D739" s="326"/>
      <c r="E739" s="326"/>
      <c r="F739" s="171"/>
      <c r="G739" s="173"/>
      <c r="H739" s="170"/>
      <c r="I739" s="171"/>
    </row>
    <row r="740" ht="14.25" customHeight="1">
      <c r="A740" s="171"/>
      <c r="B740" s="282"/>
      <c r="C740" s="305"/>
      <c r="D740" s="326"/>
      <c r="E740" s="326"/>
      <c r="F740" s="171"/>
      <c r="G740" s="173"/>
      <c r="H740" s="170"/>
      <c r="I740" s="171"/>
    </row>
    <row r="741" ht="14.25" customHeight="1">
      <c r="A741" s="171"/>
      <c r="B741" s="282"/>
      <c r="C741" s="305"/>
      <c r="D741" s="326"/>
      <c r="E741" s="326"/>
      <c r="F741" s="171"/>
      <c r="G741" s="173"/>
      <c r="H741" s="170"/>
      <c r="I741" s="171"/>
    </row>
    <row r="742" ht="14.25" customHeight="1">
      <c r="A742" s="171"/>
      <c r="B742" s="282"/>
      <c r="C742" s="305"/>
      <c r="D742" s="326"/>
      <c r="E742" s="326"/>
      <c r="F742" s="171"/>
      <c r="G742" s="173"/>
      <c r="H742" s="170"/>
      <c r="I742" s="171"/>
    </row>
    <row r="743" ht="14.25" customHeight="1">
      <c r="A743" s="171"/>
      <c r="B743" s="282"/>
      <c r="C743" s="305"/>
      <c r="D743" s="326"/>
      <c r="E743" s="326"/>
      <c r="F743" s="171"/>
      <c r="G743" s="173"/>
      <c r="H743" s="170"/>
      <c r="I743" s="171"/>
    </row>
    <row r="744" ht="14.25" customHeight="1">
      <c r="A744" s="171"/>
      <c r="B744" s="282"/>
      <c r="C744" s="305"/>
      <c r="D744" s="326"/>
      <c r="E744" s="326"/>
      <c r="F744" s="171"/>
      <c r="G744" s="173"/>
      <c r="H744" s="170"/>
      <c r="I744" s="171"/>
    </row>
    <row r="745" ht="14.25" customHeight="1">
      <c r="A745" s="171"/>
      <c r="B745" s="282"/>
      <c r="C745" s="305"/>
      <c r="D745" s="326"/>
      <c r="E745" s="326"/>
      <c r="F745" s="171"/>
      <c r="G745" s="173"/>
      <c r="H745" s="170"/>
      <c r="I745" s="171"/>
    </row>
    <row r="746" ht="14.25" customHeight="1">
      <c r="A746" s="171"/>
      <c r="B746" s="282"/>
      <c r="C746" s="305"/>
      <c r="D746" s="326"/>
      <c r="E746" s="326"/>
      <c r="F746" s="171"/>
      <c r="G746" s="173"/>
      <c r="H746" s="170"/>
      <c r="I746" s="171"/>
    </row>
    <row r="747" ht="14.25" customHeight="1">
      <c r="A747" s="171"/>
      <c r="B747" s="282"/>
      <c r="C747" s="305"/>
      <c r="D747" s="326"/>
      <c r="E747" s="326"/>
      <c r="F747" s="171"/>
      <c r="G747" s="173"/>
      <c r="H747" s="170"/>
      <c r="I747" s="171"/>
    </row>
    <row r="748" ht="14.25" customHeight="1">
      <c r="A748" s="171"/>
      <c r="B748" s="282"/>
      <c r="C748" s="305"/>
      <c r="D748" s="326"/>
      <c r="E748" s="326"/>
      <c r="F748" s="171"/>
      <c r="G748" s="173"/>
      <c r="H748" s="170"/>
      <c r="I748" s="171"/>
    </row>
    <row r="749" ht="14.25" customHeight="1">
      <c r="A749" s="171"/>
      <c r="B749" s="282"/>
      <c r="C749" s="305"/>
      <c r="D749" s="326"/>
      <c r="E749" s="326"/>
      <c r="F749" s="171"/>
      <c r="G749" s="173"/>
      <c r="H749" s="170"/>
      <c r="I749" s="171"/>
    </row>
    <row r="750" ht="14.25" customHeight="1">
      <c r="A750" s="171"/>
      <c r="B750" s="282"/>
      <c r="C750" s="305"/>
      <c r="D750" s="326"/>
      <c r="E750" s="326"/>
      <c r="F750" s="171"/>
      <c r="G750" s="173"/>
      <c r="H750" s="170"/>
      <c r="I750" s="171"/>
    </row>
    <row r="751" ht="14.25" customHeight="1">
      <c r="A751" s="171"/>
      <c r="B751" s="282"/>
      <c r="C751" s="305"/>
      <c r="D751" s="326"/>
      <c r="E751" s="326"/>
      <c r="F751" s="171"/>
      <c r="G751" s="173"/>
      <c r="H751" s="170"/>
      <c r="I751" s="171"/>
    </row>
    <row r="752" ht="14.25" customHeight="1">
      <c r="A752" s="171"/>
      <c r="B752" s="282"/>
      <c r="C752" s="305"/>
      <c r="D752" s="326"/>
      <c r="E752" s="326"/>
      <c r="F752" s="171"/>
      <c r="G752" s="173"/>
      <c r="H752" s="170"/>
      <c r="I752" s="171"/>
    </row>
    <row r="753" ht="14.25" customHeight="1">
      <c r="A753" s="171"/>
      <c r="B753" s="282"/>
      <c r="C753" s="305"/>
      <c r="D753" s="326"/>
      <c r="E753" s="326"/>
      <c r="F753" s="171"/>
      <c r="G753" s="173"/>
      <c r="H753" s="170"/>
      <c r="I753" s="171"/>
    </row>
    <row r="754" ht="14.25" customHeight="1">
      <c r="A754" s="171"/>
      <c r="B754" s="282"/>
      <c r="C754" s="305"/>
      <c r="D754" s="326"/>
      <c r="E754" s="326"/>
      <c r="F754" s="171"/>
      <c r="G754" s="173"/>
      <c r="H754" s="170"/>
      <c r="I754" s="171"/>
    </row>
    <row r="755" ht="14.25" customHeight="1">
      <c r="A755" s="171"/>
      <c r="B755" s="282"/>
      <c r="C755" s="305"/>
      <c r="D755" s="326"/>
      <c r="E755" s="326"/>
      <c r="F755" s="171"/>
      <c r="G755" s="173"/>
      <c r="H755" s="170"/>
      <c r="I755" s="171"/>
    </row>
    <row r="756" ht="14.25" customHeight="1">
      <c r="A756" s="171"/>
      <c r="B756" s="282"/>
      <c r="C756" s="305"/>
      <c r="D756" s="326"/>
      <c r="E756" s="326"/>
      <c r="F756" s="171"/>
      <c r="G756" s="173"/>
      <c r="H756" s="170"/>
      <c r="I756" s="171"/>
    </row>
    <row r="757" ht="14.25" customHeight="1">
      <c r="A757" s="171"/>
      <c r="B757" s="282"/>
      <c r="C757" s="305"/>
      <c r="D757" s="326"/>
      <c r="E757" s="326"/>
      <c r="F757" s="171"/>
      <c r="G757" s="173"/>
      <c r="H757" s="170"/>
      <c r="I757" s="171"/>
    </row>
    <row r="758" ht="14.25" customHeight="1">
      <c r="A758" s="171"/>
      <c r="B758" s="282"/>
      <c r="C758" s="305"/>
      <c r="D758" s="326"/>
      <c r="E758" s="326"/>
      <c r="F758" s="171"/>
      <c r="G758" s="173"/>
      <c r="H758" s="170"/>
      <c r="I758" s="171"/>
    </row>
    <row r="759" ht="14.25" customHeight="1">
      <c r="A759" s="171"/>
      <c r="B759" s="282"/>
      <c r="C759" s="305"/>
      <c r="D759" s="326"/>
      <c r="E759" s="326"/>
      <c r="F759" s="171"/>
      <c r="G759" s="173"/>
      <c r="H759" s="170"/>
      <c r="I759" s="171"/>
    </row>
    <row r="760" ht="14.25" customHeight="1">
      <c r="A760" s="171"/>
      <c r="B760" s="282"/>
      <c r="C760" s="305"/>
      <c r="D760" s="326"/>
      <c r="E760" s="326"/>
      <c r="F760" s="171"/>
      <c r="G760" s="173"/>
      <c r="H760" s="170"/>
      <c r="I760" s="171"/>
    </row>
    <row r="761" ht="14.25" customHeight="1">
      <c r="A761" s="171"/>
      <c r="B761" s="282"/>
      <c r="C761" s="305"/>
      <c r="D761" s="326"/>
      <c r="E761" s="326"/>
      <c r="F761" s="171"/>
      <c r="G761" s="173"/>
      <c r="H761" s="170"/>
      <c r="I761" s="171"/>
    </row>
    <row r="762" ht="14.25" customHeight="1">
      <c r="A762" s="171"/>
      <c r="B762" s="282"/>
      <c r="C762" s="305"/>
      <c r="D762" s="326"/>
      <c r="E762" s="326"/>
      <c r="F762" s="171"/>
      <c r="G762" s="173"/>
      <c r="H762" s="170"/>
      <c r="I762" s="171"/>
    </row>
    <row r="763" ht="14.25" customHeight="1">
      <c r="A763" s="171"/>
      <c r="B763" s="282"/>
      <c r="C763" s="305"/>
      <c r="D763" s="326"/>
      <c r="E763" s="326"/>
      <c r="F763" s="171"/>
      <c r="G763" s="173"/>
      <c r="H763" s="170"/>
      <c r="I763" s="171"/>
    </row>
    <row r="764" ht="14.25" customHeight="1">
      <c r="A764" s="171"/>
      <c r="B764" s="282"/>
      <c r="C764" s="305"/>
      <c r="D764" s="326"/>
      <c r="E764" s="326"/>
      <c r="F764" s="171"/>
      <c r="G764" s="173"/>
      <c r="H764" s="170"/>
      <c r="I764" s="171"/>
    </row>
    <row r="765" ht="14.25" customHeight="1">
      <c r="A765" s="171"/>
      <c r="B765" s="282"/>
      <c r="C765" s="305"/>
      <c r="D765" s="326"/>
      <c r="E765" s="326"/>
      <c r="F765" s="171"/>
      <c r="G765" s="173"/>
      <c r="H765" s="170"/>
      <c r="I765" s="171"/>
    </row>
    <row r="766" ht="14.25" customHeight="1">
      <c r="A766" s="171"/>
      <c r="B766" s="282"/>
      <c r="C766" s="305"/>
      <c r="D766" s="326"/>
      <c r="E766" s="326"/>
      <c r="F766" s="171"/>
      <c r="G766" s="173"/>
      <c r="H766" s="170"/>
      <c r="I766" s="171"/>
    </row>
    <row r="767" ht="14.25" customHeight="1">
      <c r="A767" s="171"/>
      <c r="B767" s="282"/>
      <c r="C767" s="305"/>
      <c r="D767" s="326"/>
      <c r="E767" s="326"/>
      <c r="F767" s="171"/>
      <c r="G767" s="173"/>
      <c r="H767" s="170"/>
      <c r="I767" s="171"/>
    </row>
    <row r="768" ht="14.25" customHeight="1">
      <c r="A768" s="171"/>
      <c r="B768" s="282"/>
      <c r="C768" s="305"/>
      <c r="D768" s="326"/>
      <c r="E768" s="326"/>
      <c r="F768" s="171"/>
      <c r="G768" s="173"/>
      <c r="H768" s="170"/>
      <c r="I768" s="171"/>
    </row>
    <row r="769" ht="14.25" customHeight="1">
      <c r="A769" s="171"/>
      <c r="B769" s="282"/>
      <c r="C769" s="305"/>
      <c r="D769" s="326"/>
      <c r="E769" s="326"/>
      <c r="F769" s="171"/>
      <c r="G769" s="173"/>
      <c r="H769" s="170"/>
      <c r="I769" s="171"/>
    </row>
    <row r="770" ht="14.25" customHeight="1">
      <c r="A770" s="171"/>
      <c r="B770" s="282"/>
      <c r="C770" s="305"/>
      <c r="D770" s="326"/>
      <c r="E770" s="326"/>
      <c r="F770" s="171"/>
      <c r="G770" s="173"/>
      <c r="H770" s="170"/>
      <c r="I770" s="171"/>
    </row>
    <row r="771" ht="14.25" customHeight="1">
      <c r="A771" s="171"/>
      <c r="B771" s="282"/>
      <c r="C771" s="305"/>
      <c r="D771" s="326"/>
      <c r="E771" s="326"/>
      <c r="F771" s="171"/>
      <c r="G771" s="173"/>
      <c r="H771" s="170"/>
      <c r="I771" s="171"/>
    </row>
    <row r="772" ht="14.25" customHeight="1">
      <c r="A772" s="171"/>
      <c r="B772" s="282"/>
      <c r="C772" s="305"/>
      <c r="D772" s="326"/>
      <c r="E772" s="326"/>
      <c r="F772" s="171"/>
      <c r="G772" s="173"/>
      <c r="H772" s="170"/>
      <c r="I772" s="171"/>
    </row>
    <row r="773" ht="14.25" customHeight="1">
      <c r="A773" s="171"/>
      <c r="B773" s="282"/>
      <c r="C773" s="305"/>
      <c r="D773" s="326"/>
      <c r="E773" s="326"/>
      <c r="F773" s="171"/>
      <c r="G773" s="173"/>
      <c r="H773" s="170"/>
      <c r="I773" s="171"/>
    </row>
    <row r="774" ht="14.25" customHeight="1">
      <c r="A774" s="171"/>
      <c r="B774" s="282"/>
      <c r="C774" s="305"/>
      <c r="D774" s="326"/>
      <c r="E774" s="326"/>
      <c r="F774" s="171"/>
      <c r="G774" s="173"/>
      <c r="H774" s="170"/>
      <c r="I774" s="171"/>
    </row>
    <row r="775" ht="14.25" customHeight="1">
      <c r="A775" s="171"/>
      <c r="B775" s="282"/>
      <c r="C775" s="305"/>
      <c r="D775" s="326"/>
      <c r="E775" s="326"/>
      <c r="F775" s="171"/>
      <c r="G775" s="173"/>
      <c r="H775" s="170"/>
      <c r="I775" s="171"/>
    </row>
    <row r="776" ht="14.25" customHeight="1">
      <c r="A776" s="171"/>
      <c r="B776" s="282"/>
      <c r="C776" s="305"/>
      <c r="D776" s="326"/>
      <c r="E776" s="326"/>
      <c r="F776" s="171"/>
      <c r="G776" s="173"/>
      <c r="H776" s="170"/>
      <c r="I776" s="171"/>
    </row>
    <row r="777" ht="14.25" customHeight="1">
      <c r="A777" s="171"/>
      <c r="B777" s="282"/>
      <c r="C777" s="305"/>
      <c r="D777" s="326"/>
      <c r="E777" s="326"/>
      <c r="F777" s="171"/>
      <c r="G777" s="173"/>
      <c r="H777" s="170"/>
      <c r="I777" s="171"/>
    </row>
    <row r="778" ht="14.25" customHeight="1">
      <c r="A778" s="171"/>
      <c r="B778" s="282"/>
      <c r="C778" s="305"/>
      <c r="D778" s="326"/>
      <c r="E778" s="326"/>
      <c r="F778" s="171"/>
      <c r="G778" s="173"/>
      <c r="H778" s="170"/>
      <c r="I778" s="171"/>
    </row>
    <row r="779" ht="14.25" customHeight="1">
      <c r="A779" s="171"/>
      <c r="B779" s="282"/>
      <c r="C779" s="305"/>
      <c r="D779" s="326"/>
      <c r="E779" s="326"/>
      <c r="F779" s="171"/>
      <c r="G779" s="173"/>
      <c r="H779" s="170"/>
      <c r="I779" s="171"/>
    </row>
    <row r="780" ht="14.25" customHeight="1">
      <c r="A780" s="171"/>
      <c r="B780" s="282"/>
      <c r="C780" s="305"/>
      <c r="D780" s="326"/>
      <c r="E780" s="326"/>
      <c r="F780" s="171"/>
      <c r="G780" s="173"/>
      <c r="H780" s="170"/>
      <c r="I780" s="171"/>
    </row>
    <row r="781" ht="14.25" customHeight="1">
      <c r="A781" s="171"/>
      <c r="B781" s="282"/>
      <c r="C781" s="305"/>
      <c r="D781" s="326"/>
      <c r="E781" s="326"/>
      <c r="F781" s="171"/>
      <c r="G781" s="173"/>
      <c r="H781" s="170"/>
      <c r="I781" s="171"/>
    </row>
    <row r="782" ht="14.25" customHeight="1">
      <c r="A782" s="171"/>
      <c r="B782" s="282"/>
      <c r="C782" s="305"/>
      <c r="D782" s="326"/>
      <c r="E782" s="326"/>
      <c r="F782" s="171"/>
      <c r="G782" s="173"/>
      <c r="H782" s="170"/>
      <c r="I782" s="171"/>
    </row>
    <row r="783" ht="14.25" customHeight="1">
      <c r="A783" s="171"/>
      <c r="B783" s="282"/>
      <c r="C783" s="305"/>
      <c r="D783" s="326"/>
      <c r="E783" s="326"/>
      <c r="F783" s="171"/>
      <c r="G783" s="173"/>
      <c r="H783" s="170"/>
      <c r="I783" s="171"/>
    </row>
    <row r="784" ht="14.25" customHeight="1">
      <c r="A784" s="171"/>
      <c r="B784" s="282"/>
      <c r="C784" s="305"/>
      <c r="D784" s="326"/>
      <c r="E784" s="326"/>
      <c r="F784" s="171"/>
      <c r="G784" s="173"/>
      <c r="H784" s="170"/>
      <c r="I784" s="171"/>
    </row>
    <row r="785" ht="14.25" customHeight="1">
      <c r="A785" s="171"/>
      <c r="B785" s="282"/>
      <c r="C785" s="305"/>
      <c r="D785" s="326"/>
      <c r="E785" s="326"/>
      <c r="F785" s="171"/>
      <c r="G785" s="173"/>
      <c r="H785" s="170"/>
      <c r="I785" s="171"/>
    </row>
    <row r="786" ht="14.25" customHeight="1">
      <c r="A786" s="171"/>
      <c r="B786" s="282"/>
      <c r="C786" s="305"/>
      <c r="D786" s="326"/>
      <c r="E786" s="326"/>
      <c r="F786" s="171"/>
      <c r="G786" s="173"/>
      <c r="H786" s="170"/>
      <c r="I786" s="171"/>
    </row>
    <row r="787" ht="14.25" customHeight="1">
      <c r="A787" s="171"/>
      <c r="B787" s="282"/>
      <c r="C787" s="305"/>
      <c r="D787" s="326"/>
      <c r="E787" s="326"/>
      <c r="F787" s="171"/>
      <c r="G787" s="173"/>
      <c r="H787" s="170"/>
      <c r="I787" s="171"/>
    </row>
    <row r="788" ht="14.25" customHeight="1">
      <c r="A788" s="171"/>
      <c r="B788" s="282"/>
      <c r="C788" s="305"/>
      <c r="D788" s="326"/>
      <c r="E788" s="326"/>
      <c r="F788" s="171"/>
      <c r="G788" s="173"/>
      <c r="H788" s="170"/>
      <c r="I788" s="171"/>
    </row>
    <row r="789" ht="14.25" customHeight="1">
      <c r="A789" s="171"/>
      <c r="B789" s="282"/>
      <c r="C789" s="305"/>
      <c r="D789" s="326"/>
      <c r="E789" s="326"/>
      <c r="F789" s="171"/>
      <c r="G789" s="173"/>
      <c r="H789" s="170"/>
      <c r="I789" s="171"/>
    </row>
    <row r="790" ht="14.25" customHeight="1">
      <c r="A790" s="171"/>
      <c r="B790" s="282"/>
      <c r="C790" s="305"/>
      <c r="D790" s="326"/>
      <c r="E790" s="326"/>
      <c r="F790" s="171"/>
      <c r="G790" s="173"/>
      <c r="H790" s="170"/>
      <c r="I790" s="171"/>
    </row>
    <row r="791" ht="14.25" customHeight="1">
      <c r="A791" s="171"/>
      <c r="B791" s="282"/>
      <c r="C791" s="305"/>
      <c r="D791" s="326"/>
      <c r="E791" s="326"/>
      <c r="F791" s="171"/>
      <c r="G791" s="173"/>
      <c r="H791" s="170"/>
      <c r="I791" s="171"/>
    </row>
    <row r="792" ht="14.25" customHeight="1">
      <c r="A792" s="171"/>
      <c r="B792" s="282"/>
      <c r="C792" s="305"/>
      <c r="D792" s="326"/>
      <c r="E792" s="326"/>
      <c r="F792" s="171"/>
      <c r="G792" s="173"/>
      <c r="H792" s="170"/>
      <c r="I792" s="171"/>
    </row>
    <row r="793" ht="14.25" customHeight="1">
      <c r="A793" s="171"/>
      <c r="B793" s="282"/>
      <c r="C793" s="305"/>
      <c r="D793" s="326"/>
      <c r="E793" s="326"/>
      <c r="F793" s="171"/>
      <c r="G793" s="173"/>
      <c r="H793" s="170"/>
      <c r="I793" s="171"/>
    </row>
    <row r="794" ht="14.25" customHeight="1">
      <c r="A794" s="171"/>
      <c r="B794" s="282"/>
      <c r="C794" s="305"/>
      <c r="D794" s="326"/>
      <c r="E794" s="326"/>
      <c r="F794" s="171"/>
      <c r="G794" s="173"/>
      <c r="H794" s="170"/>
      <c r="I794" s="171"/>
    </row>
    <row r="795" ht="14.25" customHeight="1">
      <c r="A795" s="171"/>
      <c r="B795" s="282"/>
      <c r="C795" s="305"/>
      <c r="D795" s="326"/>
      <c r="E795" s="326"/>
      <c r="F795" s="171"/>
      <c r="G795" s="173"/>
      <c r="H795" s="170"/>
      <c r="I795" s="171"/>
    </row>
    <row r="796" ht="14.25" customHeight="1">
      <c r="A796" s="171"/>
      <c r="B796" s="282"/>
      <c r="C796" s="305"/>
      <c r="D796" s="326"/>
      <c r="E796" s="326"/>
      <c r="F796" s="171"/>
      <c r="G796" s="173"/>
      <c r="H796" s="170"/>
      <c r="I796" s="171"/>
    </row>
    <row r="797" ht="14.25" customHeight="1">
      <c r="A797" s="171"/>
      <c r="B797" s="282"/>
      <c r="C797" s="305"/>
      <c r="D797" s="326"/>
      <c r="E797" s="326"/>
      <c r="F797" s="171"/>
      <c r="G797" s="173"/>
      <c r="H797" s="170"/>
      <c r="I797" s="171"/>
    </row>
    <row r="798" ht="14.25" customHeight="1">
      <c r="A798" s="171"/>
      <c r="B798" s="282"/>
      <c r="C798" s="305"/>
      <c r="D798" s="326"/>
      <c r="E798" s="326"/>
      <c r="F798" s="171"/>
      <c r="G798" s="173"/>
      <c r="H798" s="170"/>
      <c r="I798" s="171"/>
    </row>
    <row r="799" ht="14.25" customHeight="1">
      <c r="A799" s="171"/>
      <c r="B799" s="282"/>
      <c r="C799" s="305"/>
      <c r="D799" s="326"/>
      <c r="E799" s="326"/>
      <c r="F799" s="171"/>
      <c r="G799" s="173"/>
      <c r="H799" s="170"/>
      <c r="I799" s="171"/>
    </row>
    <row r="800" ht="14.25" customHeight="1">
      <c r="A800" s="171"/>
      <c r="B800" s="282"/>
      <c r="C800" s="305"/>
      <c r="D800" s="326"/>
      <c r="E800" s="326"/>
      <c r="F800" s="171"/>
      <c r="G800" s="173"/>
      <c r="H800" s="170"/>
      <c r="I800" s="171"/>
    </row>
    <row r="801" ht="14.25" customHeight="1">
      <c r="A801" s="171"/>
      <c r="B801" s="282"/>
      <c r="C801" s="305"/>
      <c r="D801" s="326"/>
      <c r="E801" s="326"/>
      <c r="F801" s="171"/>
      <c r="G801" s="173"/>
      <c r="H801" s="170"/>
      <c r="I801" s="171"/>
    </row>
    <row r="802" ht="14.25" customHeight="1">
      <c r="A802" s="171"/>
      <c r="B802" s="282"/>
      <c r="C802" s="305"/>
      <c r="D802" s="326"/>
      <c r="E802" s="326"/>
      <c r="F802" s="171"/>
      <c r="G802" s="173"/>
      <c r="H802" s="170"/>
      <c r="I802" s="171"/>
    </row>
    <row r="803" ht="14.25" customHeight="1">
      <c r="A803" s="171"/>
      <c r="B803" s="282"/>
      <c r="C803" s="305"/>
      <c r="D803" s="326"/>
      <c r="E803" s="326"/>
      <c r="F803" s="171"/>
      <c r="G803" s="173"/>
      <c r="H803" s="170"/>
      <c r="I803" s="171"/>
    </row>
    <row r="804" ht="14.25" customHeight="1">
      <c r="A804" s="171"/>
      <c r="B804" s="282"/>
      <c r="C804" s="305"/>
      <c r="D804" s="326"/>
      <c r="E804" s="326"/>
      <c r="F804" s="171"/>
      <c r="G804" s="173"/>
      <c r="H804" s="170"/>
      <c r="I804" s="171"/>
    </row>
    <row r="805" ht="14.25" customHeight="1">
      <c r="A805" s="171"/>
      <c r="B805" s="282"/>
      <c r="C805" s="305"/>
      <c r="D805" s="326"/>
      <c r="E805" s="326"/>
      <c r="F805" s="171"/>
      <c r="G805" s="173"/>
      <c r="H805" s="170"/>
      <c r="I805" s="171"/>
    </row>
    <row r="806" ht="14.25" customHeight="1">
      <c r="A806" s="171"/>
      <c r="B806" s="282"/>
      <c r="C806" s="305"/>
      <c r="D806" s="326"/>
      <c r="E806" s="326"/>
      <c r="F806" s="171"/>
      <c r="G806" s="173"/>
      <c r="H806" s="170"/>
      <c r="I806" s="171"/>
    </row>
    <row r="807" ht="14.25" customHeight="1">
      <c r="A807" s="171"/>
      <c r="B807" s="282"/>
      <c r="C807" s="305"/>
      <c r="D807" s="326"/>
      <c r="E807" s="326"/>
      <c r="F807" s="171"/>
      <c r="G807" s="173"/>
      <c r="H807" s="170"/>
      <c r="I807" s="171"/>
    </row>
    <row r="808" ht="14.25" customHeight="1">
      <c r="A808" s="171"/>
      <c r="B808" s="282"/>
      <c r="C808" s="305"/>
      <c r="D808" s="326"/>
      <c r="E808" s="326"/>
      <c r="F808" s="171"/>
      <c r="G808" s="173"/>
      <c r="H808" s="170"/>
      <c r="I808" s="171"/>
    </row>
    <row r="809" ht="14.25" customHeight="1">
      <c r="A809" s="171"/>
      <c r="B809" s="282"/>
      <c r="C809" s="305"/>
      <c r="D809" s="326"/>
      <c r="E809" s="326"/>
      <c r="F809" s="171"/>
      <c r="G809" s="173"/>
      <c r="H809" s="170"/>
      <c r="I809" s="171"/>
    </row>
    <row r="810" ht="14.25" customHeight="1">
      <c r="A810" s="171"/>
      <c r="B810" s="282"/>
      <c r="C810" s="305"/>
      <c r="D810" s="326"/>
      <c r="E810" s="326"/>
      <c r="F810" s="171"/>
      <c r="G810" s="173"/>
      <c r="H810" s="170"/>
      <c r="I810" s="171"/>
    </row>
    <row r="811" ht="14.25" customHeight="1">
      <c r="A811" s="171"/>
      <c r="B811" s="282"/>
      <c r="C811" s="305"/>
      <c r="D811" s="326"/>
      <c r="E811" s="326"/>
      <c r="F811" s="171"/>
      <c r="G811" s="173"/>
      <c r="H811" s="170"/>
      <c r="I811" s="171"/>
    </row>
    <row r="812" ht="14.25" customHeight="1">
      <c r="A812" s="171"/>
      <c r="B812" s="282"/>
      <c r="C812" s="305"/>
      <c r="D812" s="326"/>
      <c r="E812" s="326"/>
      <c r="F812" s="171"/>
      <c r="G812" s="173"/>
      <c r="H812" s="170"/>
      <c r="I812" s="171"/>
    </row>
    <row r="813" ht="14.25" customHeight="1">
      <c r="A813" s="171"/>
      <c r="B813" s="282"/>
      <c r="C813" s="305"/>
      <c r="D813" s="326"/>
      <c r="E813" s="326"/>
      <c r="F813" s="171"/>
      <c r="G813" s="173"/>
      <c r="H813" s="170"/>
      <c r="I813" s="171"/>
    </row>
    <row r="814" ht="14.25" customHeight="1">
      <c r="A814" s="171"/>
      <c r="B814" s="282"/>
      <c r="C814" s="305"/>
      <c r="D814" s="326"/>
      <c r="E814" s="326"/>
      <c r="F814" s="171"/>
      <c r="G814" s="173"/>
      <c r="H814" s="170"/>
      <c r="I814" s="171"/>
    </row>
    <row r="815" ht="14.25" customHeight="1">
      <c r="A815" s="171"/>
      <c r="B815" s="282"/>
      <c r="C815" s="305"/>
      <c r="D815" s="326"/>
      <c r="E815" s="326"/>
      <c r="F815" s="171"/>
      <c r="G815" s="173"/>
      <c r="H815" s="170"/>
      <c r="I815" s="171"/>
    </row>
    <row r="816" ht="14.25" customHeight="1">
      <c r="A816" s="171"/>
      <c r="B816" s="282"/>
      <c r="C816" s="305"/>
      <c r="D816" s="326"/>
      <c r="E816" s="326"/>
      <c r="F816" s="171"/>
      <c r="G816" s="173"/>
      <c r="H816" s="170"/>
      <c r="I816" s="171"/>
    </row>
    <row r="817" ht="14.25" customHeight="1">
      <c r="A817" s="171"/>
      <c r="B817" s="282"/>
      <c r="C817" s="305"/>
      <c r="D817" s="326"/>
      <c r="E817" s="326"/>
      <c r="F817" s="171"/>
      <c r="G817" s="173"/>
      <c r="H817" s="170"/>
      <c r="I817" s="171"/>
    </row>
    <row r="818" ht="14.25" customHeight="1">
      <c r="A818" s="171"/>
      <c r="B818" s="282"/>
      <c r="C818" s="305"/>
      <c r="D818" s="326"/>
      <c r="E818" s="326"/>
      <c r="F818" s="171"/>
      <c r="G818" s="173"/>
      <c r="H818" s="170"/>
      <c r="I818" s="171"/>
    </row>
    <row r="819" ht="14.25" customHeight="1">
      <c r="A819" s="171"/>
      <c r="B819" s="282"/>
      <c r="C819" s="305"/>
      <c r="D819" s="326"/>
      <c r="E819" s="326"/>
      <c r="F819" s="171"/>
      <c r="G819" s="173"/>
      <c r="H819" s="170"/>
      <c r="I819" s="171"/>
    </row>
    <row r="820" ht="14.25" customHeight="1">
      <c r="A820" s="171"/>
      <c r="B820" s="282"/>
      <c r="C820" s="305"/>
      <c r="D820" s="326"/>
      <c r="E820" s="326"/>
      <c r="F820" s="171"/>
      <c r="G820" s="173"/>
      <c r="H820" s="170"/>
      <c r="I820" s="171"/>
    </row>
    <row r="821" ht="14.25" customHeight="1">
      <c r="A821" s="171"/>
      <c r="B821" s="282"/>
      <c r="C821" s="305"/>
      <c r="D821" s="326"/>
      <c r="E821" s="326"/>
      <c r="F821" s="171"/>
      <c r="G821" s="173"/>
      <c r="H821" s="170"/>
      <c r="I821" s="171"/>
    </row>
    <row r="822" ht="14.25" customHeight="1">
      <c r="A822" s="171"/>
      <c r="B822" s="282"/>
      <c r="C822" s="305"/>
      <c r="D822" s="326"/>
      <c r="E822" s="326"/>
      <c r="F822" s="171"/>
      <c r="G822" s="173"/>
      <c r="H822" s="170"/>
      <c r="I822" s="171"/>
    </row>
    <row r="823" ht="14.25" customHeight="1">
      <c r="A823" s="171"/>
      <c r="B823" s="282"/>
      <c r="C823" s="305"/>
      <c r="D823" s="326"/>
      <c r="E823" s="326"/>
      <c r="F823" s="171"/>
      <c r="G823" s="173"/>
      <c r="H823" s="170"/>
      <c r="I823" s="171"/>
    </row>
    <row r="824" ht="14.25" customHeight="1">
      <c r="A824" s="171"/>
      <c r="B824" s="282"/>
      <c r="C824" s="305"/>
      <c r="D824" s="326"/>
      <c r="E824" s="326"/>
      <c r="F824" s="171"/>
      <c r="G824" s="173"/>
      <c r="H824" s="170"/>
      <c r="I824" s="171"/>
    </row>
    <row r="825" ht="14.25" customHeight="1">
      <c r="A825" s="171"/>
      <c r="B825" s="282"/>
      <c r="C825" s="305"/>
      <c r="D825" s="326"/>
      <c r="E825" s="326"/>
      <c r="F825" s="171"/>
      <c r="G825" s="173"/>
      <c r="H825" s="170"/>
      <c r="I825" s="171"/>
    </row>
    <row r="826" ht="14.25" customHeight="1">
      <c r="A826" s="171"/>
      <c r="B826" s="282"/>
      <c r="C826" s="305"/>
      <c r="D826" s="326"/>
      <c r="E826" s="326"/>
      <c r="F826" s="171"/>
      <c r="G826" s="173"/>
      <c r="H826" s="170"/>
      <c r="I826" s="171"/>
    </row>
    <row r="827" ht="14.25" customHeight="1">
      <c r="A827" s="171"/>
      <c r="B827" s="282"/>
      <c r="C827" s="305"/>
      <c r="D827" s="326"/>
      <c r="E827" s="326"/>
      <c r="F827" s="171"/>
      <c r="G827" s="173"/>
      <c r="H827" s="170"/>
      <c r="I827" s="171"/>
    </row>
    <row r="828" ht="14.25" customHeight="1">
      <c r="A828" s="171"/>
      <c r="B828" s="282"/>
      <c r="C828" s="305"/>
      <c r="D828" s="326"/>
      <c r="E828" s="326"/>
      <c r="F828" s="171"/>
      <c r="G828" s="173"/>
      <c r="H828" s="170"/>
      <c r="I828" s="171"/>
    </row>
    <row r="829" ht="14.25" customHeight="1">
      <c r="A829" s="171"/>
      <c r="B829" s="282"/>
      <c r="C829" s="305"/>
      <c r="D829" s="326"/>
      <c r="E829" s="326"/>
      <c r="F829" s="171"/>
      <c r="G829" s="173"/>
      <c r="H829" s="170"/>
      <c r="I829" s="171"/>
    </row>
    <row r="830" ht="14.25" customHeight="1">
      <c r="A830" s="171"/>
      <c r="B830" s="282"/>
      <c r="C830" s="305"/>
      <c r="D830" s="326"/>
      <c r="E830" s="326"/>
      <c r="F830" s="171"/>
      <c r="G830" s="173"/>
      <c r="H830" s="170"/>
      <c r="I830" s="171"/>
    </row>
    <row r="831" ht="14.25" customHeight="1">
      <c r="A831" s="171"/>
      <c r="B831" s="282"/>
      <c r="C831" s="305"/>
      <c r="D831" s="326"/>
      <c r="E831" s="326"/>
      <c r="F831" s="171"/>
      <c r="G831" s="173"/>
      <c r="H831" s="170"/>
      <c r="I831" s="171"/>
    </row>
    <row r="832" ht="14.25" customHeight="1">
      <c r="A832" s="171"/>
      <c r="B832" s="282"/>
      <c r="C832" s="305"/>
      <c r="D832" s="326"/>
      <c r="E832" s="326"/>
      <c r="F832" s="171"/>
      <c r="G832" s="173"/>
      <c r="H832" s="170"/>
      <c r="I832" s="171"/>
    </row>
    <row r="833" ht="14.25" customHeight="1">
      <c r="A833" s="171"/>
      <c r="B833" s="282"/>
      <c r="C833" s="305"/>
      <c r="D833" s="326"/>
      <c r="E833" s="326"/>
      <c r="F833" s="171"/>
      <c r="G833" s="173"/>
      <c r="H833" s="170"/>
      <c r="I833" s="171"/>
    </row>
    <row r="834" ht="14.25" customHeight="1">
      <c r="A834" s="171"/>
      <c r="B834" s="282"/>
      <c r="C834" s="305"/>
      <c r="D834" s="326"/>
      <c r="E834" s="326"/>
      <c r="F834" s="171"/>
      <c r="G834" s="173"/>
      <c r="H834" s="170"/>
      <c r="I834" s="171"/>
    </row>
    <row r="835" ht="14.25" customHeight="1">
      <c r="A835" s="171"/>
      <c r="B835" s="282"/>
      <c r="C835" s="305"/>
      <c r="D835" s="326"/>
      <c r="E835" s="326"/>
      <c r="F835" s="171"/>
      <c r="G835" s="173"/>
      <c r="H835" s="170"/>
      <c r="I835" s="171"/>
    </row>
    <row r="836" ht="14.25" customHeight="1">
      <c r="A836" s="171"/>
      <c r="B836" s="282"/>
      <c r="C836" s="305"/>
      <c r="D836" s="326"/>
      <c r="E836" s="326"/>
      <c r="F836" s="171"/>
      <c r="G836" s="173"/>
      <c r="H836" s="170"/>
      <c r="I836" s="171"/>
    </row>
    <row r="837" ht="14.25" customHeight="1">
      <c r="A837" s="171"/>
      <c r="B837" s="282"/>
      <c r="C837" s="305"/>
      <c r="D837" s="326"/>
      <c r="E837" s="326"/>
      <c r="F837" s="171"/>
      <c r="G837" s="173"/>
      <c r="H837" s="170"/>
      <c r="I837" s="171"/>
    </row>
    <row r="838" ht="14.25" customHeight="1">
      <c r="A838" s="171"/>
      <c r="B838" s="282"/>
      <c r="C838" s="305"/>
      <c r="D838" s="326"/>
      <c r="E838" s="326"/>
      <c r="F838" s="171"/>
      <c r="G838" s="173"/>
      <c r="H838" s="170"/>
      <c r="I838" s="171"/>
    </row>
    <row r="839" ht="14.25" customHeight="1">
      <c r="A839" s="171"/>
      <c r="B839" s="282"/>
      <c r="C839" s="305"/>
      <c r="D839" s="326"/>
      <c r="E839" s="326"/>
      <c r="F839" s="171"/>
      <c r="G839" s="173"/>
      <c r="H839" s="170"/>
      <c r="I839" s="171"/>
    </row>
    <row r="840" ht="14.25" customHeight="1">
      <c r="A840" s="171"/>
      <c r="B840" s="282"/>
      <c r="C840" s="305"/>
      <c r="D840" s="326"/>
      <c r="E840" s="326"/>
      <c r="F840" s="171"/>
      <c r="G840" s="173"/>
      <c r="H840" s="170"/>
      <c r="I840" s="171"/>
    </row>
    <row r="841" ht="14.25" customHeight="1">
      <c r="A841" s="171"/>
      <c r="B841" s="282"/>
      <c r="C841" s="305"/>
      <c r="D841" s="326"/>
      <c r="E841" s="326"/>
      <c r="F841" s="171"/>
      <c r="G841" s="173"/>
      <c r="H841" s="170"/>
      <c r="I841" s="171"/>
    </row>
    <row r="842" ht="14.25" customHeight="1">
      <c r="A842" s="171"/>
      <c r="B842" s="282"/>
      <c r="C842" s="305"/>
      <c r="D842" s="326"/>
      <c r="E842" s="326"/>
      <c r="F842" s="171"/>
      <c r="G842" s="173"/>
      <c r="H842" s="170"/>
      <c r="I842" s="171"/>
    </row>
    <row r="843" ht="14.25" customHeight="1">
      <c r="A843" s="171"/>
      <c r="B843" s="282"/>
      <c r="C843" s="305"/>
      <c r="D843" s="326"/>
      <c r="E843" s="326"/>
      <c r="F843" s="171"/>
      <c r="G843" s="173"/>
      <c r="H843" s="170"/>
      <c r="I843" s="171"/>
    </row>
    <row r="844" ht="14.25" customHeight="1">
      <c r="A844" s="171"/>
      <c r="B844" s="282"/>
      <c r="C844" s="305"/>
      <c r="D844" s="326"/>
      <c r="E844" s="326"/>
      <c r="F844" s="171"/>
      <c r="G844" s="173"/>
      <c r="H844" s="170"/>
      <c r="I844" s="171"/>
    </row>
    <row r="845" ht="14.25" customHeight="1">
      <c r="A845" s="171"/>
      <c r="B845" s="282"/>
      <c r="C845" s="305"/>
      <c r="D845" s="326"/>
      <c r="E845" s="326"/>
      <c r="F845" s="171"/>
      <c r="G845" s="173"/>
      <c r="H845" s="170"/>
      <c r="I845" s="171"/>
    </row>
    <row r="846" ht="14.25" customHeight="1">
      <c r="A846" s="171"/>
      <c r="B846" s="282"/>
      <c r="C846" s="305"/>
      <c r="D846" s="326"/>
      <c r="E846" s="326"/>
      <c r="F846" s="171"/>
      <c r="G846" s="173"/>
      <c r="H846" s="170"/>
      <c r="I846" s="171"/>
    </row>
    <row r="847" ht="14.25" customHeight="1">
      <c r="A847" s="171"/>
      <c r="B847" s="282"/>
      <c r="C847" s="305"/>
      <c r="D847" s="326"/>
      <c r="E847" s="326"/>
      <c r="F847" s="171"/>
      <c r="G847" s="173"/>
      <c r="H847" s="170"/>
      <c r="I847" s="171"/>
    </row>
    <row r="848" ht="14.25" customHeight="1">
      <c r="A848" s="171"/>
      <c r="B848" s="282"/>
      <c r="C848" s="305"/>
      <c r="D848" s="326"/>
      <c r="E848" s="326"/>
      <c r="F848" s="171"/>
      <c r="G848" s="173"/>
      <c r="H848" s="170"/>
      <c r="I848" s="171"/>
    </row>
    <row r="849" ht="14.25" customHeight="1">
      <c r="A849" s="171"/>
      <c r="B849" s="282"/>
      <c r="C849" s="305"/>
      <c r="D849" s="326"/>
      <c r="E849" s="326"/>
      <c r="F849" s="171"/>
      <c r="G849" s="173"/>
      <c r="H849" s="170"/>
      <c r="I849" s="171"/>
    </row>
    <row r="850" ht="14.25" customHeight="1">
      <c r="A850" s="171"/>
      <c r="B850" s="282"/>
      <c r="C850" s="305"/>
      <c r="D850" s="326"/>
      <c r="E850" s="326"/>
      <c r="F850" s="171"/>
      <c r="G850" s="173"/>
      <c r="H850" s="170"/>
      <c r="I850" s="171"/>
    </row>
    <row r="851" ht="14.25" customHeight="1">
      <c r="A851" s="171"/>
      <c r="B851" s="282"/>
      <c r="C851" s="305"/>
      <c r="D851" s="326"/>
      <c r="E851" s="326"/>
      <c r="F851" s="171"/>
      <c r="G851" s="173"/>
      <c r="H851" s="170"/>
      <c r="I851" s="171"/>
    </row>
    <row r="852" ht="14.25" customHeight="1">
      <c r="A852" s="171"/>
      <c r="B852" s="282"/>
      <c r="C852" s="305"/>
      <c r="D852" s="326"/>
      <c r="E852" s="326"/>
      <c r="F852" s="171"/>
      <c r="G852" s="173"/>
      <c r="H852" s="170"/>
      <c r="I852" s="171"/>
    </row>
    <row r="853" ht="14.25" customHeight="1">
      <c r="A853" s="171"/>
      <c r="B853" s="282"/>
      <c r="C853" s="305"/>
      <c r="D853" s="326"/>
      <c r="E853" s="326"/>
      <c r="F853" s="171"/>
      <c r="G853" s="173"/>
      <c r="H853" s="170"/>
      <c r="I853" s="171"/>
    </row>
    <row r="854" ht="14.25" customHeight="1">
      <c r="A854" s="171"/>
      <c r="B854" s="282"/>
      <c r="C854" s="305"/>
      <c r="D854" s="326"/>
      <c r="E854" s="326"/>
      <c r="F854" s="171"/>
      <c r="G854" s="173"/>
      <c r="H854" s="170"/>
      <c r="I854" s="171"/>
    </row>
    <row r="855" ht="14.25" customHeight="1">
      <c r="A855" s="171"/>
      <c r="B855" s="282"/>
      <c r="C855" s="305"/>
      <c r="D855" s="326"/>
      <c r="E855" s="326"/>
      <c r="F855" s="171"/>
      <c r="G855" s="173"/>
      <c r="H855" s="170"/>
      <c r="I855" s="171"/>
    </row>
    <row r="856" ht="14.25" customHeight="1">
      <c r="A856" s="171"/>
      <c r="B856" s="282"/>
      <c r="C856" s="305"/>
      <c r="D856" s="326"/>
      <c r="E856" s="326"/>
      <c r="F856" s="171"/>
      <c r="G856" s="173"/>
      <c r="H856" s="170"/>
      <c r="I856" s="171"/>
    </row>
    <row r="857" ht="14.25" customHeight="1">
      <c r="A857" s="171"/>
      <c r="B857" s="282"/>
      <c r="C857" s="305"/>
      <c r="D857" s="326"/>
      <c r="E857" s="326"/>
      <c r="F857" s="171"/>
      <c r="G857" s="173"/>
      <c r="H857" s="170"/>
      <c r="I857" s="171"/>
    </row>
    <row r="858" ht="14.25" customHeight="1">
      <c r="A858" s="171"/>
      <c r="B858" s="282"/>
      <c r="C858" s="305"/>
      <c r="D858" s="326"/>
      <c r="E858" s="326"/>
      <c r="F858" s="171"/>
      <c r="G858" s="173"/>
      <c r="H858" s="170"/>
      <c r="I858" s="171"/>
    </row>
    <row r="859" ht="14.25" customHeight="1">
      <c r="A859" s="171"/>
      <c r="B859" s="282"/>
      <c r="C859" s="305"/>
      <c r="D859" s="326"/>
      <c r="E859" s="326"/>
      <c r="F859" s="171"/>
      <c r="G859" s="173"/>
      <c r="H859" s="170"/>
      <c r="I859" s="171"/>
    </row>
    <row r="860" ht="14.25" customHeight="1">
      <c r="A860" s="171"/>
      <c r="B860" s="282"/>
      <c r="C860" s="305"/>
      <c r="D860" s="326"/>
      <c r="E860" s="326"/>
      <c r="F860" s="171"/>
      <c r="G860" s="173"/>
      <c r="H860" s="170"/>
      <c r="I860" s="171"/>
    </row>
    <row r="861" ht="14.25" customHeight="1">
      <c r="A861" s="171"/>
      <c r="B861" s="282"/>
      <c r="C861" s="305"/>
      <c r="D861" s="326"/>
      <c r="E861" s="326"/>
      <c r="F861" s="171"/>
      <c r="G861" s="173"/>
      <c r="H861" s="170"/>
      <c r="I861" s="171"/>
    </row>
    <row r="862" ht="14.25" customHeight="1">
      <c r="A862" s="171"/>
      <c r="B862" s="282"/>
      <c r="C862" s="305"/>
      <c r="D862" s="326"/>
      <c r="E862" s="326"/>
      <c r="F862" s="171"/>
      <c r="G862" s="173"/>
      <c r="H862" s="170"/>
      <c r="I862" s="171"/>
    </row>
    <row r="863" ht="14.25" customHeight="1">
      <c r="A863" s="171"/>
      <c r="B863" s="282"/>
      <c r="C863" s="305"/>
      <c r="D863" s="326"/>
      <c r="E863" s="326"/>
      <c r="F863" s="171"/>
      <c r="G863" s="173"/>
      <c r="H863" s="170"/>
      <c r="I863" s="171"/>
    </row>
    <row r="864" ht="14.25" customHeight="1">
      <c r="A864" s="171"/>
      <c r="B864" s="282"/>
      <c r="C864" s="305"/>
      <c r="D864" s="326"/>
      <c r="E864" s="326"/>
      <c r="F864" s="171"/>
      <c r="G864" s="173"/>
      <c r="H864" s="170"/>
      <c r="I864" s="171"/>
    </row>
    <row r="865" ht="14.25" customHeight="1">
      <c r="A865" s="171"/>
      <c r="B865" s="282"/>
      <c r="C865" s="305"/>
      <c r="D865" s="326"/>
      <c r="E865" s="326"/>
      <c r="F865" s="171"/>
      <c r="G865" s="173"/>
      <c r="H865" s="170"/>
      <c r="I865" s="171"/>
    </row>
    <row r="866" ht="14.25" customHeight="1">
      <c r="A866" s="171"/>
      <c r="B866" s="282"/>
      <c r="C866" s="305"/>
      <c r="D866" s="326"/>
      <c r="E866" s="326"/>
      <c r="F866" s="171"/>
      <c r="G866" s="173"/>
      <c r="H866" s="170"/>
      <c r="I866" s="171"/>
    </row>
    <row r="867" ht="14.25" customHeight="1">
      <c r="A867" s="171"/>
      <c r="B867" s="282"/>
      <c r="C867" s="305"/>
      <c r="D867" s="326"/>
      <c r="E867" s="326"/>
      <c r="F867" s="171"/>
      <c r="G867" s="173"/>
      <c r="H867" s="170"/>
      <c r="I867" s="171"/>
    </row>
    <row r="868" ht="14.25" customHeight="1">
      <c r="A868" s="171"/>
      <c r="B868" s="282"/>
      <c r="C868" s="305"/>
      <c r="D868" s="326"/>
      <c r="E868" s="326"/>
      <c r="F868" s="171"/>
      <c r="G868" s="173"/>
      <c r="H868" s="170"/>
      <c r="I868" s="171"/>
    </row>
    <row r="869" ht="14.25" customHeight="1">
      <c r="A869" s="171"/>
      <c r="B869" s="282"/>
      <c r="C869" s="305"/>
      <c r="D869" s="326"/>
      <c r="E869" s="326"/>
      <c r="F869" s="171"/>
      <c r="G869" s="173"/>
      <c r="H869" s="170"/>
      <c r="I869" s="171"/>
    </row>
    <row r="870" ht="14.25" customHeight="1">
      <c r="A870" s="171"/>
      <c r="B870" s="282"/>
      <c r="C870" s="305"/>
      <c r="D870" s="326"/>
      <c r="E870" s="326"/>
      <c r="F870" s="171"/>
      <c r="G870" s="173"/>
      <c r="H870" s="170"/>
      <c r="I870" s="171"/>
    </row>
    <row r="871" ht="14.25" customHeight="1">
      <c r="A871" s="171"/>
      <c r="B871" s="282"/>
      <c r="C871" s="305"/>
      <c r="D871" s="326"/>
      <c r="E871" s="326"/>
      <c r="F871" s="171"/>
      <c r="G871" s="173"/>
      <c r="H871" s="170"/>
      <c r="I871" s="171"/>
    </row>
    <row r="872" ht="14.25" customHeight="1">
      <c r="A872" s="171"/>
      <c r="B872" s="282"/>
      <c r="C872" s="305"/>
      <c r="D872" s="326"/>
      <c r="E872" s="326"/>
      <c r="F872" s="171"/>
      <c r="G872" s="173"/>
      <c r="H872" s="170"/>
      <c r="I872" s="171"/>
    </row>
    <row r="873" ht="14.25" customHeight="1">
      <c r="A873" s="171"/>
      <c r="B873" s="282"/>
      <c r="C873" s="305"/>
      <c r="D873" s="326"/>
      <c r="E873" s="326"/>
      <c r="F873" s="171"/>
      <c r="G873" s="173"/>
      <c r="H873" s="170"/>
      <c r="I873" s="171"/>
    </row>
    <row r="874" ht="14.25" customHeight="1">
      <c r="A874" s="171"/>
      <c r="B874" s="282"/>
      <c r="C874" s="305"/>
      <c r="D874" s="326"/>
      <c r="E874" s="326"/>
      <c r="F874" s="171"/>
      <c r="G874" s="173"/>
      <c r="H874" s="170"/>
      <c r="I874" s="171"/>
    </row>
    <row r="875" ht="14.25" customHeight="1">
      <c r="A875" s="171"/>
      <c r="B875" s="282"/>
      <c r="C875" s="305"/>
      <c r="D875" s="326"/>
      <c r="E875" s="326"/>
      <c r="F875" s="171"/>
      <c r="G875" s="173"/>
      <c r="H875" s="170"/>
      <c r="I875" s="171"/>
    </row>
    <row r="876" ht="14.25" customHeight="1">
      <c r="A876" s="171"/>
      <c r="B876" s="282"/>
      <c r="C876" s="305"/>
      <c r="D876" s="326"/>
      <c r="E876" s="326"/>
      <c r="F876" s="171"/>
      <c r="G876" s="173"/>
      <c r="H876" s="170"/>
      <c r="I876" s="171"/>
    </row>
    <row r="877" ht="14.25" customHeight="1">
      <c r="A877" s="171"/>
      <c r="B877" s="282"/>
      <c r="C877" s="305"/>
      <c r="D877" s="326"/>
      <c r="E877" s="326"/>
      <c r="F877" s="171"/>
      <c r="G877" s="173"/>
      <c r="H877" s="170"/>
      <c r="I877" s="171"/>
    </row>
    <row r="878" ht="14.25" customHeight="1">
      <c r="A878" s="171"/>
      <c r="B878" s="282"/>
      <c r="C878" s="305"/>
      <c r="D878" s="326"/>
      <c r="E878" s="326"/>
      <c r="F878" s="171"/>
      <c r="G878" s="173"/>
      <c r="H878" s="170"/>
      <c r="I878" s="171"/>
    </row>
    <row r="879" ht="14.25" customHeight="1">
      <c r="A879" s="171"/>
      <c r="B879" s="282"/>
      <c r="C879" s="305"/>
      <c r="D879" s="326"/>
      <c r="E879" s="326"/>
      <c r="F879" s="171"/>
      <c r="G879" s="173"/>
      <c r="H879" s="170"/>
      <c r="I879" s="171"/>
    </row>
    <row r="880" ht="14.25" customHeight="1">
      <c r="A880" s="171"/>
      <c r="B880" s="282"/>
      <c r="C880" s="305"/>
      <c r="D880" s="326"/>
      <c r="E880" s="326"/>
      <c r="F880" s="171"/>
      <c r="G880" s="173"/>
      <c r="H880" s="170"/>
      <c r="I880" s="171"/>
    </row>
    <row r="881" ht="14.25" customHeight="1">
      <c r="A881" s="171"/>
      <c r="B881" s="282"/>
      <c r="C881" s="305"/>
      <c r="D881" s="326"/>
      <c r="E881" s="326"/>
      <c r="F881" s="171"/>
      <c r="G881" s="173"/>
      <c r="H881" s="170"/>
      <c r="I881" s="171"/>
    </row>
    <row r="882" ht="14.25" customHeight="1">
      <c r="A882" s="171"/>
      <c r="B882" s="282"/>
      <c r="C882" s="305"/>
      <c r="D882" s="326"/>
      <c r="E882" s="326"/>
      <c r="F882" s="171"/>
      <c r="G882" s="173"/>
      <c r="H882" s="170"/>
      <c r="I882" s="171"/>
    </row>
    <row r="883" ht="14.25" customHeight="1">
      <c r="A883" s="171"/>
      <c r="B883" s="282"/>
      <c r="C883" s="305"/>
      <c r="D883" s="326"/>
      <c r="E883" s="326"/>
      <c r="F883" s="171"/>
      <c r="G883" s="173"/>
      <c r="H883" s="170"/>
      <c r="I883" s="171"/>
    </row>
    <row r="884" ht="14.25" customHeight="1">
      <c r="A884" s="171"/>
      <c r="B884" s="282"/>
      <c r="C884" s="305"/>
      <c r="D884" s="326"/>
      <c r="E884" s="326"/>
      <c r="F884" s="171"/>
      <c r="G884" s="173"/>
      <c r="H884" s="170"/>
      <c r="I884" s="171"/>
    </row>
    <row r="885" ht="14.25" customHeight="1">
      <c r="A885" s="171"/>
      <c r="B885" s="282"/>
      <c r="C885" s="305"/>
      <c r="D885" s="326"/>
      <c r="E885" s="326"/>
      <c r="F885" s="171"/>
      <c r="G885" s="173"/>
      <c r="H885" s="170"/>
      <c r="I885" s="171"/>
    </row>
    <row r="886" ht="14.25" customHeight="1">
      <c r="A886" s="171"/>
      <c r="B886" s="282"/>
      <c r="C886" s="305"/>
      <c r="D886" s="326"/>
      <c r="E886" s="326"/>
      <c r="F886" s="171"/>
      <c r="G886" s="173"/>
      <c r="H886" s="170"/>
      <c r="I886" s="171"/>
    </row>
    <row r="887" ht="14.25" customHeight="1">
      <c r="A887" s="171"/>
      <c r="B887" s="282"/>
      <c r="C887" s="305"/>
      <c r="D887" s="326"/>
      <c r="E887" s="326"/>
      <c r="F887" s="171"/>
      <c r="G887" s="173"/>
      <c r="H887" s="170"/>
      <c r="I887" s="171"/>
    </row>
    <row r="888" ht="14.25" customHeight="1">
      <c r="A888" s="171"/>
      <c r="B888" s="282"/>
      <c r="C888" s="305"/>
      <c r="D888" s="326"/>
      <c r="E888" s="326"/>
      <c r="F888" s="171"/>
      <c r="G888" s="173"/>
      <c r="H888" s="170"/>
      <c r="I888" s="171"/>
    </row>
    <row r="889" ht="14.25" customHeight="1">
      <c r="A889" s="171"/>
      <c r="B889" s="282"/>
      <c r="C889" s="305"/>
      <c r="D889" s="326"/>
      <c r="E889" s="326"/>
      <c r="F889" s="171"/>
      <c r="G889" s="173"/>
      <c r="H889" s="170"/>
      <c r="I889" s="171"/>
    </row>
    <row r="890" ht="14.25" customHeight="1">
      <c r="A890" s="171"/>
      <c r="B890" s="282"/>
      <c r="C890" s="305"/>
      <c r="D890" s="326"/>
      <c r="E890" s="326"/>
      <c r="F890" s="171"/>
      <c r="G890" s="173"/>
      <c r="H890" s="170"/>
      <c r="I890" s="171"/>
    </row>
    <row r="891" ht="14.25" customHeight="1">
      <c r="A891" s="171"/>
      <c r="B891" s="282"/>
      <c r="C891" s="305"/>
      <c r="D891" s="326"/>
      <c r="E891" s="326"/>
      <c r="F891" s="171"/>
      <c r="G891" s="173"/>
      <c r="H891" s="170"/>
      <c r="I891" s="171"/>
    </row>
    <row r="892" ht="14.25" customHeight="1">
      <c r="A892" s="171"/>
      <c r="B892" s="282"/>
      <c r="C892" s="305"/>
      <c r="D892" s="326"/>
      <c r="E892" s="326"/>
      <c r="F892" s="171"/>
      <c r="G892" s="173"/>
      <c r="H892" s="170"/>
      <c r="I892" s="171"/>
    </row>
    <row r="893" ht="14.25" customHeight="1">
      <c r="A893" s="171"/>
      <c r="B893" s="282"/>
      <c r="C893" s="305"/>
      <c r="D893" s="326"/>
      <c r="E893" s="326"/>
      <c r="F893" s="171"/>
      <c r="G893" s="173"/>
      <c r="H893" s="170"/>
      <c r="I893" s="171"/>
    </row>
    <row r="894" ht="14.25" customHeight="1">
      <c r="A894" s="171"/>
      <c r="B894" s="282"/>
      <c r="C894" s="305"/>
      <c r="D894" s="326"/>
      <c r="E894" s="326"/>
      <c r="F894" s="171"/>
      <c r="G894" s="173"/>
      <c r="H894" s="170"/>
      <c r="I894" s="171"/>
    </row>
    <row r="895" ht="14.25" customHeight="1">
      <c r="A895" s="171"/>
      <c r="B895" s="282"/>
      <c r="C895" s="305"/>
      <c r="D895" s="326"/>
      <c r="E895" s="326"/>
      <c r="F895" s="171"/>
      <c r="G895" s="173"/>
      <c r="H895" s="170"/>
      <c r="I895" s="171"/>
    </row>
    <row r="896" ht="14.25" customHeight="1">
      <c r="A896" s="171"/>
      <c r="B896" s="282"/>
      <c r="C896" s="305"/>
      <c r="D896" s="326"/>
      <c r="E896" s="326"/>
      <c r="F896" s="171"/>
      <c r="G896" s="173"/>
      <c r="H896" s="170"/>
      <c r="I896" s="171"/>
    </row>
    <row r="897" ht="14.25" customHeight="1">
      <c r="A897" s="171"/>
      <c r="B897" s="282"/>
      <c r="C897" s="305"/>
      <c r="D897" s="326"/>
      <c r="E897" s="326"/>
      <c r="F897" s="171"/>
      <c r="G897" s="173"/>
      <c r="H897" s="170"/>
      <c r="I897" s="171"/>
    </row>
    <row r="898" ht="14.25" customHeight="1">
      <c r="A898" s="171"/>
      <c r="B898" s="282"/>
      <c r="C898" s="305"/>
      <c r="D898" s="326"/>
      <c r="E898" s="326"/>
      <c r="F898" s="171"/>
      <c r="G898" s="173"/>
      <c r="H898" s="170"/>
      <c r="I898" s="171"/>
    </row>
    <row r="899" ht="14.25" customHeight="1">
      <c r="A899" s="171"/>
      <c r="B899" s="282"/>
      <c r="C899" s="305"/>
      <c r="D899" s="326"/>
      <c r="E899" s="326"/>
      <c r="F899" s="171"/>
      <c r="G899" s="173"/>
      <c r="H899" s="170"/>
      <c r="I899" s="171"/>
    </row>
    <row r="900" ht="14.25" customHeight="1">
      <c r="A900" s="171"/>
      <c r="B900" s="282"/>
      <c r="C900" s="305"/>
      <c r="D900" s="326"/>
      <c r="E900" s="326"/>
      <c r="F900" s="171"/>
      <c r="G900" s="173"/>
      <c r="H900" s="170"/>
      <c r="I900" s="171"/>
    </row>
    <row r="901" ht="14.25" customHeight="1">
      <c r="A901" s="171"/>
      <c r="B901" s="282"/>
      <c r="C901" s="305"/>
      <c r="D901" s="326"/>
      <c r="E901" s="326"/>
      <c r="F901" s="171"/>
      <c r="G901" s="173"/>
      <c r="H901" s="170"/>
      <c r="I901" s="171"/>
    </row>
    <row r="902" ht="14.25" customHeight="1">
      <c r="A902" s="171"/>
      <c r="B902" s="282"/>
      <c r="C902" s="305"/>
      <c r="D902" s="326"/>
      <c r="E902" s="326"/>
      <c r="F902" s="171"/>
      <c r="G902" s="173"/>
      <c r="H902" s="170"/>
      <c r="I902" s="171"/>
    </row>
    <row r="903" ht="14.25" customHeight="1">
      <c r="A903" s="171"/>
      <c r="B903" s="282"/>
      <c r="C903" s="305"/>
      <c r="D903" s="326"/>
      <c r="E903" s="326"/>
      <c r="F903" s="171"/>
      <c r="G903" s="173"/>
      <c r="H903" s="170"/>
      <c r="I903" s="171"/>
    </row>
    <row r="904" ht="14.25" customHeight="1">
      <c r="A904" s="171"/>
      <c r="B904" s="282"/>
      <c r="C904" s="305"/>
      <c r="D904" s="326"/>
      <c r="E904" s="326"/>
      <c r="F904" s="171"/>
      <c r="G904" s="173"/>
      <c r="H904" s="170"/>
      <c r="I904" s="171"/>
    </row>
    <row r="905" ht="14.25" customHeight="1">
      <c r="A905" s="171"/>
      <c r="B905" s="282"/>
      <c r="C905" s="305"/>
      <c r="D905" s="326"/>
      <c r="E905" s="326"/>
      <c r="F905" s="171"/>
      <c r="G905" s="173"/>
      <c r="H905" s="170"/>
      <c r="I905" s="171"/>
    </row>
    <row r="906" ht="14.25" customHeight="1">
      <c r="A906" s="171"/>
      <c r="B906" s="282"/>
      <c r="C906" s="305"/>
      <c r="D906" s="326"/>
      <c r="E906" s="326"/>
      <c r="F906" s="171"/>
      <c r="G906" s="173"/>
      <c r="H906" s="170"/>
      <c r="I906" s="171"/>
    </row>
    <row r="907" ht="14.25" customHeight="1">
      <c r="A907" s="171"/>
      <c r="B907" s="282"/>
      <c r="C907" s="305"/>
      <c r="D907" s="326"/>
      <c r="E907" s="326"/>
      <c r="F907" s="171"/>
      <c r="G907" s="173"/>
      <c r="H907" s="170"/>
      <c r="I907" s="171"/>
    </row>
    <row r="908" ht="14.25" customHeight="1">
      <c r="A908" s="171"/>
      <c r="B908" s="282"/>
      <c r="C908" s="305"/>
      <c r="D908" s="326"/>
      <c r="E908" s="326"/>
      <c r="F908" s="171"/>
      <c r="G908" s="173"/>
      <c r="H908" s="170"/>
      <c r="I908" s="171"/>
    </row>
    <row r="909" ht="14.25" customHeight="1">
      <c r="A909" s="171"/>
      <c r="B909" s="282"/>
      <c r="C909" s="305"/>
      <c r="D909" s="326"/>
      <c r="E909" s="326"/>
      <c r="F909" s="171"/>
      <c r="G909" s="173"/>
      <c r="H909" s="170"/>
      <c r="I909" s="171"/>
    </row>
    <row r="910" ht="14.25" customHeight="1">
      <c r="A910" s="171"/>
      <c r="B910" s="282"/>
      <c r="C910" s="305"/>
      <c r="D910" s="326"/>
      <c r="E910" s="326"/>
      <c r="F910" s="171"/>
      <c r="G910" s="173"/>
      <c r="H910" s="170"/>
      <c r="I910" s="171"/>
    </row>
    <row r="911" ht="14.25" customHeight="1">
      <c r="A911" s="171"/>
      <c r="B911" s="282"/>
      <c r="C911" s="305"/>
      <c r="D911" s="326"/>
      <c r="E911" s="326"/>
      <c r="F911" s="171"/>
      <c r="G911" s="173"/>
      <c r="H911" s="170"/>
      <c r="I911" s="171"/>
    </row>
    <row r="912" ht="14.25" customHeight="1">
      <c r="A912" s="171"/>
      <c r="B912" s="282"/>
      <c r="C912" s="305"/>
      <c r="D912" s="326"/>
      <c r="E912" s="326"/>
      <c r="F912" s="171"/>
      <c r="G912" s="173"/>
      <c r="H912" s="170"/>
      <c r="I912" s="171"/>
    </row>
    <row r="913" ht="14.25" customHeight="1">
      <c r="A913" s="171"/>
      <c r="B913" s="282"/>
      <c r="C913" s="305"/>
      <c r="D913" s="326"/>
      <c r="E913" s="326"/>
      <c r="F913" s="171"/>
      <c r="G913" s="173"/>
      <c r="H913" s="170"/>
      <c r="I913" s="171"/>
    </row>
    <row r="914" ht="14.25" customHeight="1">
      <c r="A914" s="171"/>
      <c r="B914" s="282"/>
      <c r="C914" s="305"/>
      <c r="D914" s="326"/>
      <c r="E914" s="326"/>
      <c r="F914" s="171"/>
      <c r="G914" s="173"/>
      <c r="H914" s="170"/>
      <c r="I914" s="171"/>
    </row>
    <row r="915" ht="14.25" customHeight="1">
      <c r="A915" s="171"/>
      <c r="B915" s="282"/>
      <c r="C915" s="305"/>
      <c r="D915" s="326"/>
      <c r="E915" s="326"/>
      <c r="F915" s="171"/>
      <c r="G915" s="173"/>
      <c r="H915" s="170"/>
      <c r="I915" s="171"/>
    </row>
    <row r="916" ht="14.25" customHeight="1">
      <c r="A916" s="171"/>
      <c r="B916" s="282"/>
      <c r="C916" s="305"/>
      <c r="D916" s="326"/>
      <c r="E916" s="326"/>
      <c r="F916" s="171"/>
      <c r="G916" s="173"/>
      <c r="H916" s="170"/>
      <c r="I916" s="171"/>
    </row>
    <row r="917" ht="14.25" customHeight="1">
      <c r="A917" s="171"/>
      <c r="B917" s="282"/>
      <c r="C917" s="305"/>
      <c r="D917" s="326"/>
      <c r="E917" s="326"/>
      <c r="F917" s="171"/>
      <c r="G917" s="173"/>
      <c r="H917" s="170"/>
      <c r="I917" s="171"/>
    </row>
    <row r="918" ht="14.25" customHeight="1">
      <c r="A918" s="171"/>
      <c r="B918" s="282"/>
      <c r="C918" s="305"/>
      <c r="D918" s="326"/>
      <c r="E918" s="326"/>
      <c r="F918" s="171"/>
      <c r="G918" s="173"/>
      <c r="H918" s="170"/>
      <c r="I918" s="171"/>
    </row>
    <row r="919" ht="14.25" customHeight="1">
      <c r="A919" s="171"/>
      <c r="B919" s="282"/>
      <c r="C919" s="305"/>
      <c r="D919" s="326"/>
      <c r="E919" s="326"/>
      <c r="F919" s="171"/>
      <c r="G919" s="173"/>
      <c r="H919" s="170"/>
      <c r="I919" s="171"/>
    </row>
    <row r="920" ht="14.25" customHeight="1">
      <c r="A920" s="171"/>
      <c r="B920" s="282"/>
      <c r="C920" s="305"/>
      <c r="D920" s="326"/>
      <c r="E920" s="326"/>
      <c r="F920" s="171"/>
      <c r="G920" s="173"/>
      <c r="H920" s="170"/>
      <c r="I920" s="171"/>
    </row>
    <row r="921" ht="14.25" customHeight="1">
      <c r="A921" s="171"/>
      <c r="B921" s="282"/>
      <c r="C921" s="305"/>
      <c r="D921" s="326"/>
      <c r="E921" s="326"/>
      <c r="F921" s="171"/>
      <c r="G921" s="173"/>
      <c r="H921" s="170"/>
      <c r="I921" s="171"/>
    </row>
    <row r="922" ht="14.25" customHeight="1">
      <c r="A922" s="171"/>
      <c r="B922" s="282"/>
      <c r="C922" s="305"/>
      <c r="D922" s="326"/>
      <c r="E922" s="326"/>
      <c r="F922" s="171"/>
      <c r="G922" s="173"/>
      <c r="H922" s="170"/>
      <c r="I922" s="171"/>
    </row>
    <row r="923" ht="14.25" customHeight="1">
      <c r="A923" s="171"/>
      <c r="B923" s="282"/>
      <c r="C923" s="305"/>
      <c r="D923" s="326"/>
      <c r="E923" s="326"/>
      <c r="F923" s="171"/>
      <c r="G923" s="173"/>
      <c r="H923" s="170"/>
      <c r="I923" s="171"/>
    </row>
    <row r="924" ht="14.25" customHeight="1">
      <c r="A924" s="171"/>
      <c r="B924" s="282"/>
      <c r="C924" s="305"/>
      <c r="D924" s="326"/>
      <c r="E924" s="326"/>
      <c r="F924" s="171"/>
      <c r="G924" s="173"/>
      <c r="H924" s="170"/>
      <c r="I924" s="171"/>
    </row>
    <row r="925" ht="14.25" customHeight="1">
      <c r="A925" s="171"/>
      <c r="B925" s="282"/>
      <c r="C925" s="305"/>
      <c r="D925" s="326"/>
      <c r="E925" s="326"/>
      <c r="F925" s="171"/>
      <c r="G925" s="173"/>
      <c r="H925" s="170"/>
      <c r="I925" s="171"/>
    </row>
    <row r="926" ht="14.25" customHeight="1">
      <c r="A926" s="171"/>
      <c r="B926" s="282"/>
      <c r="C926" s="305"/>
      <c r="D926" s="326"/>
      <c r="E926" s="326"/>
      <c r="F926" s="171"/>
      <c r="G926" s="173"/>
      <c r="H926" s="170"/>
      <c r="I926" s="171"/>
    </row>
    <row r="927" ht="14.25" customHeight="1">
      <c r="A927" s="171"/>
      <c r="B927" s="282"/>
      <c r="C927" s="305"/>
      <c r="D927" s="326"/>
      <c r="E927" s="326"/>
      <c r="F927" s="171"/>
      <c r="G927" s="173"/>
      <c r="H927" s="170"/>
      <c r="I927" s="171"/>
    </row>
    <row r="928" ht="14.25" customHeight="1">
      <c r="A928" s="171"/>
      <c r="B928" s="282"/>
      <c r="C928" s="305"/>
      <c r="D928" s="326"/>
      <c r="E928" s="326"/>
      <c r="F928" s="171"/>
      <c r="G928" s="173"/>
      <c r="H928" s="170"/>
      <c r="I928" s="171"/>
    </row>
    <row r="929" ht="14.25" customHeight="1">
      <c r="A929" s="171"/>
      <c r="B929" s="282"/>
      <c r="C929" s="305"/>
      <c r="D929" s="326"/>
      <c r="E929" s="326"/>
      <c r="F929" s="171"/>
      <c r="G929" s="173"/>
      <c r="H929" s="170"/>
      <c r="I929" s="171"/>
    </row>
    <row r="930" ht="14.25" customHeight="1">
      <c r="A930" s="171"/>
      <c r="B930" s="282"/>
      <c r="C930" s="305"/>
      <c r="D930" s="326"/>
      <c r="E930" s="326"/>
      <c r="F930" s="171"/>
      <c r="G930" s="173"/>
      <c r="H930" s="170"/>
      <c r="I930" s="171"/>
    </row>
    <row r="931" ht="14.25" customHeight="1">
      <c r="A931" s="171"/>
      <c r="B931" s="282"/>
      <c r="C931" s="305"/>
      <c r="D931" s="326"/>
      <c r="E931" s="326"/>
      <c r="F931" s="171"/>
      <c r="G931" s="173"/>
      <c r="H931" s="170"/>
      <c r="I931" s="171"/>
    </row>
    <row r="932" ht="14.25" customHeight="1">
      <c r="A932" s="171"/>
      <c r="B932" s="282"/>
      <c r="C932" s="305"/>
      <c r="D932" s="326"/>
      <c r="E932" s="326"/>
      <c r="F932" s="171"/>
      <c r="G932" s="173"/>
      <c r="H932" s="170"/>
      <c r="I932" s="171"/>
    </row>
    <row r="933" ht="14.25" customHeight="1">
      <c r="A933" s="171"/>
      <c r="B933" s="282"/>
      <c r="C933" s="305"/>
      <c r="D933" s="326"/>
      <c r="E933" s="326"/>
      <c r="F933" s="171"/>
      <c r="G933" s="173"/>
      <c r="H933" s="170"/>
      <c r="I933" s="171"/>
    </row>
    <row r="934" ht="14.25" customHeight="1">
      <c r="A934" s="171"/>
      <c r="B934" s="282"/>
      <c r="C934" s="305"/>
      <c r="D934" s="326"/>
      <c r="E934" s="326"/>
      <c r="F934" s="171"/>
      <c r="G934" s="173"/>
      <c r="H934" s="170"/>
      <c r="I934" s="171"/>
    </row>
    <row r="935" ht="14.25" customHeight="1">
      <c r="A935" s="171"/>
      <c r="B935" s="282"/>
      <c r="C935" s="305"/>
      <c r="D935" s="326"/>
      <c r="E935" s="326"/>
      <c r="F935" s="171"/>
      <c r="G935" s="173"/>
      <c r="H935" s="170"/>
      <c r="I935" s="171"/>
    </row>
    <row r="936" ht="14.25" customHeight="1">
      <c r="A936" s="171"/>
      <c r="B936" s="282"/>
      <c r="C936" s="305"/>
      <c r="D936" s="326"/>
      <c r="E936" s="326"/>
      <c r="F936" s="171"/>
      <c r="G936" s="173"/>
      <c r="H936" s="170"/>
      <c r="I936" s="171"/>
    </row>
    <row r="937" ht="14.25" customHeight="1">
      <c r="A937" s="171"/>
      <c r="B937" s="282"/>
      <c r="C937" s="305"/>
      <c r="D937" s="326"/>
      <c r="E937" s="326"/>
      <c r="F937" s="171"/>
      <c r="G937" s="173"/>
      <c r="H937" s="170"/>
      <c r="I937" s="171"/>
    </row>
    <row r="938" ht="14.25" customHeight="1">
      <c r="A938" s="171"/>
      <c r="B938" s="282"/>
      <c r="C938" s="305"/>
      <c r="D938" s="326"/>
      <c r="E938" s="326"/>
      <c r="F938" s="171"/>
      <c r="G938" s="173"/>
      <c r="H938" s="170"/>
      <c r="I938" s="171"/>
    </row>
    <row r="939" ht="14.25" customHeight="1">
      <c r="A939" s="171"/>
      <c r="B939" s="282"/>
      <c r="C939" s="305"/>
      <c r="D939" s="326"/>
      <c r="E939" s="326"/>
      <c r="F939" s="171"/>
      <c r="G939" s="173"/>
      <c r="H939" s="170"/>
      <c r="I939" s="171"/>
    </row>
    <row r="940" ht="14.25" customHeight="1">
      <c r="A940" s="171"/>
      <c r="B940" s="282"/>
      <c r="C940" s="305"/>
      <c r="D940" s="326"/>
      <c r="E940" s="326"/>
      <c r="F940" s="171"/>
      <c r="G940" s="173"/>
      <c r="H940" s="170"/>
      <c r="I940" s="171"/>
    </row>
    <row r="941" ht="14.25" customHeight="1">
      <c r="A941" s="171"/>
      <c r="B941" s="282"/>
      <c r="C941" s="305"/>
      <c r="D941" s="326"/>
      <c r="E941" s="326"/>
      <c r="F941" s="171"/>
      <c r="G941" s="173"/>
      <c r="H941" s="170"/>
      <c r="I941" s="171"/>
    </row>
    <row r="942" ht="14.25" customHeight="1">
      <c r="A942" s="171"/>
      <c r="B942" s="282"/>
      <c r="C942" s="305"/>
      <c r="D942" s="326"/>
      <c r="E942" s="326"/>
      <c r="F942" s="171"/>
      <c r="G942" s="173"/>
      <c r="H942" s="170"/>
      <c r="I942" s="171"/>
    </row>
    <row r="943" ht="14.25" customHeight="1">
      <c r="A943" s="171"/>
      <c r="B943" s="282"/>
      <c r="C943" s="305"/>
      <c r="D943" s="326"/>
      <c r="E943" s="326"/>
      <c r="F943" s="171"/>
      <c r="G943" s="173"/>
      <c r="H943" s="170"/>
      <c r="I943" s="171"/>
    </row>
    <row r="944" ht="14.25" customHeight="1">
      <c r="A944" s="171"/>
      <c r="B944" s="282"/>
      <c r="C944" s="305"/>
      <c r="D944" s="326"/>
      <c r="E944" s="326"/>
      <c r="F944" s="171"/>
      <c r="G944" s="173"/>
      <c r="H944" s="170"/>
      <c r="I944" s="171"/>
    </row>
    <row r="945" ht="14.25" customHeight="1">
      <c r="A945" s="171"/>
      <c r="B945" s="282"/>
      <c r="C945" s="305"/>
      <c r="D945" s="326"/>
      <c r="E945" s="326"/>
      <c r="F945" s="171"/>
      <c r="G945" s="173"/>
      <c r="H945" s="170"/>
      <c r="I945" s="171"/>
    </row>
    <row r="946" ht="14.25" customHeight="1">
      <c r="A946" s="171"/>
      <c r="B946" s="282"/>
      <c r="C946" s="305"/>
      <c r="D946" s="326"/>
      <c r="E946" s="326"/>
      <c r="F946" s="171"/>
      <c r="G946" s="173"/>
      <c r="H946" s="170"/>
      <c r="I946" s="171"/>
    </row>
    <row r="947" ht="14.25" customHeight="1">
      <c r="A947" s="171"/>
      <c r="B947" s="282"/>
      <c r="C947" s="305"/>
      <c r="D947" s="326"/>
      <c r="E947" s="326"/>
      <c r="F947" s="171"/>
      <c r="G947" s="173"/>
      <c r="H947" s="170"/>
      <c r="I947" s="171"/>
    </row>
    <row r="948" ht="14.25" customHeight="1">
      <c r="A948" s="171"/>
      <c r="B948" s="282"/>
      <c r="C948" s="305"/>
      <c r="D948" s="326"/>
      <c r="E948" s="326"/>
      <c r="F948" s="171"/>
      <c r="G948" s="173"/>
      <c r="H948" s="170"/>
      <c r="I948" s="171"/>
    </row>
    <row r="949" ht="14.25" customHeight="1">
      <c r="A949" s="171"/>
      <c r="B949" s="282"/>
      <c r="C949" s="305"/>
      <c r="D949" s="326"/>
      <c r="E949" s="326"/>
      <c r="F949" s="171"/>
      <c r="G949" s="173"/>
      <c r="H949" s="170"/>
      <c r="I949" s="171"/>
    </row>
    <row r="950" ht="14.25" customHeight="1">
      <c r="A950" s="171"/>
      <c r="B950" s="282"/>
      <c r="C950" s="305"/>
      <c r="D950" s="326"/>
      <c r="E950" s="326"/>
      <c r="F950" s="171"/>
      <c r="G950" s="173"/>
      <c r="H950" s="170"/>
      <c r="I950" s="171"/>
    </row>
    <row r="951" ht="14.25" customHeight="1">
      <c r="A951" s="171"/>
      <c r="B951" s="282"/>
      <c r="C951" s="305"/>
      <c r="D951" s="326"/>
      <c r="E951" s="326"/>
      <c r="F951" s="171"/>
      <c r="G951" s="173"/>
      <c r="H951" s="170"/>
      <c r="I951" s="171"/>
    </row>
    <row r="952" ht="14.25" customHeight="1">
      <c r="A952" s="171"/>
      <c r="B952" s="282"/>
      <c r="C952" s="305"/>
      <c r="D952" s="326"/>
      <c r="E952" s="326"/>
      <c r="F952" s="171"/>
      <c r="G952" s="173"/>
      <c r="H952" s="170"/>
      <c r="I952" s="171"/>
    </row>
    <row r="953" ht="14.25" customHeight="1">
      <c r="A953" s="171"/>
      <c r="B953" s="282"/>
      <c r="C953" s="305"/>
      <c r="D953" s="326"/>
      <c r="E953" s="326"/>
      <c r="F953" s="171"/>
      <c r="G953" s="173"/>
      <c r="H953" s="170"/>
      <c r="I953" s="171"/>
    </row>
    <row r="954" ht="14.25" customHeight="1">
      <c r="A954" s="171"/>
      <c r="B954" s="282"/>
      <c r="C954" s="305"/>
      <c r="D954" s="326"/>
      <c r="E954" s="326"/>
      <c r="F954" s="171"/>
      <c r="G954" s="173"/>
      <c r="H954" s="170"/>
      <c r="I954" s="171"/>
    </row>
    <row r="955" ht="14.25" customHeight="1">
      <c r="A955" s="171"/>
      <c r="B955" s="282"/>
      <c r="C955" s="305"/>
      <c r="D955" s="326"/>
      <c r="E955" s="326"/>
      <c r="F955" s="171"/>
      <c r="G955" s="173"/>
      <c r="H955" s="170"/>
      <c r="I955" s="171"/>
    </row>
    <row r="956" ht="14.25" customHeight="1">
      <c r="A956" s="171"/>
      <c r="B956" s="282"/>
      <c r="C956" s="305"/>
      <c r="D956" s="326"/>
      <c r="E956" s="326"/>
      <c r="F956" s="171"/>
      <c r="G956" s="173"/>
      <c r="H956" s="170"/>
      <c r="I956" s="171"/>
    </row>
    <row r="957" ht="14.25" customHeight="1">
      <c r="A957" s="171"/>
      <c r="B957" s="282"/>
      <c r="C957" s="305"/>
      <c r="D957" s="326"/>
      <c r="E957" s="326"/>
      <c r="F957" s="171"/>
      <c r="G957" s="173"/>
      <c r="H957" s="170"/>
      <c r="I957" s="171"/>
    </row>
    <row r="958" ht="14.25" customHeight="1">
      <c r="A958" s="171"/>
      <c r="B958" s="282"/>
      <c r="C958" s="305"/>
      <c r="D958" s="326"/>
      <c r="E958" s="326"/>
      <c r="F958" s="171"/>
      <c r="G958" s="173"/>
      <c r="H958" s="170"/>
      <c r="I958" s="171"/>
    </row>
    <row r="959" ht="14.25" customHeight="1">
      <c r="A959" s="171"/>
      <c r="B959" s="282"/>
      <c r="C959" s="305"/>
      <c r="D959" s="326"/>
      <c r="E959" s="326"/>
      <c r="F959" s="171"/>
      <c r="G959" s="173"/>
      <c r="H959" s="170"/>
      <c r="I959" s="171"/>
    </row>
    <row r="960" ht="14.25" customHeight="1">
      <c r="A960" s="171"/>
      <c r="B960" s="282"/>
      <c r="C960" s="305"/>
      <c r="D960" s="326"/>
      <c r="E960" s="326"/>
      <c r="F960" s="171"/>
      <c r="G960" s="173"/>
      <c r="H960" s="170"/>
      <c r="I960" s="171"/>
    </row>
    <row r="961" ht="14.25" customHeight="1">
      <c r="A961" s="171"/>
      <c r="B961" s="282"/>
      <c r="C961" s="305"/>
      <c r="D961" s="326"/>
      <c r="E961" s="326"/>
      <c r="F961" s="171"/>
      <c r="G961" s="173"/>
      <c r="H961" s="170"/>
      <c r="I961" s="171"/>
    </row>
    <row r="962" ht="14.25" customHeight="1">
      <c r="A962" s="171"/>
      <c r="B962" s="282"/>
      <c r="C962" s="305"/>
      <c r="D962" s="326"/>
      <c r="E962" s="326"/>
      <c r="F962" s="171"/>
      <c r="G962" s="173"/>
      <c r="H962" s="170"/>
      <c r="I962" s="171"/>
    </row>
    <row r="963" ht="14.25" customHeight="1">
      <c r="A963" s="171"/>
      <c r="B963" s="282"/>
      <c r="C963" s="305"/>
      <c r="D963" s="326"/>
      <c r="E963" s="326"/>
      <c r="F963" s="171"/>
      <c r="G963" s="173"/>
      <c r="H963" s="170"/>
      <c r="I963" s="171"/>
    </row>
    <row r="964" ht="14.25" customHeight="1">
      <c r="A964" s="171"/>
      <c r="B964" s="282"/>
      <c r="C964" s="305"/>
      <c r="D964" s="326"/>
      <c r="E964" s="326"/>
      <c r="F964" s="171"/>
      <c r="G964" s="173"/>
      <c r="H964" s="170"/>
      <c r="I964" s="171"/>
    </row>
    <row r="965" ht="14.25" customHeight="1">
      <c r="A965" s="171"/>
      <c r="B965" s="282"/>
      <c r="C965" s="305"/>
      <c r="D965" s="326"/>
      <c r="E965" s="326"/>
      <c r="F965" s="171"/>
      <c r="G965" s="173"/>
      <c r="H965" s="170"/>
      <c r="I965" s="171"/>
    </row>
    <row r="966" ht="14.25" customHeight="1">
      <c r="A966" s="171"/>
      <c r="B966" s="282"/>
      <c r="C966" s="305"/>
      <c r="D966" s="326"/>
      <c r="E966" s="326"/>
      <c r="F966" s="171"/>
      <c r="G966" s="173"/>
      <c r="H966" s="170"/>
      <c r="I966" s="171"/>
    </row>
    <row r="967" ht="14.25" customHeight="1">
      <c r="A967" s="171"/>
      <c r="B967" s="282"/>
      <c r="C967" s="305"/>
      <c r="D967" s="326"/>
      <c r="E967" s="326"/>
      <c r="F967" s="171"/>
      <c r="G967" s="173"/>
      <c r="H967" s="170"/>
      <c r="I967" s="171"/>
    </row>
    <row r="968" ht="14.25" customHeight="1">
      <c r="A968" s="171"/>
      <c r="B968" s="282"/>
      <c r="C968" s="305"/>
      <c r="D968" s="326"/>
      <c r="E968" s="326"/>
      <c r="F968" s="171"/>
      <c r="G968" s="173"/>
      <c r="H968" s="170"/>
      <c r="I968" s="171"/>
    </row>
    <row r="969" ht="14.25" customHeight="1">
      <c r="A969" s="171"/>
      <c r="B969" s="282"/>
      <c r="C969" s="305"/>
      <c r="D969" s="326"/>
      <c r="E969" s="326"/>
      <c r="F969" s="171"/>
      <c r="G969" s="173"/>
      <c r="H969" s="170"/>
      <c r="I969" s="171"/>
    </row>
    <row r="970" ht="14.25" customHeight="1">
      <c r="A970" s="171"/>
      <c r="B970" s="282"/>
      <c r="C970" s="305"/>
      <c r="D970" s="326"/>
      <c r="E970" s="326"/>
      <c r="F970" s="171"/>
      <c r="G970" s="173"/>
      <c r="H970" s="170"/>
      <c r="I970" s="171"/>
    </row>
    <row r="971" ht="14.25" customHeight="1">
      <c r="A971" s="171"/>
      <c r="B971" s="282"/>
      <c r="C971" s="305"/>
      <c r="D971" s="326"/>
      <c r="E971" s="326"/>
      <c r="F971" s="171"/>
      <c r="G971" s="173"/>
      <c r="H971" s="170"/>
      <c r="I971" s="171"/>
    </row>
    <row r="972" ht="14.25" customHeight="1">
      <c r="A972" s="171"/>
      <c r="B972" s="282"/>
      <c r="C972" s="305"/>
      <c r="D972" s="326"/>
      <c r="E972" s="326"/>
      <c r="F972" s="171"/>
      <c r="G972" s="173"/>
      <c r="H972" s="170"/>
      <c r="I972" s="171"/>
    </row>
    <row r="973" ht="14.25" customHeight="1">
      <c r="A973" s="171"/>
      <c r="B973" s="282"/>
      <c r="C973" s="305"/>
      <c r="D973" s="326"/>
      <c r="E973" s="326"/>
      <c r="F973" s="171"/>
      <c r="G973" s="173"/>
      <c r="H973" s="170"/>
      <c r="I973" s="171"/>
    </row>
    <row r="974" ht="14.25" customHeight="1">
      <c r="A974" s="171"/>
      <c r="B974" s="282"/>
      <c r="C974" s="305"/>
      <c r="D974" s="326"/>
      <c r="E974" s="326"/>
      <c r="F974" s="171"/>
      <c r="G974" s="173"/>
      <c r="H974" s="170"/>
      <c r="I974" s="171"/>
    </row>
    <row r="975" ht="14.25" customHeight="1">
      <c r="A975" s="171"/>
      <c r="B975" s="282"/>
      <c r="C975" s="305"/>
      <c r="D975" s="326"/>
      <c r="E975" s="326"/>
      <c r="F975" s="171"/>
      <c r="G975" s="173"/>
      <c r="H975" s="170"/>
      <c r="I975" s="171"/>
    </row>
    <row r="976" ht="14.25" customHeight="1">
      <c r="A976" s="171"/>
      <c r="B976" s="282"/>
      <c r="C976" s="305"/>
      <c r="D976" s="326"/>
      <c r="E976" s="326"/>
      <c r="F976" s="171"/>
      <c r="G976" s="173"/>
      <c r="H976" s="170"/>
      <c r="I976" s="171"/>
    </row>
    <row r="977" ht="14.25" customHeight="1">
      <c r="A977" s="171"/>
      <c r="B977" s="282"/>
      <c r="C977" s="305"/>
      <c r="D977" s="326"/>
      <c r="E977" s="326"/>
      <c r="F977" s="171"/>
      <c r="G977" s="173"/>
      <c r="H977" s="170"/>
      <c r="I977" s="171"/>
    </row>
    <row r="978" ht="14.25" customHeight="1">
      <c r="A978" s="171"/>
      <c r="B978" s="282"/>
      <c r="C978" s="305"/>
      <c r="D978" s="326"/>
      <c r="E978" s="326"/>
      <c r="F978" s="171"/>
      <c r="G978" s="173"/>
      <c r="H978" s="170"/>
      <c r="I978" s="171"/>
    </row>
    <row r="979" ht="14.25" customHeight="1">
      <c r="A979" s="171"/>
      <c r="B979" s="282"/>
      <c r="C979" s="305"/>
      <c r="D979" s="326"/>
      <c r="E979" s="326"/>
      <c r="F979" s="171"/>
      <c r="G979" s="173"/>
      <c r="H979" s="170"/>
      <c r="I979" s="171"/>
    </row>
    <row r="980" ht="14.25" customHeight="1">
      <c r="A980" s="171"/>
      <c r="B980" s="282"/>
      <c r="C980" s="305"/>
      <c r="D980" s="326"/>
      <c r="E980" s="326"/>
      <c r="F980" s="171"/>
      <c r="G980" s="173"/>
      <c r="H980" s="170"/>
      <c r="I980" s="171"/>
    </row>
    <row r="981" ht="14.25" customHeight="1">
      <c r="A981" s="171"/>
      <c r="B981" s="282"/>
      <c r="C981" s="305"/>
      <c r="D981" s="326"/>
      <c r="E981" s="326"/>
      <c r="F981" s="171"/>
      <c r="G981" s="173"/>
      <c r="H981" s="170"/>
      <c r="I981" s="171"/>
    </row>
    <row r="982" ht="14.25" customHeight="1">
      <c r="A982" s="171"/>
      <c r="B982" s="282"/>
      <c r="C982" s="305"/>
      <c r="D982" s="326"/>
      <c r="E982" s="326"/>
      <c r="F982" s="171"/>
      <c r="G982" s="173"/>
      <c r="H982" s="170"/>
      <c r="I982" s="171"/>
    </row>
    <row r="983" ht="14.25" customHeight="1">
      <c r="A983" s="171"/>
      <c r="B983" s="282"/>
      <c r="C983" s="305"/>
      <c r="D983" s="326"/>
      <c r="E983" s="326"/>
      <c r="F983" s="171"/>
      <c r="G983" s="173"/>
      <c r="H983" s="170"/>
      <c r="I983" s="171"/>
    </row>
    <row r="984" ht="14.25" customHeight="1">
      <c r="A984" s="171"/>
      <c r="B984" s="282"/>
      <c r="C984" s="305"/>
      <c r="D984" s="326"/>
      <c r="E984" s="326"/>
      <c r="F984" s="171"/>
      <c r="G984" s="173"/>
      <c r="H984" s="170"/>
      <c r="I984" s="171"/>
    </row>
    <row r="985" ht="14.25" customHeight="1">
      <c r="A985" s="171"/>
      <c r="B985" s="282"/>
      <c r="C985" s="305"/>
      <c r="D985" s="326"/>
      <c r="E985" s="326"/>
      <c r="F985" s="171"/>
      <c r="G985" s="173"/>
      <c r="H985" s="170"/>
      <c r="I985" s="171"/>
    </row>
    <row r="986" ht="14.25" customHeight="1">
      <c r="A986" s="171"/>
      <c r="B986" s="282"/>
      <c r="C986" s="305"/>
      <c r="D986" s="326"/>
      <c r="E986" s="326"/>
      <c r="F986" s="171"/>
      <c r="G986" s="173"/>
      <c r="H986" s="170"/>
      <c r="I986" s="171"/>
    </row>
    <row r="987" ht="14.25" customHeight="1">
      <c r="A987" s="171"/>
      <c r="B987" s="282"/>
      <c r="C987" s="305"/>
      <c r="D987" s="326"/>
      <c r="E987" s="326"/>
      <c r="F987" s="171"/>
      <c r="G987" s="173"/>
      <c r="H987" s="170"/>
      <c r="I987" s="171"/>
    </row>
    <row r="988" ht="14.25" customHeight="1">
      <c r="A988" s="171"/>
      <c r="B988" s="282"/>
      <c r="C988" s="305"/>
      <c r="D988" s="326"/>
      <c r="E988" s="326"/>
      <c r="F988" s="171"/>
      <c r="G988" s="173"/>
      <c r="H988" s="170"/>
      <c r="I988" s="171"/>
    </row>
    <row r="989" ht="14.25" customHeight="1">
      <c r="A989" s="171"/>
      <c r="B989" s="282"/>
      <c r="C989" s="305"/>
      <c r="D989" s="326"/>
      <c r="E989" s="326"/>
      <c r="F989" s="171"/>
      <c r="G989" s="173"/>
      <c r="H989" s="170"/>
      <c r="I989" s="171"/>
    </row>
    <row r="990" ht="14.25" customHeight="1">
      <c r="A990" s="171"/>
      <c r="B990" s="282"/>
      <c r="C990" s="305"/>
      <c r="D990" s="326"/>
      <c r="E990" s="326"/>
      <c r="F990" s="171"/>
      <c r="G990" s="173"/>
      <c r="H990" s="170"/>
      <c r="I990" s="171"/>
    </row>
    <row r="991" ht="14.25" customHeight="1">
      <c r="A991" s="171"/>
      <c r="B991" s="282"/>
      <c r="C991" s="305"/>
      <c r="D991" s="326"/>
      <c r="E991" s="326"/>
      <c r="F991" s="171"/>
      <c r="G991" s="173"/>
      <c r="H991" s="170"/>
      <c r="I991" s="171"/>
    </row>
    <row r="992" ht="14.25" customHeight="1">
      <c r="A992" s="171"/>
      <c r="B992" s="282"/>
      <c r="C992" s="305"/>
      <c r="D992" s="326"/>
      <c r="E992" s="326"/>
      <c r="F992" s="171"/>
      <c r="G992" s="173"/>
      <c r="H992" s="170"/>
      <c r="I992" s="171"/>
    </row>
    <row r="993" ht="14.25" customHeight="1">
      <c r="A993" s="171"/>
      <c r="B993" s="282"/>
      <c r="C993" s="305"/>
      <c r="D993" s="326"/>
      <c r="E993" s="326"/>
      <c r="F993" s="171"/>
      <c r="G993" s="173"/>
      <c r="H993" s="170"/>
      <c r="I993" s="171"/>
    </row>
    <row r="994" ht="14.25" customHeight="1">
      <c r="A994" s="171"/>
      <c r="B994" s="282"/>
      <c r="C994" s="305"/>
      <c r="D994" s="326"/>
      <c r="E994" s="326"/>
      <c r="F994" s="171"/>
      <c r="G994" s="173"/>
      <c r="H994" s="170"/>
      <c r="I994" s="171"/>
    </row>
    <row r="995" ht="14.25" customHeight="1">
      <c r="A995" s="171"/>
      <c r="B995" s="282"/>
      <c r="C995" s="305"/>
      <c r="D995" s="326"/>
      <c r="E995" s="326"/>
      <c r="F995" s="171"/>
      <c r="G995" s="173"/>
      <c r="H995" s="170"/>
      <c r="I995" s="171"/>
    </row>
    <row r="996" ht="14.25" customHeight="1">
      <c r="A996" s="171"/>
      <c r="B996" s="282"/>
      <c r="C996" s="305"/>
      <c r="D996" s="326"/>
      <c r="E996" s="326"/>
      <c r="F996" s="171"/>
      <c r="G996" s="173"/>
      <c r="H996" s="170"/>
      <c r="I996" s="171"/>
    </row>
    <row r="997" ht="14.25" customHeight="1">
      <c r="A997" s="171"/>
      <c r="B997" s="282"/>
      <c r="C997" s="305"/>
      <c r="D997" s="326"/>
      <c r="E997" s="326"/>
      <c r="F997" s="171"/>
      <c r="G997" s="173"/>
      <c r="H997" s="170"/>
      <c r="I997" s="171"/>
    </row>
    <row r="998" ht="14.25" customHeight="1">
      <c r="A998" s="171"/>
      <c r="B998" s="282"/>
      <c r="C998" s="305"/>
      <c r="D998" s="326"/>
      <c r="E998" s="326"/>
      <c r="F998" s="171"/>
      <c r="G998" s="173"/>
      <c r="H998" s="170"/>
      <c r="I998" s="171"/>
    </row>
    <row r="999" ht="14.25" customHeight="1">
      <c r="A999" s="171"/>
      <c r="B999" s="282"/>
      <c r="C999" s="305"/>
      <c r="D999" s="326"/>
      <c r="E999" s="326"/>
      <c r="F999" s="171"/>
      <c r="G999" s="173"/>
      <c r="H999" s="170"/>
      <c r="I999" s="171"/>
    </row>
    <row r="1000" ht="14.25" customHeight="1">
      <c r="A1000" s="171"/>
      <c r="B1000" s="282"/>
      <c r="C1000" s="305"/>
      <c r="D1000" s="326"/>
      <c r="E1000" s="326"/>
      <c r="F1000" s="171"/>
      <c r="G1000" s="173"/>
      <c r="H1000" s="170"/>
      <c r="I1000" s="171"/>
    </row>
    <row r="1001" ht="14.25" customHeight="1">
      <c r="A1001" s="171"/>
      <c r="B1001" s="282"/>
      <c r="C1001" s="305"/>
      <c r="D1001" s="326"/>
      <c r="E1001" s="326"/>
      <c r="F1001" s="171"/>
      <c r="G1001" s="173"/>
      <c r="H1001" s="170"/>
      <c r="I1001" s="171"/>
    </row>
    <row r="1002" ht="14.25" customHeight="1">
      <c r="A1002" s="171"/>
      <c r="B1002" s="282"/>
      <c r="C1002" s="305"/>
      <c r="D1002" s="326"/>
      <c r="E1002" s="326"/>
      <c r="F1002" s="171"/>
      <c r="G1002" s="173"/>
      <c r="H1002" s="170"/>
      <c r="I1002" s="171"/>
    </row>
    <row r="1003" ht="14.25" customHeight="1">
      <c r="A1003" s="171"/>
      <c r="B1003" s="282"/>
      <c r="C1003" s="305"/>
      <c r="D1003" s="326"/>
      <c r="E1003" s="326"/>
      <c r="F1003" s="171"/>
      <c r="G1003" s="173"/>
      <c r="H1003" s="170"/>
      <c r="I1003" s="171"/>
    </row>
    <row r="1004" ht="14.25" customHeight="1">
      <c r="A1004" s="171"/>
      <c r="B1004" s="282"/>
      <c r="C1004" s="305"/>
      <c r="D1004" s="326"/>
      <c r="E1004" s="326"/>
      <c r="F1004" s="171"/>
      <c r="G1004" s="173"/>
      <c r="H1004" s="170"/>
      <c r="I1004" s="171"/>
    </row>
    <row r="1005" ht="14.25" customHeight="1">
      <c r="A1005" s="171"/>
      <c r="B1005" s="282"/>
      <c r="C1005" s="305"/>
      <c r="D1005" s="326"/>
      <c r="E1005" s="326"/>
      <c r="F1005" s="171"/>
      <c r="G1005" s="173"/>
      <c r="H1005" s="170"/>
      <c r="I1005" s="171"/>
    </row>
    <row r="1006" ht="14.25" customHeight="1">
      <c r="A1006" s="171"/>
      <c r="B1006" s="282"/>
      <c r="C1006" s="305"/>
      <c r="D1006" s="326"/>
      <c r="E1006" s="326"/>
      <c r="F1006" s="171"/>
      <c r="G1006" s="173"/>
      <c r="H1006" s="170"/>
      <c r="I1006" s="171"/>
    </row>
    <row r="1007" ht="14.25" customHeight="1">
      <c r="A1007" s="171"/>
      <c r="B1007" s="282"/>
      <c r="C1007" s="305"/>
      <c r="D1007" s="326"/>
      <c r="E1007" s="326"/>
      <c r="F1007" s="171"/>
      <c r="G1007" s="173"/>
      <c r="H1007" s="170"/>
      <c r="I1007" s="171"/>
    </row>
    <row r="1008" ht="14.25" customHeight="1">
      <c r="A1008" s="171"/>
      <c r="B1008" s="282"/>
      <c r="C1008" s="305"/>
      <c r="D1008" s="326"/>
      <c r="E1008" s="326"/>
      <c r="F1008" s="171"/>
      <c r="G1008" s="173"/>
      <c r="H1008" s="170"/>
      <c r="I1008" s="171"/>
    </row>
    <row r="1009" ht="14.25" customHeight="1">
      <c r="A1009" s="171"/>
      <c r="B1009" s="282"/>
      <c r="C1009" s="305"/>
      <c r="D1009" s="326"/>
      <c r="E1009" s="326"/>
      <c r="F1009" s="171"/>
      <c r="G1009" s="173"/>
      <c r="H1009" s="170"/>
      <c r="I1009" s="171"/>
    </row>
  </sheetData>
  <mergeCells count="11">
    <mergeCell ref="B5:D5"/>
    <mergeCell ref="B6:D6"/>
    <mergeCell ref="F6:G6"/>
    <mergeCell ref="F50:I50"/>
    <mergeCell ref="A1:I1"/>
    <mergeCell ref="C2:E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3.0"/>
    <col customWidth="1" min="7" max="7" width="22.29"/>
    <col customWidth="1" min="8" max="8" width="13.43"/>
    <col customWidth="1" min="9" max="9" width="9.57"/>
    <col customWidth="1" min="10" max="28" width="8.71"/>
  </cols>
  <sheetData>
    <row r="1" ht="31.5" customHeight="1">
      <c r="A1" s="11" t="s">
        <v>42</v>
      </c>
      <c r="G1" s="55"/>
      <c r="H1" s="12"/>
    </row>
    <row r="2" ht="21.75" customHeight="1">
      <c r="B2" s="19"/>
      <c r="C2" s="304" t="s">
        <v>43</v>
      </c>
      <c r="F2" s="55"/>
      <c r="G2" s="55"/>
      <c r="H2" s="12"/>
    </row>
    <row r="3" ht="14.25" customHeight="1">
      <c r="A3" s="14" t="s">
        <v>44</v>
      </c>
      <c r="B3" s="56" t="s">
        <v>1215</v>
      </c>
      <c r="E3" s="14" t="s">
        <v>46</v>
      </c>
      <c r="F3" s="56" t="s">
        <v>1216</v>
      </c>
      <c r="H3" s="12"/>
    </row>
    <row r="4" ht="14.25" customHeight="1">
      <c r="A4" s="14" t="s">
        <v>48</v>
      </c>
      <c r="B4" s="56" t="s">
        <v>463</v>
      </c>
      <c r="E4" s="14" t="s">
        <v>105</v>
      </c>
      <c r="F4" s="56">
        <v>5.610116100224E12</v>
      </c>
      <c r="H4" s="12"/>
    </row>
    <row r="5" ht="14.25" customHeight="1">
      <c r="A5" s="14" t="s">
        <v>51</v>
      </c>
      <c r="B5" s="56" t="s">
        <v>231</v>
      </c>
      <c r="E5" s="14" t="s">
        <v>53</v>
      </c>
      <c r="F5" s="56" t="s">
        <v>463</v>
      </c>
      <c r="H5" s="12"/>
    </row>
    <row r="6" ht="14.25" customHeight="1">
      <c r="A6" s="14" t="s">
        <v>54</v>
      </c>
      <c r="B6" s="18"/>
      <c r="E6" s="14" t="s">
        <v>55</v>
      </c>
      <c r="F6" s="56">
        <v>6.2103866961E10</v>
      </c>
      <c r="H6" s="12"/>
    </row>
    <row r="7" ht="14.25" customHeight="1">
      <c r="B7" s="19"/>
      <c r="F7" s="55"/>
      <c r="G7" s="55"/>
      <c r="H7" s="12"/>
    </row>
    <row r="8" ht="14.25" customHeight="1">
      <c r="B8" s="19"/>
      <c r="F8" s="55"/>
      <c r="G8" s="55"/>
      <c r="H8" s="12"/>
    </row>
    <row r="9" ht="14.25" customHeight="1">
      <c r="A9" s="107" t="s">
        <v>56</v>
      </c>
      <c r="B9" s="108" t="s">
        <v>107</v>
      </c>
      <c r="C9" s="177" t="s">
        <v>58</v>
      </c>
      <c r="D9" s="107" t="s">
        <v>59</v>
      </c>
      <c r="E9" s="107" t="s">
        <v>60</v>
      </c>
      <c r="F9" s="110" t="s">
        <v>61</v>
      </c>
      <c r="G9" s="110" t="s">
        <v>62</v>
      </c>
      <c r="H9" s="111" t="s">
        <v>63</v>
      </c>
      <c r="I9" s="107" t="s">
        <v>64</v>
      </c>
    </row>
    <row r="10" ht="14.25" customHeight="1">
      <c r="A10" s="112" t="s">
        <v>1217</v>
      </c>
      <c r="B10" s="123">
        <v>7.604135E7</v>
      </c>
      <c r="C10" s="335">
        <v>45118.0</v>
      </c>
      <c r="D10" s="115"/>
      <c r="E10" s="115"/>
      <c r="F10" s="116">
        <v>4.0</v>
      </c>
      <c r="G10" s="117">
        <v>4.0</v>
      </c>
      <c r="H10" s="118">
        <f t="shared" ref="H10:H45" si="1">G10*200</f>
        <v>800</v>
      </c>
      <c r="I10" s="119"/>
    </row>
    <row r="11" ht="14.25" customHeight="1">
      <c r="A11" s="112" t="s">
        <v>1218</v>
      </c>
      <c r="B11" s="123">
        <v>7.6074341E7</v>
      </c>
      <c r="C11" s="335">
        <v>45118.0</v>
      </c>
      <c r="D11" s="115"/>
      <c r="E11" s="115"/>
      <c r="F11" s="121">
        <v>2.0</v>
      </c>
      <c r="G11" s="117">
        <v>2.0</v>
      </c>
      <c r="H11" s="118">
        <f t="shared" si="1"/>
        <v>400</v>
      </c>
      <c r="I11" s="119"/>
    </row>
    <row r="12" ht="14.25" customHeight="1">
      <c r="A12" s="112" t="s">
        <v>1219</v>
      </c>
      <c r="B12" s="123">
        <v>7.649149E7</v>
      </c>
      <c r="C12" s="335">
        <v>45118.0</v>
      </c>
      <c r="D12" s="115"/>
      <c r="E12" s="115"/>
      <c r="F12" s="121">
        <v>1.0</v>
      </c>
      <c r="G12" s="117">
        <v>1.0</v>
      </c>
      <c r="H12" s="118">
        <f t="shared" si="1"/>
        <v>200</v>
      </c>
      <c r="I12" s="119"/>
    </row>
    <row r="13" ht="14.25" customHeight="1">
      <c r="A13" s="122" t="s">
        <v>1220</v>
      </c>
      <c r="B13" s="122">
        <v>7.8172458E7</v>
      </c>
      <c r="C13" s="335">
        <v>45118.0</v>
      </c>
      <c r="D13" s="115"/>
      <c r="E13" s="115"/>
      <c r="F13" s="121">
        <v>1.0</v>
      </c>
      <c r="G13" s="117">
        <v>1.0</v>
      </c>
      <c r="H13" s="118">
        <f t="shared" si="1"/>
        <v>200</v>
      </c>
      <c r="I13" s="119"/>
    </row>
    <row r="14" ht="14.25" customHeight="1">
      <c r="A14" s="122" t="s">
        <v>219</v>
      </c>
      <c r="B14" s="286">
        <v>7.6383753E7</v>
      </c>
      <c r="C14" s="335">
        <v>45118.0</v>
      </c>
      <c r="D14" s="115"/>
      <c r="E14" s="115"/>
      <c r="F14" s="121">
        <v>1.0</v>
      </c>
      <c r="G14" s="117">
        <v>1.0</v>
      </c>
      <c r="H14" s="118">
        <f t="shared" si="1"/>
        <v>200</v>
      </c>
      <c r="I14" s="119"/>
    </row>
    <row r="15" ht="14.25" customHeight="1">
      <c r="A15" s="122" t="s">
        <v>1221</v>
      </c>
      <c r="B15" s="112" t="s">
        <v>1222</v>
      </c>
      <c r="C15" s="335">
        <v>45118.0</v>
      </c>
      <c r="D15" s="115"/>
      <c r="E15" s="115"/>
      <c r="F15" s="121">
        <v>1.0</v>
      </c>
      <c r="G15" s="117">
        <v>1.0</v>
      </c>
      <c r="H15" s="118">
        <f t="shared" si="1"/>
        <v>200</v>
      </c>
      <c r="I15" s="119"/>
    </row>
    <row r="16" ht="14.25" customHeight="1">
      <c r="A16" s="131" t="s">
        <v>891</v>
      </c>
      <c r="B16" s="122">
        <v>7.6678562E7</v>
      </c>
      <c r="C16" s="335">
        <v>45118.0</v>
      </c>
      <c r="D16" s="115"/>
      <c r="E16" s="115"/>
      <c r="F16" s="126">
        <v>1.0</v>
      </c>
      <c r="G16" s="117">
        <v>1.0</v>
      </c>
      <c r="H16" s="118">
        <f t="shared" si="1"/>
        <v>200</v>
      </c>
      <c r="I16" s="119"/>
    </row>
    <row r="17" ht="14.25" customHeight="1">
      <c r="A17" s="112" t="s">
        <v>1223</v>
      </c>
      <c r="B17" s="112">
        <v>7.6381276E7</v>
      </c>
      <c r="C17" s="335">
        <v>45118.0</v>
      </c>
      <c r="D17" s="115"/>
      <c r="E17" s="115"/>
      <c r="F17" s="121">
        <v>2.0</v>
      </c>
      <c r="G17" s="117">
        <v>2.0</v>
      </c>
      <c r="H17" s="118">
        <f t="shared" si="1"/>
        <v>400</v>
      </c>
      <c r="I17" s="119"/>
    </row>
    <row r="18" ht="14.25" customHeight="1">
      <c r="A18" s="131" t="s">
        <v>1224</v>
      </c>
      <c r="B18" s="122">
        <v>7.6367749E7</v>
      </c>
      <c r="C18" s="335">
        <v>45118.0</v>
      </c>
      <c r="D18" s="115"/>
      <c r="E18" s="115"/>
      <c r="F18" s="121">
        <v>1.5</v>
      </c>
      <c r="G18" s="117">
        <v>1.5</v>
      </c>
      <c r="H18" s="118">
        <f t="shared" si="1"/>
        <v>300</v>
      </c>
      <c r="I18" s="119"/>
    </row>
    <row r="19" ht="14.25" customHeight="1">
      <c r="A19" s="112" t="s">
        <v>1225</v>
      </c>
      <c r="B19" s="122">
        <v>7.6182002E7</v>
      </c>
      <c r="C19" s="335">
        <v>45118.0</v>
      </c>
      <c r="D19" s="115"/>
      <c r="E19" s="115"/>
      <c r="F19" s="121">
        <v>1.0</v>
      </c>
      <c r="G19" s="117">
        <v>1.0</v>
      </c>
      <c r="H19" s="118">
        <f t="shared" si="1"/>
        <v>200</v>
      </c>
      <c r="I19" s="119"/>
    </row>
    <row r="20" ht="14.25" customHeight="1">
      <c r="A20" s="131" t="s">
        <v>1226</v>
      </c>
      <c r="B20" s="122">
        <v>7.8180322E7</v>
      </c>
      <c r="C20" s="335">
        <v>45118.0</v>
      </c>
      <c r="D20" s="115"/>
      <c r="E20" s="115"/>
      <c r="F20" s="126">
        <v>2.0</v>
      </c>
      <c r="G20" s="117">
        <v>2.0</v>
      </c>
      <c r="H20" s="118">
        <f t="shared" si="1"/>
        <v>400</v>
      </c>
      <c r="I20" s="119"/>
    </row>
    <row r="21" ht="14.25" customHeight="1">
      <c r="A21" s="112" t="s">
        <v>191</v>
      </c>
      <c r="B21" s="112">
        <v>7.9526069E7</v>
      </c>
      <c r="C21" s="335">
        <v>45118.0</v>
      </c>
      <c r="D21" s="115"/>
      <c r="E21" s="115"/>
      <c r="F21" s="121">
        <v>1.0</v>
      </c>
      <c r="G21" s="117">
        <v>1.0</v>
      </c>
      <c r="H21" s="118">
        <f t="shared" si="1"/>
        <v>200</v>
      </c>
      <c r="I21" s="119"/>
    </row>
    <row r="22" ht="14.25" customHeight="1">
      <c r="A22" s="135" t="s">
        <v>1227</v>
      </c>
      <c r="B22" s="135">
        <v>7.650288E7</v>
      </c>
      <c r="C22" s="335">
        <v>45118.0</v>
      </c>
      <c r="D22" s="115"/>
      <c r="E22" s="115"/>
      <c r="F22" s="121">
        <v>1.0</v>
      </c>
      <c r="G22" s="117">
        <v>1.0</v>
      </c>
      <c r="H22" s="118">
        <f t="shared" si="1"/>
        <v>200</v>
      </c>
      <c r="I22" s="119"/>
    </row>
    <row r="23" ht="14.25" customHeight="1">
      <c r="A23" s="137" t="s">
        <v>1228</v>
      </c>
      <c r="B23" s="137">
        <v>7.6448321E7</v>
      </c>
      <c r="C23" s="335">
        <v>45118.0</v>
      </c>
      <c r="D23" s="115"/>
      <c r="E23" s="115"/>
      <c r="F23" s="121">
        <v>1.0</v>
      </c>
      <c r="G23" s="117">
        <v>1.0</v>
      </c>
      <c r="H23" s="118">
        <f t="shared" si="1"/>
        <v>200</v>
      </c>
      <c r="I23" s="119"/>
    </row>
    <row r="24" ht="14.25" customHeight="1">
      <c r="A24" s="135" t="s">
        <v>1229</v>
      </c>
      <c r="B24" s="135">
        <v>7.6118836E7</v>
      </c>
      <c r="C24" s="336">
        <v>45149.0</v>
      </c>
      <c r="D24" s="115"/>
      <c r="E24" s="115"/>
      <c r="F24" s="121">
        <v>1.0</v>
      </c>
      <c r="G24" s="117">
        <v>1.0</v>
      </c>
      <c r="H24" s="118">
        <f t="shared" si="1"/>
        <v>200</v>
      </c>
      <c r="I24" s="119"/>
    </row>
    <row r="25" ht="14.25" customHeight="1">
      <c r="A25" s="135" t="s">
        <v>1230</v>
      </c>
      <c r="B25" s="135">
        <v>7.6184664E7</v>
      </c>
      <c r="C25" s="336">
        <v>45149.0</v>
      </c>
      <c r="D25" s="115"/>
      <c r="E25" s="115"/>
      <c r="F25" s="121">
        <v>1.0</v>
      </c>
      <c r="G25" s="117">
        <v>1.0</v>
      </c>
      <c r="H25" s="118">
        <f t="shared" si="1"/>
        <v>200</v>
      </c>
      <c r="I25" s="119"/>
    </row>
    <row r="26" ht="14.25" customHeight="1">
      <c r="A26" s="135" t="s">
        <v>1231</v>
      </c>
      <c r="B26" s="135">
        <v>7.6635617E7</v>
      </c>
      <c r="C26" s="336">
        <v>45149.0</v>
      </c>
      <c r="D26" s="115"/>
      <c r="E26" s="115"/>
      <c r="F26" s="121">
        <v>2.0</v>
      </c>
      <c r="G26" s="117">
        <v>2.0</v>
      </c>
      <c r="H26" s="118">
        <f t="shared" si="1"/>
        <v>400</v>
      </c>
      <c r="I26" s="119"/>
    </row>
    <row r="27" ht="14.25" customHeight="1">
      <c r="A27" s="135" t="s">
        <v>93</v>
      </c>
      <c r="B27" s="135">
        <v>7.6082589E7</v>
      </c>
      <c r="C27" s="336">
        <v>45149.0</v>
      </c>
      <c r="D27" s="115"/>
      <c r="E27" s="115"/>
      <c r="F27" s="121">
        <v>2.0</v>
      </c>
      <c r="G27" s="117">
        <v>2.0</v>
      </c>
      <c r="H27" s="118">
        <f t="shared" si="1"/>
        <v>400</v>
      </c>
      <c r="I27" s="119"/>
    </row>
    <row r="28" ht="14.25" customHeight="1">
      <c r="A28" s="135" t="s">
        <v>1232</v>
      </c>
      <c r="B28" s="135">
        <v>7.636101E7</v>
      </c>
      <c r="C28" s="336">
        <v>45149.0</v>
      </c>
      <c r="D28" s="115"/>
      <c r="E28" s="115"/>
      <c r="F28" s="121">
        <v>1.0</v>
      </c>
      <c r="G28" s="117">
        <v>1.0</v>
      </c>
      <c r="H28" s="118">
        <f t="shared" si="1"/>
        <v>200</v>
      </c>
      <c r="I28" s="119"/>
    </row>
    <row r="29" ht="14.25" customHeight="1">
      <c r="A29" s="135" t="s">
        <v>1233</v>
      </c>
      <c r="B29" s="137">
        <v>7.6036643E7</v>
      </c>
      <c r="C29" s="336">
        <v>45149.0</v>
      </c>
      <c r="D29" s="115"/>
      <c r="E29" s="115"/>
      <c r="F29" s="121">
        <v>2.0</v>
      </c>
      <c r="G29" s="117">
        <v>2.0</v>
      </c>
      <c r="H29" s="118">
        <f t="shared" si="1"/>
        <v>400</v>
      </c>
      <c r="I29" s="119"/>
    </row>
    <row r="30" ht="14.25" customHeight="1">
      <c r="A30" s="135" t="s">
        <v>1234</v>
      </c>
      <c r="B30" s="135">
        <v>7.6782407E7</v>
      </c>
      <c r="C30" s="336">
        <v>45149.0</v>
      </c>
      <c r="D30" s="115"/>
      <c r="E30" s="115"/>
      <c r="F30" s="121">
        <v>2.0</v>
      </c>
      <c r="G30" s="117">
        <v>2.0</v>
      </c>
      <c r="H30" s="118">
        <f t="shared" si="1"/>
        <v>400</v>
      </c>
      <c r="I30" s="119"/>
    </row>
    <row r="31" ht="14.25" customHeight="1">
      <c r="A31" s="137" t="s">
        <v>1235</v>
      </c>
      <c r="B31" s="137">
        <v>7.8100524E7</v>
      </c>
      <c r="C31" s="336">
        <v>45149.0</v>
      </c>
      <c r="D31" s="115"/>
      <c r="E31" s="115"/>
      <c r="F31" s="121">
        <v>2.0</v>
      </c>
      <c r="G31" s="117">
        <v>2.0</v>
      </c>
      <c r="H31" s="118">
        <f t="shared" si="1"/>
        <v>400</v>
      </c>
      <c r="I31" s="119"/>
    </row>
    <row r="32" ht="14.25" customHeight="1">
      <c r="A32" s="137" t="s">
        <v>1236</v>
      </c>
      <c r="B32" s="137">
        <v>7.9385336E7</v>
      </c>
      <c r="C32" s="336">
        <v>45149.0</v>
      </c>
      <c r="D32" s="119"/>
      <c r="E32" s="119"/>
      <c r="F32" s="116">
        <v>1.0</v>
      </c>
      <c r="G32" s="117">
        <v>1.0</v>
      </c>
      <c r="H32" s="118">
        <f t="shared" si="1"/>
        <v>200</v>
      </c>
      <c r="I32" s="119"/>
    </row>
    <row r="33" ht="14.25" customHeight="1">
      <c r="A33" s="137" t="s">
        <v>1237</v>
      </c>
      <c r="B33" s="137">
        <v>7.8296865E7</v>
      </c>
      <c r="C33" s="336">
        <v>45149.0</v>
      </c>
      <c r="D33" s="119"/>
      <c r="E33" s="119"/>
      <c r="F33" s="116">
        <v>1.0</v>
      </c>
      <c r="G33" s="117">
        <v>1.0</v>
      </c>
      <c r="H33" s="118">
        <f t="shared" si="1"/>
        <v>200</v>
      </c>
      <c r="I33" s="119"/>
    </row>
    <row r="34" ht="14.25" customHeight="1">
      <c r="A34" s="135" t="s">
        <v>1238</v>
      </c>
      <c r="B34" s="135">
        <v>7.6736732E7</v>
      </c>
      <c r="C34" s="336">
        <v>45149.0</v>
      </c>
      <c r="D34" s="119"/>
      <c r="E34" s="119"/>
      <c r="F34" s="116">
        <v>1.5</v>
      </c>
      <c r="G34" s="117">
        <v>1.5</v>
      </c>
      <c r="H34" s="118">
        <f t="shared" si="1"/>
        <v>300</v>
      </c>
      <c r="I34" s="119"/>
    </row>
    <row r="35" ht="14.25" customHeight="1">
      <c r="A35" s="137" t="s">
        <v>1239</v>
      </c>
      <c r="B35" s="137">
        <v>7.6736732E7</v>
      </c>
      <c r="C35" s="336">
        <v>45149.0</v>
      </c>
      <c r="D35" s="119"/>
      <c r="E35" s="119"/>
      <c r="F35" s="116">
        <v>2.0</v>
      </c>
      <c r="G35" s="117">
        <v>2.0</v>
      </c>
      <c r="H35" s="118">
        <f t="shared" si="1"/>
        <v>400</v>
      </c>
      <c r="I35" s="119"/>
    </row>
    <row r="36" ht="14.25" customHeight="1">
      <c r="A36" s="135" t="s">
        <v>1240</v>
      </c>
      <c r="B36" s="135">
        <v>7.8373961E7</v>
      </c>
      <c r="C36" s="336">
        <v>45149.0</v>
      </c>
      <c r="D36" s="119"/>
      <c r="E36" s="119"/>
      <c r="F36" s="116">
        <v>1.0</v>
      </c>
      <c r="G36" s="117">
        <v>1.0</v>
      </c>
      <c r="H36" s="118">
        <f t="shared" si="1"/>
        <v>200</v>
      </c>
      <c r="I36" s="119"/>
    </row>
    <row r="37" ht="14.25" customHeight="1">
      <c r="A37" s="135" t="s">
        <v>1241</v>
      </c>
      <c r="B37" s="135">
        <v>7.633122E7</v>
      </c>
      <c r="C37" s="336">
        <v>45180.0</v>
      </c>
      <c r="D37" s="119"/>
      <c r="E37" s="119"/>
      <c r="F37" s="116">
        <v>1.0</v>
      </c>
      <c r="G37" s="117">
        <v>1.0</v>
      </c>
      <c r="H37" s="118">
        <f t="shared" si="1"/>
        <v>200</v>
      </c>
      <c r="I37" s="119"/>
    </row>
    <row r="38" ht="14.25" customHeight="1">
      <c r="A38" s="135" t="s">
        <v>1242</v>
      </c>
      <c r="B38" s="135">
        <v>7.6458402E7</v>
      </c>
      <c r="C38" s="336">
        <v>45180.0</v>
      </c>
      <c r="D38" s="119"/>
      <c r="E38" s="119"/>
      <c r="F38" s="116">
        <v>1.0</v>
      </c>
      <c r="G38" s="117">
        <v>1.0</v>
      </c>
      <c r="H38" s="118">
        <f t="shared" si="1"/>
        <v>200</v>
      </c>
      <c r="I38" s="119"/>
    </row>
    <row r="39" ht="14.25" customHeight="1">
      <c r="A39" s="135" t="s">
        <v>1243</v>
      </c>
      <c r="B39" s="137">
        <v>7.6389144E7</v>
      </c>
      <c r="C39" s="336">
        <v>45180.0</v>
      </c>
      <c r="D39" s="119"/>
      <c r="E39" s="119"/>
      <c r="F39" s="116">
        <v>1.0</v>
      </c>
      <c r="G39" s="117">
        <v>1.0</v>
      </c>
      <c r="H39" s="118">
        <f t="shared" si="1"/>
        <v>200</v>
      </c>
      <c r="I39" s="119"/>
    </row>
    <row r="40" ht="13.5" customHeight="1">
      <c r="A40" s="337" t="s">
        <v>1244</v>
      </c>
      <c r="B40" s="135" t="s">
        <v>1245</v>
      </c>
      <c r="C40" s="336">
        <v>45180.0</v>
      </c>
      <c r="D40" s="285"/>
      <c r="E40" s="285"/>
      <c r="F40" s="116">
        <v>2.0</v>
      </c>
      <c r="G40" s="116">
        <v>2.0</v>
      </c>
      <c r="H40" s="118">
        <f t="shared" si="1"/>
        <v>400</v>
      </c>
      <c r="I40" s="338"/>
    </row>
    <row r="41" ht="15.0" customHeight="1">
      <c r="A41" s="337" t="s">
        <v>1246</v>
      </c>
      <c r="B41" s="135">
        <v>7.8616917E7</v>
      </c>
      <c r="C41" s="336">
        <v>45180.0</v>
      </c>
      <c r="D41" s="285"/>
      <c r="E41" s="285"/>
      <c r="F41" s="116">
        <v>1.0</v>
      </c>
      <c r="G41" s="116">
        <v>1.0</v>
      </c>
      <c r="H41" s="118">
        <f t="shared" si="1"/>
        <v>200</v>
      </c>
      <c r="I41" s="338"/>
    </row>
    <row r="42" ht="14.25" customHeight="1">
      <c r="A42" s="337" t="s">
        <v>1247</v>
      </c>
      <c r="B42" s="135">
        <v>7.6958179E7</v>
      </c>
      <c r="C42" s="336">
        <v>45180.0</v>
      </c>
      <c r="D42" s="285"/>
      <c r="E42" s="285"/>
      <c r="F42" s="116">
        <v>1.0</v>
      </c>
      <c r="G42" s="116">
        <v>1.0</v>
      </c>
      <c r="H42" s="118">
        <f t="shared" si="1"/>
        <v>200</v>
      </c>
      <c r="I42" s="338"/>
    </row>
    <row r="43" ht="15.0" customHeight="1">
      <c r="A43" s="337" t="s">
        <v>1248</v>
      </c>
      <c r="B43" s="135">
        <v>7.6079661E7</v>
      </c>
      <c r="C43" s="336">
        <v>45180.0</v>
      </c>
      <c r="D43" s="285"/>
      <c r="E43" s="285"/>
      <c r="F43" s="116">
        <v>1.0</v>
      </c>
      <c r="G43" s="116">
        <v>1.0</v>
      </c>
      <c r="H43" s="118">
        <f t="shared" si="1"/>
        <v>200</v>
      </c>
      <c r="I43" s="338"/>
    </row>
    <row r="44" ht="15.0" customHeight="1">
      <c r="A44" s="337" t="s">
        <v>1249</v>
      </c>
      <c r="B44" s="135">
        <v>7.9685874E7</v>
      </c>
      <c r="C44" s="336">
        <v>45180.0</v>
      </c>
      <c r="D44" s="285"/>
      <c r="E44" s="285"/>
      <c r="F44" s="116">
        <v>1.0</v>
      </c>
      <c r="G44" s="116">
        <v>1.0</v>
      </c>
      <c r="H44" s="118">
        <f t="shared" si="1"/>
        <v>200</v>
      </c>
      <c r="I44" s="338"/>
    </row>
    <row r="45" ht="15.75" customHeight="1">
      <c r="A45" s="295" t="s">
        <v>1250</v>
      </c>
      <c r="B45" s="317">
        <v>7.8075511E7</v>
      </c>
      <c r="C45" s="336">
        <v>45180.0</v>
      </c>
      <c r="D45" s="141"/>
      <c r="E45" s="141"/>
      <c r="F45" s="339">
        <v>1.0</v>
      </c>
      <c r="G45" s="339">
        <v>1.0</v>
      </c>
      <c r="H45" s="118">
        <f t="shared" si="1"/>
        <v>200</v>
      </c>
      <c r="I45" s="340"/>
    </row>
    <row r="46" ht="18.75" customHeight="1">
      <c r="A46" s="341"/>
      <c r="B46" s="342"/>
      <c r="C46" s="343"/>
      <c r="D46" s="141"/>
      <c r="E46" s="141"/>
      <c r="F46" s="142"/>
      <c r="G46" s="142"/>
      <c r="H46" s="143"/>
      <c r="I46" s="144"/>
    </row>
    <row r="47" ht="18.75" customHeight="1">
      <c r="A47" s="139"/>
      <c r="B47" s="140"/>
      <c r="C47" s="141"/>
      <c r="D47" s="141"/>
      <c r="E47" s="141" t="s">
        <v>41</v>
      </c>
      <c r="F47" s="142">
        <f>SUM(F10:F45)</f>
        <v>50</v>
      </c>
      <c r="G47" s="142">
        <f t="shared" ref="G47:H47" si="2">SUM(G2:G45)</f>
        <v>50</v>
      </c>
      <c r="H47" s="143">
        <f t="shared" si="2"/>
        <v>10000</v>
      </c>
      <c r="I47" s="144"/>
    </row>
    <row r="48" ht="18.75" customHeight="1">
      <c r="A48" s="139"/>
      <c r="B48" s="145"/>
      <c r="C48" s="139"/>
      <c r="D48" s="139"/>
      <c r="E48" s="146" t="s">
        <v>100</v>
      </c>
      <c r="F48" s="147">
        <f>COUNT(F10:F45)</f>
        <v>36</v>
      </c>
      <c r="G48" s="47"/>
      <c r="H48" s="47"/>
      <c r="I48" s="48"/>
    </row>
    <row r="49" ht="14.25" customHeight="1">
      <c r="B49" s="19"/>
      <c r="F49" s="55"/>
      <c r="G49" s="55"/>
      <c r="H49" s="12"/>
    </row>
    <row r="50" ht="14.25" customHeight="1">
      <c r="B50" s="19"/>
      <c r="D50" s="49" t="s">
        <v>101</v>
      </c>
      <c r="E50" s="50"/>
      <c r="F50" s="55"/>
      <c r="G50" s="55"/>
      <c r="H50" s="12"/>
    </row>
    <row r="51" ht="14.25" customHeight="1">
      <c r="B51" s="19"/>
      <c r="D51" s="51" t="s">
        <v>102</v>
      </c>
      <c r="E51" s="50"/>
      <c r="F51" s="55"/>
      <c r="G51" s="55"/>
      <c r="H51" s="12"/>
    </row>
    <row r="52" ht="14.25" customHeight="1">
      <c r="B52" s="19"/>
      <c r="D52" s="52" t="s">
        <v>58</v>
      </c>
      <c r="E52" s="53"/>
      <c r="F52" s="55"/>
      <c r="G52" s="55"/>
      <c r="H52" s="12"/>
    </row>
    <row r="53" ht="14.25" customHeight="1">
      <c r="B53" s="19"/>
      <c r="F53" s="55"/>
      <c r="G53" s="55"/>
      <c r="H53" s="12"/>
    </row>
    <row r="54" ht="14.25" customHeight="1">
      <c r="B54" s="19"/>
      <c r="F54" s="55"/>
      <c r="G54" s="55"/>
      <c r="H54" s="12"/>
    </row>
    <row r="55" ht="14.25" customHeight="1">
      <c r="B55" s="19"/>
      <c r="F55" s="55"/>
      <c r="G55" s="55"/>
      <c r="H55" s="12"/>
    </row>
    <row r="56" ht="14.25" customHeight="1">
      <c r="B56" s="19"/>
      <c r="F56" s="55"/>
      <c r="G56" s="55"/>
      <c r="H56" s="12"/>
    </row>
    <row r="57" ht="14.25" customHeight="1">
      <c r="B57" s="19"/>
      <c r="F57" s="55"/>
      <c r="G57" s="55"/>
      <c r="H57" s="12"/>
    </row>
    <row r="58" ht="14.25" customHeight="1">
      <c r="B58" s="19"/>
      <c r="F58" s="55"/>
      <c r="G58" s="55"/>
      <c r="H58" s="12"/>
    </row>
    <row r="59" ht="14.25" customHeight="1">
      <c r="B59" s="19"/>
      <c r="F59" s="55"/>
      <c r="G59" s="55"/>
      <c r="H59" s="12"/>
    </row>
    <row r="60" ht="14.25" customHeight="1">
      <c r="B60" s="19"/>
      <c r="F60" s="55"/>
      <c r="G60" s="55"/>
      <c r="H60" s="12"/>
    </row>
    <row r="61" ht="14.25" customHeight="1">
      <c r="B61" s="19"/>
      <c r="F61" s="55"/>
      <c r="G61" s="55"/>
      <c r="H61" s="12"/>
    </row>
    <row r="62" ht="14.25" customHeight="1">
      <c r="B62" s="19"/>
      <c r="F62" s="55"/>
      <c r="G62" s="55"/>
      <c r="H62" s="12"/>
    </row>
    <row r="63" ht="14.25" customHeight="1">
      <c r="B63" s="19"/>
      <c r="F63" s="55"/>
      <c r="G63" s="55"/>
      <c r="H63" s="12"/>
    </row>
    <row r="64" ht="14.25" customHeight="1">
      <c r="B64" s="19"/>
      <c r="F64" s="55"/>
      <c r="G64" s="55"/>
      <c r="H64" s="12"/>
    </row>
    <row r="65" ht="14.25" customHeight="1">
      <c r="B65" s="19"/>
      <c r="F65" s="55"/>
      <c r="G65" s="55"/>
      <c r="H65" s="12"/>
    </row>
    <row r="66" ht="14.25" customHeight="1">
      <c r="B66" s="19"/>
      <c r="F66" s="55"/>
      <c r="G66" s="55"/>
      <c r="H66" s="12"/>
    </row>
    <row r="67" ht="14.25" customHeight="1">
      <c r="B67" s="19"/>
      <c r="F67" s="55"/>
      <c r="G67" s="55"/>
      <c r="H67" s="12"/>
    </row>
    <row r="68" ht="14.25" customHeight="1">
      <c r="B68" s="19"/>
      <c r="F68" s="55"/>
      <c r="G68" s="55"/>
      <c r="H68" s="12"/>
    </row>
    <row r="69" ht="14.25" customHeight="1">
      <c r="B69" s="19"/>
      <c r="F69" s="55"/>
      <c r="G69" s="55"/>
      <c r="H69" s="12"/>
    </row>
    <row r="70" ht="14.25" customHeight="1">
      <c r="B70" s="19"/>
      <c r="F70" s="55"/>
      <c r="G70" s="55"/>
      <c r="H70" s="12"/>
    </row>
    <row r="71" ht="14.25" customHeight="1">
      <c r="B71" s="19"/>
      <c r="F71" s="55"/>
      <c r="G71" s="55"/>
      <c r="H71" s="12"/>
    </row>
    <row r="72" ht="14.25" customHeight="1">
      <c r="B72" s="19"/>
      <c r="F72" s="55"/>
      <c r="G72" s="55"/>
      <c r="H72" s="12"/>
    </row>
    <row r="73" ht="14.25" customHeight="1">
      <c r="B73" s="19"/>
      <c r="F73" s="55"/>
      <c r="G73" s="55"/>
      <c r="H73" s="12"/>
    </row>
    <row r="74" ht="14.25" customHeight="1">
      <c r="B74" s="19"/>
      <c r="F74" s="55"/>
      <c r="G74" s="55"/>
      <c r="H74" s="12"/>
    </row>
    <row r="75" ht="14.25" customHeight="1">
      <c r="B75" s="19"/>
      <c r="F75" s="55"/>
      <c r="G75" s="55"/>
      <c r="H75" s="12"/>
    </row>
    <row r="76" ht="14.25" customHeight="1">
      <c r="B76" s="19"/>
      <c r="F76" s="55"/>
      <c r="G76" s="55"/>
      <c r="H76" s="12"/>
    </row>
    <row r="77" ht="14.25" customHeight="1">
      <c r="B77" s="19"/>
      <c r="F77" s="55"/>
      <c r="G77" s="55"/>
      <c r="H77" s="12"/>
    </row>
    <row r="78" ht="14.25" customHeight="1">
      <c r="B78" s="19"/>
      <c r="F78" s="55"/>
      <c r="G78" s="55"/>
      <c r="H78" s="12"/>
    </row>
    <row r="79" ht="14.25" customHeight="1">
      <c r="B79" s="19"/>
      <c r="F79" s="55"/>
      <c r="G79" s="55"/>
      <c r="H79" s="12"/>
    </row>
    <row r="80" ht="14.25" customHeight="1">
      <c r="B80" s="19"/>
      <c r="F80" s="55"/>
      <c r="G80" s="55"/>
      <c r="H80" s="12"/>
    </row>
    <row r="81" ht="14.25" customHeight="1">
      <c r="B81" s="19"/>
      <c r="F81" s="55"/>
      <c r="G81" s="55"/>
      <c r="H81" s="12"/>
    </row>
    <row r="82" ht="14.25" customHeight="1">
      <c r="B82" s="19"/>
      <c r="F82" s="55"/>
      <c r="G82" s="55"/>
      <c r="H82" s="12"/>
    </row>
    <row r="83" ht="14.25" customHeight="1">
      <c r="B83" s="19"/>
      <c r="F83" s="55"/>
      <c r="G83" s="55"/>
      <c r="H83" s="12"/>
    </row>
    <row r="84" ht="14.25" customHeight="1">
      <c r="B84" s="19"/>
      <c r="F84" s="55"/>
      <c r="G84" s="55"/>
      <c r="H84" s="12"/>
    </row>
    <row r="85" ht="14.25" customHeight="1">
      <c r="B85" s="19"/>
      <c r="F85" s="55"/>
      <c r="G85" s="55"/>
      <c r="H85" s="12"/>
    </row>
    <row r="86" ht="14.25" customHeight="1">
      <c r="B86" s="19"/>
      <c r="F86" s="55"/>
      <c r="G86" s="55"/>
      <c r="H86" s="12"/>
    </row>
    <row r="87" ht="14.25" customHeight="1">
      <c r="B87" s="19"/>
      <c r="F87" s="55"/>
      <c r="G87" s="55"/>
      <c r="H87" s="12"/>
    </row>
    <row r="88" ht="14.25" customHeight="1">
      <c r="B88" s="19"/>
      <c r="F88" s="55"/>
      <c r="G88" s="55"/>
      <c r="H88" s="12"/>
    </row>
    <row r="89" ht="14.25" customHeight="1">
      <c r="B89" s="19"/>
      <c r="F89" s="55"/>
      <c r="G89" s="55"/>
      <c r="H89" s="12"/>
    </row>
    <row r="90" ht="14.25" customHeight="1">
      <c r="B90" s="19"/>
      <c r="F90" s="55"/>
      <c r="G90" s="55"/>
      <c r="H90" s="12"/>
    </row>
    <row r="91" ht="14.25" customHeight="1">
      <c r="B91" s="19"/>
      <c r="F91" s="55"/>
      <c r="G91" s="55"/>
      <c r="H91" s="12"/>
    </row>
    <row r="92" ht="14.25" customHeight="1">
      <c r="B92" s="19"/>
      <c r="F92" s="55"/>
      <c r="G92" s="55"/>
      <c r="H92" s="12"/>
    </row>
    <row r="93" ht="14.25" customHeight="1">
      <c r="B93" s="19"/>
      <c r="F93" s="55"/>
      <c r="G93" s="55"/>
      <c r="H93" s="12"/>
    </row>
    <row r="94" ht="14.25" customHeight="1">
      <c r="B94" s="19"/>
      <c r="F94" s="55"/>
      <c r="G94" s="55"/>
      <c r="H94" s="12"/>
    </row>
    <row r="95" ht="14.25" customHeight="1">
      <c r="B95" s="19"/>
      <c r="F95" s="55"/>
      <c r="G95" s="55"/>
      <c r="H95" s="12"/>
    </row>
    <row r="96" ht="14.25" customHeight="1">
      <c r="B96" s="19"/>
      <c r="F96" s="55"/>
      <c r="G96" s="55"/>
      <c r="H96" s="12"/>
    </row>
    <row r="97" ht="14.25" customHeight="1">
      <c r="B97" s="19"/>
      <c r="F97" s="55"/>
      <c r="G97" s="55"/>
      <c r="H97" s="12"/>
    </row>
    <row r="98" ht="14.25" customHeight="1">
      <c r="B98" s="19"/>
      <c r="F98" s="55"/>
      <c r="G98" s="55"/>
      <c r="H98" s="12"/>
    </row>
    <row r="99" ht="14.25" customHeight="1">
      <c r="B99" s="19"/>
      <c r="F99" s="55"/>
      <c r="G99" s="55"/>
      <c r="H99" s="12"/>
    </row>
    <row r="100" ht="14.25" customHeight="1">
      <c r="B100" s="19"/>
      <c r="F100" s="55"/>
      <c r="G100" s="55"/>
      <c r="H100" s="12"/>
    </row>
    <row r="101" ht="14.25" customHeight="1">
      <c r="B101" s="19"/>
      <c r="F101" s="55"/>
      <c r="G101" s="55"/>
      <c r="H101" s="12"/>
    </row>
    <row r="102" ht="14.25" customHeight="1">
      <c r="B102" s="19"/>
      <c r="F102" s="55"/>
      <c r="G102" s="55"/>
      <c r="H102" s="12"/>
    </row>
    <row r="103" ht="14.25" customHeight="1">
      <c r="B103" s="19"/>
      <c r="F103" s="55"/>
      <c r="G103" s="55"/>
      <c r="H103" s="12"/>
    </row>
    <row r="104" ht="14.25" customHeight="1">
      <c r="B104" s="19"/>
      <c r="F104" s="55"/>
      <c r="G104" s="55"/>
      <c r="H104" s="12"/>
    </row>
    <row r="105" ht="14.25" customHeight="1">
      <c r="B105" s="19"/>
      <c r="F105" s="55"/>
      <c r="G105" s="55"/>
      <c r="H105" s="12"/>
    </row>
    <row r="106" ht="14.25" customHeight="1">
      <c r="B106" s="19"/>
      <c r="F106" s="55"/>
      <c r="G106" s="55"/>
      <c r="H106" s="12"/>
    </row>
    <row r="107" ht="14.25" customHeight="1">
      <c r="B107" s="19"/>
      <c r="F107" s="55"/>
      <c r="G107" s="55"/>
      <c r="H107" s="12"/>
    </row>
    <row r="108" ht="14.25" customHeight="1">
      <c r="B108" s="19"/>
      <c r="F108" s="55"/>
      <c r="G108" s="55"/>
      <c r="H108" s="12"/>
    </row>
    <row r="109" ht="14.25" customHeight="1">
      <c r="B109" s="19"/>
      <c r="F109" s="55"/>
      <c r="G109" s="55"/>
      <c r="H109" s="12"/>
    </row>
    <row r="110" ht="14.25" customHeight="1">
      <c r="B110" s="19"/>
      <c r="F110" s="55"/>
      <c r="G110" s="55"/>
      <c r="H110" s="12"/>
    </row>
    <row r="111" ht="14.25" customHeight="1">
      <c r="B111" s="19"/>
      <c r="F111" s="55"/>
      <c r="G111" s="55"/>
      <c r="H111" s="12"/>
    </row>
    <row r="112" ht="14.25" customHeight="1">
      <c r="B112" s="19"/>
      <c r="F112" s="55"/>
      <c r="G112" s="55"/>
      <c r="H112" s="12"/>
    </row>
    <row r="113" ht="14.25" customHeight="1">
      <c r="B113" s="19"/>
      <c r="F113" s="55"/>
      <c r="G113" s="55"/>
      <c r="H113" s="12"/>
    </row>
    <row r="114" ht="14.25" customHeight="1">
      <c r="B114" s="19"/>
      <c r="F114" s="55"/>
      <c r="G114" s="55"/>
      <c r="H114" s="12"/>
    </row>
    <row r="115" ht="14.25" customHeight="1">
      <c r="B115" s="19"/>
      <c r="F115" s="55"/>
      <c r="G115" s="55"/>
      <c r="H115" s="12"/>
    </row>
    <row r="116" ht="14.25" customHeight="1">
      <c r="B116" s="19"/>
      <c r="F116" s="55"/>
      <c r="G116" s="55"/>
      <c r="H116" s="12"/>
    </row>
    <row r="117" ht="14.25" customHeight="1">
      <c r="B117" s="19"/>
      <c r="F117" s="55"/>
      <c r="G117" s="55"/>
      <c r="H117" s="12"/>
    </row>
    <row r="118" ht="14.25" customHeight="1">
      <c r="B118" s="19"/>
      <c r="F118" s="55"/>
      <c r="G118" s="55"/>
      <c r="H118" s="12"/>
    </row>
    <row r="119" ht="14.25" customHeight="1">
      <c r="B119" s="19"/>
      <c r="F119" s="55"/>
      <c r="G119" s="55"/>
      <c r="H119" s="12"/>
    </row>
    <row r="120" ht="14.25" customHeight="1">
      <c r="B120" s="19"/>
      <c r="F120" s="55"/>
      <c r="G120" s="55"/>
      <c r="H120" s="12"/>
    </row>
    <row r="121" ht="14.25" customHeight="1">
      <c r="B121" s="19"/>
      <c r="F121" s="55"/>
      <c r="G121" s="55"/>
      <c r="H121" s="12"/>
    </row>
    <row r="122" ht="14.25" customHeight="1">
      <c r="B122" s="19"/>
      <c r="F122" s="55"/>
      <c r="G122" s="55"/>
      <c r="H122" s="12"/>
    </row>
    <row r="123" ht="14.25" customHeight="1">
      <c r="B123" s="19"/>
      <c r="F123" s="55"/>
      <c r="G123" s="55"/>
      <c r="H123" s="12"/>
    </row>
    <row r="124" ht="14.25" customHeight="1">
      <c r="B124" s="19"/>
      <c r="F124" s="55"/>
      <c r="G124" s="55"/>
      <c r="H124" s="12"/>
    </row>
    <row r="125" ht="14.25" customHeight="1">
      <c r="B125" s="19"/>
      <c r="F125" s="55"/>
      <c r="G125" s="55"/>
      <c r="H125" s="12"/>
    </row>
    <row r="126" ht="14.25" customHeight="1">
      <c r="B126" s="19"/>
      <c r="F126" s="55"/>
      <c r="G126" s="55"/>
      <c r="H126" s="12"/>
    </row>
    <row r="127" ht="14.25" customHeight="1">
      <c r="B127" s="19"/>
      <c r="F127" s="55"/>
      <c r="G127" s="55"/>
      <c r="H127" s="12"/>
    </row>
    <row r="128" ht="14.25" customHeight="1">
      <c r="B128" s="19"/>
      <c r="F128" s="55"/>
      <c r="G128" s="55"/>
      <c r="H128" s="12"/>
    </row>
    <row r="129" ht="14.25" customHeight="1">
      <c r="B129" s="19"/>
      <c r="F129" s="55"/>
      <c r="G129" s="55"/>
      <c r="H129" s="12"/>
    </row>
    <row r="130" ht="14.25" customHeight="1">
      <c r="B130" s="19"/>
      <c r="F130" s="55"/>
      <c r="G130" s="55"/>
      <c r="H130" s="12"/>
    </row>
    <row r="131" ht="14.25" customHeight="1">
      <c r="B131" s="19"/>
      <c r="F131" s="55"/>
      <c r="G131" s="55"/>
      <c r="H131" s="12"/>
    </row>
    <row r="132" ht="14.25" customHeight="1">
      <c r="B132" s="19"/>
      <c r="F132" s="55"/>
      <c r="G132" s="55"/>
      <c r="H132" s="12"/>
    </row>
    <row r="133" ht="14.25" customHeight="1">
      <c r="B133" s="19"/>
      <c r="F133" s="55"/>
      <c r="G133" s="55"/>
      <c r="H133" s="12"/>
    </row>
    <row r="134" ht="14.25" customHeight="1">
      <c r="B134" s="19"/>
      <c r="F134" s="55"/>
      <c r="G134" s="55"/>
      <c r="H134" s="12"/>
    </row>
    <row r="135" ht="14.25" customHeight="1">
      <c r="B135" s="19"/>
      <c r="F135" s="55"/>
      <c r="G135" s="55"/>
      <c r="H135" s="12"/>
    </row>
    <row r="136" ht="14.25" customHeight="1">
      <c r="B136" s="19"/>
      <c r="F136" s="55"/>
      <c r="G136" s="55"/>
      <c r="H136" s="12"/>
    </row>
    <row r="137" ht="14.25" customHeight="1">
      <c r="B137" s="19"/>
      <c r="F137" s="55"/>
      <c r="G137" s="55"/>
      <c r="H137" s="12"/>
    </row>
    <row r="138" ht="14.25" customHeight="1">
      <c r="B138" s="19"/>
      <c r="F138" s="55"/>
      <c r="G138" s="55"/>
      <c r="H138" s="12"/>
    </row>
    <row r="139" ht="14.25" customHeight="1">
      <c r="B139" s="19"/>
      <c r="F139" s="55"/>
      <c r="G139" s="55"/>
      <c r="H139" s="12"/>
    </row>
    <row r="140" ht="14.25" customHeight="1">
      <c r="B140" s="19"/>
      <c r="F140" s="55"/>
      <c r="G140" s="55"/>
      <c r="H140" s="12"/>
    </row>
    <row r="141" ht="14.25" customHeight="1">
      <c r="B141" s="19"/>
      <c r="F141" s="55"/>
      <c r="G141" s="55"/>
      <c r="H141" s="12"/>
    </row>
    <row r="142" ht="14.25" customHeight="1">
      <c r="B142" s="19"/>
      <c r="F142" s="55"/>
      <c r="G142" s="55"/>
      <c r="H142" s="12"/>
    </row>
    <row r="143" ht="14.25" customHeight="1">
      <c r="B143" s="19"/>
      <c r="F143" s="55"/>
      <c r="G143" s="55"/>
      <c r="H143" s="12"/>
    </row>
    <row r="144" ht="14.25" customHeight="1">
      <c r="B144" s="19"/>
      <c r="F144" s="55"/>
      <c r="G144" s="55"/>
      <c r="H144" s="12"/>
    </row>
    <row r="145" ht="14.25" customHeight="1">
      <c r="B145" s="19"/>
      <c r="F145" s="55"/>
      <c r="G145" s="55"/>
      <c r="H145" s="12"/>
    </row>
    <row r="146" ht="14.25" customHeight="1">
      <c r="B146" s="19"/>
      <c r="F146" s="55"/>
      <c r="G146" s="55"/>
      <c r="H146" s="12"/>
    </row>
    <row r="147" ht="14.25" customHeight="1">
      <c r="B147" s="19"/>
      <c r="F147" s="55"/>
      <c r="G147" s="55"/>
      <c r="H147" s="12"/>
    </row>
    <row r="148" ht="14.25" customHeight="1">
      <c r="B148" s="19"/>
      <c r="F148" s="55"/>
      <c r="G148" s="55"/>
      <c r="H148" s="12"/>
    </row>
    <row r="149" ht="14.25" customHeight="1">
      <c r="B149" s="19"/>
      <c r="F149" s="55"/>
      <c r="G149" s="55"/>
      <c r="H149" s="12"/>
    </row>
    <row r="150" ht="14.25" customHeight="1">
      <c r="B150" s="19"/>
      <c r="F150" s="55"/>
      <c r="G150" s="55"/>
      <c r="H150" s="12"/>
    </row>
    <row r="151" ht="14.25" customHeight="1">
      <c r="B151" s="19"/>
      <c r="F151" s="55"/>
      <c r="G151" s="55"/>
      <c r="H151" s="12"/>
    </row>
    <row r="152" ht="14.25" customHeight="1">
      <c r="B152" s="19"/>
      <c r="F152" s="55"/>
      <c r="G152" s="55"/>
      <c r="H152" s="12"/>
    </row>
    <row r="153" ht="14.25" customHeight="1">
      <c r="B153" s="19"/>
      <c r="F153" s="55"/>
      <c r="G153" s="55"/>
      <c r="H153" s="12"/>
    </row>
    <row r="154" ht="14.25" customHeight="1">
      <c r="B154" s="19"/>
      <c r="F154" s="55"/>
      <c r="G154" s="55"/>
      <c r="H154" s="12"/>
    </row>
    <row r="155" ht="14.25" customHeight="1">
      <c r="B155" s="19"/>
      <c r="F155" s="55"/>
      <c r="G155" s="55"/>
      <c r="H155" s="12"/>
    </row>
    <row r="156" ht="14.25" customHeight="1">
      <c r="B156" s="19"/>
      <c r="F156" s="55"/>
      <c r="G156" s="55"/>
      <c r="H156" s="12"/>
    </row>
    <row r="157" ht="14.25" customHeight="1">
      <c r="B157" s="19"/>
      <c r="F157" s="55"/>
      <c r="G157" s="55"/>
      <c r="H157" s="12"/>
    </row>
    <row r="158" ht="14.25" customHeight="1">
      <c r="B158" s="19"/>
      <c r="F158" s="55"/>
      <c r="G158" s="55"/>
      <c r="H158" s="12"/>
    </row>
    <row r="159" ht="14.25" customHeight="1">
      <c r="B159" s="19"/>
      <c r="F159" s="55"/>
      <c r="G159" s="55"/>
      <c r="H159" s="12"/>
    </row>
    <row r="160" ht="14.25" customHeight="1">
      <c r="B160" s="19"/>
      <c r="F160" s="55"/>
      <c r="G160" s="55"/>
      <c r="H160" s="12"/>
    </row>
    <row r="161" ht="14.25" customHeight="1">
      <c r="B161" s="19"/>
      <c r="F161" s="55"/>
      <c r="G161" s="55"/>
      <c r="H161" s="12"/>
    </row>
    <row r="162" ht="14.25" customHeight="1">
      <c r="B162" s="19"/>
      <c r="F162" s="55"/>
      <c r="G162" s="55"/>
      <c r="H162" s="12"/>
    </row>
    <row r="163" ht="14.25" customHeight="1">
      <c r="B163" s="19"/>
      <c r="F163" s="55"/>
      <c r="G163" s="55"/>
      <c r="H163" s="12"/>
    </row>
    <row r="164" ht="14.25" customHeight="1">
      <c r="B164" s="19"/>
      <c r="F164" s="55"/>
      <c r="G164" s="55"/>
      <c r="H164" s="12"/>
    </row>
    <row r="165" ht="14.25" customHeight="1">
      <c r="B165" s="19"/>
      <c r="F165" s="55"/>
      <c r="G165" s="55"/>
      <c r="H165" s="12"/>
    </row>
    <row r="166" ht="14.25" customHeight="1">
      <c r="B166" s="19"/>
      <c r="F166" s="55"/>
      <c r="G166" s="55"/>
      <c r="H166" s="12"/>
    </row>
    <row r="167" ht="14.25" customHeight="1">
      <c r="B167" s="19"/>
      <c r="F167" s="55"/>
      <c r="G167" s="55"/>
      <c r="H167" s="12"/>
    </row>
    <row r="168" ht="14.25" customHeight="1">
      <c r="B168" s="19"/>
      <c r="F168" s="55"/>
      <c r="G168" s="55"/>
      <c r="H168" s="12"/>
    </row>
    <row r="169" ht="14.25" customHeight="1">
      <c r="B169" s="19"/>
      <c r="F169" s="55"/>
      <c r="G169" s="55"/>
      <c r="H169" s="12"/>
    </row>
    <row r="170" ht="14.25" customHeight="1">
      <c r="B170" s="19"/>
      <c r="F170" s="55"/>
      <c r="G170" s="55"/>
      <c r="H170" s="12"/>
    </row>
    <row r="171" ht="14.25" customHeight="1">
      <c r="B171" s="19"/>
      <c r="F171" s="55"/>
      <c r="G171" s="55"/>
      <c r="H171" s="12"/>
    </row>
    <row r="172" ht="14.25" customHeight="1">
      <c r="B172" s="19"/>
      <c r="F172" s="55"/>
      <c r="G172" s="55"/>
      <c r="H172" s="12"/>
    </row>
    <row r="173" ht="14.25" customHeight="1">
      <c r="B173" s="19"/>
      <c r="F173" s="55"/>
      <c r="G173" s="55"/>
      <c r="H173" s="12"/>
    </row>
    <row r="174" ht="14.25" customHeight="1">
      <c r="B174" s="19"/>
      <c r="F174" s="55"/>
      <c r="G174" s="55"/>
      <c r="H174" s="12"/>
    </row>
    <row r="175" ht="14.25" customHeight="1">
      <c r="B175" s="19"/>
      <c r="F175" s="55"/>
      <c r="G175" s="55"/>
      <c r="H175" s="12"/>
    </row>
    <row r="176" ht="14.25" customHeight="1">
      <c r="B176" s="19"/>
      <c r="F176" s="55"/>
      <c r="G176" s="55"/>
      <c r="H176" s="12"/>
    </row>
    <row r="177" ht="14.25" customHeight="1">
      <c r="B177" s="19"/>
      <c r="F177" s="55"/>
      <c r="G177" s="55"/>
      <c r="H177" s="12"/>
    </row>
    <row r="178" ht="14.25" customHeight="1">
      <c r="B178" s="19"/>
      <c r="F178" s="55"/>
      <c r="G178" s="55"/>
      <c r="H178" s="12"/>
    </row>
    <row r="179" ht="14.25" customHeight="1">
      <c r="B179" s="19"/>
      <c r="F179" s="55"/>
      <c r="G179" s="55"/>
      <c r="H179" s="12"/>
    </row>
    <row r="180" ht="14.25" customHeight="1">
      <c r="B180" s="19"/>
      <c r="F180" s="55"/>
      <c r="G180" s="55"/>
      <c r="H180" s="12"/>
    </row>
    <row r="181" ht="14.25" customHeight="1">
      <c r="B181" s="19"/>
      <c r="F181" s="55"/>
      <c r="G181" s="55"/>
      <c r="H181" s="12"/>
    </row>
    <row r="182" ht="14.25" customHeight="1">
      <c r="B182" s="19"/>
      <c r="F182" s="55"/>
      <c r="G182" s="55"/>
      <c r="H182" s="12"/>
    </row>
    <row r="183" ht="14.25" customHeight="1">
      <c r="B183" s="19"/>
      <c r="F183" s="55"/>
      <c r="G183" s="55"/>
      <c r="H183" s="12"/>
    </row>
    <row r="184" ht="14.25" customHeight="1">
      <c r="B184" s="19"/>
      <c r="F184" s="55"/>
      <c r="G184" s="55"/>
      <c r="H184" s="12"/>
    </row>
    <row r="185" ht="14.25" customHeight="1">
      <c r="B185" s="19"/>
      <c r="F185" s="55"/>
      <c r="G185" s="55"/>
      <c r="H185" s="12"/>
    </row>
    <row r="186" ht="14.25" customHeight="1">
      <c r="B186" s="19"/>
      <c r="F186" s="55"/>
      <c r="G186" s="55"/>
      <c r="H186" s="12"/>
    </row>
    <row r="187" ht="14.25" customHeight="1">
      <c r="B187" s="19"/>
      <c r="F187" s="55"/>
      <c r="G187" s="55"/>
      <c r="H187" s="12"/>
    </row>
    <row r="188" ht="14.25" customHeight="1">
      <c r="B188" s="19"/>
      <c r="F188" s="55"/>
      <c r="G188" s="55"/>
      <c r="H188" s="12"/>
    </row>
    <row r="189" ht="14.25" customHeight="1">
      <c r="B189" s="19"/>
      <c r="F189" s="55"/>
      <c r="G189" s="55"/>
      <c r="H189" s="12"/>
    </row>
    <row r="190" ht="14.25" customHeight="1">
      <c r="B190" s="19"/>
      <c r="F190" s="55"/>
      <c r="G190" s="55"/>
      <c r="H190" s="12"/>
    </row>
    <row r="191" ht="14.25" customHeight="1">
      <c r="B191" s="19"/>
      <c r="F191" s="55"/>
      <c r="G191" s="55"/>
      <c r="H191" s="12"/>
    </row>
    <row r="192" ht="14.25" customHeight="1">
      <c r="B192" s="19"/>
      <c r="F192" s="55"/>
      <c r="G192" s="55"/>
      <c r="H192" s="12"/>
    </row>
    <row r="193" ht="14.25" customHeight="1">
      <c r="B193" s="19"/>
      <c r="F193" s="55"/>
      <c r="G193" s="55"/>
      <c r="H193" s="12"/>
    </row>
    <row r="194" ht="14.25" customHeight="1">
      <c r="B194" s="19"/>
      <c r="F194" s="55"/>
      <c r="G194" s="55"/>
      <c r="H194" s="12"/>
    </row>
    <row r="195" ht="14.25" customHeight="1">
      <c r="B195" s="19"/>
      <c r="F195" s="55"/>
      <c r="G195" s="55"/>
      <c r="H195" s="12"/>
    </row>
    <row r="196" ht="14.25" customHeight="1">
      <c r="B196" s="19"/>
      <c r="F196" s="55"/>
      <c r="G196" s="55"/>
      <c r="H196" s="12"/>
    </row>
    <row r="197" ht="14.25" customHeight="1">
      <c r="B197" s="19"/>
      <c r="F197" s="55"/>
      <c r="G197" s="55"/>
      <c r="H197" s="12"/>
    </row>
    <row r="198" ht="14.25" customHeight="1">
      <c r="B198" s="19"/>
      <c r="F198" s="55"/>
      <c r="G198" s="55"/>
      <c r="H198" s="12"/>
    </row>
    <row r="199" ht="14.25" customHeight="1">
      <c r="B199" s="19"/>
      <c r="F199" s="55"/>
      <c r="G199" s="55"/>
      <c r="H199" s="12"/>
    </row>
    <row r="200" ht="14.25" customHeight="1">
      <c r="B200" s="19"/>
      <c r="F200" s="55"/>
      <c r="G200" s="55"/>
      <c r="H200" s="12"/>
    </row>
    <row r="201" ht="14.25" customHeight="1">
      <c r="B201" s="19"/>
      <c r="F201" s="55"/>
      <c r="G201" s="55"/>
      <c r="H201" s="12"/>
    </row>
    <row r="202" ht="14.25" customHeight="1">
      <c r="B202" s="19"/>
      <c r="F202" s="55"/>
      <c r="G202" s="55"/>
      <c r="H202" s="12"/>
    </row>
    <row r="203" ht="14.25" customHeight="1">
      <c r="B203" s="19"/>
      <c r="F203" s="55"/>
      <c r="G203" s="55"/>
      <c r="H203" s="12"/>
    </row>
    <row r="204" ht="14.25" customHeight="1">
      <c r="B204" s="19"/>
      <c r="F204" s="55"/>
      <c r="G204" s="55"/>
      <c r="H204" s="12"/>
    </row>
    <row r="205" ht="14.25" customHeight="1">
      <c r="B205" s="19"/>
      <c r="F205" s="55"/>
      <c r="G205" s="55"/>
      <c r="H205" s="12"/>
    </row>
    <row r="206" ht="14.25" customHeight="1">
      <c r="B206" s="19"/>
      <c r="F206" s="55"/>
      <c r="G206" s="55"/>
      <c r="H206" s="12"/>
    </row>
    <row r="207" ht="14.25" customHeight="1">
      <c r="B207" s="19"/>
      <c r="F207" s="55"/>
      <c r="G207" s="55"/>
      <c r="H207" s="12"/>
    </row>
    <row r="208" ht="14.25" customHeight="1">
      <c r="B208" s="19"/>
      <c r="F208" s="55"/>
      <c r="G208" s="55"/>
      <c r="H208" s="12"/>
    </row>
    <row r="209" ht="14.25" customHeight="1">
      <c r="B209" s="19"/>
      <c r="F209" s="55"/>
      <c r="G209" s="55"/>
      <c r="H209" s="12"/>
    </row>
    <row r="210" ht="14.25" customHeight="1">
      <c r="B210" s="19"/>
      <c r="F210" s="55"/>
      <c r="G210" s="55"/>
      <c r="H210" s="12"/>
    </row>
    <row r="211" ht="14.25" customHeight="1">
      <c r="B211" s="19"/>
      <c r="F211" s="55"/>
      <c r="G211" s="55"/>
      <c r="H211" s="12"/>
    </row>
    <row r="212" ht="14.25" customHeight="1">
      <c r="B212" s="19"/>
      <c r="F212" s="55"/>
      <c r="G212" s="55"/>
      <c r="H212" s="12"/>
    </row>
    <row r="213" ht="14.25" customHeight="1">
      <c r="B213" s="19"/>
      <c r="F213" s="55"/>
      <c r="G213" s="55"/>
      <c r="H213" s="12"/>
    </row>
    <row r="214" ht="14.25" customHeight="1">
      <c r="B214" s="19"/>
      <c r="F214" s="55"/>
      <c r="G214" s="55"/>
      <c r="H214" s="12"/>
    </row>
    <row r="215" ht="14.25" customHeight="1">
      <c r="B215" s="19"/>
      <c r="F215" s="55"/>
      <c r="G215" s="55"/>
      <c r="H215" s="12"/>
    </row>
    <row r="216" ht="14.25" customHeight="1">
      <c r="B216" s="19"/>
      <c r="F216" s="55"/>
      <c r="G216" s="55"/>
      <c r="H216" s="12"/>
    </row>
    <row r="217" ht="14.25" customHeight="1">
      <c r="B217" s="19"/>
      <c r="F217" s="55"/>
      <c r="G217" s="55"/>
      <c r="H217" s="12"/>
    </row>
    <row r="218" ht="14.25" customHeight="1">
      <c r="B218" s="19"/>
      <c r="F218" s="55"/>
      <c r="G218" s="55"/>
      <c r="H218" s="12"/>
    </row>
    <row r="219" ht="14.25" customHeight="1">
      <c r="B219" s="19"/>
      <c r="F219" s="55"/>
      <c r="G219" s="55"/>
      <c r="H219" s="12"/>
    </row>
    <row r="220" ht="14.25" customHeight="1">
      <c r="B220" s="19"/>
      <c r="F220" s="55"/>
      <c r="G220" s="55"/>
      <c r="H220" s="12"/>
    </row>
    <row r="221" ht="14.25" customHeight="1">
      <c r="B221" s="19"/>
      <c r="F221" s="55"/>
      <c r="G221" s="55"/>
      <c r="H221" s="12"/>
    </row>
    <row r="222" ht="14.25" customHeight="1">
      <c r="B222" s="19"/>
      <c r="F222" s="55"/>
      <c r="G222" s="55"/>
      <c r="H222" s="12"/>
    </row>
    <row r="223" ht="14.25" customHeight="1">
      <c r="B223" s="19"/>
      <c r="F223" s="55"/>
      <c r="G223" s="55"/>
      <c r="H223" s="12"/>
    </row>
    <row r="224" ht="14.25" customHeight="1">
      <c r="B224" s="19"/>
      <c r="F224" s="55"/>
      <c r="G224" s="55"/>
      <c r="H224" s="12"/>
    </row>
    <row r="225" ht="14.25" customHeight="1">
      <c r="B225" s="19"/>
      <c r="F225" s="55"/>
      <c r="G225" s="55"/>
      <c r="H225" s="12"/>
    </row>
    <row r="226" ht="14.25" customHeight="1">
      <c r="B226" s="19"/>
      <c r="F226" s="55"/>
      <c r="G226" s="55"/>
      <c r="H226" s="12"/>
    </row>
    <row r="227" ht="14.25" customHeight="1">
      <c r="B227" s="19"/>
      <c r="F227" s="55"/>
      <c r="G227" s="55"/>
      <c r="H227" s="12"/>
    </row>
    <row r="228" ht="14.25" customHeight="1">
      <c r="B228" s="19"/>
      <c r="F228" s="55"/>
      <c r="G228" s="55"/>
      <c r="H228" s="12"/>
    </row>
    <row r="229" ht="14.25" customHeight="1">
      <c r="B229" s="19"/>
      <c r="F229" s="55"/>
      <c r="G229" s="55"/>
      <c r="H229" s="12"/>
    </row>
    <row r="230" ht="14.25" customHeight="1">
      <c r="B230" s="19"/>
      <c r="F230" s="55"/>
      <c r="G230" s="55"/>
      <c r="H230" s="12"/>
    </row>
    <row r="231" ht="14.25" customHeight="1">
      <c r="B231" s="19"/>
      <c r="F231" s="55"/>
      <c r="G231" s="55"/>
      <c r="H231" s="12"/>
    </row>
    <row r="232" ht="14.25" customHeight="1">
      <c r="B232" s="19"/>
      <c r="F232" s="55"/>
      <c r="G232" s="55"/>
      <c r="H232" s="12"/>
    </row>
    <row r="233" ht="14.25" customHeight="1">
      <c r="B233" s="19"/>
      <c r="F233" s="55"/>
      <c r="G233" s="55"/>
      <c r="H233" s="12"/>
    </row>
    <row r="234" ht="14.25" customHeight="1">
      <c r="B234" s="19"/>
      <c r="F234" s="55"/>
      <c r="G234" s="55"/>
      <c r="H234" s="12"/>
    </row>
    <row r="235" ht="14.25" customHeight="1">
      <c r="B235" s="19"/>
      <c r="F235" s="55"/>
      <c r="G235" s="55"/>
      <c r="H235" s="12"/>
    </row>
    <row r="236" ht="14.25" customHeight="1">
      <c r="B236" s="19"/>
      <c r="F236" s="55"/>
      <c r="G236" s="55"/>
      <c r="H236" s="12"/>
    </row>
    <row r="237" ht="14.25" customHeight="1">
      <c r="B237" s="19"/>
      <c r="F237" s="55"/>
      <c r="G237" s="55"/>
      <c r="H237" s="12"/>
    </row>
    <row r="238" ht="14.25" customHeight="1">
      <c r="B238" s="19"/>
      <c r="F238" s="55"/>
      <c r="G238" s="55"/>
      <c r="H238" s="12"/>
    </row>
    <row r="239" ht="14.25" customHeight="1">
      <c r="B239" s="19"/>
      <c r="F239" s="55"/>
      <c r="G239" s="55"/>
      <c r="H239" s="12"/>
    </row>
    <row r="240" ht="14.25" customHeight="1">
      <c r="B240" s="19"/>
      <c r="F240" s="55"/>
      <c r="G240" s="55"/>
      <c r="H240" s="12"/>
    </row>
    <row r="241" ht="14.25" customHeight="1">
      <c r="B241" s="19"/>
      <c r="F241" s="55"/>
      <c r="G241" s="55"/>
      <c r="H241" s="12"/>
    </row>
    <row r="242" ht="14.25" customHeight="1">
      <c r="B242" s="19"/>
      <c r="F242" s="55"/>
      <c r="G242" s="55"/>
      <c r="H242" s="12"/>
    </row>
    <row r="243" ht="14.25" customHeight="1">
      <c r="B243" s="19"/>
      <c r="F243" s="55"/>
      <c r="G243" s="55"/>
      <c r="H243" s="12"/>
    </row>
    <row r="244" ht="14.25" customHeight="1">
      <c r="B244" s="19"/>
      <c r="F244" s="55"/>
      <c r="G244" s="55"/>
      <c r="H244" s="12"/>
    </row>
    <row r="245" ht="14.25" customHeight="1">
      <c r="B245" s="19"/>
      <c r="F245" s="55"/>
      <c r="G245" s="55"/>
      <c r="H245" s="12"/>
    </row>
    <row r="246" ht="14.25" customHeight="1">
      <c r="B246" s="19"/>
      <c r="F246" s="55"/>
      <c r="G246" s="55"/>
      <c r="H246" s="12"/>
    </row>
    <row r="247" ht="14.25" customHeight="1">
      <c r="B247" s="19"/>
      <c r="F247" s="55"/>
      <c r="G247" s="55"/>
      <c r="H247" s="12"/>
    </row>
    <row r="248" ht="14.25" customHeight="1">
      <c r="B248" s="19"/>
      <c r="F248" s="55"/>
      <c r="G248" s="55"/>
      <c r="H248" s="12"/>
    </row>
    <row r="249" ht="14.25" customHeight="1">
      <c r="B249" s="19"/>
      <c r="F249" s="55"/>
      <c r="G249" s="55"/>
      <c r="H249" s="12"/>
    </row>
    <row r="250" ht="14.25" customHeight="1">
      <c r="B250" s="19"/>
      <c r="F250" s="55"/>
      <c r="G250" s="55"/>
      <c r="H250" s="12"/>
    </row>
    <row r="251" ht="14.25" customHeight="1">
      <c r="B251" s="19"/>
      <c r="F251" s="55"/>
      <c r="G251" s="55"/>
      <c r="H251" s="12"/>
    </row>
    <row r="252" ht="14.25" customHeight="1">
      <c r="B252" s="19"/>
      <c r="F252" s="55"/>
      <c r="G252" s="55"/>
      <c r="H252" s="12"/>
    </row>
    <row r="253" ht="14.25" customHeight="1">
      <c r="B253" s="19"/>
      <c r="F253" s="55"/>
      <c r="G253" s="55"/>
      <c r="H253" s="12"/>
    </row>
    <row r="254" ht="14.25" customHeight="1">
      <c r="B254" s="19"/>
      <c r="F254" s="55"/>
      <c r="G254" s="55"/>
      <c r="H254" s="12"/>
    </row>
    <row r="255" ht="14.25" customHeight="1">
      <c r="B255" s="19"/>
      <c r="F255" s="55"/>
      <c r="G255" s="55"/>
      <c r="H255" s="12"/>
    </row>
    <row r="256" ht="14.25" customHeight="1">
      <c r="B256" s="19"/>
      <c r="F256" s="55"/>
      <c r="G256" s="55"/>
      <c r="H256" s="12"/>
    </row>
    <row r="257" ht="14.25" customHeight="1">
      <c r="B257" s="19"/>
      <c r="F257" s="55"/>
      <c r="G257" s="55"/>
      <c r="H257" s="12"/>
    </row>
    <row r="258" ht="14.25" customHeight="1">
      <c r="B258" s="19"/>
      <c r="F258" s="55"/>
      <c r="G258" s="55"/>
      <c r="H258" s="12"/>
    </row>
    <row r="259" ht="14.25" customHeight="1">
      <c r="B259" s="19"/>
      <c r="F259" s="55"/>
      <c r="G259" s="55"/>
      <c r="H259" s="12"/>
    </row>
    <row r="260" ht="14.25" customHeight="1">
      <c r="B260" s="19"/>
      <c r="F260" s="55"/>
      <c r="G260" s="55"/>
      <c r="H260" s="12"/>
    </row>
    <row r="261" ht="14.25" customHeight="1">
      <c r="B261" s="19"/>
      <c r="F261" s="55"/>
      <c r="G261" s="55"/>
      <c r="H261" s="12"/>
    </row>
    <row r="262" ht="14.25" customHeight="1">
      <c r="B262" s="19"/>
      <c r="F262" s="55"/>
      <c r="G262" s="55"/>
      <c r="H262" s="12"/>
    </row>
    <row r="263" ht="14.25" customHeight="1">
      <c r="B263" s="19"/>
      <c r="F263" s="55"/>
      <c r="G263" s="55"/>
      <c r="H263" s="12"/>
    </row>
    <row r="264" ht="14.25" customHeight="1">
      <c r="B264" s="19"/>
      <c r="F264" s="55"/>
      <c r="G264" s="55"/>
      <c r="H264" s="12"/>
    </row>
    <row r="265" ht="14.25" customHeight="1">
      <c r="B265" s="19"/>
      <c r="F265" s="55"/>
      <c r="G265" s="55"/>
      <c r="H265" s="12"/>
    </row>
    <row r="266" ht="14.25" customHeight="1">
      <c r="B266" s="19"/>
      <c r="F266" s="55"/>
      <c r="G266" s="55"/>
      <c r="H266" s="12"/>
    </row>
    <row r="267" ht="14.25" customHeight="1">
      <c r="B267" s="19"/>
      <c r="F267" s="55"/>
      <c r="G267" s="55"/>
      <c r="H267" s="12"/>
    </row>
    <row r="268" ht="14.25" customHeight="1">
      <c r="B268" s="19"/>
      <c r="F268" s="55"/>
      <c r="G268" s="55"/>
      <c r="H268" s="12"/>
    </row>
    <row r="269" ht="14.25" customHeight="1">
      <c r="B269" s="19"/>
      <c r="F269" s="55"/>
      <c r="G269" s="55"/>
      <c r="H269" s="12"/>
    </row>
    <row r="270" ht="14.25" customHeight="1">
      <c r="B270" s="19"/>
      <c r="F270" s="55"/>
      <c r="G270" s="55"/>
      <c r="H270" s="12"/>
    </row>
    <row r="271" ht="14.25" customHeight="1">
      <c r="B271" s="19"/>
      <c r="F271" s="55"/>
      <c r="G271" s="55"/>
      <c r="H271" s="12"/>
    </row>
    <row r="272" ht="14.25" customHeight="1">
      <c r="B272" s="19"/>
      <c r="F272" s="55"/>
      <c r="G272" s="55"/>
      <c r="H272" s="12"/>
    </row>
    <row r="273" ht="14.25" customHeight="1">
      <c r="B273" s="19"/>
      <c r="F273" s="55"/>
      <c r="G273" s="55"/>
      <c r="H273" s="12"/>
    </row>
    <row r="274" ht="14.25" customHeight="1">
      <c r="B274" s="19"/>
      <c r="F274" s="55"/>
      <c r="G274" s="55"/>
      <c r="H274" s="12"/>
    </row>
    <row r="275" ht="14.25" customHeight="1">
      <c r="B275" s="19"/>
      <c r="F275" s="55"/>
      <c r="G275" s="55"/>
      <c r="H275" s="12"/>
    </row>
    <row r="276" ht="14.25" customHeight="1">
      <c r="B276" s="19"/>
      <c r="F276" s="55"/>
      <c r="G276" s="55"/>
      <c r="H276" s="12"/>
    </row>
    <row r="277" ht="14.25" customHeight="1">
      <c r="B277" s="19"/>
      <c r="F277" s="55"/>
      <c r="G277" s="55"/>
      <c r="H277" s="12"/>
    </row>
    <row r="278" ht="14.25" customHeight="1">
      <c r="B278" s="19"/>
      <c r="F278" s="55"/>
      <c r="G278" s="55"/>
      <c r="H278" s="12"/>
    </row>
    <row r="279" ht="14.25" customHeight="1">
      <c r="B279" s="19"/>
      <c r="F279" s="55"/>
      <c r="G279" s="55"/>
      <c r="H279" s="12"/>
    </row>
    <row r="280" ht="14.25" customHeight="1">
      <c r="B280" s="19"/>
      <c r="F280" s="55"/>
      <c r="G280" s="55"/>
      <c r="H280" s="12"/>
    </row>
    <row r="281" ht="14.25" customHeight="1">
      <c r="B281" s="19"/>
      <c r="F281" s="55"/>
      <c r="G281" s="55"/>
      <c r="H281" s="12"/>
    </row>
    <row r="282" ht="14.25" customHeight="1">
      <c r="B282" s="19"/>
      <c r="F282" s="55"/>
      <c r="G282" s="55"/>
      <c r="H282" s="12"/>
    </row>
    <row r="283" ht="14.25" customHeight="1">
      <c r="B283" s="19"/>
      <c r="F283" s="55"/>
      <c r="G283" s="55"/>
      <c r="H283" s="12"/>
    </row>
    <row r="284" ht="14.25" customHeight="1">
      <c r="B284" s="19"/>
      <c r="F284" s="55"/>
      <c r="G284" s="55"/>
      <c r="H284" s="12"/>
    </row>
    <row r="285" ht="14.25" customHeight="1">
      <c r="B285" s="19"/>
      <c r="F285" s="55"/>
      <c r="G285" s="55"/>
      <c r="H285" s="12"/>
    </row>
    <row r="286" ht="14.25" customHeight="1">
      <c r="B286" s="19"/>
      <c r="F286" s="55"/>
      <c r="G286" s="55"/>
      <c r="H286" s="12"/>
    </row>
    <row r="287" ht="14.25" customHeight="1">
      <c r="B287" s="19"/>
      <c r="F287" s="55"/>
      <c r="G287" s="55"/>
      <c r="H287" s="12"/>
    </row>
    <row r="288" ht="14.25" customHeight="1">
      <c r="B288" s="19"/>
      <c r="F288" s="55"/>
      <c r="G288" s="55"/>
      <c r="H288" s="12"/>
    </row>
    <row r="289" ht="14.25" customHeight="1">
      <c r="B289" s="19"/>
      <c r="F289" s="55"/>
      <c r="G289" s="55"/>
      <c r="H289" s="12"/>
    </row>
    <row r="290" ht="14.25" customHeight="1">
      <c r="B290" s="19"/>
      <c r="F290" s="55"/>
      <c r="G290" s="55"/>
      <c r="H290" s="12"/>
    </row>
    <row r="291" ht="14.25" customHeight="1">
      <c r="B291" s="19"/>
      <c r="F291" s="55"/>
      <c r="G291" s="55"/>
      <c r="H291" s="12"/>
    </row>
    <row r="292" ht="14.25" customHeight="1">
      <c r="B292" s="19"/>
      <c r="F292" s="55"/>
      <c r="G292" s="55"/>
      <c r="H292" s="12"/>
    </row>
    <row r="293" ht="14.25" customHeight="1">
      <c r="B293" s="19"/>
      <c r="F293" s="55"/>
      <c r="G293" s="55"/>
      <c r="H293" s="12"/>
    </row>
    <row r="294" ht="14.25" customHeight="1">
      <c r="B294" s="19"/>
      <c r="F294" s="55"/>
      <c r="G294" s="55"/>
      <c r="H294" s="12"/>
    </row>
    <row r="295" ht="14.25" customHeight="1">
      <c r="B295" s="19"/>
      <c r="F295" s="55"/>
      <c r="G295" s="55"/>
      <c r="H295" s="12"/>
    </row>
    <row r="296" ht="14.25" customHeight="1">
      <c r="B296" s="19"/>
      <c r="F296" s="55"/>
      <c r="G296" s="55"/>
      <c r="H296" s="12"/>
    </row>
    <row r="297" ht="14.25" customHeight="1">
      <c r="B297" s="19"/>
      <c r="F297" s="55"/>
      <c r="G297" s="55"/>
      <c r="H297" s="12"/>
    </row>
    <row r="298" ht="14.25" customHeight="1">
      <c r="B298" s="19"/>
      <c r="F298" s="55"/>
      <c r="G298" s="55"/>
      <c r="H298" s="12"/>
    </row>
    <row r="299" ht="14.25" customHeight="1">
      <c r="B299" s="19"/>
      <c r="F299" s="55"/>
      <c r="G299" s="55"/>
      <c r="H299" s="12"/>
    </row>
    <row r="300" ht="14.25" customHeight="1">
      <c r="B300" s="19"/>
      <c r="F300" s="55"/>
      <c r="G300" s="55"/>
      <c r="H300" s="12"/>
    </row>
    <row r="301" ht="14.25" customHeight="1">
      <c r="B301" s="19"/>
      <c r="F301" s="55"/>
      <c r="G301" s="55"/>
      <c r="H301" s="12"/>
    </row>
    <row r="302" ht="14.25" customHeight="1">
      <c r="B302" s="19"/>
      <c r="F302" s="55"/>
      <c r="G302" s="55"/>
      <c r="H302" s="12"/>
    </row>
    <row r="303" ht="14.25" customHeight="1">
      <c r="B303" s="19"/>
      <c r="F303" s="55"/>
      <c r="G303" s="55"/>
      <c r="H303" s="12"/>
    </row>
    <row r="304" ht="14.25" customHeight="1">
      <c r="B304" s="19"/>
      <c r="F304" s="55"/>
      <c r="G304" s="55"/>
      <c r="H304" s="12"/>
    </row>
    <row r="305" ht="14.25" customHeight="1">
      <c r="B305" s="19"/>
      <c r="F305" s="55"/>
      <c r="G305" s="55"/>
      <c r="H305" s="12"/>
    </row>
    <row r="306" ht="14.25" customHeight="1">
      <c r="B306" s="19"/>
      <c r="F306" s="55"/>
      <c r="G306" s="55"/>
      <c r="H306" s="12"/>
    </row>
    <row r="307" ht="14.25" customHeight="1">
      <c r="B307" s="19"/>
      <c r="F307" s="55"/>
      <c r="G307" s="55"/>
      <c r="H307" s="12"/>
    </row>
    <row r="308" ht="14.25" customHeight="1">
      <c r="B308" s="19"/>
      <c r="F308" s="55"/>
      <c r="G308" s="55"/>
      <c r="H308" s="12"/>
    </row>
    <row r="309" ht="14.25" customHeight="1">
      <c r="B309" s="19"/>
      <c r="F309" s="55"/>
      <c r="G309" s="55"/>
      <c r="H309" s="12"/>
    </row>
    <row r="310" ht="14.25" customHeight="1">
      <c r="B310" s="19"/>
      <c r="F310" s="55"/>
      <c r="G310" s="55"/>
      <c r="H310" s="12"/>
    </row>
    <row r="311" ht="14.25" customHeight="1">
      <c r="B311" s="19"/>
      <c r="F311" s="55"/>
      <c r="G311" s="55"/>
      <c r="H311" s="12"/>
    </row>
    <row r="312" ht="14.25" customHeight="1">
      <c r="B312" s="19"/>
      <c r="F312" s="55"/>
      <c r="G312" s="55"/>
      <c r="H312" s="12"/>
    </row>
    <row r="313" ht="14.25" customHeight="1">
      <c r="B313" s="19"/>
      <c r="F313" s="55"/>
      <c r="G313" s="55"/>
      <c r="H313" s="12"/>
    </row>
    <row r="314" ht="14.25" customHeight="1">
      <c r="B314" s="19"/>
      <c r="F314" s="55"/>
      <c r="G314" s="55"/>
      <c r="H314" s="12"/>
    </row>
    <row r="315" ht="14.25" customHeight="1">
      <c r="B315" s="19"/>
      <c r="F315" s="55"/>
      <c r="G315" s="55"/>
      <c r="H315" s="12"/>
    </row>
    <row r="316" ht="14.25" customHeight="1">
      <c r="B316" s="19"/>
      <c r="F316" s="55"/>
      <c r="G316" s="55"/>
      <c r="H316" s="12"/>
    </row>
    <row r="317" ht="14.25" customHeight="1">
      <c r="B317" s="19"/>
      <c r="F317" s="55"/>
      <c r="G317" s="55"/>
      <c r="H317" s="12"/>
    </row>
    <row r="318" ht="14.25" customHeight="1">
      <c r="B318" s="19"/>
      <c r="F318" s="55"/>
      <c r="G318" s="55"/>
      <c r="H318" s="12"/>
    </row>
    <row r="319" ht="14.25" customHeight="1">
      <c r="B319" s="19"/>
      <c r="F319" s="55"/>
      <c r="G319" s="55"/>
      <c r="H319" s="12"/>
    </row>
    <row r="320" ht="14.25" customHeight="1">
      <c r="B320" s="19"/>
      <c r="F320" s="55"/>
      <c r="G320" s="55"/>
      <c r="H320" s="12"/>
    </row>
    <row r="321" ht="14.25" customHeight="1">
      <c r="B321" s="19"/>
      <c r="F321" s="55"/>
      <c r="G321" s="55"/>
      <c r="H321" s="12"/>
    </row>
    <row r="322" ht="14.25" customHeight="1">
      <c r="B322" s="19"/>
      <c r="F322" s="55"/>
      <c r="G322" s="55"/>
      <c r="H322" s="12"/>
    </row>
    <row r="323" ht="14.25" customHeight="1">
      <c r="B323" s="19"/>
      <c r="F323" s="55"/>
      <c r="G323" s="55"/>
      <c r="H323" s="12"/>
    </row>
    <row r="324" ht="14.25" customHeight="1">
      <c r="B324" s="19"/>
      <c r="F324" s="55"/>
      <c r="G324" s="55"/>
      <c r="H324" s="12"/>
    </row>
    <row r="325" ht="14.25" customHeight="1">
      <c r="B325" s="19"/>
      <c r="F325" s="55"/>
      <c r="G325" s="55"/>
      <c r="H325" s="12"/>
    </row>
    <row r="326" ht="14.25" customHeight="1">
      <c r="B326" s="19"/>
      <c r="F326" s="55"/>
      <c r="G326" s="55"/>
      <c r="H326" s="12"/>
    </row>
    <row r="327" ht="14.25" customHeight="1">
      <c r="B327" s="19"/>
      <c r="F327" s="55"/>
      <c r="G327" s="55"/>
      <c r="H327" s="12"/>
    </row>
    <row r="328" ht="14.25" customHeight="1">
      <c r="B328" s="19"/>
      <c r="F328" s="55"/>
      <c r="G328" s="55"/>
      <c r="H328" s="12"/>
    </row>
    <row r="329" ht="14.25" customHeight="1">
      <c r="B329" s="19"/>
      <c r="F329" s="55"/>
      <c r="G329" s="55"/>
      <c r="H329" s="12"/>
    </row>
    <row r="330" ht="14.25" customHeight="1">
      <c r="B330" s="19"/>
      <c r="F330" s="55"/>
      <c r="G330" s="55"/>
      <c r="H330" s="12"/>
    </row>
    <row r="331" ht="14.25" customHeight="1">
      <c r="B331" s="19"/>
      <c r="F331" s="55"/>
      <c r="G331" s="55"/>
      <c r="H331" s="12"/>
    </row>
    <row r="332" ht="14.25" customHeight="1">
      <c r="B332" s="19"/>
      <c r="F332" s="55"/>
      <c r="G332" s="55"/>
      <c r="H332" s="12"/>
    </row>
    <row r="333" ht="14.25" customHeight="1">
      <c r="B333" s="19"/>
      <c r="F333" s="55"/>
      <c r="G333" s="55"/>
      <c r="H333" s="12"/>
    </row>
    <row r="334" ht="14.25" customHeight="1">
      <c r="B334" s="19"/>
      <c r="F334" s="55"/>
      <c r="G334" s="55"/>
      <c r="H334" s="12"/>
    </row>
    <row r="335" ht="14.25" customHeight="1">
      <c r="B335" s="19"/>
      <c r="F335" s="55"/>
      <c r="G335" s="55"/>
      <c r="H335" s="12"/>
    </row>
    <row r="336" ht="14.25" customHeight="1">
      <c r="B336" s="19"/>
      <c r="F336" s="55"/>
      <c r="G336" s="55"/>
      <c r="H336" s="12"/>
    </row>
    <row r="337" ht="14.25" customHeight="1">
      <c r="B337" s="19"/>
      <c r="F337" s="55"/>
      <c r="G337" s="55"/>
      <c r="H337" s="12"/>
    </row>
    <row r="338" ht="14.25" customHeight="1">
      <c r="B338" s="19"/>
      <c r="F338" s="55"/>
      <c r="G338" s="55"/>
      <c r="H338" s="12"/>
    </row>
    <row r="339" ht="14.25" customHeight="1">
      <c r="B339" s="19"/>
      <c r="F339" s="55"/>
      <c r="G339" s="55"/>
      <c r="H339" s="12"/>
    </row>
    <row r="340" ht="14.25" customHeight="1">
      <c r="B340" s="19"/>
      <c r="F340" s="55"/>
      <c r="G340" s="55"/>
      <c r="H340" s="12"/>
    </row>
    <row r="341" ht="14.25" customHeight="1">
      <c r="B341" s="19"/>
      <c r="F341" s="55"/>
      <c r="G341" s="55"/>
      <c r="H341" s="12"/>
    </row>
    <row r="342" ht="14.25" customHeight="1">
      <c r="B342" s="19"/>
      <c r="F342" s="55"/>
      <c r="G342" s="55"/>
      <c r="H342" s="12"/>
    </row>
    <row r="343" ht="14.25" customHeight="1">
      <c r="B343" s="19"/>
      <c r="F343" s="55"/>
      <c r="G343" s="55"/>
      <c r="H343" s="12"/>
    </row>
    <row r="344" ht="14.25" customHeight="1">
      <c r="B344" s="19"/>
      <c r="F344" s="55"/>
      <c r="G344" s="55"/>
      <c r="H344" s="12"/>
    </row>
    <row r="345" ht="14.25" customHeight="1">
      <c r="B345" s="19"/>
      <c r="F345" s="55"/>
      <c r="G345" s="55"/>
      <c r="H345" s="12"/>
    </row>
    <row r="346" ht="14.25" customHeight="1">
      <c r="B346" s="19"/>
      <c r="F346" s="55"/>
      <c r="G346" s="55"/>
      <c r="H346" s="12"/>
    </row>
    <row r="347" ht="14.25" customHeight="1">
      <c r="B347" s="19"/>
      <c r="F347" s="55"/>
      <c r="G347" s="55"/>
      <c r="H347" s="12"/>
    </row>
    <row r="348" ht="14.25" customHeight="1">
      <c r="B348" s="19"/>
      <c r="F348" s="55"/>
      <c r="G348" s="55"/>
      <c r="H348" s="12"/>
    </row>
    <row r="349" ht="14.25" customHeight="1">
      <c r="B349" s="19"/>
      <c r="F349" s="55"/>
      <c r="G349" s="55"/>
      <c r="H349" s="12"/>
    </row>
    <row r="350" ht="14.25" customHeight="1">
      <c r="B350" s="19"/>
      <c r="F350" s="55"/>
      <c r="G350" s="55"/>
      <c r="H350" s="12"/>
    </row>
    <row r="351" ht="14.25" customHeight="1">
      <c r="B351" s="19"/>
      <c r="F351" s="55"/>
      <c r="G351" s="55"/>
      <c r="H351" s="12"/>
    </row>
    <row r="352" ht="14.25" customHeight="1">
      <c r="B352" s="19"/>
      <c r="F352" s="55"/>
      <c r="G352" s="55"/>
      <c r="H352" s="12"/>
    </row>
    <row r="353" ht="14.25" customHeight="1">
      <c r="B353" s="19"/>
      <c r="F353" s="55"/>
      <c r="G353" s="55"/>
      <c r="H353" s="12"/>
    </row>
    <row r="354" ht="14.25" customHeight="1">
      <c r="B354" s="19"/>
      <c r="F354" s="55"/>
      <c r="G354" s="55"/>
      <c r="H354" s="12"/>
    </row>
    <row r="355" ht="14.25" customHeight="1">
      <c r="B355" s="19"/>
      <c r="F355" s="55"/>
      <c r="G355" s="55"/>
      <c r="H355" s="12"/>
    </row>
    <row r="356" ht="14.25" customHeight="1">
      <c r="B356" s="19"/>
      <c r="F356" s="55"/>
      <c r="G356" s="55"/>
      <c r="H356" s="12"/>
    </row>
    <row r="357" ht="14.25" customHeight="1">
      <c r="B357" s="19"/>
      <c r="F357" s="55"/>
      <c r="G357" s="55"/>
      <c r="H357" s="12"/>
    </row>
    <row r="358" ht="14.25" customHeight="1">
      <c r="B358" s="19"/>
      <c r="F358" s="55"/>
      <c r="G358" s="55"/>
      <c r="H358" s="12"/>
    </row>
    <row r="359" ht="14.25" customHeight="1">
      <c r="B359" s="19"/>
      <c r="F359" s="55"/>
      <c r="G359" s="55"/>
      <c r="H359" s="12"/>
    </row>
    <row r="360" ht="14.25" customHeight="1">
      <c r="B360" s="19"/>
      <c r="F360" s="55"/>
      <c r="G360" s="55"/>
      <c r="H360" s="12"/>
    </row>
    <row r="361" ht="14.25" customHeight="1">
      <c r="B361" s="19"/>
      <c r="F361" s="55"/>
      <c r="G361" s="55"/>
      <c r="H361" s="12"/>
    </row>
    <row r="362" ht="14.25" customHeight="1">
      <c r="B362" s="19"/>
      <c r="F362" s="55"/>
      <c r="G362" s="55"/>
      <c r="H362" s="12"/>
    </row>
    <row r="363" ht="14.25" customHeight="1">
      <c r="B363" s="19"/>
      <c r="F363" s="55"/>
      <c r="G363" s="55"/>
      <c r="H363" s="12"/>
    </row>
    <row r="364" ht="14.25" customHeight="1">
      <c r="B364" s="19"/>
      <c r="F364" s="55"/>
      <c r="G364" s="55"/>
      <c r="H364" s="12"/>
    </row>
    <row r="365" ht="14.25" customHeight="1">
      <c r="B365" s="19"/>
      <c r="F365" s="55"/>
      <c r="G365" s="55"/>
      <c r="H365" s="12"/>
    </row>
    <row r="366" ht="14.25" customHeight="1">
      <c r="B366" s="19"/>
      <c r="F366" s="55"/>
      <c r="G366" s="55"/>
      <c r="H366" s="12"/>
    </row>
    <row r="367" ht="14.25" customHeight="1">
      <c r="B367" s="19"/>
      <c r="F367" s="55"/>
      <c r="G367" s="55"/>
      <c r="H367" s="12"/>
    </row>
    <row r="368" ht="14.25" customHeight="1">
      <c r="B368" s="19"/>
      <c r="F368" s="55"/>
      <c r="G368" s="55"/>
      <c r="H368" s="12"/>
    </row>
    <row r="369" ht="14.25" customHeight="1">
      <c r="B369" s="19"/>
      <c r="F369" s="55"/>
      <c r="G369" s="55"/>
      <c r="H369" s="12"/>
    </row>
    <row r="370" ht="14.25" customHeight="1">
      <c r="B370" s="19"/>
      <c r="F370" s="55"/>
      <c r="G370" s="55"/>
      <c r="H370" s="12"/>
    </row>
    <row r="371" ht="14.25" customHeight="1">
      <c r="B371" s="19"/>
      <c r="F371" s="55"/>
      <c r="G371" s="55"/>
      <c r="H371" s="12"/>
    </row>
    <row r="372" ht="14.25" customHeight="1">
      <c r="B372" s="19"/>
      <c r="F372" s="55"/>
      <c r="G372" s="55"/>
      <c r="H372" s="12"/>
    </row>
    <row r="373" ht="14.25" customHeight="1">
      <c r="B373" s="19"/>
      <c r="F373" s="55"/>
      <c r="G373" s="55"/>
      <c r="H373" s="12"/>
    </row>
    <row r="374" ht="14.25" customHeight="1">
      <c r="B374" s="19"/>
      <c r="F374" s="55"/>
      <c r="G374" s="55"/>
      <c r="H374" s="12"/>
    </row>
    <row r="375" ht="14.25" customHeight="1">
      <c r="B375" s="19"/>
      <c r="F375" s="55"/>
      <c r="G375" s="55"/>
      <c r="H375" s="12"/>
    </row>
    <row r="376" ht="14.25" customHeight="1">
      <c r="B376" s="19"/>
      <c r="F376" s="55"/>
      <c r="G376" s="55"/>
      <c r="H376" s="12"/>
    </row>
    <row r="377" ht="14.25" customHeight="1">
      <c r="B377" s="19"/>
      <c r="F377" s="55"/>
      <c r="G377" s="55"/>
      <c r="H377" s="12"/>
    </row>
    <row r="378" ht="14.25" customHeight="1">
      <c r="B378" s="19"/>
      <c r="F378" s="55"/>
      <c r="G378" s="55"/>
      <c r="H378" s="12"/>
    </row>
    <row r="379" ht="14.25" customHeight="1">
      <c r="B379" s="19"/>
      <c r="F379" s="55"/>
      <c r="G379" s="55"/>
      <c r="H379" s="12"/>
    </row>
    <row r="380" ht="14.25" customHeight="1">
      <c r="B380" s="19"/>
      <c r="F380" s="55"/>
      <c r="G380" s="55"/>
      <c r="H380" s="12"/>
    </row>
    <row r="381" ht="14.25" customHeight="1">
      <c r="B381" s="19"/>
      <c r="F381" s="55"/>
      <c r="G381" s="55"/>
      <c r="H381" s="12"/>
    </row>
    <row r="382" ht="14.25" customHeight="1">
      <c r="B382" s="19"/>
      <c r="F382" s="55"/>
      <c r="G382" s="55"/>
      <c r="H382" s="12"/>
    </row>
    <row r="383" ht="14.25" customHeight="1">
      <c r="B383" s="19"/>
      <c r="F383" s="55"/>
      <c r="G383" s="55"/>
      <c r="H383" s="12"/>
    </row>
    <row r="384" ht="14.25" customHeight="1">
      <c r="B384" s="19"/>
      <c r="F384" s="55"/>
      <c r="G384" s="55"/>
      <c r="H384" s="12"/>
    </row>
    <row r="385" ht="14.25" customHeight="1">
      <c r="B385" s="19"/>
      <c r="F385" s="55"/>
      <c r="G385" s="55"/>
      <c r="H385" s="12"/>
    </row>
    <row r="386" ht="14.25" customHeight="1">
      <c r="B386" s="19"/>
      <c r="F386" s="55"/>
      <c r="G386" s="55"/>
      <c r="H386" s="12"/>
    </row>
    <row r="387" ht="14.25" customHeight="1">
      <c r="B387" s="19"/>
      <c r="F387" s="55"/>
      <c r="G387" s="55"/>
      <c r="H387" s="12"/>
    </row>
    <row r="388" ht="14.25" customHeight="1">
      <c r="B388" s="19"/>
      <c r="F388" s="55"/>
      <c r="G388" s="55"/>
      <c r="H388" s="12"/>
    </row>
    <row r="389" ht="14.25" customHeight="1">
      <c r="B389" s="19"/>
      <c r="F389" s="55"/>
      <c r="G389" s="55"/>
      <c r="H389" s="12"/>
    </row>
    <row r="390" ht="14.25" customHeight="1">
      <c r="B390" s="19"/>
      <c r="F390" s="55"/>
      <c r="G390" s="55"/>
      <c r="H390" s="12"/>
    </row>
    <row r="391" ht="14.25" customHeight="1">
      <c r="B391" s="19"/>
      <c r="F391" s="55"/>
      <c r="G391" s="55"/>
      <c r="H391" s="12"/>
    </row>
    <row r="392" ht="14.25" customHeight="1">
      <c r="B392" s="19"/>
      <c r="F392" s="55"/>
      <c r="G392" s="55"/>
      <c r="H392" s="12"/>
    </row>
    <row r="393" ht="14.25" customHeight="1">
      <c r="B393" s="19"/>
      <c r="F393" s="55"/>
      <c r="G393" s="55"/>
      <c r="H393" s="12"/>
    </row>
    <row r="394" ht="14.25" customHeight="1">
      <c r="B394" s="19"/>
      <c r="F394" s="55"/>
      <c r="G394" s="55"/>
      <c r="H394" s="12"/>
    </row>
    <row r="395" ht="14.25" customHeight="1">
      <c r="B395" s="19"/>
      <c r="F395" s="55"/>
      <c r="G395" s="55"/>
      <c r="H395" s="12"/>
    </row>
    <row r="396" ht="14.25" customHeight="1">
      <c r="B396" s="19"/>
      <c r="F396" s="55"/>
      <c r="G396" s="55"/>
      <c r="H396" s="12"/>
    </row>
    <row r="397" ht="14.25" customHeight="1">
      <c r="B397" s="19"/>
      <c r="F397" s="55"/>
      <c r="G397" s="55"/>
      <c r="H397" s="12"/>
    </row>
    <row r="398" ht="14.25" customHeight="1">
      <c r="B398" s="19"/>
      <c r="F398" s="55"/>
      <c r="G398" s="55"/>
      <c r="H398" s="12"/>
    </row>
    <row r="399" ht="14.25" customHeight="1">
      <c r="B399" s="19"/>
      <c r="F399" s="55"/>
      <c r="G399" s="55"/>
      <c r="H399" s="12"/>
    </row>
    <row r="400" ht="14.25" customHeight="1">
      <c r="B400" s="19"/>
      <c r="F400" s="55"/>
      <c r="G400" s="55"/>
      <c r="H400" s="12"/>
    </row>
    <row r="401" ht="14.25" customHeight="1">
      <c r="B401" s="19"/>
      <c r="F401" s="55"/>
      <c r="G401" s="55"/>
      <c r="H401" s="12"/>
    </row>
    <row r="402" ht="14.25" customHeight="1">
      <c r="B402" s="19"/>
      <c r="F402" s="55"/>
      <c r="G402" s="55"/>
      <c r="H402" s="12"/>
    </row>
    <row r="403" ht="14.25" customHeight="1">
      <c r="B403" s="19"/>
      <c r="F403" s="55"/>
      <c r="G403" s="55"/>
      <c r="H403" s="12"/>
    </row>
    <row r="404" ht="14.25" customHeight="1">
      <c r="B404" s="19"/>
      <c r="F404" s="55"/>
      <c r="G404" s="55"/>
      <c r="H404" s="12"/>
    </row>
    <row r="405" ht="14.25" customHeight="1">
      <c r="B405" s="19"/>
      <c r="F405" s="55"/>
      <c r="G405" s="55"/>
      <c r="H405" s="12"/>
    </row>
    <row r="406" ht="14.25" customHeight="1">
      <c r="B406" s="19"/>
      <c r="F406" s="55"/>
      <c r="G406" s="55"/>
      <c r="H406" s="12"/>
    </row>
    <row r="407" ht="14.25" customHeight="1">
      <c r="B407" s="19"/>
      <c r="F407" s="55"/>
      <c r="G407" s="55"/>
      <c r="H407" s="12"/>
    </row>
    <row r="408" ht="14.25" customHeight="1">
      <c r="B408" s="19"/>
      <c r="F408" s="55"/>
      <c r="G408" s="55"/>
      <c r="H408" s="12"/>
    </row>
    <row r="409" ht="14.25" customHeight="1">
      <c r="B409" s="19"/>
      <c r="F409" s="55"/>
      <c r="G409" s="55"/>
      <c r="H409" s="12"/>
    </row>
    <row r="410" ht="14.25" customHeight="1">
      <c r="B410" s="19"/>
      <c r="F410" s="55"/>
      <c r="G410" s="55"/>
      <c r="H410" s="12"/>
    </row>
    <row r="411" ht="14.25" customHeight="1">
      <c r="B411" s="19"/>
      <c r="F411" s="55"/>
      <c r="G411" s="55"/>
      <c r="H411" s="12"/>
    </row>
    <row r="412" ht="14.25" customHeight="1">
      <c r="B412" s="19"/>
      <c r="F412" s="55"/>
      <c r="G412" s="55"/>
      <c r="H412" s="12"/>
    </row>
    <row r="413" ht="14.25" customHeight="1">
      <c r="B413" s="19"/>
      <c r="F413" s="55"/>
      <c r="G413" s="55"/>
      <c r="H413" s="12"/>
    </row>
    <row r="414" ht="14.25" customHeight="1">
      <c r="B414" s="19"/>
      <c r="F414" s="55"/>
      <c r="G414" s="55"/>
      <c r="H414" s="12"/>
    </row>
    <row r="415" ht="14.25" customHeight="1">
      <c r="B415" s="19"/>
      <c r="F415" s="55"/>
      <c r="G415" s="55"/>
      <c r="H415" s="12"/>
    </row>
    <row r="416" ht="14.25" customHeight="1">
      <c r="B416" s="19"/>
      <c r="F416" s="55"/>
      <c r="G416" s="55"/>
      <c r="H416" s="12"/>
    </row>
    <row r="417" ht="14.25" customHeight="1">
      <c r="B417" s="19"/>
      <c r="F417" s="55"/>
      <c r="G417" s="55"/>
      <c r="H417" s="12"/>
    </row>
    <row r="418" ht="14.25" customHeight="1">
      <c r="B418" s="19"/>
      <c r="F418" s="55"/>
      <c r="G418" s="55"/>
      <c r="H418" s="12"/>
    </row>
    <row r="419" ht="14.25" customHeight="1">
      <c r="B419" s="19"/>
      <c r="F419" s="55"/>
      <c r="G419" s="55"/>
      <c r="H419" s="12"/>
    </row>
    <row r="420" ht="14.25" customHeight="1">
      <c r="B420" s="19"/>
      <c r="F420" s="55"/>
      <c r="G420" s="55"/>
      <c r="H420" s="12"/>
    </row>
    <row r="421" ht="14.25" customHeight="1">
      <c r="B421" s="19"/>
      <c r="F421" s="55"/>
      <c r="G421" s="55"/>
      <c r="H421" s="12"/>
    </row>
    <row r="422" ht="14.25" customHeight="1">
      <c r="B422" s="19"/>
      <c r="F422" s="55"/>
      <c r="G422" s="55"/>
      <c r="H422" s="12"/>
    </row>
    <row r="423" ht="14.25" customHeight="1">
      <c r="B423" s="19"/>
      <c r="F423" s="55"/>
      <c r="G423" s="55"/>
      <c r="H423" s="12"/>
    </row>
    <row r="424" ht="14.25" customHeight="1">
      <c r="B424" s="19"/>
      <c r="F424" s="55"/>
      <c r="G424" s="55"/>
      <c r="H424" s="12"/>
    </row>
    <row r="425" ht="14.25" customHeight="1">
      <c r="B425" s="19"/>
      <c r="F425" s="55"/>
      <c r="G425" s="55"/>
      <c r="H425" s="12"/>
    </row>
    <row r="426" ht="14.25" customHeight="1">
      <c r="B426" s="19"/>
      <c r="F426" s="55"/>
      <c r="G426" s="55"/>
      <c r="H426" s="12"/>
    </row>
    <row r="427" ht="14.25" customHeight="1">
      <c r="B427" s="19"/>
      <c r="F427" s="55"/>
      <c r="G427" s="55"/>
      <c r="H427" s="12"/>
    </row>
    <row r="428" ht="14.25" customHeight="1">
      <c r="B428" s="19"/>
      <c r="F428" s="55"/>
      <c r="G428" s="55"/>
      <c r="H428" s="12"/>
    </row>
    <row r="429" ht="14.25" customHeight="1">
      <c r="B429" s="19"/>
      <c r="F429" s="55"/>
      <c r="G429" s="55"/>
      <c r="H429" s="12"/>
    </row>
    <row r="430" ht="14.25" customHeight="1">
      <c r="B430" s="19"/>
      <c r="F430" s="55"/>
      <c r="G430" s="55"/>
      <c r="H430" s="12"/>
    </row>
    <row r="431" ht="14.25" customHeight="1">
      <c r="B431" s="19"/>
      <c r="F431" s="55"/>
      <c r="G431" s="55"/>
      <c r="H431" s="12"/>
    </row>
    <row r="432" ht="14.25" customHeight="1">
      <c r="B432" s="19"/>
      <c r="F432" s="55"/>
      <c r="G432" s="55"/>
      <c r="H432" s="12"/>
    </row>
    <row r="433" ht="14.25" customHeight="1">
      <c r="B433" s="19"/>
      <c r="F433" s="55"/>
      <c r="G433" s="55"/>
      <c r="H433" s="12"/>
    </row>
    <row r="434" ht="14.25" customHeight="1">
      <c r="B434" s="19"/>
      <c r="F434" s="55"/>
      <c r="G434" s="55"/>
      <c r="H434" s="12"/>
    </row>
    <row r="435" ht="14.25" customHeight="1">
      <c r="B435" s="19"/>
      <c r="F435" s="55"/>
      <c r="G435" s="55"/>
      <c r="H435" s="12"/>
    </row>
    <row r="436" ht="14.25" customHeight="1">
      <c r="B436" s="19"/>
      <c r="F436" s="55"/>
      <c r="G436" s="55"/>
      <c r="H436" s="12"/>
    </row>
    <row r="437" ht="14.25" customHeight="1">
      <c r="B437" s="19"/>
      <c r="F437" s="55"/>
      <c r="G437" s="55"/>
      <c r="H437" s="12"/>
    </row>
    <row r="438" ht="14.25" customHeight="1">
      <c r="B438" s="19"/>
      <c r="F438" s="55"/>
      <c r="G438" s="55"/>
      <c r="H438" s="12"/>
    </row>
    <row r="439" ht="14.25" customHeight="1">
      <c r="B439" s="19"/>
      <c r="F439" s="55"/>
      <c r="G439" s="55"/>
      <c r="H439" s="12"/>
    </row>
    <row r="440" ht="14.25" customHeight="1">
      <c r="B440" s="19"/>
      <c r="F440" s="55"/>
      <c r="G440" s="55"/>
      <c r="H440" s="12"/>
    </row>
    <row r="441" ht="14.25" customHeight="1">
      <c r="B441" s="19"/>
      <c r="F441" s="55"/>
      <c r="G441" s="55"/>
      <c r="H441" s="12"/>
    </row>
    <row r="442" ht="14.25" customHeight="1">
      <c r="B442" s="19"/>
      <c r="F442" s="55"/>
      <c r="G442" s="55"/>
      <c r="H442" s="12"/>
    </row>
    <row r="443" ht="14.25" customHeight="1">
      <c r="B443" s="19"/>
      <c r="F443" s="55"/>
      <c r="G443" s="55"/>
      <c r="H443" s="12"/>
    </row>
    <row r="444" ht="14.25" customHeight="1">
      <c r="B444" s="19"/>
      <c r="F444" s="55"/>
      <c r="G444" s="55"/>
      <c r="H444" s="12"/>
    </row>
    <row r="445" ht="14.25" customHeight="1">
      <c r="B445" s="19"/>
      <c r="F445" s="55"/>
      <c r="G445" s="55"/>
      <c r="H445" s="12"/>
    </row>
    <row r="446" ht="14.25" customHeight="1">
      <c r="B446" s="19"/>
      <c r="F446" s="55"/>
      <c r="G446" s="55"/>
      <c r="H446" s="12"/>
    </row>
    <row r="447" ht="14.25" customHeight="1">
      <c r="B447" s="19"/>
      <c r="F447" s="55"/>
      <c r="G447" s="55"/>
      <c r="H447" s="12"/>
    </row>
    <row r="448" ht="14.25" customHeight="1">
      <c r="B448" s="19"/>
      <c r="F448" s="55"/>
      <c r="G448" s="55"/>
      <c r="H448" s="12"/>
    </row>
    <row r="449" ht="14.25" customHeight="1">
      <c r="B449" s="19"/>
      <c r="F449" s="55"/>
      <c r="G449" s="55"/>
      <c r="H449" s="12"/>
    </row>
    <row r="450" ht="14.25" customHeight="1">
      <c r="B450" s="19"/>
      <c r="F450" s="55"/>
      <c r="G450" s="55"/>
      <c r="H450" s="12"/>
    </row>
    <row r="451" ht="14.25" customHeight="1">
      <c r="B451" s="19"/>
      <c r="F451" s="55"/>
      <c r="G451" s="55"/>
      <c r="H451" s="12"/>
    </row>
    <row r="452" ht="14.25" customHeight="1">
      <c r="B452" s="19"/>
      <c r="F452" s="55"/>
      <c r="G452" s="55"/>
      <c r="H452" s="12"/>
    </row>
    <row r="453" ht="14.25" customHeight="1">
      <c r="B453" s="19"/>
      <c r="F453" s="55"/>
      <c r="G453" s="55"/>
      <c r="H453" s="12"/>
    </row>
    <row r="454" ht="14.25" customHeight="1">
      <c r="B454" s="19"/>
      <c r="F454" s="55"/>
      <c r="G454" s="55"/>
      <c r="H454" s="12"/>
    </row>
    <row r="455" ht="14.25" customHeight="1">
      <c r="B455" s="19"/>
      <c r="F455" s="55"/>
      <c r="G455" s="55"/>
      <c r="H455" s="12"/>
    </row>
    <row r="456" ht="14.25" customHeight="1">
      <c r="B456" s="19"/>
      <c r="F456" s="55"/>
      <c r="G456" s="55"/>
      <c r="H456" s="12"/>
    </row>
    <row r="457" ht="14.25" customHeight="1">
      <c r="B457" s="19"/>
      <c r="F457" s="55"/>
      <c r="G457" s="55"/>
      <c r="H457" s="12"/>
    </row>
    <row r="458" ht="14.25" customHeight="1">
      <c r="B458" s="19"/>
      <c r="F458" s="55"/>
      <c r="G458" s="55"/>
      <c r="H458" s="12"/>
    </row>
    <row r="459" ht="14.25" customHeight="1">
      <c r="B459" s="19"/>
      <c r="F459" s="55"/>
      <c r="G459" s="55"/>
      <c r="H459" s="12"/>
    </row>
    <row r="460" ht="14.25" customHeight="1">
      <c r="B460" s="19"/>
      <c r="F460" s="55"/>
      <c r="G460" s="55"/>
      <c r="H460" s="12"/>
    </row>
    <row r="461" ht="14.25" customHeight="1">
      <c r="B461" s="19"/>
      <c r="F461" s="55"/>
      <c r="G461" s="55"/>
      <c r="H461" s="12"/>
    </row>
    <row r="462" ht="14.25" customHeight="1">
      <c r="B462" s="19"/>
      <c r="F462" s="55"/>
      <c r="G462" s="55"/>
      <c r="H462" s="12"/>
    </row>
    <row r="463" ht="14.25" customHeight="1">
      <c r="B463" s="19"/>
      <c r="F463" s="55"/>
      <c r="G463" s="55"/>
      <c r="H463" s="12"/>
    </row>
    <row r="464" ht="14.25" customHeight="1">
      <c r="B464" s="19"/>
      <c r="F464" s="55"/>
      <c r="G464" s="55"/>
      <c r="H464" s="12"/>
    </row>
    <row r="465" ht="14.25" customHeight="1">
      <c r="B465" s="19"/>
      <c r="F465" s="55"/>
      <c r="G465" s="55"/>
      <c r="H465" s="12"/>
    </row>
    <row r="466" ht="14.25" customHeight="1">
      <c r="B466" s="19"/>
      <c r="F466" s="55"/>
      <c r="G466" s="55"/>
      <c r="H466" s="12"/>
    </row>
    <row r="467" ht="14.25" customHeight="1">
      <c r="B467" s="19"/>
      <c r="F467" s="55"/>
      <c r="G467" s="55"/>
      <c r="H467" s="12"/>
    </row>
    <row r="468" ht="14.25" customHeight="1">
      <c r="B468" s="19"/>
      <c r="F468" s="55"/>
      <c r="G468" s="55"/>
      <c r="H468" s="12"/>
    </row>
    <row r="469" ht="14.25" customHeight="1">
      <c r="B469" s="19"/>
      <c r="F469" s="55"/>
      <c r="G469" s="55"/>
      <c r="H469" s="12"/>
    </row>
    <row r="470" ht="14.25" customHeight="1">
      <c r="B470" s="19"/>
      <c r="F470" s="55"/>
      <c r="G470" s="55"/>
      <c r="H470" s="12"/>
    </row>
    <row r="471" ht="14.25" customHeight="1">
      <c r="B471" s="19"/>
      <c r="F471" s="55"/>
      <c r="G471" s="55"/>
      <c r="H471" s="12"/>
    </row>
    <row r="472" ht="14.25" customHeight="1">
      <c r="B472" s="19"/>
      <c r="F472" s="55"/>
      <c r="G472" s="55"/>
      <c r="H472" s="12"/>
    </row>
    <row r="473" ht="14.25" customHeight="1">
      <c r="B473" s="19"/>
      <c r="F473" s="55"/>
      <c r="G473" s="55"/>
      <c r="H473" s="12"/>
    </row>
    <row r="474" ht="14.25" customHeight="1">
      <c r="B474" s="19"/>
      <c r="F474" s="55"/>
      <c r="G474" s="55"/>
      <c r="H474" s="12"/>
    </row>
    <row r="475" ht="14.25" customHeight="1">
      <c r="B475" s="19"/>
      <c r="F475" s="55"/>
      <c r="G475" s="55"/>
      <c r="H475" s="12"/>
    </row>
    <row r="476" ht="14.25" customHeight="1">
      <c r="B476" s="19"/>
      <c r="F476" s="55"/>
      <c r="G476" s="55"/>
      <c r="H476" s="12"/>
    </row>
    <row r="477" ht="14.25" customHeight="1">
      <c r="B477" s="19"/>
      <c r="F477" s="55"/>
      <c r="G477" s="55"/>
      <c r="H477" s="12"/>
    </row>
    <row r="478" ht="14.25" customHeight="1">
      <c r="B478" s="19"/>
      <c r="F478" s="55"/>
      <c r="G478" s="55"/>
      <c r="H478" s="12"/>
    </row>
    <row r="479" ht="14.25" customHeight="1">
      <c r="B479" s="19"/>
      <c r="F479" s="55"/>
      <c r="G479" s="55"/>
      <c r="H479" s="12"/>
    </row>
    <row r="480" ht="14.25" customHeight="1">
      <c r="B480" s="19"/>
      <c r="F480" s="55"/>
      <c r="G480" s="55"/>
      <c r="H480" s="12"/>
    </row>
    <row r="481" ht="14.25" customHeight="1">
      <c r="B481" s="19"/>
      <c r="F481" s="55"/>
      <c r="G481" s="55"/>
      <c r="H481" s="12"/>
    </row>
    <row r="482" ht="14.25" customHeight="1">
      <c r="B482" s="19"/>
      <c r="F482" s="55"/>
      <c r="G482" s="55"/>
      <c r="H482" s="12"/>
    </row>
    <row r="483" ht="14.25" customHeight="1">
      <c r="B483" s="19"/>
      <c r="F483" s="55"/>
      <c r="G483" s="55"/>
      <c r="H483" s="12"/>
    </row>
    <row r="484" ht="14.25" customHeight="1">
      <c r="B484" s="19"/>
      <c r="F484" s="55"/>
      <c r="G484" s="55"/>
      <c r="H484" s="12"/>
    </row>
    <row r="485" ht="14.25" customHeight="1">
      <c r="B485" s="19"/>
      <c r="F485" s="55"/>
      <c r="G485" s="55"/>
      <c r="H485" s="12"/>
    </row>
    <row r="486" ht="14.25" customHeight="1">
      <c r="B486" s="19"/>
      <c r="F486" s="55"/>
      <c r="G486" s="55"/>
      <c r="H486" s="12"/>
    </row>
    <row r="487" ht="14.25" customHeight="1">
      <c r="B487" s="19"/>
      <c r="F487" s="55"/>
      <c r="G487" s="55"/>
      <c r="H487" s="12"/>
    </row>
    <row r="488" ht="14.25" customHeight="1">
      <c r="B488" s="19"/>
      <c r="F488" s="55"/>
      <c r="G488" s="55"/>
      <c r="H488" s="12"/>
    </row>
    <row r="489" ht="14.25" customHeight="1">
      <c r="B489" s="19"/>
      <c r="F489" s="55"/>
      <c r="G489" s="55"/>
      <c r="H489" s="12"/>
    </row>
    <row r="490" ht="14.25" customHeight="1">
      <c r="B490" s="19"/>
      <c r="F490" s="55"/>
      <c r="G490" s="55"/>
      <c r="H490" s="12"/>
    </row>
    <row r="491" ht="14.25" customHeight="1">
      <c r="B491" s="19"/>
      <c r="F491" s="55"/>
      <c r="G491" s="55"/>
      <c r="H491" s="12"/>
    </row>
    <row r="492" ht="14.25" customHeight="1">
      <c r="B492" s="19"/>
      <c r="F492" s="55"/>
      <c r="G492" s="55"/>
      <c r="H492" s="12"/>
    </row>
    <row r="493" ht="14.25" customHeight="1">
      <c r="B493" s="19"/>
      <c r="F493" s="55"/>
      <c r="G493" s="55"/>
      <c r="H493" s="12"/>
    </row>
    <row r="494" ht="14.25" customHeight="1">
      <c r="B494" s="19"/>
      <c r="F494" s="55"/>
      <c r="G494" s="55"/>
      <c r="H494" s="12"/>
    </row>
    <row r="495" ht="14.25" customHeight="1">
      <c r="B495" s="19"/>
      <c r="F495" s="55"/>
      <c r="G495" s="55"/>
      <c r="H495" s="12"/>
    </row>
    <row r="496" ht="14.25" customHeight="1">
      <c r="B496" s="19"/>
      <c r="F496" s="55"/>
      <c r="G496" s="55"/>
      <c r="H496" s="12"/>
    </row>
    <row r="497" ht="14.25" customHeight="1">
      <c r="B497" s="19"/>
      <c r="F497" s="55"/>
      <c r="G497" s="55"/>
      <c r="H497" s="12"/>
    </row>
    <row r="498" ht="14.25" customHeight="1">
      <c r="B498" s="19"/>
      <c r="F498" s="55"/>
      <c r="G498" s="55"/>
      <c r="H498" s="12"/>
    </row>
    <row r="499" ht="14.25" customHeight="1">
      <c r="B499" s="19"/>
      <c r="F499" s="55"/>
      <c r="G499" s="55"/>
      <c r="H499" s="12"/>
    </row>
    <row r="500" ht="14.25" customHeight="1">
      <c r="B500" s="19"/>
      <c r="F500" s="55"/>
      <c r="G500" s="55"/>
      <c r="H500" s="12"/>
    </row>
    <row r="501" ht="14.25" customHeight="1">
      <c r="B501" s="19"/>
      <c r="F501" s="55"/>
      <c r="G501" s="55"/>
      <c r="H501" s="12"/>
    </row>
    <row r="502" ht="14.25" customHeight="1">
      <c r="B502" s="19"/>
      <c r="F502" s="55"/>
      <c r="G502" s="55"/>
      <c r="H502" s="12"/>
    </row>
    <row r="503" ht="14.25" customHeight="1">
      <c r="B503" s="19"/>
      <c r="F503" s="55"/>
      <c r="G503" s="55"/>
      <c r="H503" s="12"/>
    </row>
    <row r="504" ht="14.25" customHeight="1">
      <c r="B504" s="19"/>
      <c r="F504" s="55"/>
      <c r="G504" s="55"/>
      <c r="H504" s="12"/>
    </row>
    <row r="505" ht="14.25" customHeight="1">
      <c r="B505" s="19"/>
      <c r="F505" s="55"/>
      <c r="G505" s="55"/>
      <c r="H505" s="12"/>
    </row>
    <row r="506" ht="14.25" customHeight="1">
      <c r="B506" s="19"/>
      <c r="F506" s="55"/>
      <c r="G506" s="55"/>
      <c r="H506" s="12"/>
    </row>
    <row r="507" ht="14.25" customHeight="1">
      <c r="B507" s="19"/>
      <c r="F507" s="55"/>
      <c r="G507" s="55"/>
      <c r="H507" s="12"/>
    </row>
    <row r="508" ht="14.25" customHeight="1">
      <c r="B508" s="19"/>
      <c r="F508" s="55"/>
      <c r="G508" s="55"/>
      <c r="H508" s="12"/>
    </row>
    <row r="509" ht="14.25" customHeight="1">
      <c r="B509" s="19"/>
      <c r="F509" s="55"/>
      <c r="G509" s="55"/>
      <c r="H509" s="12"/>
    </row>
    <row r="510" ht="14.25" customHeight="1">
      <c r="B510" s="19"/>
      <c r="F510" s="55"/>
      <c r="G510" s="55"/>
      <c r="H510" s="12"/>
    </row>
    <row r="511" ht="14.25" customHeight="1">
      <c r="B511" s="19"/>
      <c r="F511" s="55"/>
      <c r="G511" s="55"/>
      <c r="H511" s="12"/>
    </row>
    <row r="512" ht="14.25" customHeight="1">
      <c r="B512" s="19"/>
      <c r="F512" s="55"/>
      <c r="G512" s="55"/>
      <c r="H512" s="12"/>
    </row>
    <row r="513" ht="14.25" customHeight="1">
      <c r="B513" s="19"/>
      <c r="F513" s="55"/>
      <c r="G513" s="55"/>
      <c r="H513" s="12"/>
    </row>
    <row r="514" ht="14.25" customHeight="1">
      <c r="B514" s="19"/>
      <c r="F514" s="55"/>
      <c r="G514" s="55"/>
      <c r="H514" s="12"/>
    </row>
    <row r="515" ht="14.25" customHeight="1">
      <c r="B515" s="19"/>
      <c r="F515" s="55"/>
      <c r="G515" s="55"/>
      <c r="H515" s="12"/>
    </row>
    <row r="516" ht="14.25" customHeight="1">
      <c r="B516" s="19"/>
      <c r="F516" s="55"/>
      <c r="G516" s="55"/>
      <c r="H516" s="12"/>
    </row>
    <row r="517" ht="14.25" customHeight="1">
      <c r="B517" s="19"/>
      <c r="F517" s="55"/>
      <c r="G517" s="55"/>
      <c r="H517" s="12"/>
    </row>
    <row r="518" ht="14.25" customHeight="1">
      <c r="B518" s="19"/>
      <c r="F518" s="55"/>
      <c r="G518" s="55"/>
      <c r="H518" s="12"/>
    </row>
    <row r="519" ht="14.25" customHeight="1">
      <c r="B519" s="19"/>
      <c r="F519" s="55"/>
      <c r="G519" s="55"/>
      <c r="H519" s="12"/>
    </row>
    <row r="520" ht="14.25" customHeight="1">
      <c r="B520" s="19"/>
      <c r="F520" s="55"/>
      <c r="G520" s="55"/>
      <c r="H520" s="12"/>
    </row>
    <row r="521" ht="14.25" customHeight="1">
      <c r="B521" s="19"/>
      <c r="F521" s="55"/>
      <c r="G521" s="55"/>
      <c r="H521" s="12"/>
    </row>
    <row r="522" ht="14.25" customHeight="1">
      <c r="B522" s="19"/>
      <c r="F522" s="55"/>
      <c r="G522" s="55"/>
      <c r="H522" s="12"/>
    </row>
    <row r="523" ht="14.25" customHeight="1">
      <c r="B523" s="19"/>
      <c r="F523" s="55"/>
      <c r="G523" s="55"/>
      <c r="H523" s="12"/>
    </row>
    <row r="524" ht="14.25" customHeight="1">
      <c r="B524" s="19"/>
      <c r="F524" s="55"/>
      <c r="G524" s="55"/>
      <c r="H524" s="12"/>
    </row>
    <row r="525" ht="14.25" customHeight="1">
      <c r="B525" s="19"/>
      <c r="F525" s="55"/>
      <c r="G525" s="55"/>
      <c r="H525" s="12"/>
    </row>
    <row r="526" ht="14.25" customHeight="1">
      <c r="B526" s="19"/>
      <c r="F526" s="55"/>
      <c r="G526" s="55"/>
      <c r="H526" s="12"/>
    </row>
    <row r="527" ht="14.25" customHeight="1">
      <c r="B527" s="19"/>
      <c r="F527" s="55"/>
      <c r="G527" s="55"/>
      <c r="H527" s="12"/>
    </row>
    <row r="528" ht="14.25" customHeight="1">
      <c r="B528" s="19"/>
      <c r="F528" s="55"/>
      <c r="G528" s="55"/>
      <c r="H528" s="12"/>
    </row>
    <row r="529" ht="14.25" customHeight="1">
      <c r="B529" s="19"/>
      <c r="F529" s="55"/>
      <c r="G529" s="55"/>
      <c r="H529" s="12"/>
    </row>
    <row r="530" ht="14.25" customHeight="1">
      <c r="B530" s="19"/>
      <c r="F530" s="55"/>
      <c r="G530" s="55"/>
      <c r="H530" s="12"/>
    </row>
    <row r="531" ht="14.25" customHeight="1">
      <c r="B531" s="19"/>
      <c r="F531" s="55"/>
      <c r="G531" s="55"/>
      <c r="H531" s="12"/>
    </row>
    <row r="532" ht="14.25" customHeight="1">
      <c r="B532" s="19"/>
      <c r="F532" s="55"/>
      <c r="G532" s="55"/>
      <c r="H532" s="12"/>
    </row>
    <row r="533" ht="14.25" customHeight="1">
      <c r="B533" s="19"/>
      <c r="F533" s="55"/>
      <c r="G533" s="55"/>
      <c r="H533" s="12"/>
    </row>
    <row r="534" ht="14.25" customHeight="1">
      <c r="B534" s="19"/>
      <c r="F534" s="55"/>
      <c r="G534" s="55"/>
      <c r="H534" s="12"/>
    </row>
    <row r="535" ht="14.25" customHeight="1">
      <c r="B535" s="19"/>
      <c r="F535" s="55"/>
      <c r="G535" s="55"/>
      <c r="H535" s="12"/>
    </row>
    <row r="536" ht="14.25" customHeight="1">
      <c r="B536" s="19"/>
      <c r="F536" s="55"/>
      <c r="G536" s="55"/>
      <c r="H536" s="12"/>
    </row>
    <row r="537" ht="14.25" customHeight="1">
      <c r="B537" s="19"/>
      <c r="F537" s="55"/>
      <c r="G537" s="55"/>
      <c r="H537" s="12"/>
    </row>
    <row r="538" ht="14.25" customHeight="1">
      <c r="B538" s="19"/>
      <c r="F538" s="55"/>
      <c r="G538" s="55"/>
      <c r="H538" s="12"/>
    </row>
    <row r="539" ht="14.25" customHeight="1">
      <c r="B539" s="19"/>
      <c r="F539" s="55"/>
      <c r="G539" s="55"/>
      <c r="H539" s="12"/>
    </row>
    <row r="540" ht="14.25" customHeight="1">
      <c r="B540" s="19"/>
      <c r="F540" s="55"/>
      <c r="G540" s="55"/>
      <c r="H540" s="12"/>
    </row>
    <row r="541" ht="14.25" customHeight="1">
      <c r="B541" s="19"/>
      <c r="F541" s="55"/>
      <c r="G541" s="55"/>
      <c r="H541" s="12"/>
    </row>
    <row r="542" ht="14.25" customHeight="1">
      <c r="B542" s="19"/>
      <c r="F542" s="55"/>
      <c r="G542" s="55"/>
      <c r="H542" s="12"/>
    </row>
    <row r="543" ht="14.25" customHeight="1">
      <c r="B543" s="19"/>
      <c r="F543" s="55"/>
      <c r="G543" s="55"/>
      <c r="H543" s="12"/>
    </row>
    <row r="544" ht="14.25" customHeight="1">
      <c r="B544" s="19"/>
      <c r="F544" s="55"/>
      <c r="G544" s="55"/>
      <c r="H544" s="12"/>
    </row>
    <row r="545" ht="14.25" customHeight="1">
      <c r="B545" s="19"/>
      <c r="F545" s="55"/>
      <c r="G545" s="55"/>
      <c r="H545" s="12"/>
    </row>
    <row r="546" ht="14.25" customHeight="1">
      <c r="B546" s="19"/>
      <c r="F546" s="55"/>
      <c r="G546" s="55"/>
      <c r="H546" s="12"/>
    </row>
    <row r="547" ht="14.25" customHeight="1">
      <c r="B547" s="19"/>
      <c r="F547" s="55"/>
      <c r="G547" s="55"/>
      <c r="H547" s="12"/>
    </row>
    <row r="548" ht="14.25" customHeight="1">
      <c r="B548" s="19"/>
      <c r="F548" s="55"/>
      <c r="G548" s="55"/>
      <c r="H548" s="12"/>
    </row>
    <row r="549" ht="14.25" customHeight="1">
      <c r="B549" s="19"/>
      <c r="F549" s="55"/>
      <c r="G549" s="55"/>
      <c r="H549" s="12"/>
    </row>
    <row r="550" ht="14.25" customHeight="1">
      <c r="B550" s="19"/>
      <c r="F550" s="55"/>
      <c r="G550" s="55"/>
      <c r="H550" s="12"/>
    </row>
    <row r="551" ht="14.25" customHeight="1">
      <c r="B551" s="19"/>
      <c r="F551" s="55"/>
      <c r="G551" s="55"/>
      <c r="H551" s="12"/>
    </row>
    <row r="552" ht="14.25" customHeight="1">
      <c r="B552" s="19"/>
      <c r="F552" s="55"/>
      <c r="G552" s="55"/>
      <c r="H552" s="12"/>
    </row>
    <row r="553" ht="14.25" customHeight="1">
      <c r="B553" s="19"/>
      <c r="F553" s="55"/>
      <c r="G553" s="55"/>
      <c r="H553" s="12"/>
    </row>
    <row r="554" ht="14.25" customHeight="1">
      <c r="B554" s="19"/>
      <c r="F554" s="55"/>
      <c r="G554" s="55"/>
      <c r="H554" s="12"/>
    </row>
    <row r="555" ht="14.25" customHeight="1">
      <c r="B555" s="19"/>
      <c r="F555" s="55"/>
      <c r="G555" s="55"/>
      <c r="H555" s="12"/>
    </row>
    <row r="556" ht="14.25" customHeight="1">
      <c r="B556" s="19"/>
      <c r="F556" s="55"/>
      <c r="G556" s="55"/>
      <c r="H556" s="12"/>
    </row>
    <row r="557" ht="14.25" customHeight="1">
      <c r="B557" s="19"/>
      <c r="F557" s="55"/>
      <c r="G557" s="55"/>
      <c r="H557" s="12"/>
    </row>
    <row r="558" ht="14.25" customHeight="1">
      <c r="B558" s="19"/>
      <c r="F558" s="55"/>
      <c r="G558" s="55"/>
      <c r="H558" s="12"/>
    </row>
    <row r="559" ht="14.25" customHeight="1">
      <c r="B559" s="19"/>
      <c r="F559" s="55"/>
      <c r="G559" s="55"/>
      <c r="H559" s="12"/>
    </row>
    <row r="560" ht="14.25" customHeight="1">
      <c r="B560" s="19"/>
      <c r="F560" s="55"/>
      <c r="G560" s="55"/>
      <c r="H560" s="12"/>
    </row>
    <row r="561" ht="14.25" customHeight="1">
      <c r="B561" s="19"/>
      <c r="F561" s="55"/>
      <c r="G561" s="55"/>
      <c r="H561" s="12"/>
    </row>
    <row r="562" ht="14.25" customHeight="1">
      <c r="B562" s="19"/>
      <c r="F562" s="55"/>
      <c r="G562" s="55"/>
      <c r="H562" s="12"/>
    </row>
    <row r="563" ht="14.25" customHeight="1">
      <c r="B563" s="19"/>
      <c r="F563" s="55"/>
      <c r="G563" s="55"/>
      <c r="H563" s="12"/>
    </row>
    <row r="564" ht="14.25" customHeight="1">
      <c r="B564" s="19"/>
      <c r="F564" s="55"/>
      <c r="G564" s="55"/>
      <c r="H564" s="12"/>
    </row>
    <row r="565" ht="14.25" customHeight="1">
      <c r="B565" s="19"/>
      <c r="F565" s="55"/>
      <c r="G565" s="55"/>
      <c r="H565" s="12"/>
    </row>
    <row r="566" ht="14.25" customHeight="1">
      <c r="B566" s="19"/>
      <c r="F566" s="55"/>
      <c r="G566" s="55"/>
      <c r="H566" s="12"/>
    </row>
    <row r="567" ht="14.25" customHeight="1">
      <c r="B567" s="19"/>
      <c r="F567" s="55"/>
      <c r="G567" s="55"/>
      <c r="H567" s="12"/>
    </row>
    <row r="568" ht="14.25" customHeight="1">
      <c r="B568" s="19"/>
      <c r="F568" s="55"/>
      <c r="G568" s="55"/>
      <c r="H568" s="12"/>
    </row>
    <row r="569" ht="14.25" customHeight="1">
      <c r="B569" s="19"/>
      <c r="F569" s="55"/>
      <c r="G569" s="55"/>
      <c r="H569" s="12"/>
    </row>
    <row r="570" ht="14.25" customHeight="1">
      <c r="B570" s="19"/>
      <c r="F570" s="55"/>
      <c r="G570" s="55"/>
      <c r="H570" s="12"/>
    </row>
    <row r="571" ht="14.25" customHeight="1">
      <c r="B571" s="19"/>
      <c r="F571" s="55"/>
      <c r="G571" s="55"/>
      <c r="H571" s="12"/>
    </row>
    <row r="572" ht="14.25" customHeight="1">
      <c r="B572" s="19"/>
      <c r="F572" s="55"/>
      <c r="G572" s="55"/>
      <c r="H572" s="12"/>
    </row>
    <row r="573" ht="14.25" customHeight="1">
      <c r="B573" s="19"/>
      <c r="F573" s="55"/>
      <c r="G573" s="55"/>
      <c r="H573" s="12"/>
    </row>
    <row r="574" ht="14.25" customHeight="1">
      <c r="B574" s="19"/>
      <c r="F574" s="55"/>
      <c r="G574" s="55"/>
      <c r="H574" s="12"/>
    </row>
    <row r="575" ht="14.25" customHeight="1">
      <c r="B575" s="19"/>
      <c r="F575" s="55"/>
      <c r="G575" s="55"/>
      <c r="H575" s="12"/>
    </row>
    <row r="576" ht="14.25" customHeight="1">
      <c r="B576" s="19"/>
      <c r="F576" s="55"/>
      <c r="G576" s="55"/>
      <c r="H576" s="12"/>
    </row>
    <row r="577" ht="14.25" customHeight="1">
      <c r="B577" s="19"/>
      <c r="F577" s="55"/>
      <c r="G577" s="55"/>
      <c r="H577" s="12"/>
    </row>
    <row r="578" ht="14.25" customHeight="1">
      <c r="B578" s="19"/>
      <c r="F578" s="55"/>
      <c r="G578" s="55"/>
      <c r="H578" s="12"/>
    </row>
    <row r="579" ht="14.25" customHeight="1">
      <c r="B579" s="19"/>
      <c r="F579" s="55"/>
      <c r="G579" s="55"/>
      <c r="H579" s="12"/>
    </row>
    <row r="580" ht="14.25" customHeight="1">
      <c r="B580" s="19"/>
      <c r="F580" s="55"/>
      <c r="G580" s="55"/>
      <c r="H580" s="12"/>
    </row>
    <row r="581" ht="14.25" customHeight="1">
      <c r="B581" s="19"/>
      <c r="F581" s="55"/>
      <c r="G581" s="55"/>
      <c r="H581" s="12"/>
    </row>
    <row r="582" ht="14.25" customHeight="1">
      <c r="B582" s="19"/>
      <c r="F582" s="55"/>
      <c r="G582" s="55"/>
      <c r="H582" s="12"/>
    </row>
    <row r="583" ht="14.25" customHeight="1">
      <c r="B583" s="19"/>
      <c r="F583" s="55"/>
      <c r="G583" s="55"/>
      <c r="H583" s="12"/>
    </row>
    <row r="584" ht="14.25" customHeight="1">
      <c r="B584" s="19"/>
      <c r="F584" s="55"/>
      <c r="G584" s="55"/>
      <c r="H584" s="12"/>
    </row>
    <row r="585" ht="14.25" customHeight="1">
      <c r="B585" s="19"/>
      <c r="F585" s="55"/>
      <c r="G585" s="55"/>
      <c r="H585" s="12"/>
    </row>
    <row r="586" ht="14.25" customHeight="1">
      <c r="B586" s="19"/>
      <c r="F586" s="55"/>
      <c r="G586" s="55"/>
      <c r="H586" s="12"/>
    </row>
    <row r="587" ht="14.25" customHeight="1">
      <c r="B587" s="19"/>
      <c r="F587" s="55"/>
      <c r="G587" s="55"/>
      <c r="H587" s="12"/>
    </row>
    <row r="588" ht="14.25" customHeight="1">
      <c r="B588" s="19"/>
      <c r="F588" s="55"/>
      <c r="G588" s="55"/>
      <c r="H588" s="12"/>
    </row>
    <row r="589" ht="14.25" customHeight="1">
      <c r="B589" s="19"/>
      <c r="F589" s="55"/>
      <c r="G589" s="55"/>
      <c r="H589" s="12"/>
    </row>
    <row r="590" ht="14.25" customHeight="1">
      <c r="B590" s="19"/>
      <c r="F590" s="55"/>
      <c r="G590" s="55"/>
      <c r="H590" s="12"/>
    </row>
    <row r="591" ht="14.25" customHeight="1">
      <c r="B591" s="19"/>
      <c r="F591" s="55"/>
      <c r="G591" s="55"/>
      <c r="H591" s="12"/>
    </row>
    <row r="592" ht="14.25" customHeight="1">
      <c r="B592" s="19"/>
      <c r="F592" s="55"/>
      <c r="G592" s="55"/>
      <c r="H592" s="12"/>
    </row>
    <row r="593" ht="14.25" customHeight="1">
      <c r="B593" s="19"/>
      <c r="F593" s="55"/>
      <c r="G593" s="55"/>
      <c r="H593" s="12"/>
    </row>
    <row r="594" ht="14.25" customHeight="1">
      <c r="B594" s="19"/>
      <c r="F594" s="55"/>
      <c r="G594" s="55"/>
      <c r="H594" s="12"/>
    </row>
    <row r="595" ht="14.25" customHeight="1">
      <c r="B595" s="19"/>
      <c r="F595" s="55"/>
      <c r="G595" s="55"/>
      <c r="H595" s="12"/>
    </row>
    <row r="596" ht="14.25" customHeight="1">
      <c r="B596" s="19"/>
      <c r="F596" s="55"/>
      <c r="G596" s="55"/>
      <c r="H596" s="12"/>
    </row>
    <row r="597" ht="14.25" customHeight="1">
      <c r="B597" s="19"/>
      <c r="F597" s="55"/>
      <c r="G597" s="55"/>
      <c r="H597" s="12"/>
    </row>
    <row r="598" ht="14.25" customHeight="1">
      <c r="B598" s="19"/>
      <c r="F598" s="55"/>
      <c r="G598" s="55"/>
      <c r="H598" s="12"/>
    </row>
    <row r="599" ht="14.25" customHeight="1">
      <c r="B599" s="19"/>
      <c r="F599" s="55"/>
      <c r="G599" s="55"/>
      <c r="H599" s="12"/>
    </row>
    <row r="600" ht="14.25" customHeight="1">
      <c r="B600" s="19"/>
      <c r="F600" s="55"/>
      <c r="G600" s="55"/>
      <c r="H600" s="12"/>
    </row>
    <row r="601" ht="14.25" customHeight="1">
      <c r="B601" s="19"/>
      <c r="F601" s="55"/>
      <c r="G601" s="55"/>
      <c r="H601" s="12"/>
    </row>
    <row r="602" ht="14.25" customHeight="1">
      <c r="B602" s="19"/>
      <c r="F602" s="55"/>
      <c r="G602" s="55"/>
      <c r="H602" s="12"/>
    </row>
    <row r="603" ht="14.25" customHeight="1">
      <c r="B603" s="19"/>
      <c r="F603" s="55"/>
      <c r="G603" s="55"/>
      <c r="H603" s="12"/>
    </row>
    <row r="604" ht="14.25" customHeight="1">
      <c r="B604" s="19"/>
      <c r="F604" s="55"/>
      <c r="G604" s="55"/>
      <c r="H604" s="12"/>
    </row>
    <row r="605" ht="14.25" customHeight="1">
      <c r="B605" s="19"/>
      <c r="F605" s="55"/>
      <c r="G605" s="55"/>
      <c r="H605" s="12"/>
    </row>
    <row r="606" ht="14.25" customHeight="1">
      <c r="B606" s="19"/>
      <c r="F606" s="55"/>
      <c r="G606" s="55"/>
      <c r="H606" s="12"/>
    </row>
    <row r="607" ht="14.25" customHeight="1">
      <c r="B607" s="19"/>
      <c r="F607" s="55"/>
      <c r="G607" s="55"/>
      <c r="H607" s="12"/>
    </row>
    <row r="608" ht="14.25" customHeight="1">
      <c r="B608" s="19"/>
      <c r="F608" s="55"/>
      <c r="G608" s="55"/>
      <c r="H608" s="12"/>
    </row>
    <row r="609" ht="14.25" customHeight="1">
      <c r="B609" s="19"/>
      <c r="F609" s="55"/>
      <c r="G609" s="55"/>
      <c r="H609" s="12"/>
    </row>
    <row r="610" ht="14.25" customHeight="1">
      <c r="B610" s="19"/>
      <c r="F610" s="55"/>
      <c r="G610" s="55"/>
      <c r="H610" s="12"/>
    </row>
    <row r="611" ht="14.25" customHeight="1">
      <c r="B611" s="19"/>
      <c r="F611" s="55"/>
      <c r="G611" s="55"/>
      <c r="H611" s="12"/>
    </row>
    <row r="612" ht="14.25" customHeight="1">
      <c r="B612" s="19"/>
      <c r="F612" s="55"/>
      <c r="G612" s="55"/>
      <c r="H612" s="12"/>
    </row>
    <row r="613" ht="14.25" customHeight="1">
      <c r="B613" s="19"/>
      <c r="F613" s="55"/>
      <c r="G613" s="55"/>
      <c r="H613" s="12"/>
    </row>
    <row r="614" ht="14.25" customHeight="1">
      <c r="B614" s="19"/>
      <c r="F614" s="55"/>
      <c r="G614" s="55"/>
      <c r="H614" s="12"/>
    </row>
    <row r="615" ht="14.25" customHeight="1">
      <c r="B615" s="19"/>
      <c r="F615" s="55"/>
      <c r="G615" s="55"/>
      <c r="H615" s="12"/>
    </row>
    <row r="616" ht="14.25" customHeight="1">
      <c r="B616" s="19"/>
      <c r="F616" s="55"/>
      <c r="G616" s="55"/>
      <c r="H616" s="12"/>
    </row>
    <row r="617" ht="14.25" customHeight="1">
      <c r="B617" s="19"/>
      <c r="F617" s="55"/>
      <c r="G617" s="55"/>
      <c r="H617" s="12"/>
    </row>
    <row r="618" ht="14.25" customHeight="1">
      <c r="B618" s="19"/>
      <c r="F618" s="55"/>
      <c r="G618" s="55"/>
      <c r="H618" s="12"/>
    </row>
    <row r="619" ht="14.25" customHeight="1">
      <c r="B619" s="19"/>
      <c r="F619" s="55"/>
      <c r="G619" s="55"/>
      <c r="H619" s="12"/>
    </row>
    <row r="620" ht="14.25" customHeight="1">
      <c r="B620" s="19"/>
      <c r="F620" s="55"/>
      <c r="G620" s="55"/>
      <c r="H620" s="12"/>
    </row>
    <row r="621" ht="14.25" customHeight="1">
      <c r="B621" s="19"/>
      <c r="F621" s="55"/>
      <c r="G621" s="55"/>
      <c r="H621" s="12"/>
    </row>
    <row r="622" ht="14.25" customHeight="1">
      <c r="B622" s="19"/>
      <c r="F622" s="55"/>
      <c r="G622" s="55"/>
      <c r="H622" s="12"/>
    </row>
    <row r="623" ht="14.25" customHeight="1">
      <c r="B623" s="19"/>
      <c r="F623" s="55"/>
      <c r="G623" s="55"/>
      <c r="H623" s="12"/>
    </row>
    <row r="624" ht="14.25" customHeight="1">
      <c r="B624" s="19"/>
      <c r="F624" s="55"/>
      <c r="G624" s="55"/>
      <c r="H624" s="12"/>
    </row>
    <row r="625" ht="14.25" customHeight="1">
      <c r="B625" s="19"/>
      <c r="F625" s="55"/>
      <c r="G625" s="55"/>
      <c r="H625" s="12"/>
    </row>
    <row r="626" ht="14.25" customHeight="1">
      <c r="B626" s="19"/>
      <c r="F626" s="55"/>
      <c r="G626" s="55"/>
      <c r="H626" s="12"/>
    </row>
    <row r="627" ht="14.25" customHeight="1">
      <c r="B627" s="19"/>
      <c r="F627" s="55"/>
      <c r="G627" s="55"/>
      <c r="H627" s="12"/>
    </row>
    <row r="628" ht="14.25" customHeight="1">
      <c r="B628" s="19"/>
      <c r="F628" s="55"/>
      <c r="G628" s="55"/>
      <c r="H628" s="12"/>
    </row>
    <row r="629" ht="14.25" customHeight="1">
      <c r="B629" s="19"/>
      <c r="F629" s="55"/>
      <c r="G629" s="55"/>
      <c r="H629" s="12"/>
    </row>
    <row r="630" ht="14.25" customHeight="1">
      <c r="B630" s="19"/>
      <c r="F630" s="55"/>
      <c r="G630" s="55"/>
      <c r="H630" s="12"/>
    </row>
    <row r="631" ht="14.25" customHeight="1">
      <c r="B631" s="19"/>
      <c r="F631" s="55"/>
      <c r="G631" s="55"/>
      <c r="H631" s="12"/>
    </row>
    <row r="632" ht="14.25" customHeight="1">
      <c r="B632" s="19"/>
      <c r="F632" s="55"/>
      <c r="G632" s="55"/>
      <c r="H632" s="12"/>
    </row>
    <row r="633" ht="14.25" customHeight="1">
      <c r="B633" s="19"/>
      <c r="F633" s="55"/>
      <c r="G633" s="55"/>
      <c r="H633" s="12"/>
    </row>
    <row r="634" ht="14.25" customHeight="1">
      <c r="B634" s="19"/>
      <c r="F634" s="55"/>
      <c r="G634" s="55"/>
      <c r="H634" s="12"/>
    </row>
    <row r="635" ht="14.25" customHeight="1">
      <c r="B635" s="19"/>
      <c r="F635" s="55"/>
      <c r="G635" s="55"/>
      <c r="H635" s="12"/>
    </row>
    <row r="636" ht="14.25" customHeight="1">
      <c r="B636" s="19"/>
      <c r="F636" s="55"/>
      <c r="G636" s="55"/>
      <c r="H636" s="12"/>
    </row>
    <row r="637" ht="14.25" customHeight="1">
      <c r="B637" s="19"/>
      <c r="F637" s="55"/>
      <c r="G637" s="55"/>
      <c r="H637" s="12"/>
    </row>
    <row r="638" ht="14.25" customHeight="1">
      <c r="B638" s="19"/>
      <c r="F638" s="55"/>
      <c r="G638" s="55"/>
      <c r="H638" s="12"/>
    </row>
    <row r="639" ht="14.25" customHeight="1">
      <c r="B639" s="19"/>
      <c r="F639" s="55"/>
      <c r="G639" s="55"/>
      <c r="H639" s="12"/>
    </row>
    <row r="640" ht="14.25" customHeight="1">
      <c r="B640" s="19"/>
      <c r="F640" s="55"/>
      <c r="G640" s="55"/>
      <c r="H640" s="12"/>
    </row>
    <row r="641" ht="14.25" customHeight="1">
      <c r="B641" s="19"/>
      <c r="F641" s="55"/>
      <c r="G641" s="55"/>
      <c r="H641" s="12"/>
    </row>
    <row r="642" ht="14.25" customHeight="1">
      <c r="B642" s="19"/>
      <c r="F642" s="55"/>
      <c r="G642" s="55"/>
      <c r="H642" s="12"/>
    </row>
    <row r="643" ht="14.25" customHeight="1">
      <c r="B643" s="19"/>
      <c r="F643" s="55"/>
      <c r="G643" s="55"/>
      <c r="H643" s="12"/>
    </row>
    <row r="644" ht="14.25" customHeight="1">
      <c r="B644" s="19"/>
      <c r="F644" s="55"/>
      <c r="G644" s="55"/>
      <c r="H644" s="12"/>
    </row>
    <row r="645" ht="14.25" customHeight="1">
      <c r="B645" s="19"/>
      <c r="F645" s="55"/>
      <c r="G645" s="55"/>
      <c r="H645" s="12"/>
    </row>
    <row r="646" ht="14.25" customHeight="1">
      <c r="B646" s="19"/>
      <c r="F646" s="55"/>
      <c r="G646" s="55"/>
      <c r="H646" s="12"/>
    </row>
    <row r="647" ht="14.25" customHeight="1">
      <c r="B647" s="19"/>
      <c r="F647" s="55"/>
      <c r="G647" s="55"/>
      <c r="H647" s="12"/>
    </row>
    <row r="648" ht="14.25" customHeight="1">
      <c r="B648" s="19"/>
      <c r="F648" s="55"/>
      <c r="G648" s="55"/>
      <c r="H648" s="12"/>
    </row>
    <row r="649" ht="14.25" customHeight="1">
      <c r="B649" s="19"/>
      <c r="F649" s="55"/>
      <c r="G649" s="55"/>
      <c r="H649" s="12"/>
    </row>
    <row r="650" ht="14.25" customHeight="1">
      <c r="B650" s="19"/>
      <c r="F650" s="55"/>
      <c r="G650" s="55"/>
      <c r="H650" s="12"/>
    </row>
    <row r="651" ht="14.25" customHeight="1">
      <c r="B651" s="19"/>
      <c r="F651" s="55"/>
      <c r="G651" s="55"/>
      <c r="H651" s="12"/>
    </row>
    <row r="652" ht="14.25" customHeight="1">
      <c r="B652" s="19"/>
      <c r="F652" s="55"/>
      <c r="G652" s="55"/>
      <c r="H652" s="12"/>
    </row>
    <row r="653" ht="14.25" customHeight="1">
      <c r="B653" s="19"/>
      <c r="F653" s="55"/>
      <c r="G653" s="55"/>
      <c r="H653" s="12"/>
    </row>
    <row r="654" ht="14.25" customHeight="1">
      <c r="B654" s="19"/>
      <c r="F654" s="55"/>
      <c r="G654" s="55"/>
      <c r="H654" s="12"/>
    </row>
    <row r="655" ht="14.25" customHeight="1">
      <c r="B655" s="19"/>
      <c r="F655" s="55"/>
      <c r="G655" s="55"/>
      <c r="H655" s="12"/>
    </row>
    <row r="656" ht="14.25" customHeight="1">
      <c r="B656" s="19"/>
      <c r="F656" s="55"/>
      <c r="G656" s="55"/>
      <c r="H656" s="12"/>
    </row>
    <row r="657" ht="14.25" customHeight="1">
      <c r="B657" s="19"/>
      <c r="F657" s="55"/>
      <c r="G657" s="55"/>
      <c r="H657" s="12"/>
    </row>
    <row r="658" ht="14.25" customHeight="1">
      <c r="B658" s="19"/>
      <c r="F658" s="55"/>
      <c r="G658" s="55"/>
      <c r="H658" s="12"/>
    </row>
    <row r="659" ht="14.25" customHeight="1">
      <c r="B659" s="19"/>
      <c r="F659" s="55"/>
      <c r="G659" s="55"/>
      <c r="H659" s="12"/>
    </row>
    <row r="660" ht="14.25" customHeight="1">
      <c r="B660" s="19"/>
      <c r="F660" s="55"/>
      <c r="G660" s="55"/>
      <c r="H660" s="12"/>
    </row>
    <row r="661" ht="14.25" customHeight="1">
      <c r="B661" s="19"/>
      <c r="F661" s="55"/>
      <c r="G661" s="55"/>
      <c r="H661" s="12"/>
    </row>
    <row r="662" ht="14.25" customHeight="1">
      <c r="B662" s="19"/>
      <c r="F662" s="55"/>
      <c r="G662" s="55"/>
      <c r="H662" s="12"/>
    </row>
    <row r="663" ht="14.25" customHeight="1">
      <c r="B663" s="19"/>
      <c r="F663" s="55"/>
      <c r="G663" s="55"/>
      <c r="H663" s="12"/>
    </row>
    <row r="664" ht="14.25" customHeight="1">
      <c r="B664" s="19"/>
      <c r="F664" s="55"/>
      <c r="G664" s="55"/>
      <c r="H664" s="12"/>
    </row>
    <row r="665" ht="14.25" customHeight="1">
      <c r="B665" s="19"/>
      <c r="F665" s="55"/>
      <c r="G665" s="55"/>
      <c r="H665" s="12"/>
    </row>
    <row r="666" ht="14.25" customHeight="1">
      <c r="B666" s="19"/>
      <c r="F666" s="55"/>
      <c r="G666" s="55"/>
      <c r="H666" s="12"/>
    </row>
    <row r="667" ht="14.25" customHeight="1">
      <c r="B667" s="19"/>
      <c r="F667" s="55"/>
      <c r="G667" s="55"/>
      <c r="H667" s="12"/>
    </row>
    <row r="668" ht="14.25" customHeight="1">
      <c r="B668" s="19"/>
      <c r="F668" s="55"/>
      <c r="G668" s="55"/>
      <c r="H668" s="12"/>
    </row>
    <row r="669" ht="14.25" customHeight="1">
      <c r="B669" s="19"/>
      <c r="F669" s="55"/>
      <c r="G669" s="55"/>
      <c r="H669" s="12"/>
    </row>
    <row r="670" ht="14.25" customHeight="1">
      <c r="B670" s="19"/>
      <c r="F670" s="55"/>
      <c r="G670" s="55"/>
      <c r="H670" s="12"/>
    </row>
    <row r="671" ht="14.25" customHeight="1">
      <c r="B671" s="19"/>
      <c r="F671" s="55"/>
      <c r="G671" s="55"/>
      <c r="H671" s="12"/>
    </row>
    <row r="672" ht="14.25" customHeight="1">
      <c r="B672" s="19"/>
      <c r="F672" s="55"/>
      <c r="G672" s="55"/>
      <c r="H672" s="12"/>
    </row>
    <row r="673" ht="14.25" customHeight="1">
      <c r="B673" s="19"/>
      <c r="F673" s="55"/>
      <c r="G673" s="55"/>
      <c r="H673" s="12"/>
    </row>
    <row r="674" ht="14.25" customHeight="1">
      <c r="B674" s="19"/>
      <c r="F674" s="55"/>
      <c r="G674" s="55"/>
      <c r="H674" s="12"/>
    </row>
    <row r="675" ht="14.25" customHeight="1">
      <c r="B675" s="19"/>
      <c r="F675" s="55"/>
      <c r="G675" s="55"/>
      <c r="H675" s="12"/>
    </row>
    <row r="676" ht="14.25" customHeight="1">
      <c r="B676" s="19"/>
      <c r="F676" s="55"/>
      <c r="G676" s="55"/>
      <c r="H676" s="12"/>
    </row>
    <row r="677" ht="14.25" customHeight="1">
      <c r="B677" s="19"/>
      <c r="F677" s="55"/>
      <c r="G677" s="55"/>
      <c r="H677" s="12"/>
    </row>
    <row r="678" ht="14.25" customHeight="1">
      <c r="B678" s="19"/>
      <c r="F678" s="55"/>
      <c r="G678" s="55"/>
      <c r="H678" s="12"/>
    </row>
    <row r="679" ht="14.25" customHeight="1">
      <c r="B679" s="19"/>
      <c r="F679" s="55"/>
      <c r="G679" s="55"/>
      <c r="H679" s="12"/>
    </row>
    <row r="680" ht="14.25" customHeight="1">
      <c r="B680" s="19"/>
      <c r="F680" s="55"/>
      <c r="G680" s="55"/>
      <c r="H680" s="12"/>
    </row>
    <row r="681" ht="14.25" customHeight="1">
      <c r="B681" s="19"/>
      <c r="F681" s="55"/>
      <c r="G681" s="55"/>
      <c r="H681" s="12"/>
    </row>
    <row r="682" ht="14.25" customHeight="1">
      <c r="B682" s="19"/>
      <c r="F682" s="55"/>
      <c r="G682" s="55"/>
      <c r="H682" s="12"/>
    </row>
    <row r="683" ht="14.25" customHeight="1">
      <c r="B683" s="19"/>
      <c r="F683" s="55"/>
      <c r="G683" s="55"/>
      <c r="H683" s="12"/>
    </row>
    <row r="684" ht="14.25" customHeight="1">
      <c r="B684" s="19"/>
      <c r="F684" s="55"/>
      <c r="G684" s="55"/>
      <c r="H684" s="12"/>
    </row>
    <row r="685" ht="14.25" customHeight="1">
      <c r="B685" s="19"/>
      <c r="F685" s="55"/>
      <c r="G685" s="55"/>
      <c r="H685" s="12"/>
    </row>
    <row r="686" ht="14.25" customHeight="1">
      <c r="B686" s="19"/>
      <c r="F686" s="55"/>
      <c r="G686" s="55"/>
      <c r="H686" s="12"/>
    </row>
    <row r="687" ht="14.25" customHeight="1">
      <c r="B687" s="19"/>
      <c r="F687" s="55"/>
      <c r="G687" s="55"/>
      <c r="H687" s="12"/>
    </row>
    <row r="688" ht="14.25" customHeight="1">
      <c r="B688" s="19"/>
      <c r="F688" s="55"/>
      <c r="G688" s="55"/>
      <c r="H688" s="12"/>
    </row>
    <row r="689" ht="14.25" customHeight="1">
      <c r="B689" s="19"/>
      <c r="F689" s="55"/>
      <c r="G689" s="55"/>
      <c r="H689" s="12"/>
    </row>
    <row r="690" ht="14.25" customHeight="1">
      <c r="B690" s="19"/>
      <c r="F690" s="55"/>
      <c r="G690" s="55"/>
      <c r="H690" s="12"/>
    </row>
    <row r="691" ht="14.25" customHeight="1">
      <c r="B691" s="19"/>
      <c r="F691" s="55"/>
      <c r="G691" s="55"/>
      <c r="H691" s="12"/>
    </row>
    <row r="692" ht="14.25" customHeight="1">
      <c r="B692" s="19"/>
      <c r="F692" s="55"/>
      <c r="G692" s="55"/>
      <c r="H692" s="12"/>
    </row>
    <row r="693" ht="14.25" customHeight="1">
      <c r="B693" s="19"/>
      <c r="F693" s="55"/>
      <c r="G693" s="55"/>
      <c r="H693" s="12"/>
    </row>
    <row r="694" ht="14.25" customHeight="1">
      <c r="B694" s="19"/>
      <c r="F694" s="55"/>
      <c r="G694" s="55"/>
      <c r="H694" s="12"/>
    </row>
    <row r="695" ht="14.25" customHeight="1">
      <c r="B695" s="19"/>
      <c r="F695" s="55"/>
      <c r="G695" s="55"/>
      <c r="H695" s="12"/>
    </row>
    <row r="696" ht="14.25" customHeight="1">
      <c r="B696" s="19"/>
      <c r="F696" s="55"/>
      <c r="G696" s="55"/>
      <c r="H696" s="12"/>
    </row>
    <row r="697" ht="14.25" customHeight="1">
      <c r="B697" s="19"/>
      <c r="F697" s="55"/>
      <c r="G697" s="55"/>
      <c r="H697" s="12"/>
    </row>
    <row r="698" ht="14.25" customHeight="1">
      <c r="B698" s="19"/>
      <c r="F698" s="55"/>
      <c r="G698" s="55"/>
      <c r="H698" s="12"/>
    </row>
    <row r="699" ht="14.25" customHeight="1">
      <c r="B699" s="19"/>
      <c r="F699" s="55"/>
      <c r="G699" s="55"/>
      <c r="H699" s="12"/>
    </row>
    <row r="700" ht="14.25" customHeight="1">
      <c r="B700" s="19"/>
      <c r="F700" s="55"/>
      <c r="G700" s="55"/>
      <c r="H700" s="12"/>
    </row>
    <row r="701" ht="14.25" customHeight="1">
      <c r="B701" s="19"/>
      <c r="F701" s="55"/>
      <c r="G701" s="55"/>
      <c r="H701" s="12"/>
    </row>
    <row r="702" ht="14.25" customHeight="1">
      <c r="B702" s="19"/>
      <c r="F702" s="55"/>
      <c r="G702" s="55"/>
      <c r="H702" s="12"/>
    </row>
    <row r="703" ht="14.25" customHeight="1">
      <c r="B703" s="19"/>
      <c r="F703" s="55"/>
      <c r="G703" s="55"/>
      <c r="H703" s="12"/>
    </row>
    <row r="704" ht="14.25" customHeight="1">
      <c r="B704" s="19"/>
      <c r="F704" s="55"/>
      <c r="G704" s="55"/>
      <c r="H704" s="12"/>
    </row>
    <row r="705" ht="14.25" customHeight="1">
      <c r="B705" s="19"/>
      <c r="F705" s="55"/>
      <c r="G705" s="55"/>
      <c r="H705" s="12"/>
    </row>
    <row r="706" ht="14.25" customHeight="1">
      <c r="B706" s="19"/>
      <c r="F706" s="55"/>
      <c r="G706" s="55"/>
      <c r="H706" s="12"/>
    </row>
    <row r="707" ht="14.25" customHeight="1">
      <c r="B707" s="19"/>
      <c r="F707" s="55"/>
      <c r="G707" s="55"/>
      <c r="H707" s="12"/>
    </row>
    <row r="708" ht="14.25" customHeight="1">
      <c r="B708" s="19"/>
      <c r="F708" s="55"/>
      <c r="G708" s="55"/>
      <c r="H708" s="12"/>
    </row>
    <row r="709" ht="14.25" customHeight="1">
      <c r="B709" s="19"/>
      <c r="F709" s="55"/>
      <c r="G709" s="55"/>
      <c r="H709" s="12"/>
    </row>
    <row r="710" ht="14.25" customHeight="1">
      <c r="B710" s="19"/>
      <c r="F710" s="55"/>
      <c r="G710" s="55"/>
      <c r="H710" s="12"/>
    </row>
    <row r="711" ht="14.25" customHeight="1">
      <c r="B711" s="19"/>
      <c r="F711" s="55"/>
      <c r="G711" s="55"/>
      <c r="H711" s="12"/>
    </row>
    <row r="712" ht="14.25" customHeight="1">
      <c r="B712" s="19"/>
      <c r="F712" s="55"/>
      <c r="G712" s="55"/>
      <c r="H712" s="12"/>
    </row>
    <row r="713" ht="14.25" customHeight="1">
      <c r="B713" s="19"/>
      <c r="F713" s="55"/>
      <c r="G713" s="55"/>
      <c r="H713" s="12"/>
    </row>
    <row r="714" ht="14.25" customHeight="1">
      <c r="B714" s="19"/>
      <c r="F714" s="55"/>
      <c r="G714" s="55"/>
      <c r="H714" s="12"/>
    </row>
    <row r="715" ht="14.25" customHeight="1">
      <c r="B715" s="19"/>
      <c r="F715" s="55"/>
      <c r="G715" s="55"/>
      <c r="H715" s="12"/>
    </row>
    <row r="716" ht="14.25" customHeight="1">
      <c r="B716" s="19"/>
      <c r="F716" s="55"/>
      <c r="G716" s="55"/>
      <c r="H716" s="12"/>
    </row>
    <row r="717" ht="14.25" customHeight="1">
      <c r="B717" s="19"/>
      <c r="F717" s="55"/>
      <c r="G717" s="55"/>
      <c r="H717" s="12"/>
    </row>
    <row r="718" ht="14.25" customHeight="1">
      <c r="B718" s="19"/>
      <c r="F718" s="55"/>
      <c r="G718" s="55"/>
      <c r="H718" s="12"/>
    </row>
    <row r="719" ht="14.25" customHeight="1">
      <c r="B719" s="19"/>
      <c r="F719" s="55"/>
      <c r="G719" s="55"/>
      <c r="H719" s="12"/>
    </row>
    <row r="720" ht="14.25" customHeight="1">
      <c r="B720" s="19"/>
      <c r="F720" s="55"/>
      <c r="G720" s="55"/>
      <c r="H720" s="12"/>
    </row>
    <row r="721" ht="14.25" customHeight="1">
      <c r="B721" s="19"/>
      <c r="F721" s="55"/>
      <c r="G721" s="55"/>
      <c r="H721" s="12"/>
    </row>
    <row r="722" ht="14.25" customHeight="1">
      <c r="B722" s="19"/>
      <c r="F722" s="55"/>
      <c r="G722" s="55"/>
      <c r="H722" s="12"/>
    </row>
    <row r="723" ht="14.25" customHeight="1">
      <c r="B723" s="19"/>
      <c r="F723" s="55"/>
      <c r="G723" s="55"/>
      <c r="H723" s="12"/>
    </row>
    <row r="724" ht="14.25" customHeight="1">
      <c r="B724" s="19"/>
      <c r="F724" s="55"/>
      <c r="G724" s="55"/>
      <c r="H724" s="12"/>
    </row>
    <row r="725" ht="14.25" customHeight="1">
      <c r="B725" s="19"/>
      <c r="F725" s="55"/>
      <c r="G725" s="55"/>
      <c r="H725" s="12"/>
    </row>
    <row r="726" ht="14.25" customHeight="1">
      <c r="B726" s="19"/>
      <c r="F726" s="55"/>
      <c r="G726" s="55"/>
      <c r="H726" s="12"/>
    </row>
    <row r="727" ht="14.25" customHeight="1">
      <c r="B727" s="19"/>
      <c r="F727" s="55"/>
      <c r="G727" s="55"/>
      <c r="H727" s="12"/>
    </row>
    <row r="728" ht="14.25" customHeight="1">
      <c r="B728" s="19"/>
      <c r="F728" s="55"/>
      <c r="G728" s="55"/>
      <c r="H728" s="12"/>
    </row>
    <row r="729" ht="14.25" customHeight="1">
      <c r="B729" s="19"/>
      <c r="F729" s="55"/>
      <c r="G729" s="55"/>
      <c r="H729" s="12"/>
    </row>
    <row r="730" ht="14.25" customHeight="1">
      <c r="B730" s="19"/>
      <c r="F730" s="55"/>
      <c r="G730" s="55"/>
      <c r="H730" s="12"/>
    </row>
    <row r="731" ht="14.25" customHeight="1">
      <c r="B731" s="19"/>
      <c r="F731" s="55"/>
      <c r="G731" s="55"/>
      <c r="H731" s="12"/>
    </row>
    <row r="732" ht="14.25" customHeight="1">
      <c r="B732" s="19"/>
      <c r="F732" s="55"/>
      <c r="G732" s="55"/>
      <c r="H732" s="12"/>
    </row>
    <row r="733" ht="14.25" customHeight="1">
      <c r="B733" s="19"/>
      <c r="F733" s="55"/>
      <c r="G733" s="55"/>
      <c r="H733" s="12"/>
    </row>
    <row r="734" ht="14.25" customHeight="1">
      <c r="B734" s="19"/>
      <c r="F734" s="55"/>
      <c r="G734" s="55"/>
      <c r="H734" s="12"/>
    </row>
    <row r="735" ht="14.25" customHeight="1">
      <c r="B735" s="19"/>
      <c r="F735" s="55"/>
      <c r="G735" s="55"/>
      <c r="H735" s="12"/>
    </row>
    <row r="736" ht="14.25" customHeight="1">
      <c r="B736" s="19"/>
      <c r="F736" s="55"/>
      <c r="G736" s="55"/>
      <c r="H736" s="12"/>
    </row>
    <row r="737" ht="14.25" customHeight="1">
      <c r="B737" s="19"/>
      <c r="F737" s="55"/>
      <c r="G737" s="55"/>
      <c r="H737" s="12"/>
    </row>
    <row r="738" ht="14.25" customHeight="1">
      <c r="B738" s="19"/>
      <c r="F738" s="55"/>
      <c r="G738" s="55"/>
      <c r="H738" s="12"/>
    </row>
    <row r="739" ht="14.25" customHeight="1">
      <c r="B739" s="19"/>
      <c r="F739" s="55"/>
      <c r="G739" s="55"/>
      <c r="H739" s="12"/>
    </row>
    <row r="740" ht="14.25" customHeight="1">
      <c r="B740" s="19"/>
      <c r="F740" s="55"/>
      <c r="G740" s="55"/>
      <c r="H740" s="12"/>
    </row>
    <row r="741" ht="14.25" customHeight="1">
      <c r="B741" s="19"/>
      <c r="F741" s="55"/>
      <c r="G741" s="55"/>
      <c r="H741" s="12"/>
    </row>
    <row r="742" ht="14.25" customHeight="1">
      <c r="B742" s="19"/>
      <c r="F742" s="55"/>
      <c r="G742" s="55"/>
      <c r="H742" s="12"/>
    </row>
    <row r="743" ht="14.25" customHeight="1">
      <c r="B743" s="19"/>
      <c r="F743" s="55"/>
      <c r="G743" s="55"/>
      <c r="H743" s="12"/>
    </row>
    <row r="744" ht="14.25" customHeight="1">
      <c r="B744" s="19"/>
      <c r="F744" s="55"/>
      <c r="G744" s="55"/>
      <c r="H744" s="12"/>
    </row>
    <row r="745" ht="14.25" customHeight="1">
      <c r="B745" s="19"/>
      <c r="F745" s="55"/>
      <c r="G745" s="55"/>
      <c r="H745" s="12"/>
    </row>
    <row r="746" ht="14.25" customHeight="1">
      <c r="B746" s="19"/>
      <c r="F746" s="55"/>
      <c r="G746" s="55"/>
      <c r="H746" s="12"/>
    </row>
    <row r="747" ht="14.25" customHeight="1">
      <c r="B747" s="19"/>
      <c r="F747" s="55"/>
      <c r="G747" s="55"/>
      <c r="H747" s="12"/>
    </row>
    <row r="748" ht="14.25" customHeight="1">
      <c r="B748" s="19"/>
      <c r="F748" s="55"/>
      <c r="G748" s="55"/>
      <c r="H748" s="12"/>
    </row>
    <row r="749" ht="14.25" customHeight="1">
      <c r="B749" s="19"/>
      <c r="F749" s="55"/>
      <c r="G749" s="55"/>
      <c r="H749" s="12"/>
    </row>
    <row r="750" ht="14.25" customHeight="1">
      <c r="B750" s="19"/>
      <c r="F750" s="55"/>
      <c r="G750" s="55"/>
      <c r="H750" s="12"/>
    </row>
    <row r="751" ht="14.25" customHeight="1">
      <c r="B751" s="19"/>
      <c r="F751" s="55"/>
      <c r="G751" s="55"/>
      <c r="H751" s="12"/>
    </row>
    <row r="752" ht="14.25" customHeight="1">
      <c r="B752" s="19"/>
      <c r="F752" s="55"/>
      <c r="G752" s="55"/>
      <c r="H752" s="12"/>
    </row>
    <row r="753" ht="14.25" customHeight="1">
      <c r="B753" s="19"/>
      <c r="F753" s="55"/>
      <c r="G753" s="55"/>
      <c r="H753" s="12"/>
    </row>
    <row r="754" ht="14.25" customHeight="1">
      <c r="B754" s="19"/>
      <c r="F754" s="55"/>
      <c r="G754" s="55"/>
      <c r="H754" s="12"/>
    </row>
    <row r="755" ht="14.25" customHeight="1">
      <c r="B755" s="19"/>
      <c r="F755" s="55"/>
      <c r="G755" s="55"/>
      <c r="H755" s="12"/>
    </row>
    <row r="756" ht="14.25" customHeight="1">
      <c r="B756" s="19"/>
      <c r="F756" s="55"/>
      <c r="G756" s="55"/>
      <c r="H756" s="12"/>
    </row>
    <row r="757" ht="14.25" customHeight="1">
      <c r="B757" s="19"/>
      <c r="F757" s="55"/>
      <c r="G757" s="55"/>
      <c r="H757" s="12"/>
    </row>
    <row r="758" ht="14.25" customHeight="1">
      <c r="B758" s="19"/>
      <c r="F758" s="55"/>
      <c r="G758" s="55"/>
      <c r="H758" s="12"/>
    </row>
    <row r="759" ht="14.25" customHeight="1">
      <c r="B759" s="19"/>
      <c r="F759" s="55"/>
      <c r="G759" s="55"/>
      <c r="H759" s="12"/>
    </row>
    <row r="760" ht="14.25" customHeight="1">
      <c r="B760" s="19"/>
      <c r="F760" s="55"/>
      <c r="G760" s="55"/>
      <c r="H760" s="12"/>
    </row>
    <row r="761" ht="14.25" customHeight="1">
      <c r="B761" s="19"/>
      <c r="F761" s="55"/>
      <c r="G761" s="55"/>
      <c r="H761" s="12"/>
    </row>
    <row r="762" ht="14.25" customHeight="1">
      <c r="B762" s="19"/>
      <c r="F762" s="55"/>
      <c r="G762" s="55"/>
      <c r="H762" s="12"/>
    </row>
    <row r="763" ht="14.25" customHeight="1">
      <c r="B763" s="19"/>
      <c r="F763" s="55"/>
      <c r="G763" s="55"/>
      <c r="H763" s="12"/>
    </row>
    <row r="764" ht="14.25" customHeight="1">
      <c r="B764" s="19"/>
      <c r="F764" s="55"/>
      <c r="G764" s="55"/>
      <c r="H764" s="12"/>
    </row>
    <row r="765" ht="14.25" customHeight="1">
      <c r="B765" s="19"/>
      <c r="F765" s="55"/>
      <c r="G765" s="55"/>
      <c r="H765" s="12"/>
    </row>
    <row r="766" ht="14.25" customHeight="1">
      <c r="B766" s="19"/>
      <c r="F766" s="55"/>
      <c r="G766" s="55"/>
      <c r="H766" s="12"/>
    </row>
    <row r="767" ht="14.25" customHeight="1">
      <c r="B767" s="19"/>
      <c r="F767" s="55"/>
      <c r="G767" s="55"/>
      <c r="H767" s="12"/>
    </row>
    <row r="768" ht="14.25" customHeight="1">
      <c r="B768" s="19"/>
      <c r="F768" s="55"/>
      <c r="G768" s="55"/>
      <c r="H768" s="12"/>
    </row>
    <row r="769" ht="14.25" customHeight="1">
      <c r="B769" s="19"/>
      <c r="F769" s="55"/>
      <c r="G769" s="55"/>
      <c r="H769" s="12"/>
    </row>
    <row r="770" ht="14.25" customHeight="1">
      <c r="B770" s="19"/>
      <c r="F770" s="55"/>
      <c r="G770" s="55"/>
      <c r="H770" s="12"/>
    </row>
    <row r="771" ht="14.25" customHeight="1">
      <c r="B771" s="19"/>
      <c r="F771" s="55"/>
      <c r="G771" s="55"/>
      <c r="H771" s="12"/>
    </row>
    <row r="772" ht="14.25" customHeight="1">
      <c r="B772" s="19"/>
      <c r="F772" s="55"/>
      <c r="G772" s="55"/>
      <c r="H772" s="12"/>
    </row>
    <row r="773" ht="14.25" customHeight="1">
      <c r="B773" s="19"/>
      <c r="F773" s="55"/>
      <c r="G773" s="55"/>
      <c r="H773" s="12"/>
    </row>
    <row r="774" ht="14.25" customHeight="1">
      <c r="B774" s="19"/>
      <c r="F774" s="55"/>
      <c r="G774" s="55"/>
      <c r="H774" s="12"/>
    </row>
    <row r="775" ht="14.25" customHeight="1">
      <c r="B775" s="19"/>
      <c r="F775" s="55"/>
      <c r="G775" s="55"/>
      <c r="H775" s="12"/>
    </row>
    <row r="776" ht="14.25" customHeight="1">
      <c r="B776" s="19"/>
      <c r="F776" s="55"/>
      <c r="G776" s="55"/>
      <c r="H776" s="12"/>
    </row>
    <row r="777" ht="14.25" customHeight="1">
      <c r="B777" s="19"/>
      <c r="F777" s="55"/>
      <c r="G777" s="55"/>
      <c r="H777" s="12"/>
    </row>
    <row r="778" ht="14.25" customHeight="1">
      <c r="B778" s="19"/>
      <c r="F778" s="55"/>
      <c r="G778" s="55"/>
      <c r="H778" s="12"/>
    </row>
    <row r="779" ht="14.25" customHeight="1">
      <c r="B779" s="19"/>
      <c r="F779" s="55"/>
      <c r="G779" s="55"/>
      <c r="H779" s="12"/>
    </row>
    <row r="780" ht="14.25" customHeight="1">
      <c r="B780" s="19"/>
      <c r="F780" s="55"/>
      <c r="G780" s="55"/>
      <c r="H780" s="12"/>
    </row>
    <row r="781" ht="14.25" customHeight="1">
      <c r="B781" s="19"/>
      <c r="F781" s="55"/>
      <c r="G781" s="55"/>
      <c r="H781" s="12"/>
    </row>
    <row r="782" ht="14.25" customHeight="1">
      <c r="B782" s="19"/>
      <c r="F782" s="55"/>
      <c r="G782" s="55"/>
      <c r="H782" s="12"/>
    </row>
    <row r="783" ht="14.25" customHeight="1">
      <c r="B783" s="19"/>
      <c r="F783" s="55"/>
      <c r="G783" s="55"/>
      <c r="H783" s="12"/>
    </row>
    <row r="784" ht="14.25" customHeight="1">
      <c r="B784" s="19"/>
      <c r="F784" s="55"/>
      <c r="G784" s="55"/>
      <c r="H784" s="12"/>
    </row>
    <row r="785" ht="14.25" customHeight="1">
      <c r="B785" s="19"/>
      <c r="F785" s="55"/>
      <c r="G785" s="55"/>
      <c r="H785" s="12"/>
    </row>
    <row r="786" ht="14.25" customHeight="1">
      <c r="B786" s="19"/>
      <c r="F786" s="55"/>
      <c r="G786" s="55"/>
      <c r="H786" s="12"/>
    </row>
    <row r="787" ht="14.25" customHeight="1">
      <c r="B787" s="19"/>
      <c r="F787" s="55"/>
      <c r="G787" s="55"/>
      <c r="H787" s="12"/>
    </row>
    <row r="788" ht="14.25" customHeight="1">
      <c r="B788" s="19"/>
      <c r="F788" s="55"/>
      <c r="G788" s="55"/>
      <c r="H788" s="12"/>
    </row>
    <row r="789" ht="14.25" customHeight="1">
      <c r="B789" s="19"/>
      <c r="F789" s="55"/>
      <c r="G789" s="55"/>
      <c r="H789" s="12"/>
    </row>
    <row r="790" ht="14.25" customHeight="1">
      <c r="B790" s="19"/>
      <c r="F790" s="55"/>
      <c r="G790" s="55"/>
      <c r="H790" s="12"/>
    </row>
    <row r="791" ht="14.25" customHeight="1">
      <c r="B791" s="19"/>
      <c r="F791" s="55"/>
      <c r="G791" s="55"/>
      <c r="H791" s="12"/>
    </row>
    <row r="792" ht="14.25" customHeight="1">
      <c r="B792" s="19"/>
      <c r="F792" s="55"/>
      <c r="G792" s="55"/>
      <c r="H792" s="12"/>
    </row>
    <row r="793" ht="14.25" customHeight="1">
      <c r="B793" s="19"/>
      <c r="F793" s="55"/>
      <c r="G793" s="55"/>
      <c r="H793" s="12"/>
    </row>
    <row r="794" ht="14.25" customHeight="1">
      <c r="B794" s="19"/>
      <c r="F794" s="55"/>
      <c r="G794" s="55"/>
      <c r="H794" s="12"/>
    </row>
    <row r="795" ht="14.25" customHeight="1">
      <c r="B795" s="19"/>
      <c r="F795" s="55"/>
      <c r="G795" s="55"/>
      <c r="H795" s="12"/>
    </row>
    <row r="796" ht="14.25" customHeight="1">
      <c r="B796" s="19"/>
      <c r="F796" s="55"/>
      <c r="G796" s="55"/>
      <c r="H796" s="12"/>
    </row>
    <row r="797" ht="14.25" customHeight="1">
      <c r="B797" s="19"/>
      <c r="F797" s="55"/>
      <c r="G797" s="55"/>
      <c r="H797" s="12"/>
    </row>
    <row r="798" ht="14.25" customHeight="1">
      <c r="B798" s="19"/>
      <c r="F798" s="55"/>
      <c r="G798" s="55"/>
      <c r="H798" s="12"/>
    </row>
    <row r="799" ht="14.25" customHeight="1">
      <c r="B799" s="19"/>
      <c r="F799" s="55"/>
      <c r="G799" s="55"/>
      <c r="H799" s="12"/>
    </row>
    <row r="800" ht="14.25" customHeight="1">
      <c r="B800" s="19"/>
      <c r="F800" s="55"/>
      <c r="G800" s="55"/>
      <c r="H800" s="12"/>
    </row>
    <row r="801" ht="14.25" customHeight="1">
      <c r="B801" s="19"/>
      <c r="F801" s="55"/>
      <c r="G801" s="55"/>
      <c r="H801" s="12"/>
    </row>
    <row r="802" ht="14.25" customHeight="1">
      <c r="B802" s="19"/>
      <c r="F802" s="55"/>
      <c r="G802" s="55"/>
      <c r="H802" s="12"/>
    </row>
    <row r="803" ht="14.25" customHeight="1">
      <c r="B803" s="19"/>
      <c r="F803" s="55"/>
      <c r="G803" s="55"/>
      <c r="H803" s="12"/>
    </row>
    <row r="804" ht="14.25" customHeight="1">
      <c r="B804" s="19"/>
      <c r="F804" s="55"/>
      <c r="G804" s="55"/>
      <c r="H804" s="12"/>
    </row>
    <row r="805" ht="14.25" customHeight="1">
      <c r="B805" s="19"/>
      <c r="F805" s="55"/>
      <c r="G805" s="55"/>
      <c r="H805" s="12"/>
    </row>
    <row r="806" ht="14.25" customHeight="1">
      <c r="B806" s="19"/>
      <c r="F806" s="55"/>
      <c r="G806" s="55"/>
      <c r="H806" s="12"/>
    </row>
    <row r="807" ht="14.25" customHeight="1">
      <c r="B807" s="19"/>
      <c r="F807" s="55"/>
      <c r="G807" s="55"/>
      <c r="H807" s="12"/>
    </row>
    <row r="808" ht="14.25" customHeight="1">
      <c r="B808" s="19"/>
      <c r="F808" s="55"/>
      <c r="G808" s="55"/>
      <c r="H808" s="12"/>
    </row>
    <row r="809" ht="14.25" customHeight="1">
      <c r="B809" s="19"/>
      <c r="F809" s="55"/>
      <c r="G809" s="55"/>
      <c r="H809" s="12"/>
    </row>
    <row r="810" ht="14.25" customHeight="1">
      <c r="B810" s="19"/>
      <c r="F810" s="55"/>
      <c r="G810" s="55"/>
      <c r="H810" s="12"/>
    </row>
    <row r="811" ht="14.25" customHeight="1">
      <c r="B811" s="19"/>
      <c r="F811" s="55"/>
      <c r="G811" s="55"/>
      <c r="H811" s="12"/>
    </row>
    <row r="812" ht="14.25" customHeight="1">
      <c r="B812" s="19"/>
      <c r="F812" s="55"/>
      <c r="G812" s="55"/>
      <c r="H812" s="12"/>
    </row>
    <row r="813" ht="14.25" customHeight="1">
      <c r="B813" s="19"/>
      <c r="F813" s="55"/>
      <c r="G813" s="55"/>
      <c r="H813" s="12"/>
    </row>
    <row r="814" ht="14.25" customHeight="1">
      <c r="B814" s="19"/>
      <c r="F814" s="55"/>
      <c r="G814" s="55"/>
      <c r="H814" s="12"/>
    </row>
    <row r="815" ht="14.25" customHeight="1">
      <c r="B815" s="19"/>
      <c r="F815" s="55"/>
      <c r="G815" s="55"/>
      <c r="H815" s="12"/>
    </row>
    <row r="816" ht="14.25" customHeight="1">
      <c r="B816" s="19"/>
      <c r="F816" s="55"/>
      <c r="G816" s="55"/>
      <c r="H816" s="12"/>
    </row>
    <row r="817" ht="14.25" customHeight="1">
      <c r="B817" s="19"/>
      <c r="F817" s="55"/>
      <c r="G817" s="55"/>
      <c r="H817" s="12"/>
    </row>
    <row r="818" ht="14.25" customHeight="1">
      <c r="B818" s="19"/>
      <c r="F818" s="55"/>
      <c r="G818" s="55"/>
      <c r="H818" s="12"/>
    </row>
    <row r="819" ht="14.25" customHeight="1">
      <c r="B819" s="19"/>
      <c r="F819" s="55"/>
      <c r="G819" s="55"/>
      <c r="H819" s="12"/>
    </row>
    <row r="820" ht="14.25" customHeight="1">
      <c r="B820" s="19"/>
      <c r="F820" s="55"/>
      <c r="G820" s="55"/>
      <c r="H820" s="12"/>
    </row>
    <row r="821" ht="14.25" customHeight="1">
      <c r="B821" s="19"/>
      <c r="F821" s="55"/>
      <c r="G821" s="55"/>
      <c r="H821" s="12"/>
    </row>
    <row r="822" ht="14.25" customHeight="1">
      <c r="B822" s="19"/>
      <c r="F822" s="55"/>
      <c r="G822" s="55"/>
      <c r="H822" s="12"/>
    </row>
    <row r="823" ht="14.25" customHeight="1">
      <c r="B823" s="19"/>
      <c r="F823" s="55"/>
      <c r="G823" s="55"/>
      <c r="H823" s="12"/>
    </row>
    <row r="824" ht="14.25" customHeight="1">
      <c r="B824" s="19"/>
      <c r="F824" s="55"/>
      <c r="G824" s="55"/>
      <c r="H824" s="12"/>
    </row>
    <row r="825" ht="14.25" customHeight="1">
      <c r="B825" s="19"/>
      <c r="F825" s="55"/>
      <c r="G825" s="55"/>
      <c r="H825" s="12"/>
    </row>
    <row r="826" ht="14.25" customHeight="1">
      <c r="B826" s="19"/>
      <c r="F826" s="55"/>
      <c r="G826" s="55"/>
      <c r="H826" s="12"/>
    </row>
    <row r="827" ht="14.25" customHeight="1">
      <c r="B827" s="19"/>
      <c r="F827" s="55"/>
      <c r="G827" s="55"/>
      <c r="H827" s="12"/>
    </row>
    <row r="828" ht="14.25" customHeight="1">
      <c r="B828" s="19"/>
      <c r="F828" s="55"/>
      <c r="G828" s="55"/>
      <c r="H828" s="12"/>
    </row>
    <row r="829" ht="14.25" customHeight="1">
      <c r="B829" s="19"/>
      <c r="F829" s="55"/>
      <c r="G829" s="55"/>
      <c r="H829" s="12"/>
    </row>
    <row r="830" ht="14.25" customHeight="1">
      <c r="B830" s="19"/>
      <c r="F830" s="55"/>
      <c r="G830" s="55"/>
      <c r="H830" s="12"/>
    </row>
    <row r="831" ht="14.25" customHeight="1">
      <c r="B831" s="19"/>
      <c r="F831" s="55"/>
      <c r="G831" s="55"/>
      <c r="H831" s="12"/>
    </row>
    <row r="832" ht="14.25" customHeight="1">
      <c r="B832" s="19"/>
      <c r="F832" s="55"/>
      <c r="G832" s="55"/>
      <c r="H832" s="12"/>
    </row>
    <row r="833" ht="14.25" customHeight="1">
      <c r="B833" s="19"/>
      <c r="F833" s="55"/>
      <c r="G833" s="55"/>
      <c r="H833" s="12"/>
    </row>
    <row r="834" ht="14.25" customHeight="1">
      <c r="B834" s="19"/>
      <c r="F834" s="55"/>
      <c r="G834" s="55"/>
      <c r="H834" s="12"/>
    </row>
    <row r="835" ht="14.25" customHeight="1">
      <c r="B835" s="19"/>
      <c r="F835" s="55"/>
      <c r="G835" s="55"/>
      <c r="H835" s="12"/>
    </row>
    <row r="836" ht="14.25" customHeight="1">
      <c r="B836" s="19"/>
      <c r="F836" s="55"/>
      <c r="G836" s="55"/>
      <c r="H836" s="12"/>
    </row>
    <row r="837" ht="14.25" customHeight="1">
      <c r="B837" s="19"/>
      <c r="F837" s="55"/>
      <c r="G837" s="55"/>
      <c r="H837" s="12"/>
    </row>
    <row r="838" ht="14.25" customHeight="1">
      <c r="B838" s="19"/>
      <c r="F838" s="55"/>
      <c r="G838" s="55"/>
      <c r="H838" s="12"/>
    </row>
    <row r="839" ht="14.25" customHeight="1">
      <c r="B839" s="19"/>
      <c r="F839" s="55"/>
      <c r="G839" s="55"/>
      <c r="H839" s="12"/>
    </row>
    <row r="840" ht="14.25" customHeight="1">
      <c r="B840" s="19"/>
      <c r="F840" s="55"/>
      <c r="G840" s="55"/>
      <c r="H840" s="12"/>
    </row>
    <row r="841" ht="14.25" customHeight="1">
      <c r="B841" s="19"/>
      <c r="F841" s="55"/>
      <c r="G841" s="55"/>
      <c r="H841" s="12"/>
    </row>
    <row r="842" ht="14.25" customHeight="1">
      <c r="B842" s="19"/>
      <c r="F842" s="55"/>
      <c r="G842" s="55"/>
      <c r="H842" s="12"/>
    </row>
    <row r="843" ht="14.25" customHeight="1">
      <c r="B843" s="19"/>
      <c r="F843" s="55"/>
      <c r="G843" s="55"/>
      <c r="H843" s="12"/>
    </row>
    <row r="844" ht="14.25" customHeight="1">
      <c r="B844" s="19"/>
      <c r="F844" s="55"/>
      <c r="G844" s="55"/>
      <c r="H844" s="12"/>
    </row>
    <row r="845" ht="14.25" customHeight="1">
      <c r="B845" s="19"/>
      <c r="F845" s="55"/>
      <c r="G845" s="55"/>
      <c r="H845" s="12"/>
    </row>
    <row r="846" ht="14.25" customHeight="1">
      <c r="B846" s="19"/>
      <c r="F846" s="55"/>
      <c r="G846" s="55"/>
      <c r="H846" s="12"/>
    </row>
    <row r="847" ht="14.25" customHeight="1">
      <c r="B847" s="19"/>
      <c r="F847" s="55"/>
      <c r="G847" s="55"/>
      <c r="H847" s="12"/>
    </row>
    <row r="848" ht="14.25" customHeight="1">
      <c r="B848" s="19"/>
      <c r="F848" s="55"/>
      <c r="G848" s="55"/>
      <c r="H848" s="12"/>
    </row>
    <row r="849" ht="14.25" customHeight="1">
      <c r="B849" s="19"/>
      <c r="F849" s="55"/>
      <c r="G849" s="55"/>
      <c r="H849" s="12"/>
    </row>
    <row r="850" ht="14.25" customHeight="1">
      <c r="B850" s="19"/>
      <c r="F850" s="55"/>
      <c r="G850" s="55"/>
      <c r="H850" s="12"/>
    </row>
    <row r="851" ht="14.25" customHeight="1">
      <c r="B851" s="19"/>
      <c r="F851" s="55"/>
      <c r="G851" s="55"/>
      <c r="H851" s="12"/>
    </row>
    <row r="852" ht="14.25" customHeight="1">
      <c r="B852" s="19"/>
      <c r="F852" s="55"/>
      <c r="G852" s="55"/>
      <c r="H852" s="12"/>
    </row>
    <row r="853" ht="14.25" customHeight="1">
      <c r="B853" s="19"/>
      <c r="F853" s="55"/>
      <c r="G853" s="55"/>
      <c r="H853" s="12"/>
    </row>
    <row r="854" ht="14.25" customHeight="1">
      <c r="B854" s="19"/>
      <c r="F854" s="55"/>
      <c r="G854" s="55"/>
      <c r="H854" s="12"/>
    </row>
    <row r="855" ht="14.25" customHeight="1">
      <c r="B855" s="19"/>
      <c r="F855" s="55"/>
      <c r="G855" s="55"/>
      <c r="H855" s="12"/>
    </row>
    <row r="856" ht="14.25" customHeight="1">
      <c r="B856" s="19"/>
      <c r="F856" s="55"/>
      <c r="G856" s="55"/>
      <c r="H856" s="12"/>
    </row>
    <row r="857" ht="14.25" customHeight="1">
      <c r="B857" s="19"/>
      <c r="F857" s="55"/>
      <c r="G857" s="55"/>
      <c r="H857" s="12"/>
    </row>
    <row r="858" ht="14.25" customHeight="1">
      <c r="B858" s="19"/>
      <c r="F858" s="55"/>
      <c r="G858" s="55"/>
      <c r="H858" s="12"/>
    </row>
    <row r="859" ht="14.25" customHeight="1">
      <c r="B859" s="19"/>
      <c r="F859" s="55"/>
      <c r="G859" s="55"/>
      <c r="H859" s="12"/>
    </row>
    <row r="860" ht="14.25" customHeight="1">
      <c r="B860" s="19"/>
      <c r="F860" s="55"/>
      <c r="G860" s="55"/>
      <c r="H860" s="12"/>
    </row>
    <row r="861" ht="14.25" customHeight="1">
      <c r="B861" s="19"/>
      <c r="F861" s="55"/>
      <c r="G861" s="55"/>
      <c r="H861" s="12"/>
    </row>
    <row r="862" ht="14.25" customHeight="1">
      <c r="B862" s="19"/>
      <c r="F862" s="55"/>
      <c r="G862" s="55"/>
      <c r="H862" s="12"/>
    </row>
    <row r="863" ht="14.25" customHeight="1">
      <c r="B863" s="19"/>
      <c r="F863" s="55"/>
      <c r="G863" s="55"/>
      <c r="H863" s="12"/>
    </row>
    <row r="864" ht="14.25" customHeight="1">
      <c r="B864" s="19"/>
      <c r="F864" s="55"/>
      <c r="G864" s="55"/>
      <c r="H864" s="12"/>
    </row>
    <row r="865" ht="14.25" customHeight="1">
      <c r="B865" s="19"/>
      <c r="F865" s="55"/>
      <c r="G865" s="55"/>
      <c r="H865" s="12"/>
    </row>
    <row r="866" ht="14.25" customHeight="1">
      <c r="B866" s="19"/>
      <c r="F866" s="55"/>
      <c r="G866" s="55"/>
      <c r="H866" s="12"/>
    </row>
    <row r="867" ht="14.25" customHeight="1">
      <c r="B867" s="19"/>
      <c r="F867" s="55"/>
      <c r="G867" s="55"/>
      <c r="H867" s="12"/>
    </row>
    <row r="868" ht="14.25" customHeight="1">
      <c r="B868" s="19"/>
      <c r="F868" s="55"/>
      <c r="G868" s="55"/>
      <c r="H868" s="12"/>
    </row>
    <row r="869" ht="14.25" customHeight="1">
      <c r="B869" s="19"/>
      <c r="F869" s="55"/>
      <c r="G869" s="55"/>
      <c r="H869" s="12"/>
    </row>
    <row r="870" ht="14.25" customHeight="1">
      <c r="B870" s="19"/>
      <c r="F870" s="55"/>
      <c r="G870" s="55"/>
      <c r="H870" s="12"/>
    </row>
    <row r="871" ht="14.25" customHeight="1">
      <c r="B871" s="19"/>
      <c r="F871" s="55"/>
      <c r="G871" s="55"/>
      <c r="H871" s="12"/>
    </row>
    <row r="872" ht="14.25" customHeight="1">
      <c r="B872" s="19"/>
      <c r="F872" s="55"/>
      <c r="G872" s="55"/>
      <c r="H872" s="12"/>
    </row>
    <row r="873" ht="14.25" customHeight="1">
      <c r="B873" s="19"/>
      <c r="F873" s="55"/>
      <c r="G873" s="55"/>
      <c r="H873" s="12"/>
    </row>
    <row r="874" ht="14.25" customHeight="1">
      <c r="B874" s="19"/>
      <c r="F874" s="55"/>
      <c r="G874" s="55"/>
      <c r="H874" s="12"/>
    </row>
    <row r="875" ht="14.25" customHeight="1">
      <c r="B875" s="19"/>
      <c r="F875" s="55"/>
      <c r="G875" s="55"/>
      <c r="H875" s="12"/>
    </row>
    <row r="876" ht="14.25" customHeight="1">
      <c r="B876" s="19"/>
      <c r="F876" s="55"/>
      <c r="G876" s="55"/>
      <c r="H876" s="12"/>
    </row>
    <row r="877" ht="14.25" customHeight="1">
      <c r="B877" s="19"/>
      <c r="F877" s="55"/>
      <c r="G877" s="55"/>
      <c r="H877" s="12"/>
    </row>
    <row r="878" ht="14.25" customHeight="1">
      <c r="B878" s="19"/>
      <c r="F878" s="55"/>
      <c r="G878" s="55"/>
      <c r="H878" s="12"/>
    </row>
    <row r="879" ht="14.25" customHeight="1">
      <c r="B879" s="19"/>
      <c r="F879" s="55"/>
      <c r="G879" s="55"/>
      <c r="H879" s="12"/>
    </row>
    <row r="880" ht="14.25" customHeight="1">
      <c r="B880" s="19"/>
      <c r="F880" s="55"/>
      <c r="G880" s="55"/>
      <c r="H880" s="12"/>
    </row>
    <row r="881" ht="14.25" customHeight="1">
      <c r="B881" s="19"/>
      <c r="F881" s="55"/>
      <c r="G881" s="55"/>
      <c r="H881" s="12"/>
    </row>
    <row r="882" ht="14.25" customHeight="1">
      <c r="B882" s="19"/>
      <c r="F882" s="55"/>
      <c r="G882" s="55"/>
      <c r="H882" s="12"/>
    </row>
    <row r="883" ht="14.25" customHeight="1">
      <c r="B883" s="19"/>
      <c r="F883" s="55"/>
      <c r="G883" s="55"/>
      <c r="H883" s="12"/>
    </row>
    <row r="884" ht="14.25" customHeight="1">
      <c r="B884" s="19"/>
      <c r="F884" s="55"/>
      <c r="G884" s="55"/>
      <c r="H884" s="12"/>
    </row>
    <row r="885" ht="14.25" customHeight="1">
      <c r="B885" s="19"/>
      <c r="F885" s="55"/>
      <c r="G885" s="55"/>
      <c r="H885" s="12"/>
    </row>
    <row r="886" ht="14.25" customHeight="1">
      <c r="B886" s="19"/>
      <c r="F886" s="55"/>
      <c r="G886" s="55"/>
      <c r="H886" s="12"/>
    </row>
    <row r="887" ht="14.25" customHeight="1">
      <c r="B887" s="19"/>
      <c r="F887" s="55"/>
      <c r="G887" s="55"/>
      <c r="H887" s="12"/>
    </row>
    <row r="888" ht="14.25" customHeight="1">
      <c r="B888" s="19"/>
      <c r="F888" s="55"/>
      <c r="G888" s="55"/>
      <c r="H888" s="12"/>
    </row>
    <row r="889" ht="14.25" customHeight="1">
      <c r="B889" s="19"/>
      <c r="F889" s="55"/>
      <c r="G889" s="55"/>
      <c r="H889" s="12"/>
    </row>
    <row r="890" ht="14.25" customHeight="1">
      <c r="B890" s="19"/>
      <c r="F890" s="55"/>
      <c r="G890" s="55"/>
      <c r="H890" s="12"/>
    </row>
    <row r="891" ht="14.25" customHeight="1">
      <c r="B891" s="19"/>
      <c r="F891" s="55"/>
      <c r="G891" s="55"/>
      <c r="H891" s="12"/>
    </row>
    <row r="892" ht="14.25" customHeight="1">
      <c r="B892" s="19"/>
      <c r="F892" s="55"/>
      <c r="G892" s="55"/>
      <c r="H892" s="12"/>
    </row>
    <row r="893" ht="14.25" customHeight="1">
      <c r="B893" s="19"/>
      <c r="F893" s="55"/>
      <c r="G893" s="55"/>
      <c r="H893" s="12"/>
    </row>
    <row r="894" ht="14.25" customHeight="1">
      <c r="B894" s="19"/>
      <c r="F894" s="55"/>
      <c r="G894" s="55"/>
      <c r="H894" s="12"/>
    </row>
    <row r="895" ht="14.25" customHeight="1">
      <c r="B895" s="19"/>
      <c r="F895" s="55"/>
      <c r="G895" s="55"/>
      <c r="H895" s="12"/>
    </row>
    <row r="896" ht="14.25" customHeight="1">
      <c r="B896" s="19"/>
      <c r="F896" s="55"/>
      <c r="G896" s="55"/>
      <c r="H896" s="12"/>
    </row>
    <row r="897" ht="14.25" customHeight="1">
      <c r="B897" s="19"/>
      <c r="F897" s="55"/>
      <c r="G897" s="55"/>
      <c r="H897" s="12"/>
    </row>
    <row r="898" ht="14.25" customHeight="1">
      <c r="B898" s="19"/>
      <c r="F898" s="55"/>
      <c r="G898" s="55"/>
      <c r="H898" s="12"/>
    </row>
    <row r="899" ht="14.25" customHeight="1">
      <c r="B899" s="19"/>
      <c r="F899" s="55"/>
      <c r="G899" s="55"/>
      <c r="H899" s="12"/>
    </row>
    <row r="900" ht="14.25" customHeight="1">
      <c r="B900" s="19"/>
      <c r="F900" s="55"/>
      <c r="G900" s="55"/>
      <c r="H900" s="12"/>
    </row>
    <row r="901" ht="14.25" customHeight="1">
      <c r="B901" s="19"/>
      <c r="F901" s="55"/>
      <c r="G901" s="55"/>
      <c r="H901" s="12"/>
    </row>
    <row r="902" ht="14.25" customHeight="1">
      <c r="B902" s="19"/>
      <c r="F902" s="55"/>
      <c r="G902" s="55"/>
      <c r="H902" s="12"/>
    </row>
    <row r="903" ht="14.25" customHeight="1">
      <c r="B903" s="19"/>
      <c r="F903" s="55"/>
      <c r="G903" s="55"/>
      <c r="H903" s="12"/>
    </row>
    <row r="904" ht="14.25" customHeight="1">
      <c r="B904" s="19"/>
      <c r="F904" s="55"/>
      <c r="G904" s="55"/>
      <c r="H904" s="12"/>
    </row>
    <row r="905" ht="14.25" customHeight="1">
      <c r="B905" s="19"/>
      <c r="F905" s="55"/>
      <c r="G905" s="55"/>
      <c r="H905" s="12"/>
    </row>
    <row r="906" ht="14.25" customHeight="1">
      <c r="B906" s="19"/>
      <c r="F906" s="55"/>
      <c r="G906" s="55"/>
      <c r="H906" s="12"/>
    </row>
    <row r="907" ht="14.25" customHeight="1">
      <c r="B907" s="19"/>
      <c r="F907" s="55"/>
      <c r="G907" s="55"/>
      <c r="H907" s="12"/>
    </row>
    <row r="908" ht="14.25" customHeight="1">
      <c r="B908" s="19"/>
      <c r="F908" s="55"/>
      <c r="G908" s="55"/>
      <c r="H908" s="12"/>
    </row>
    <row r="909" ht="14.25" customHeight="1">
      <c r="B909" s="19"/>
      <c r="F909" s="55"/>
      <c r="G909" s="55"/>
      <c r="H909" s="12"/>
    </row>
    <row r="910" ht="14.25" customHeight="1">
      <c r="B910" s="19"/>
      <c r="F910" s="55"/>
      <c r="G910" s="55"/>
      <c r="H910" s="12"/>
    </row>
    <row r="911" ht="14.25" customHeight="1">
      <c r="B911" s="19"/>
      <c r="F911" s="55"/>
      <c r="G911" s="55"/>
      <c r="H911" s="12"/>
    </row>
    <row r="912" ht="14.25" customHeight="1">
      <c r="B912" s="19"/>
      <c r="F912" s="55"/>
      <c r="G912" s="55"/>
      <c r="H912" s="12"/>
    </row>
    <row r="913" ht="14.25" customHeight="1">
      <c r="B913" s="19"/>
      <c r="F913" s="55"/>
      <c r="G913" s="55"/>
      <c r="H913" s="12"/>
    </row>
    <row r="914" ht="14.25" customHeight="1">
      <c r="B914" s="19"/>
      <c r="F914" s="55"/>
      <c r="G914" s="55"/>
      <c r="H914" s="12"/>
    </row>
    <row r="915" ht="14.25" customHeight="1">
      <c r="B915" s="19"/>
      <c r="F915" s="55"/>
      <c r="G915" s="55"/>
      <c r="H915" s="12"/>
    </row>
    <row r="916" ht="14.25" customHeight="1">
      <c r="B916" s="19"/>
      <c r="F916" s="55"/>
      <c r="G916" s="55"/>
      <c r="H916" s="12"/>
    </row>
    <row r="917" ht="14.25" customHeight="1">
      <c r="B917" s="19"/>
      <c r="F917" s="55"/>
      <c r="G917" s="55"/>
      <c r="H917" s="12"/>
    </row>
    <row r="918" ht="14.25" customHeight="1">
      <c r="B918" s="19"/>
      <c r="F918" s="55"/>
      <c r="G918" s="55"/>
      <c r="H918" s="12"/>
    </row>
    <row r="919" ht="14.25" customHeight="1">
      <c r="B919" s="19"/>
      <c r="F919" s="55"/>
      <c r="G919" s="55"/>
      <c r="H919" s="12"/>
    </row>
    <row r="920" ht="14.25" customHeight="1">
      <c r="B920" s="19"/>
      <c r="F920" s="55"/>
      <c r="G920" s="55"/>
      <c r="H920" s="12"/>
    </row>
    <row r="921" ht="14.25" customHeight="1">
      <c r="B921" s="19"/>
      <c r="F921" s="55"/>
      <c r="G921" s="55"/>
      <c r="H921" s="12"/>
    </row>
    <row r="922" ht="14.25" customHeight="1">
      <c r="B922" s="19"/>
      <c r="F922" s="55"/>
      <c r="G922" s="55"/>
      <c r="H922" s="12"/>
    </row>
    <row r="923" ht="14.25" customHeight="1">
      <c r="B923" s="19"/>
      <c r="F923" s="55"/>
      <c r="G923" s="55"/>
      <c r="H923" s="12"/>
    </row>
    <row r="924" ht="14.25" customHeight="1">
      <c r="B924" s="19"/>
      <c r="F924" s="55"/>
      <c r="G924" s="55"/>
      <c r="H924" s="12"/>
    </row>
    <row r="925" ht="14.25" customHeight="1">
      <c r="B925" s="19"/>
      <c r="F925" s="55"/>
      <c r="G925" s="55"/>
      <c r="H925" s="12"/>
    </row>
    <row r="926" ht="14.25" customHeight="1">
      <c r="B926" s="19"/>
      <c r="F926" s="55"/>
      <c r="G926" s="55"/>
      <c r="H926" s="12"/>
    </row>
    <row r="927" ht="14.25" customHeight="1">
      <c r="B927" s="19"/>
      <c r="F927" s="55"/>
      <c r="G927" s="55"/>
      <c r="H927" s="12"/>
    </row>
    <row r="928" ht="14.25" customHeight="1">
      <c r="B928" s="19"/>
      <c r="F928" s="55"/>
      <c r="G928" s="55"/>
      <c r="H928" s="12"/>
    </row>
    <row r="929" ht="14.25" customHeight="1">
      <c r="B929" s="19"/>
      <c r="F929" s="55"/>
      <c r="G929" s="55"/>
      <c r="H929" s="12"/>
    </row>
    <row r="930" ht="14.25" customHeight="1">
      <c r="B930" s="19"/>
      <c r="F930" s="55"/>
      <c r="G930" s="55"/>
      <c r="H930" s="12"/>
    </row>
    <row r="931" ht="14.25" customHeight="1">
      <c r="B931" s="19"/>
      <c r="F931" s="55"/>
      <c r="G931" s="55"/>
      <c r="H931" s="12"/>
    </row>
    <row r="932" ht="14.25" customHeight="1">
      <c r="B932" s="19"/>
      <c r="F932" s="55"/>
      <c r="G932" s="55"/>
      <c r="H932" s="12"/>
    </row>
    <row r="933" ht="14.25" customHeight="1">
      <c r="B933" s="19"/>
      <c r="F933" s="55"/>
      <c r="G933" s="55"/>
      <c r="H933" s="12"/>
    </row>
    <row r="934" ht="14.25" customHeight="1">
      <c r="B934" s="19"/>
      <c r="F934" s="55"/>
      <c r="G934" s="55"/>
      <c r="H934" s="12"/>
    </row>
    <row r="935" ht="14.25" customHeight="1">
      <c r="B935" s="19"/>
      <c r="F935" s="55"/>
      <c r="G935" s="55"/>
      <c r="H935" s="12"/>
    </row>
    <row r="936" ht="14.25" customHeight="1">
      <c r="B936" s="19"/>
      <c r="F936" s="55"/>
      <c r="G936" s="55"/>
      <c r="H936" s="12"/>
    </row>
    <row r="937" ht="14.25" customHeight="1">
      <c r="B937" s="19"/>
      <c r="F937" s="55"/>
      <c r="G937" s="55"/>
      <c r="H937" s="12"/>
    </row>
    <row r="938" ht="14.25" customHeight="1">
      <c r="B938" s="19"/>
      <c r="F938" s="55"/>
      <c r="G938" s="55"/>
      <c r="H938" s="12"/>
    </row>
    <row r="939" ht="14.25" customHeight="1">
      <c r="B939" s="19"/>
      <c r="F939" s="55"/>
      <c r="G939" s="55"/>
      <c r="H939" s="12"/>
    </row>
    <row r="940" ht="14.25" customHeight="1">
      <c r="B940" s="19"/>
      <c r="F940" s="55"/>
      <c r="G940" s="55"/>
      <c r="H940" s="12"/>
    </row>
    <row r="941" ht="14.25" customHeight="1">
      <c r="B941" s="19"/>
      <c r="F941" s="55"/>
      <c r="G941" s="55"/>
      <c r="H941" s="12"/>
    </row>
    <row r="942" ht="14.25" customHeight="1">
      <c r="B942" s="19"/>
      <c r="F942" s="55"/>
      <c r="G942" s="55"/>
      <c r="H942" s="12"/>
    </row>
    <row r="943" ht="14.25" customHeight="1">
      <c r="B943" s="19"/>
      <c r="F943" s="55"/>
      <c r="G943" s="55"/>
      <c r="H943" s="12"/>
    </row>
    <row r="944" ht="14.25" customHeight="1">
      <c r="B944" s="19"/>
      <c r="F944" s="55"/>
      <c r="G944" s="55"/>
      <c r="H944" s="12"/>
    </row>
    <row r="945" ht="14.25" customHeight="1">
      <c r="B945" s="19"/>
      <c r="F945" s="55"/>
      <c r="G945" s="55"/>
      <c r="H945" s="12"/>
    </row>
    <row r="946" ht="14.25" customHeight="1">
      <c r="B946" s="19"/>
      <c r="F946" s="55"/>
      <c r="G946" s="55"/>
      <c r="H946" s="12"/>
    </row>
    <row r="947" ht="14.25" customHeight="1">
      <c r="B947" s="19"/>
      <c r="F947" s="55"/>
      <c r="G947" s="55"/>
      <c r="H947" s="12"/>
    </row>
    <row r="948" ht="14.25" customHeight="1">
      <c r="B948" s="19"/>
      <c r="F948" s="55"/>
      <c r="G948" s="55"/>
      <c r="H948" s="12"/>
    </row>
    <row r="949" ht="14.25" customHeight="1">
      <c r="B949" s="19"/>
      <c r="F949" s="55"/>
      <c r="G949" s="55"/>
      <c r="H949" s="12"/>
    </row>
    <row r="950" ht="14.25" customHeight="1">
      <c r="B950" s="19"/>
      <c r="F950" s="55"/>
      <c r="G950" s="55"/>
      <c r="H950" s="12"/>
    </row>
    <row r="951" ht="14.25" customHeight="1">
      <c r="B951" s="19"/>
      <c r="F951" s="55"/>
      <c r="G951" s="55"/>
      <c r="H951" s="12"/>
    </row>
    <row r="952" ht="14.25" customHeight="1">
      <c r="B952" s="19"/>
      <c r="F952" s="55"/>
      <c r="G952" s="55"/>
      <c r="H952" s="12"/>
    </row>
    <row r="953" ht="14.25" customHeight="1">
      <c r="B953" s="19"/>
      <c r="F953" s="55"/>
      <c r="G953" s="55"/>
      <c r="H953" s="12"/>
    </row>
    <row r="954" ht="14.25" customHeight="1">
      <c r="B954" s="19"/>
      <c r="F954" s="55"/>
      <c r="G954" s="55"/>
      <c r="H954" s="12"/>
    </row>
    <row r="955" ht="14.25" customHeight="1">
      <c r="B955" s="19"/>
      <c r="F955" s="55"/>
      <c r="G955" s="55"/>
      <c r="H955" s="12"/>
    </row>
    <row r="956" ht="14.25" customHeight="1">
      <c r="B956" s="19"/>
      <c r="F956" s="55"/>
      <c r="G956" s="55"/>
      <c r="H956" s="12"/>
    </row>
    <row r="957" ht="14.25" customHeight="1">
      <c r="B957" s="19"/>
      <c r="F957" s="55"/>
      <c r="G957" s="55"/>
      <c r="H957" s="12"/>
    </row>
    <row r="958" ht="14.25" customHeight="1">
      <c r="B958" s="19"/>
      <c r="F958" s="55"/>
      <c r="G958" s="55"/>
      <c r="H958" s="12"/>
    </row>
    <row r="959" ht="14.25" customHeight="1">
      <c r="B959" s="19"/>
      <c r="F959" s="55"/>
      <c r="G959" s="55"/>
      <c r="H959" s="12"/>
    </row>
    <row r="960" ht="14.25" customHeight="1">
      <c r="B960" s="19"/>
      <c r="F960" s="55"/>
      <c r="G960" s="55"/>
      <c r="H960" s="12"/>
    </row>
    <row r="961" ht="14.25" customHeight="1">
      <c r="B961" s="19"/>
      <c r="F961" s="55"/>
      <c r="G961" s="55"/>
      <c r="H961" s="12"/>
    </row>
    <row r="962" ht="14.25" customHeight="1">
      <c r="B962" s="19"/>
      <c r="F962" s="55"/>
      <c r="G962" s="55"/>
      <c r="H962" s="12"/>
    </row>
    <row r="963" ht="14.25" customHeight="1">
      <c r="B963" s="19"/>
      <c r="F963" s="55"/>
      <c r="G963" s="55"/>
      <c r="H963" s="12"/>
    </row>
    <row r="964" ht="14.25" customHeight="1">
      <c r="B964" s="19"/>
      <c r="F964" s="55"/>
      <c r="G964" s="55"/>
      <c r="H964" s="12"/>
    </row>
    <row r="965" ht="14.25" customHeight="1">
      <c r="B965" s="19"/>
      <c r="F965" s="55"/>
      <c r="G965" s="55"/>
      <c r="H965" s="12"/>
    </row>
    <row r="966" ht="14.25" customHeight="1">
      <c r="B966" s="19"/>
      <c r="F966" s="55"/>
      <c r="G966" s="55"/>
      <c r="H966" s="12"/>
    </row>
    <row r="967" ht="14.25" customHeight="1">
      <c r="B967" s="19"/>
      <c r="F967" s="55"/>
      <c r="G967" s="55"/>
      <c r="H967" s="12"/>
    </row>
    <row r="968" ht="14.25" customHeight="1">
      <c r="B968" s="19"/>
      <c r="F968" s="55"/>
      <c r="G968" s="55"/>
      <c r="H968" s="12"/>
    </row>
    <row r="969" ht="14.25" customHeight="1">
      <c r="B969" s="19"/>
      <c r="F969" s="55"/>
      <c r="G969" s="55"/>
      <c r="H969" s="12"/>
    </row>
    <row r="970" ht="14.25" customHeight="1">
      <c r="B970" s="19"/>
      <c r="F970" s="55"/>
      <c r="G970" s="55"/>
      <c r="H970" s="12"/>
    </row>
    <row r="971" ht="14.25" customHeight="1">
      <c r="B971" s="19"/>
      <c r="F971" s="55"/>
      <c r="G971" s="55"/>
      <c r="H971" s="12"/>
    </row>
    <row r="972" ht="14.25" customHeight="1">
      <c r="B972" s="19"/>
      <c r="F972" s="55"/>
      <c r="G972" s="55"/>
      <c r="H972" s="12"/>
    </row>
    <row r="973" ht="14.25" customHeight="1">
      <c r="B973" s="19"/>
      <c r="F973" s="55"/>
      <c r="G973" s="55"/>
      <c r="H973" s="12"/>
    </row>
    <row r="974" ht="14.25" customHeight="1">
      <c r="B974" s="19"/>
      <c r="F974" s="55"/>
      <c r="G974" s="55"/>
      <c r="H974" s="12"/>
    </row>
    <row r="975" ht="14.25" customHeight="1">
      <c r="B975" s="19"/>
      <c r="F975" s="55"/>
      <c r="G975" s="55"/>
      <c r="H975" s="12"/>
    </row>
    <row r="976" ht="14.25" customHeight="1">
      <c r="B976" s="19"/>
      <c r="F976" s="55"/>
      <c r="G976" s="55"/>
      <c r="H976" s="12"/>
    </row>
    <row r="977" ht="14.25" customHeight="1">
      <c r="B977" s="19"/>
      <c r="F977" s="55"/>
      <c r="G977" s="55"/>
      <c r="H977" s="12"/>
    </row>
    <row r="978" ht="14.25" customHeight="1">
      <c r="B978" s="19"/>
      <c r="F978" s="55"/>
      <c r="G978" s="55"/>
      <c r="H978" s="12"/>
    </row>
    <row r="979" ht="14.25" customHeight="1">
      <c r="B979" s="19"/>
      <c r="F979" s="55"/>
      <c r="G979" s="55"/>
      <c r="H979" s="12"/>
    </row>
    <row r="980" ht="14.25" customHeight="1">
      <c r="B980" s="19"/>
      <c r="F980" s="55"/>
      <c r="G980" s="55"/>
      <c r="H980" s="12"/>
    </row>
    <row r="981" ht="14.25" customHeight="1">
      <c r="B981" s="19"/>
      <c r="F981" s="55"/>
      <c r="G981" s="55"/>
      <c r="H981" s="12"/>
    </row>
    <row r="982" ht="14.25" customHeight="1">
      <c r="B982" s="19"/>
      <c r="F982" s="55"/>
      <c r="G982" s="55"/>
      <c r="H982" s="12"/>
    </row>
    <row r="983" ht="14.25" customHeight="1">
      <c r="B983" s="19"/>
      <c r="F983" s="55"/>
      <c r="G983" s="55"/>
      <c r="H983" s="12"/>
    </row>
    <row r="984" ht="14.25" customHeight="1">
      <c r="B984" s="19"/>
      <c r="F984" s="55"/>
      <c r="G984" s="55"/>
      <c r="H984" s="12"/>
    </row>
    <row r="985" ht="14.25" customHeight="1">
      <c r="B985" s="19"/>
      <c r="F985" s="55"/>
      <c r="G985" s="55"/>
      <c r="H985" s="12"/>
    </row>
    <row r="986" ht="14.25" customHeight="1">
      <c r="B986" s="19"/>
      <c r="F986" s="55"/>
      <c r="G986" s="55"/>
      <c r="H986" s="12"/>
    </row>
    <row r="987" ht="14.25" customHeight="1">
      <c r="B987" s="19"/>
      <c r="F987" s="55"/>
      <c r="G987" s="55"/>
      <c r="H987" s="12"/>
    </row>
    <row r="988" ht="14.25" customHeight="1">
      <c r="B988" s="19"/>
      <c r="F988" s="55"/>
      <c r="G988" s="55"/>
      <c r="H988" s="12"/>
    </row>
    <row r="989" ht="14.25" customHeight="1">
      <c r="B989" s="19"/>
      <c r="F989" s="55"/>
      <c r="G989" s="55"/>
      <c r="H989" s="12"/>
    </row>
    <row r="990" ht="14.25" customHeight="1">
      <c r="B990" s="19"/>
      <c r="F990" s="55"/>
      <c r="G990" s="55"/>
      <c r="H990" s="12"/>
    </row>
    <row r="991" ht="14.25" customHeight="1">
      <c r="B991" s="19"/>
      <c r="F991" s="55"/>
      <c r="G991" s="55"/>
      <c r="H991" s="12"/>
    </row>
    <row r="992" ht="14.25" customHeight="1">
      <c r="B992" s="19"/>
      <c r="F992" s="55"/>
      <c r="G992" s="55"/>
      <c r="H992" s="12"/>
    </row>
    <row r="993" ht="14.25" customHeight="1">
      <c r="B993" s="19"/>
      <c r="F993" s="55"/>
      <c r="G993" s="55"/>
      <c r="H993" s="12"/>
    </row>
    <row r="994" ht="14.25" customHeight="1">
      <c r="B994" s="19"/>
      <c r="F994" s="55"/>
      <c r="G994" s="55"/>
      <c r="H994" s="12"/>
    </row>
    <row r="995" ht="14.25" customHeight="1">
      <c r="B995" s="19"/>
      <c r="F995" s="55"/>
      <c r="G995" s="55"/>
      <c r="H995" s="12"/>
    </row>
    <row r="996" ht="14.25" customHeight="1">
      <c r="B996" s="19"/>
      <c r="F996" s="55"/>
      <c r="G996" s="55"/>
      <c r="H996" s="12"/>
    </row>
    <row r="997" ht="14.25" customHeight="1">
      <c r="B997" s="19"/>
      <c r="F997" s="55"/>
      <c r="G997" s="55"/>
      <c r="H997" s="12"/>
    </row>
    <row r="998" ht="14.25" customHeight="1">
      <c r="B998" s="19"/>
      <c r="F998" s="55"/>
      <c r="G998" s="55"/>
      <c r="H998" s="12"/>
    </row>
    <row r="999" ht="14.25" customHeight="1">
      <c r="B999" s="19"/>
      <c r="F999" s="55"/>
      <c r="G999" s="55"/>
      <c r="H999" s="12"/>
    </row>
    <row r="1000" ht="14.25" customHeight="1">
      <c r="B1000" s="19"/>
      <c r="F1000" s="55"/>
      <c r="G1000" s="55"/>
      <c r="H1000" s="12"/>
    </row>
    <row r="1001" ht="14.25" customHeight="1">
      <c r="B1001" s="19"/>
      <c r="F1001" s="55"/>
      <c r="G1001" s="55"/>
      <c r="H1001" s="12"/>
    </row>
    <row r="1002" ht="14.25" customHeight="1">
      <c r="B1002" s="19"/>
      <c r="F1002" s="55"/>
      <c r="G1002" s="55"/>
      <c r="H1002" s="12"/>
    </row>
    <row r="1003" ht="14.25" customHeight="1">
      <c r="B1003" s="19"/>
      <c r="F1003" s="55"/>
      <c r="G1003" s="55"/>
      <c r="H1003" s="12"/>
    </row>
    <row r="1004" ht="14.25" customHeight="1">
      <c r="B1004" s="19"/>
      <c r="F1004" s="55"/>
      <c r="G1004" s="55"/>
      <c r="H1004" s="12"/>
    </row>
    <row r="1005" ht="14.25" customHeight="1">
      <c r="B1005" s="19"/>
      <c r="F1005" s="55"/>
      <c r="G1005" s="55"/>
      <c r="H1005" s="12"/>
    </row>
    <row r="1006" ht="14.25" customHeight="1">
      <c r="B1006" s="19"/>
      <c r="F1006" s="55"/>
      <c r="G1006" s="55"/>
      <c r="H1006" s="12"/>
    </row>
    <row r="1007" ht="14.25" customHeight="1">
      <c r="B1007" s="19"/>
      <c r="F1007" s="55"/>
      <c r="G1007" s="55"/>
      <c r="H1007" s="12"/>
    </row>
  </sheetData>
  <mergeCells count="11">
    <mergeCell ref="B5:D5"/>
    <mergeCell ref="B6:D6"/>
    <mergeCell ref="F6:G6"/>
    <mergeCell ref="F48:I48"/>
    <mergeCell ref="A1:F1"/>
    <mergeCell ref="C2:D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2023-10-17T10:24:50Z</dcterms:created>
  <dc:creator>MEDIA</dc:creator>
</cp:coreProperties>
</file>